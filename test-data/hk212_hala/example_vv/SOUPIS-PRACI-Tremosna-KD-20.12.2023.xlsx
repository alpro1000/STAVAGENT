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H:\Moje plocha NTB\Raval\2023_07_Kulturní dům Třemošná\Doplnění 20122023\"/>
    </mc:Choice>
  </mc:AlternateContent>
  <bookViews>
    <workbookView xWindow="0" yWindow="0" windowWidth="0" windowHeight="0"/>
  </bookViews>
  <sheets>
    <sheet name="Rekapitulace stavby" sheetId="1" r:id="rId1"/>
    <sheet name="01 - Architektonicko stav..." sheetId="2" r:id="rId2"/>
    <sheet name="02 - Zdravotní instalace" sheetId="3" r:id="rId3"/>
    <sheet name="03 - Vytápění" sheetId="4" r:id="rId4"/>
    <sheet name="04 - Vzduchotechnika" sheetId="5" r:id="rId5"/>
    <sheet name="05 - Elektroinstalace" sheetId="6" r:id="rId6"/>
    <sheet name="06 - Splašková kanalizace" sheetId="7" r:id="rId7"/>
    <sheet name="07 - Dešťová kanalizace" sheetId="8" r:id="rId8"/>
    <sheet name="08 - Zpevněné plochy" sheetId="9" r:id="rId9"/>
    <sheet name="09 - Úprava stávající NTL..." sheetId="10" r:id="rId10"/>
    <sheet name="VON - Vedlejší rozpočtové..." sheetId="11" r:id="rId11"/>
    <sheet name="Seznam figur" sheetId="12" r:id="rId12"/>
  </sheets>
  <definedNames>
    <definedName name="_xlnm.Print_Area" localSheetId="0">'Rekapitulace stavby'!$D$4:$AO$36,'Rekapitulace stavby'!$C$42:$AQ$65</definedName>
    <definedName name="_xlnm.Print_Titles" localSheetId="0">'Rekapitulace stavby'!$52:$52</definedName>
    <definedName name="_xlnm._FilterDatabase" localSheetId="1" hidden="1">'01 - Architektonicko stav...'!$C$104:$K$1257</definedName>
    <definedName name="_xlnm.Print_Area" localSheetId="1">'01 - Architektonicko stav...'!$C$92:$K$1257</definedName>
    <definedName name="_xlnm.Print_Titles" localSheetId="1">'01 - Architektonicko stav...'!$104:$104</definedName>
    <definedName name="_xlnm._FilterDatabase" localSheetId="2" hidden="1">'02 - Zdravotní instalace'!$C$88:$K$300</definedName>
    <definedName name="_xlnm.Print_Area" localSheetId="2">'02 - Zdravotní instalace'!$C$76:$K$300</definedName>
    <definedName name="_xlnm.Print_Titles" localSheetId="2">'02 - Zdravotní instalace'!$88:$88</definedName>
    <definedName name="_xlnm._FilterDatabase" localSheetId="3" hidden="1">'03 - Vytápění'!$C$78:$K$139</definedName>
    <definedName name="_xlnm.Print_Area" localSheetId="3">'03 - Vytápění'!$C$66:$K$139</definedName>
    <definedName name="_xlnm.Print_Titles" localSheetId="3">'03 - Vytápění'!$78:$78</definedName>
    <definedName name="_xlnm._FilterDatabase" localSheetId="4" hidden="1">'04 - Vzduchotechnika'!$C$92:$K$227</definedName>
    <definedName name="_xlnm.Print_Area" localSheetId="4">'04 - Vzduchotechnika'!$C$80:$K$227</definedName>
    <definedName name="_xlnm.Print_Titles" localSheetId="4">'04 - Vzduchotechnika'!$92:$92</definedName>
    <definedName name="_xlnm._FilterDatabase" localSheetId="5" hidden="1">'05 - Elektroinstalace'!$C$114:$K$238</definedName>
    <definedName name="_xlnm.Print_Area" localSheetId="5">'05 - Elektroinstalace'!$C$102:$K$238</definedName>
    <definedName name="_xlnm.Print_Titles" localSheetId="5">'05 - Elektroinstalace'!$114:$114</definedName>
    <definedName name="_xlnm._FilterDatabase" localSheetId="6" hidden="1">'06 - Splašková kanalizace'!$C$83:$K$124</definedName>
    <definedName name="_xlnm.Print_Area" localSheetId="6">'06 - Splašková kanalizace'!$C$71:$K$124</definedName>
    <definedName name="_xlnm.Print_Titles" localSheetId="6">'06 - Splašková kanalizace'!$83:$83</definedName>
    <definedName name="_xlnm._FilterDatabase" localSheetId="7" hidden="1">'07 - Dešťová kanalizace'!$C$86:$K$159</definedName>
    <definedName name="_xlnm.Print_Area" localSheetId="7">'07 - Dešťová kanalizace'!$C$74:$K$159</definedName>
    <definedName name="_xlnm.Print_Titles" localSheetId="7">'07 - Dešťová kanalizace'!$86:$86</definedName>
    <definedName name="_xlnm._FilterDatabase" localSheetId="8" hidden="1">'08 - Zpevněné plochy'!$C$88:$K$343</definedName>
    <definedName name="_xlnm.Print_Area" localSheetId="8">'08 - Zpevněné plochy'!$C$76:$K$343</definedName>
    <definedName name="_xlnm.Print_Titles" localSheetId="8">'08 - Zpevněné plochy'!$88:$88</definedName>
    <definedName name="_xlnm._FilterDatabase" localSheetId="9" hidden="1">'09 - Úprava stávající NTL...'!$C$90:$K$220</definedName>
    <definedName name="_xlnm.Print_Area" localSheetId="9">'09 - Úprava stávající NTL...'!$C$78:$K$220</definedName>
    <definedName name="_xlnm.Print_Titles" localSheetId="9">'09 - Úprava stávající NTL...'!$90:$90</definedName>
    <definedName name="_xlnm._FilterDatabase" localSheetId="10" hidden="1">'VON - Vedlejší rozpočtové...'!$C$83:$K$111</definedName>
    <definedName name="_xlnm.Print_Area" localSheetId="10">'VON - Vedlejší rozpočtové...'!$C$71:$K$111</definedName>
    <definedName name="_xlnm.Print_Titles" localSheetId="10">'VON - Vedlejší rozpočtové...'!$83:$83</definedName>
    <definedName name="_xlnm.Print_Area" localSheetId="11">'Seznam figur'!$C$4:$G$158</definedName>
    <definedName name="_xlnm.Print_Titles" localSheetId="11">'Seznam figur'!$9:$9</definedName>
  </definedNames>
  <calcPr/>
</workbook>
</file>

<file path=xl/calcChain.xml><?xml version="1.0" encoding="utf-8"?>
<calcChain xmlns="http://schemas.openxmlformats.org/spreadsheetml/2006/main">
  <c i="12" l="1" r="D7"/>
  <c i="11" r="J37"/>
  <c r="J36"/>
  <c i="1" r="AY64"/>
  <c i="11" r="J35"/>
  <c i="1" r="AX64"/>
  <c i="11" r="BI110"/>
  <c r="BH110"/>
  <c r="BG110"/>
  <c r="BF110"/>
  <c r="T110"/>
  <c r="R110"/>
  <c r="P110"/>
  <c r="BI108"/>
  <c r="BH108"/>
  <c r="BG108"/>
  <c r="BF108"/>
  <c r="T108"/>
  <c r="R108"/>
  <c r="P108"/>
  <c r="BI106"/>
  <c r="BH106"/>
  <c r="BG106"/>
  <c r="BF106"/>
  <c r="T106"/>
  <c r="R106"/>
  <c r="P106"/>
  <c r="BI103"/>
  <c r="BH103"/>
  <c r="BG103"/>
  <c r="BF103"/>
  <c r="T103"/>
  <c r="T102"/>
  <c r="R103"/>
  <c r="R102"/>
  <c r="P103"/>
  <c r="P102"/>
  <c r="BI100"/>
  <c r="BH100"/>
  <c r="BG100"/>
  <c r="BF100"/>
  <c r="T100"/>
  <c r="R100"/>
  <c r="P100"/>
  <c r="BI98"/>
  <c r="BH98"/>
  <c r="BG98"/>
  <c r="BF98"/>
  <c r="T98"/>
  <c r="R98"/>
  <c r="P98"/>
  <c r="BI95"/>
  <c r="BH95"/>
  <c r="BG95"/>
  <c r="BF95"/>
  <c r="T95"/>
  <c r="R95"/>
  <c r="P95"/>
  <c r="BI93"/>
  <c r="BH93"/>
  <c r="BG93"/>
  <c r="BF93"/>
  <c r="T93"/>
  <c r="R93"/>
  <c r="P93"/>
  <c r="BI90"/>
  <c r="BH90"/>
  <c r="BG90"/>
  <c r="BF90"/>
  <c r="T90"/>
  <c r="R90"/>
  <c r="P90"/>
  <c r="BI88"/>
  <c r="BH88"/>
  <c r="BG88"/>
  <c r="BF88"/>
  <c r="T88"/>
  <c r="R88"/>
  <c r="P88"/>
  <c r="BI86"/>
  <c r="BH86"/>
  <c r="BG86"/>
  <c r="BF86"/>
  <c r="T86"/>
  <c r="R86"/>
  <c r="P86"/>
  <c r="J80"/>
  <c r="F80"/>
  <c r="F78"/>
  <c r="E76"/>
  <c r="J54"/>
  <c r="F54"/>
  <c r="F52"/>
  <c r="E50"/>
  <c r="J24"/>
  <c r="E24"/>
  <c r="J81"/>
  <c r="J23"/>
  <c r="J18"/>
  <c r="E18"/>
  <c r="F81"/>
  <c r="J17"/>
  <c r="J12"/>
  <c r="J78"/>
  <c r="E7"/>
  <c r="E48"/>
  <c i="10" r="J37"/>
  <c r="J36"/>
  <c i="1" r="AY63"/>
  <c i="10" r="J35"/>
  <c i="1" r="AX63"/>
  <c i="10" r="BI219"/>
  <c r="BH219"/>
  <c r="BG219"/>
  <c r="BF219"/>
  <c r="T219"/>
  <c r="R219"/>
  <c r="P219"/>
  <c r="BI217"/>
  <c r="BH217"/>
  <c r="BG217"/>
  <c r="BF217"/>
  <c r="T217"/>
  <c r="R217"/>
  <c r="P217"/>
  <c r="BI215"/>
  <c r="BH215"/>
  <c r="BG215"/>
  <c r="BF215"/>
  <c r="T215"/>
  <c r="R215"/>
  <c r="P215"/>
  <c r="BI212"/>
  <c r="BH212"/>
  <c r="BG212"/>
  <c r="BF212"/>
  <c r="T212"/>
  <c r="R212"/>
  <c r="P212"/>
  <c r="BI210"/>
  <c r="BH210"/>
  <c r="BG210"/>
  <c r="BF210"/>
  <c r="T210"/>
  <c r="R210"/>
  <c r="P210"/>
  <c r="BI208"/>
  <c r="BH208"/>
  <c r="BG208"/>
  <c r="BF208"/>
  <c r="T208"/>
  <c r="R208"/>
  <c r="P208"/>
  <c r="BI206"/>
  <c r="BH206"/>
  <c r="BG206"/>
  <c r="BF206"/>
  <c r="T206"/>
  <c r="R206"/>
  <c r="P206"/>
  <c r="BI204"/>
  <c r="BH204"/>
  <c r="BG204"/>
  <c r="BF204"/>
  <c r="T204"/>
  <c r="R204"/>
  <c r="P204"/>
  <c r="BI202"/>
  <c r="BH202"/>
  <c r="BG202"/>
  <c r="BF202"/>
  <c r="T202"/>
  <c r="R202"/>
  <c r="P202"/>
  <c r="BI200"/>
  <c r="BH200"/>
  <c r="BG200"/>
  <c r="BF200"/>
  <c r="T200"/>
  <c r="R200"/>
  <c r="P200"/>
  <c r="BI198"/>
  <c r="BH198"/>
  <c r="BG198"/>
  <c r="BF198"/>
  <c r="T198"/>
  <c r="R198"/>
  <c r="P198"/>
  <c r="BI197"/>
  <c r="BH197"/>
  <c r="BG197"/>
  <c r="BF197"/>
  <c r="T197"/>
  <c r="R197"/>
  <c r="P197"/>
  <c r="BI195"/>
  <c r="BH195"/>
  <c r="BG195"/>
  <c r="BF195"/>
  <c r="T195"/>
  <c r="R195"/>
  <c r="P195"/>
  <c r="BI194"/>
  <c r="BH194"/>
  <c r="BG194"/>
  <c r="BF194"/>
  <c r="T194"/>
  <c r="R194"/>
  <c r="P194"/>
  <c r="BI192"/>
  <c r="BH192"/>
  <c r="BG192"/>
  <c r="BF192"/>
  <c r="T192"/>
  <c r="R192"/>
  <c r="P192"/>
  <c r="BI191"/>
  <c r="BH191"/>
  <c r="BG191"/>
  <c r="BF191"/>
  <c r="T191"/>
  <c r="R191"/>
  <c r="P191"/>
  <c r="BI189"/>
  <c r="BH189"/>
  <c r="BG189"/>
  <c r="BF189"/>
  <c r="T189"/>
  <c r="R189"/>
  <c r="P189"/>
  <c r="BI188"/>
  <c r="BH188"/>
  <c r="BG188"/>
  <c r="BF188"/>
  <c r="T188"/>
  <c r="R188"/>
  <c r="P188"/>
  <c r="BI186"/>
  <c r="BH186"/>
  <c r="BG186"/>
  <c r="BF186"/>
  <c r="T186"/>
  <c r="R186"/>
  <c r="P186"/>
  <c r="BI185"/>
  <c r="BH185"/>
  <c r="BG185"/>
  <c r="BF185"/>
  <c r="T185"/>
  <c r="R185"/>
  <c r="P185"/>
  <c r="BI183"/>
  <c r="BH183"/>
  <c r="BG183"/>
  <c r="BF183"/>
  <c r="T183"/>
  <c r="R183"/>
  <c r="P183"/>
  <c r="BI182"/>
  <c r="BH182"/>
  <c r="BG182"/>
  <c r="BF182"/>
  <c r="T182"/>
  <c r="R182"/>
  <c r="P182"/>
  <c r="BI180"/>
  <c r="BH180"/>
  <c r="BG180"/>
  <c r="BF180"/>
  <c r="T180"/>
  <c r="R180"/>
  <c r="P180"/>
  <c r="BI179"/>
  <c r="BH179"/>
  <c r="BG179"/>
  <c r="BF179"/>
  <c r="T179"/>
  <c r="R179"/>
  <c r="P179"/>
  <c r="BI178"/>
  <c r="BH178"/>
  <c r="BG178"/>
  <c r="BF178"/>
  <c r="T178"/>
  <c r="R178"/>
  <c r="P178"/>
  <c r="BI176"/>
  <c r="BH176"/>
  <c r="BG176"/>
  <c r="BF176"/>
  <c r="T176"/>
  <c r="R176"/>
  <c r="P176"/>
  <c r="BI175"/>
  <c r="BH175"/>
  <c r="BG175"/>
  <c r="BF175"/>
  <c r="T175"/>
  <c r="R175"/>
  <c r="P175"/>
  <c r="BI174"/>
  <c r="BH174"/>
  <c r="BG174"/>
  <c r="BF174"/>
  <c r="T174"/>
  <c r="R174"/>
  <c r="P174"/>
  <c r="BI172"/>
  <c r="BH172"/>
  <c r="BG172"/>
  <c r="BF172"/>
  <c r="T172"/>
  <c r="R172"/>
  <c r="P172"/>
  <c r="BI171"/>
  <c r="BH171"/>
  <c r="BG171"/>
  <c r="BF171"/>
  <c r="T171"/>
  <c r="R171"/>
  <c r="P171"/>
  <c r="BI169"/>
  <c r="BH169"/>
  <c r="BG169"/>
  <c r="BF169"/>
  <c r="T169"/>
  <c r="R169"/>
  <c r="P169"/>
  <c r="BI168"/>
  <c r="BH168"/>
  <c r="BG168"/>
  <c r="BF168"/>
  <c r="T168"/>
  <c r="R168"/>
  <c r="P168"/>
  <c r="BI166"/>
  <c r="BH166"/>
  <c r="BG166"/>
  <c r="BF166"/>
  <c r="T166"/>
  <c r="R166"/>
  <c r="P166"/>
  <c r="BI164"/>
  <c r="BH164"/>
  <c r="BG164"/>
  <c r="BF164"/>
  <c r="T164"/>
  <c r="R164"/>
  <c r="P164"/>
  <c r="BI163"/>
  <c r="BH163"/>
  <c r="BG163"/>
  <c r="BF163"/>
  <c r="T163"/>
  <c r="R163"/>
  <c r="P163"/>
  <c r="BI159"/>
  <c r="BH159"/>
  <c r="BG159"/>
  <c r="BF159"/>
  <c r="T159"/>
  <c r="R159"/>
  <c r="P159"/>
  <c r="BI157"/>
  <c r="BH157"/>
  <c r="BG157"/>
  <c r="BF157"/>
  <c r="T157"/>
  <c r="R157"/>
  <c r="P157"/>
  <c r="BI154"/>
  <c r="BH154"/>
  <c r="BG154"/>
  <c r="BF154"/>
  <c r="T154"/>
  <c r="R154"/>
  <c r="P154"/>
  <c r="BI152"/>
  <c r="BH152"/>
  <c r="BG152"/>
  <c r="BF152"/>
  <c r="T152"/>
  <c r="R152"/>
  <c r="P152"/>
  <c r="BI150"/>
  <c r="BH150"/>
  <c r="BG150"/>
  <c r="BF150"/>
  <c r="T150"/>
  <c r="R150"/>
  <c r="P150"/>
  <c r="BI148"/>
  <c r="BH148"/>
  <c r="BG148"/>
  <c r="BF148"/>
  <c r="T148"/>
  <c r="R148"/>
  <c r="P148"/>
  <c r="BI146"/>
  <c r="BH146"/>
  <c r="BG146"/>
  <c r="BF146"/>
  <c r="T146"/>
  <c r="R146"/>
  <c r="P146"/>
  <c r="BI144"/>
  <c r="BH144"/>
  <c r="BG144"/>
  <c r="BF144"/>
  <c r="T144"/>
  <c r="R144"/>
  <c r="P144"/>
  <c r="BI142"/>
  <c r="BH142"/>
  <c r="BG142"/>
  <c r="BF142"/>
  <c r="T142"/>
  <c r="R142"/>
  <c r="P142"/>
  <c r="BI140"/>
  <c r="BH140"/>
  <c r="BG140"/>
  <c r="BF140"/>
  <c r="T140"/>
  <c r="R140"/>
  <c r="P140"/>
  <c r="BI138"/>
  <c r="BH138"/>
  <c r="BG138"/>
  <c r="BF138"/>
  <c r="T138"/>
  <c r="R138"/>
  <c r="P138"/>
  <c r="BI136"/>
  <c r="BH136"/>
  <c r="BG136"/>
  <c r="BF136"/>
  <c r="T136"/>
  <c r="R136"/>
  <c r="P136"/>
  <c r="BI134"/>
  <c r="BH134"/>
  <c r="BG134"/>
  <c r="BF134"/>
  <c r="T134"/>
  <c r="R134"/>
  <c r="P134"/>
  <c r="BI130"/>
  <c r="BH130"/>
  <c r="BG130"/>
  <c r="BF130"/>
  <c r="T130"/>
  <c r="T129"/>
  <c r="R130"/>
  <c r="R129"/>
  <c r="P130"/>
  <c r="P129"/>
  <c r="BI127"/>
  <c r="BH127"/>
  <c r="BG127"/>
  <c r="BF127"/>
  <c r="T127"/>
  <c r="T126"/>
  <c r="R127"/>
  <c r="R126"/>
  <c r="P127"/>
  <c r="P126"/>
  <c r="BI124"/>
  <c r="BH124"/>
  <c r="BG124"/>
  <c r="BF124"/>
  <c r="T124"/>
  <c r="T123"/>
  <c r="R124"/>
  <c r="R123"/>
  <c r="P124"/>
  <c r="P123"/>
  <c r="BI122"/>
  <c r="BH122"/>
  <c r="BG122"/>
  <c r="BF122"/>
  <c r="T122"/>
  <c r="R122"/>
  <c r="P122"/>
  <c r="BI120"/>
  <c r="BH120"/>
  <c r="BG120"/>
  <c r="BF120"/>
  <c r="T120"/>
  <c r="R120"/>
  <c r="P120"/>
  <c r="BI118"/>
  <c r="BH118"/>
  <c r="BG118"/>
  <c r="BF118"/>
  <c r="T118"/>
  <c r="R118"/>
  <c r="P118"/>
  <c r="BI116"/>
  <c r="BH116"/>
  <c r="BG116"/>
  <c r="BF116"/>
  <c r="T116"/>
  <c r="R116"/>
  <c r="P116"/>
  <c r="BI114"/>
  <c r="BH114"/>
  <c r="BG114"/>
  <c r="BF114"/>
  <c r="T114"/>
  <c r="R114"/>
  <c r="P114"/>
  <c r="BI112"/>
  <c r="BH112"/>
  <c r="BG112"/>
  <c r="BF112"/>
  <c r="T112"/>
  <c r="R112"/>
  <c r="P112"/>
  <c r="BI110"/>
  <c r="BH110"/>
  <c r="BG110"/>
  <c r="BF110"/>
  <c r="T110"/>
  <c r="R110"/>
  <c r="P110"/>
  <c r="BI108"/>
  <c r="BH108"/>
  <c r="BG108"/>
  <c r="BF108"/>
  <c r="T108"/>
  <c r="R108"/>
  <c r="P108"/>
  <c r="BI106"/>
  <c r="BH106"/>
  <c r="BG106"/>
  <c r="BF106"/>
  <c r="T106"/>
  <c r="R106"/>
  <c r="P106"/>
  <c r="BI104"/>
  <c r="BH104"/>
  <c r="BG104"/>
  <c r="BF104"/>
  <c r="T104"/>
  <c r="R104"/>
  <c r="P104"/>
  <c r="BI102"/>
  <c r="BH102"/>
  <c r="BG102"/>
  <c r="BF102"/>
  <c r="T102"/>
  <c r="R102"/>
  <c r="P102"/>
  <c r="BI100"/>
  <c r="BH100"/>
  <c r="BG100"/>
  <c r="BF100"/>
  <c r="T100"/>
  <c r="R100"/>
  <c r="P100"/>
  <c r="BI98"/>
  <c r="BH98"/>
  <c r="BG98"/>
  <c r="BF98"/>
  <c r="T98"/>
  <c r="R98"/>
  <c r="P98"/>
  <c r="BI96"/>
  <c r="BH96"/>
  <c r="BG96"/>
  <c r="BF96"/>
  <c r="T96"/>
  <c r="R96"/>
  <c r="P96"/>
  <c r="BI94"/>
  <c r="BH94"/>
  <c r="BG94"/>
  <c r="BF94"/>
  <c r="T94"/>
  <c r="R94"/>
  <c r="P94"/>
  <c r="J88"/>
  <c r="J87"/>
  <c r="F87"/>
  <c r="F85"/>
  <c r="E83"/>
  <c r="J55"/>
  <c r="J54"/>
  <c r="F54"/>
  <c r="F52"/>
  <c r="E50"/>
  <c r="J18"/>
  <c r="E18"/>
  <c r="F88"/>
  <c r="J17"/>
  <c r="J12"/>
  <c r="J52"/>
  <c r="E7"/>
  <c r="E81"/>
  <c i="9" r="J37"/>
  <c r="J36"/>
  <c i="1" r="AY62"/>
  <c i="9" r="J35"/>
  <c i="1" r="AX62"/>
  <c i="9" r="BI342"/>
  <c r="BH342"/>
  <c r="BG342"/>
  <c r="BF342"/>
  <c r="T342"/>
  <c r="T341"/>
  <c r="R342"/>
  <c r="R341"/>
  <c r="P342"/>
  <c r="P341"/>
  <c r="BI338"/>
  <c r="BH338"/>
  <c r="BG338"/>
  <c r="BF338"/>
  <c r="T338"/>
  <c r="R338"/>
  <c r="P338"/>
  <c r="BI335"/>
  <c r="BH335"/>
  <c r="BG335"/>
  <c r="BF335"/>
  <c r="T335"/>
  <c r="R335"/>
  <c r="P335"/>
  <c r="BI332"/>
  <c r="BH332"/>
  <c r="BG332"/>
  <c r="BF332"/>
  <c r="T332"/>
  <c r="R332"/>
  <c r="P332"/>
  <c r="BI329"/>
  <c r="BH329"/>
  <c r="BG329"/>
  <c r="BF329"/>
  <c r="T329"/>
  <c r="R329"/>
  <c r="P329"/>
  <c r="BI327"/>
  <c r="BH327"/>
  <c r="BG327"/>
  <c r="BF327"/>
  <c r="T327"/>
  <c r="R327"/>
  <c r="P327"/>
  <c r="BI325"/>
  <c r="BH325"/>
  <c r="BG325"/>
  <c r="BF325"/>
  <c r="T325"/>
  <c r="R325"/>
  <c r="P325"/>
  <c r="BI324"/>
  <c r="BH324"/>
  <c r="BG324"/>
  <c r="BF324"/>
  <c r="T324"/>
  <c r="R324"/>
  <c r="P324"/>
  <c r="BI323"/>
  <c r="BH323"/>
  <c r="BG323"/>
  <c r="BF323"/>
  <c r="T323"/>
  <c r="R323"/>
  <c r="P323"/>
  <c r="BI321"/>
  <c r="BH321"/>
  <c r="BG321"/>
  <c r="BF321"/>
  <c r="T321"/>
  <c r="R321"/>
  <c r="P321"/>
  <c r="BI319"/>
  <c r="BH319"/>
  <c r="BG319"/>
  <c r="BF319"/>
  <c r="T319"/>
  <c r="R319"/>
  <c r="P319"/>
  <c r="BI317"/>
  <c r="BH317"/>
  <c r="BG317"/>
  <c r="BF317"/>
  <c r="T317"/>
  <c r="R317"/>
  <c r="P317"/>
  <c r="BI315"/>
  <c r="BH315"/>
  <c r="BG315"/>
  <c r="BF315"/>
  <c r="T315"/>
  <c r="R315"/>
  <c r="P315"/>
  <c r="BI308"/>
  <c r="BH308"/>
  <c r="BG308"/>
  <c r="BF308"/>
  <c r="T308"/>
  <c r="R308"/>
  <c r="P308"/>
  <c r="BI305"/>
  <c r="BH305"/>
  <c r="BG305"/>
  <c r="BF305"/>
  <c r="T305"/>
  <c r="R305"/>
  <c r="P305"/>
  <c r="BI300"/>
  <c r="BH300"/>
  <c r="BG300"/>
  <c r="BF300"/>
  <c r="T300"/>
  <c r="R300"/>
  <c r="P300"/>
  <c r="BI298"/>
  <c r="BH298"/>
  <c r="BG298"/>
  <c r="BF298"/>
  <c r="T298"/>
  <c r="R298"/>
  <c r="P298"/>
  <c r="BI296"/>
  <c r="BH296"/>
  <c r="BG296"/>
  <c r="BF296"/>
  <c r="T296"/>
  <c r="R296"/>
  <c r="P296"/>
  <c r="BI294"/>
  <c r="BH294"/>
  <c r="BG294"/>
  <c r="BF294"/>
  <c r="T294"/>
  <c r="R294"/>
  <c r="P294"/>
  <c r="BI289"/>
  <c r="BH289"/>
  <c r="BG289"/>
  <c r="BF289"/>
  <c r="T289"/>
  <c r="R289"/>
  <c r="P289"/>
  <c r="BI287"/>
  <c r="BH287"/>
  <c r="BG287"/>
  <c r="BF287"/>
  <c r="T287"/>
  <c r="R287"/>
  <c r="P287"/>
  <c r="BI285"/>
  <c r="BH285"/>
  <c r="BG285"/>
  <c r="BF285"/>
  <c r="T285"/>
  <c r="R285"/>
  <c r="P285"/>
  <c r="BI283"/>
  <c r="BH283"/>
  <c r="BG283"/>
  <c r="BF283"/>
  <c r="T283"/>
  <c r="R283"/>
  <c r="P283"/>
  <c r="BI281"/>
  <c r="BH281"/>
  <c r="BG281"/>
  <c r="BF281"/>
  <c r="T281"/>
  <c r="R281"/>
  <c r="P281"/>
  <c r="BI278"/>
  <c r="BH278"/>
  <c r="BG278"/>
  <c r="BF278"/>
  <c r="T278"/>
  <c r="R278"/>
  <c r="P278"/>
  <c r="BI276"/>
  <c r="BH276"/>
  <c r="BG276"/>
  <c r="BF276"/>
  <c r="T276"/>
  <c r="R276"/>
  <c r="P276"/>
  <c r="BI273"/>
  <c r="BH273"/>
  <c r="BG273"/>
  <c r="BF273"/>
  <c r="T273"/>
  <c r="R273"/>
  <c r="P273"/>
  <c r="BI272"/>
  <c r="BH272"/>
  <c r="BG272"/>
  <c r="BF272"/>
  <c r="T272"/>
  <c r="R272"/>
  <c r="P272"/>
  <c r="BI270"/>
  <c r="BH270"/>
  <c r="BG270"/>
  <c r="BF270"/>
  <c r="T270"/>
  <c r="R270"/>
  <c r="P270"/>
  <c r="BI269"/>
  <c r="BH269"/>
  <c r="BG269"/>
  <c r="BF269"/>
  <c r="T269"/>
  <c r="R269"/>
  <c r="P269"/>
  <c r="BI267"/>
  <c r="BH267"/>
  <c r="BG267"/>
  <c r="BF267"/>
  <c r="T267"/>
  <c r="R267"/>
  <c r="P267"/>
  <c r="BI265"/>
  <c r="BH265"/>
  <c r="BG265"/>
  <c r="BF265"/>
  <c r="T265"/>
  <c r="R265"/>
  <c r="P265"/>
  <c r="BI263"/>
  <c r="BH263"/>
  <c r="BG263"/>
  <c r="BF263"/>
  <c r="T263"/>
  <c r="R263"/>
  <c r="P263"/>
  <c r="BI261"/>
  <c r="BH261"/>
  <c r="BG261"/>
  <c r="BF261"/>
  <c r="T261"/>
  <c r="R261"/>
  <c r="P261"/>
  <c r="BI259"/>
  <c r="BH259"/>
  <c r="BG259"/>
  <c r="BF259"/>
  <c r="T259"/>
  <c r="R259"/>
  <c r="P259"/>
  <c r="BI257"/>
  <c r="BH257"/>
  <c r="BG257"/>
  <c r="BF257"/>
  <c r="T257"/>
  <c r="R257"/>
  <c r="P257"/>
  <c r="BI255"/>
  <c r="BH255"/>
  <c r="BG255"/>
  <c r="BF255"/>
  <c r="T255"/>
  <c r="R255"/>
  <c r="P255"/>
  <c r="BI253"/>
  <c r="BH253"/>
  <c r="BG253"/>
  <c r="BF253"/>
  <c r="T253"/>
  <c r="R253"/>
  <c r="P253"/>
  <c r="BI252"/>
  <c r="BH252"/>
  <c r="BG252"/>
  <c r="BF252"/>
  <c r="T252"/>
  <c r="R252"/>
  <c r="P252"/>
  <c r="BI250"/>
  <c r="BH250"/>
  <c r="BG250"/>
  <c r="BF250"/>
  <c r="T250"/>
  <c r="R250"/>
  <c r="P250"/>
  <c r="BI249"/>
  <c r="BH249"/>
  <c r="BG249"/>
  <c r="BF249"/>
  <c r="T249"/>
  <c r="R249"/>
  <c r="P249"/>
  <c r="BI247"/>
  <c r="BH247"/>
  <c r="BG247"/>
  <c r="BF247"/>
  <c r="T247"/>
  <c r="R247"/>
  <c r="P247"/>
  <c r="BI246"/>
  <c r="BH246"/>
  <c r="BG246"/>
  <c r="BF246"/>
  <c r="T246"/>
  <c r="R246"/>
  <c r="P246"/>
  <c r="BI244"/>
  <c r="BH244"/>
  <c r="BG244"/>
  <c r="BF244"/>
  <c r="T244"/>
  <c r="R244"/>
  <c r="P244"/>
  <c r="BI243"/>
  <c r="BH243"/>
  <c r="BG243"/>
  <c r="BF243"/>
  <c r="T243"/>
  <c r="R243"/>
  <c r="P243"/>
  <c r="BI238"/>
  <c r="BH238"/>
  <c r="BG238"/>
  <c r="BF238"/>
  <c r="T238"/>
  <c r="R238"/>
  <c r="P238"/>
  <c r="BI235"/>
  <c r="BH235"/>
  <c r="BG235"/>
  <c r="BF235"/>
  <c r="T235"/>
  <c r="R235"/>
  <c r="P235"/>
  <c r="BI232"/>
  <c r="BH232"/>
  <c r="BG232"/>
  <c r="BF232"/>
  <c r="T232"/>
  <c r="R232"/>
  <c r="P232"/>
  <c r="BI230"/>
  <c r="BH230"/>
  <c r="BG230"/>
  <c r="BF230"/>
  <c r="T230"/>
  <c r="R230"/>
  <c r="P230"/>
  <c r="BI227"/>
  <c r="BH227"/>
  <c r="BG227"/>
  <c r="BF227"/>
  <c r="T227"/>
  <c r="R227"/>
  <c r="P227"/>
  <c r="BI225"/>
  <c r="BH225"/>
  <c r="BG225"/>
  <c r="BF225"/>
  <c r="T225"/>
  <c r="R225"/>
  <c r="P225"/>
  <c r="BI222"/>
  <c r="BH222"/>
  <c r="BG222"/>
  <c r="BF222"/>
  <c r="T222"/>
  <c r="R222"/>
  <c r="P222"/>
  <c r="BI220"/>
  <c r="BH220"/>
  <c r="BG220"/>
  <c r="BF220"/>
  <c r="T220"/>
  <c r="R220"/>
  <c r="P220"/>
  <c r="BI218"/>
  <c r="BH218"/>
  <c r="BG218"/>
  <c r="BF218"/>
  <c r="T218"/>
  <c r="R218"/>
  <c r="P218"/>
  <c r="BI215"/>
  <c r="BH215"/>
  <c r="BG215"/>
  <c r="BF215"/>
  <c r="T215"/>
  <c r="R215"/>
  <c r="P215"/>
  <c r="BI208"/>
  <c r="BH208"/>
  <c r="BG208"/>
  <c r="BF208"/>
  <c r="T208"/>
  <c r="R208"/>
  <c r="P208"/>
  <c r="BI206"/>
  <c r="BH206"/>
  <c r="BG206"/>
  <c r="BF206"/>
  <c r="T206"/>
  <c r="R206"/>
  <c r="P206"/>
  <c r="BI204"/>
  <c r="BH204"/>
  <c r="BG204"/>
  <c r="BF204"/>
  <c r="T204"/>
  <c r="R204"/>
  <c r="P204"/>
  <c r="BI201"/>
  <c r="BH201"/>
  <c r="BG201"/>
  <c r="BF201"/>
  <c r="T201"/>
  <c r="R201"/>
  <c r="P201"/>
  <c r="BI195"/>
  <c r="BH195"/>
  <c r="BG195"/>
  <c r="BF195"/>
  <c r="T195"/>
  <c r="R195"/>
  <c r="P195"/>
  <c r="BI193"/>
  <c r="BH193"/>
  <c r="BG193"/>
  <c r="BF193"/>
  <c r="T193"/>
  <c r="R193"/>
  <c r="P193"/>
  <c r="BI191"/>
  <c r="BH191"/>
  <c r="BG191"/>
  <c r="BF191"/>
  <c r="T191"/>
  <c r="R191"/>
  <c r="P191"/>
  <c r="BI189"/>
  <c r="BH189"/>
  <c r="BG189"/>
  <c r="BF189"/>
  <c r="T189"/>
  <c r="R189"/>
  <c r="P189"/>
  <c r="BI183"/>
  <c r="BH183"/>
  <c r="BG183"/>
  <c r="BF183"/>
  <c r="T183"/>
  <c r="R183"/>
  <c r="P183"/>
  <c r="BI177"/>
  <c r="BH177"/>
  <c r="BG177"/>
  <c r="BF177"/>
  <c r="T177"/>
  <c r="R177"/>
  <c r="P177"/>
  <c r="BI171"/>
  <c r="BH171"/>
  <c r="BG171"/>
  <c r="BF171"/>
  <c r="T171"/>
  <c r="R171"/>
  <c r="P171"/>
  <c r="BI169"/>
  <c r="BH169"/>
  <c r="BG169"/>
  <c r="BF169"/>
  <c r="T169"/>
  <c r="R169"/>
  <c r="P169"/>
  <c r="BI168"/>
  <c r="BH168"/>
  <c r="BG168"/>
  <c r="BF168"/>
  <c r="T168"/>
  <c r="R168"/>
  <c r="P168"/>
  <c r="BI163"/>
  <c r="BH163"/>
  <c r="BG163"/>
  <c r="BF163"/>
  <c r="T163"/>
  <c r="R163"/>
  <c r="P163"/>
  <c r="BI161"/>
  <c r="BH161"/>
  <c r="BG161"/>
  <c r="BF161"/>
  <c r="T161"/>
  <c r="R161"/>
  <c r="P161"/>
  <c r="BI159"/>
  <c r="BH159"/>
  <c r="BG159"/>
  <c r="BF159"/>
  <c r="T159"/>
  <c r="R159"/>
  <c r="P159"/>
  <c r="BI156"/>
  <c r="BH156"/>
  <c r="BG156"/>
  <c r="BF156"/>
  <c r="T156"/>
  <c r="R156"/>
  <c r="P156"/>
  <c r="BI153"/>
  <c r="BH153"/>
  <c r="BG153"/>
  <c r="BF153"/>
  <c r="T153"/>
  <c r="R153"/>
  <c r="P153"/>
  <c r="BI149"/>
  <c r="BH149"/>
  <c r="BG149"/>
  <c r="BF149"/>
  <c r="T149"/>
  <c r="R149"/>
  <c r="P149"/>
  <c r="BI147"/>
  <c r="BH147"/>
  <c r="BG147"/>
  <c r="BF147"/>
  <c r="T147"/>
  <c r="R147"/>
  <c r="P147"/>
  <c r="BI145"/>
  <c r="BH145"/>
  <c r="BG145"/>
  <c r="BF145"/>
  <c r="T145"/>
  <c r="R145"/>
  <c r="P145"/>
  <c r="BI143"/>
  <c r="BH143"/>
  <c r="BG143"/>
  <c r="BF143"/>
  <c r="T143"/>
  <c r="R143"/>
  <c r="P143"/>
  <c r="BI141"/>
  <c r="BH141"/>
  <c r="BG141"/>
  <c r="BF141"/>
  <c r="T141"/>
  <c r="R141"/>
  <c r="P141"/>
  <c r="BI138"/>
  <c r="BH138"/>
  <c r="BG138"/>
  <c r="BF138"/>
  <c r="T138"/>
  <c r="R138"/>
  <c r="P138"/>
  <c r="BI134"/>
  <c r="BH134"/>
  <c r="BG134"/>
  <c r="BF134"/>
  <c r="T134"/>
  <c r="R134"/>
  <c r="P134"/>
  <c r="BI132"/>
  <c r="BH132"/>
  <c r="BG132"/>
  <c r="BF132"/>
  <c r="T132"/>
  <c r="R132"/>
  <c r="P132"/>
  <c r="BI130"/>
  <c r="BH130"/>
  <c r="BG130"/>
  <c r="BF130"/>
  <c r="T130"/>
  <c r="R130"/>
  <c r="P130"/>
  <c r="BI128"/>
  <c r="BH128"/>
  <c r="BG128"/>
  <c r="BF128"/>
  <c r="T128"/>
  <c r="R128"/>
  <c r="P128"/>
  <c r="BI125"/>
  <c r="BH125"/>
  <c r="BG125"/>
  <c r="BF125"/>
  <c r="T125"/>
  <c r="R125"/>
  <c r="P125"/>
  <c r="BI122"/>
  <c r="BH122"/>
  <c r="BG122"/>
  <c r="BF122"/>
  <c r="T122"/>
  <c r="R122"/>
  <c r="P122"/>
  <c r="BI119"/>
  <c r="BH119"/>
  <c r="BG119"/>
  <c r="BF119"/>
  <c r="T119"/>
  <c r="R119"/>
  <c r="P119"/>
  <c r="BI114"/>
  <c r="BH114"/>
  <c r="BG114"/>
  <c r="BF114"/>
  <c r="T114"/>
  <c r="R114"/>
  <c r="P114"/>
  <c r="BI111"/>
  <c r="BH111"/>
  <c r="BG111"/>
  <c r="BF111"/>
  <c r="T111"/>
  <c r="R111"/>
  <c r="P111"/>
  <c r="BI108"/>
  <c r="BH108"/>
  <c r="BG108"/>
  <c r="BF108"/>
  <c r="T108"/>
  <c r="R108"/>
  <c r="P108"/>
  <c r="BI106"/>
  <c r="BH106"/>
  <c r="BG106"/>
  <c r="BF106"/>
  <c r="T106"/>
  <c r="R106"/>
  <c r="P106"/>
  <c r="BI104"/>
  <c r="BH104"/>
  <c r="BG104"/>
  <c r="BF104"/>
  <c r="T104"/>
  <c r="R104"/>
  <c r="P104"/>
  <c r="BI102"/>
  <c r="BH102"/>
  <c r="BG102"/>
  <c r="BF102"/>
  <c r="T102"/>
  <c r="R102"/>
  <c r="P102"/>
  <c r="BI100"/>
  <c r="BH100"/>
  <c r="BG100"/>
  <c r="BF100"/>
  <c r="T100"/>
  <c r="R100"/>
  <c r="P100"/>
  <c r="BI98"/>
  <c r="BH98"/>
  <c r="BG98"/>
  <c r="BF98"/>
  <c r="T98"/>
  <c r="R98"/>
  <c r="P98"/>
  <c r="BI96"/>
  <c r="BH96"/>
  <c r="BG96"/>
  <c r="BF96"/>
  <c r="T96"/>
  <c r="R96"/>
  <c r="P96"/>
  <c r="BI94"/>
  <c r="BH94"/>
  <c r="BG94"/>
  <c r="BF94"/>
  <c r="T94"/>
  <c r="R94"/>
  <c r="P94"/>
  <c r="BI92"/>
  <c r="BH92"/>
  <c r="BG92"/>
  <c r="BF92"/>
  <c r="T92"/>
  <c r="R92"/>
  <c r="P92"/>
  <c r="J85"/>
  <c r="F85"/>
  <c r="F83"/>
  <c r="E81"/>
  <c r="J54"/>
  <c r="F54"/>
  <c r="F52"/>
  <c r="E50"/>
  <c r="J24"/>
  <c r="E24"/>
  <c r="J86"/>
  <c r="J23"/>
  <c r="J18"/>
  <c r="E18"/>
  <c r="F86"/>
  <c r="J17"/>
  <c r="J12"/>
  <c r="J83"/>
  <c r="E7"/>
  <c r="E48"/>
  <c i="8" r="J37"/>
  <c r="J36"/>
  <c i="1" r="AY61"/>
  <c i="8" r="J35"/>
  <c i="1" r="AX61"/>
  <c i="8" r="BI158"/>
  <c r="BH158"/>
  <c r="BG158"/>
  <c r="BF158"/>
  <c r="T158"/>
  <c r="T157"/>
  <c r="T156"/>
  <c r="R158"/>
  <c r="R157"/>
  <c r="R156"/>
  <c r="P158"/>
  <c r="P157"/>
  <c r="P156"/>
  <c r="BI154"/>
  <c r="BH154"/>
  <c r="BG154"/>
  <c r="BF154"/>
  <c r="T154"/>
  <c r="R154"/>
  <c r="P154"/>
  <c r="BI152"/>
  <c r="BH152"/>
  <c r="BG152"/>
  <c r="BF152"/>
  <c r="T152"/>
  <c r="R152"/>
  <c r="P152"/>
  <c r="BI149"/>
  <c r="BH149"/>
  <c r="BG149"/>
  <c r="BF149"/>
  <c r="T149"/>
  <c r="R149"/>
  <c r="P149"/>
  <c r="BI148"/>
  <c r="BH148"/>
  <c r="BG148"/>
  <c r="BF148"/>
  <c r="T148"/>
  <c r="R148"/>
  <c r="P148"/>
  <c r="BI146"/>
  <c r="BH146"/>
  <c r="BG146"/>
  <c r="BF146"/>
  <c r="T146"/>
  <c r="R146"/>
  <c r="P146"/>
  <c r="BI145"/>
  <c r="BH145"/>
  <c r="BG145"/>
  <c r="BF145"/>
  <c r="T145"/>
  <c r="R145"/>
  <c r="P145"/>
  <c r="BI144"/>
  <c r="BH144"/>
  <c r="BG144"/>
  <c r="BF144"/>
  <c r="T144"/>
  <c r="R144"/>
  <c r="P144"/>
  <c r="BI141"/>
  <c r="BH141"/>
  <c r="BG141"/>
  <c r="BF141"/>
  <c r="T141"/>
  <c r="R141"/>
  <c r="P141"/>
  <c r="BI138"/>
  <c r="BH138"/>
  <c r="BG138"/>
  <c r="BF138"/>
  <c r="T138"/>
  <c r="R138"/>
  <c r="P138"/>
  <c r="BI136"/>
  <c r="BH136"/>
  <c r="BG136"/>
  <c r="BF136"/>
  <c r="T136"/>
  <c r="R136"/>
  <c r="P136"/>
  <c r="BI135"/>
  <c r="BH135"/>
  <c r="BG135"/>
  <c r="BF135"/>
  <c r="T135"/>
  <c r="R135"/>
  <c r="P135"/>
  <c r="BI131"/>
  <c r="BH131"/>
  <c r="BG131"/>
  <c r="BF131"/>
  <c r="T131"/>
  <c r="T130"/>
  <c r="R131"/>
  <c r="R130"/>
  <c r="P131"/>
  <c r="P130"/>
  <c r="BI129"/>
  <c r="BH129"/>
  <c r="BG129"/>
  <c r="BF129"/>
  <c r="T129"/>
  <c r="R129"/>
  <c r="P129"/>
  <c r="BI127"/>
  <c r="BH127"/>
  <c r="BG127"/>
  <c r="BF127"/>
  <c r="T127"/>
  <c r="R127"/>
  <c r="P127"/>
  <c r="BI124"/>
  <c r="BH124"/>
  <c r="BG124"/>
  <c r="BF124"/>
  <c r="T124"/>
  <c r="R124"/>
  <c r="P124"/>
  <c r="BI121"/>
  <c r="BH121"/>
  <c r="BG121"/>
  <c r="BF121"/>
  <c r="T121"/>
  <c r="R121"/>
  <c r="P121"/>
  <c r="BI111"/>
  <c r="BH111"/>
  <c r="BG111"/>
  <c r="BF111"/>
  <c r="T111"/>
  <c r="R111"/>
  <c r="P111"/>
  <c r="BI108"/>
  <c r="BH108"/>
  <c r="BG108"/>
  <c r="BF108"/>
  <c r="T108"/>
  <c r="R108"/>
  <c r="P108"/>
  <c r="BI103"/>
  <c r="BH103"/>
  <c r="BG103"/>
  <c r="BF103"/>
  <c r="T103"/>
  <c r="R103"/>
  <c r="P103"/>
  <c r="BI98"/>
  <c r="BH98"/>
  <c r="BG98"/>
  <c r="BF98"/>
  <c r="T98"/>
  <c r="R98"/>
  <c r="P98"/>
  <c r="BI95"/>
  <c r="BH95"/>
  <c r="BG95"/>
  <c r="BF95"/>
  <c r="T95"/>
  <c r="R95"/>
  <c r="P95"/>
  <c r="BI90"/>
  <c r="BH90"/>
  <c r="BG90"/>
  <c r="BF90"/>
  <c r="T90"/>
  <c r="R90"/>
  <c r="P90"/>
  <c r="J84"/>
  <c r="J83"/>
  <c r="F83"/>
  <c r="F81"/>
  <c r="E79"/>
  <c r="J55"/>
  <c r="J54"/>
  <c r="F54"/>
  <c r="F52"/>
  <c r="E50"/>
  <c r="J18"/>
  <c r="E18"/>
  <c r="F84"/>
  <c r="J17"/>
  <c r="J12"/>
  <c r="J52"/>
  <c r="E7"/>
  <c r="E77"/>
  <c i="7" r="J37"/>
  <c r="J36"/>
  <c i="1" r="AY60"/>
  <c i="7" r="J35"/>
  <c i="1" r="AX60"/>
  <c i="7" r="BI123"/>
  <c r="BH123"/>
  <c r="BG123"/>
  <c r="BF123"/>
  <c r="T123"/>
  <c r="R123"/>
  <c r="P123"/>
  <c r="BI121"/>
  <c r="BH121"/>
  <c r="BG121"/>
  <c r="BF121"/>
  <c r="T121"/>
  <c r="R121"/>
  <c r="P121"/>
  <c r="BI118"/>
  <c r="BH118"/>
  <c r="BG118"/>
  <c r="BF118"/>
  <c r="T118"/>
  <c r="R118"/>
  <c r="P118"/>
  <c r="BI116"/>
  <c r="BH116"/>
  <c r="BG116"/>
  <c r="BF116"/>
  <c r="T116"/>
  <c r="R116"/>
  <c r="P116"/>
  <c r="BI114"/>
  <c r="BH114"/>
  <c r="BG114"/>
  <c r="BF114"/>
  <c r="T114"/>
  <c r="R114"/>
  <c r="P114"/>
  <c r="BI110"/>
  <c r="BH110"/>
  <c r="BG110"/>
  <c r="BF110"/>
  <c r="T110"/>
  <c r="T109"/>
  <c r="R110"/>
  <c r="R109"/>
  <c r="P110"/>
  <c r="P109"/>
  <c r="BI107"/>
  <c r="BH107"/>
  <c r="BG107"/>
  <c r="BF107"/>
  <c r="T107"/>
  <c r="R107"/>
  <c r="P107"/>
  <c r="BI104"/>
  <c r="BH104"/>
  <c r="BG104"/>
  <c r="BF104"/>
  <c r="T104"/>
  <c r="R104"/>
  <c r="P104"/>
  <c r="BI98"/>
  <c r="BH98"/>
  <c r="BG98"/>
  <c r="BF98"/>
  <c r="T98"/>
  <c r="R98"/>
  <c r="P98"/>
  <c r="BI95"/>
  <c r="BH95"/>
  <c r="BG95"/>
  <c r="BF95"/>
  <c r="T95"/>
  <c r="R95"/>
  <c r="P95"/>
  <c r="BI90"/>
  <c r="BH90"/>
  <c r="BG90"/>
  <c r="BF90"/>
  <c r="T90"/>
  <c r="R90"/>
  <c r="P90"/>
  <c r="BI87"/>
  <c r="BH87"/>
  <c r="BG87"/>
  <c r="BF87"/>
  <c r="T87"/>
  <c r="R87"/>
  <c r="P87"/>
  <c r="J81"/>
  <c r="J80"/>
  <c r="F80"/>
  <c r="F78"/>
  <c r="E76"/>
  <c r="J55"/>
  <c r="J54"/>
  <c r="F54"/>
  <c r="F52"/>
  <c r="E50"/>
  <c r="J18"/>
  <c r="E18"/>
  <c r="F81"/>
  <c r="J17"/>
  <c r="J12"/>
  <c r="J78"/>
  <c r="E7"/>
  <c r="E48"/>
  <c i="6" r="J37"/>
  <c r="J36"/>
  <c i="1" r="AY59"/>
  <c i="6" r="J35"/>
  <c i="1" r="AX59"/>
  <c i="6" r="BI237"/>
  <c r="BH237"/>
  <c r="BG237"/>
  <c r="BF237"/>
  <c r="T237"/>
  <c r="T236"/>
  <c r="R237"/>
  <c r="R236"/>
  <c r="P237"/>
  <c r="P236"/>
  <c r="BI235"/>
  <c r="BH235"/>
  <c r="BG235"/>
  <c r="BF235"/>
  <c r="T235"/>
  <c r="T234"/>
  <c r="R235"/>
  <c r="R234"/>
  <c r="P235"/>
  <c r="P234"/>
  <c r="BI233"/>
  <c r="BH233"/>
  <c r="BG233"/>
  <c r="BF233"/>
  <c r="T233"/>
  <c r="R233"/>
  <c r="P233"/>
  <c r="BI232"/>
  <c r="BH232"/>
  <c r="BG232"/>
  <c r="BF232"/>
  <c r="T232"/>
  <c r="R232"/>
  <c r="P232"/>
  <c r="BI230"/>
  <c r="BH230"/>
  <c r="BG230"/>
  <c r="BF230"/>
  <c r="T230"/>
  <c r="R230"/>
  <c r="P230"/>
  <c r="BI229"/>
  <c r="BH229"/>
  <c r="BG229"/>
  <c r="BF229"/>
  <c r="T229"/>
  <c r="R229"/>
  <c r="P229"/>
  <c r="BI227"/>
  <c r="BH227"/>
  <c r="BG227"/>
  <c r="BF227"/>
  <c r="T227"/>
  <c r="R227"/>
  <c r="P227"/>
  <c r="BI226"/>
  <c r="BH226"/>
  <c r="BG226"/>
  <c r="BF226"/>
  <c r="T226"/>
  <c r="R226"/>
  <c r="P226"/>
  <c r="BI224"/>
  <c r="BH224"/>
  <c r="BG224"/>
  <c r="BF224"/>
  <c r="T224"/>
  <c r="T223"/>
  <c r="R224"/>
  <c r="R223"/>
  <c r="P224"/>
  <c r="P223"/>
  <c r="BI222"/>
  <c r="BH222"/>
  <c r="BG222"/>
  <c r="BF222"/>
  <c r="T222"/>
  <c r="T221"/>
  <c r="R222"/>
  <c r="R221"/>
  <c r="P222"/>
  <c r="P221"/>
  <c r="BI220"/>
  <c r="BH220"/>
  <c r="BG220"/>
  <c r="BF220"/>
  <c r="T220"/>
  <c r="R220"/>
  <c r="P220"/>
  <c r="BI219"/>
  <c r="BH219"/>
  <c r="BG219"/>
  <c r="BF219"/>
  <c r="T219"/>
  <c r="R219"/>
  <c r="P219"/>
  <c r="BI217"/>
  <c r="BH217"/>
  <c r="BG217"/>
  <c r="BF217"/>
  <c r="T217"/>
  <c r="T216"/>
  <c r="R217"/>
  <c r="R216"/>
  <c r="P217"/>
  <c r="P216"/>
  <c r="BI215"/>
  <c r="BH215"/>
  <c r="BG215"/>
  <c r="BF215"/>
  <c r="T215"/>
  <c r="R215"/>
  <c r="P215"/>
  <c r="BI214"/>
  <c r="BH214"/>
  <c r="BG214"/>
  <c r="BF214"/>
  <c r="T214"/>
  <c r="R214"/>
  <c r="P214"/>
  <c r="BI213"/>
  <c r="BH213"/>
  <c r="BG213"/>
  <c r="BF213"/>
  <c r="T213"/>
  <c r="R213"/>
  <c r="P213"/>
  <c r="BI212"/>
  <c r="BH212"/>
  <c r="BG212"/>
  <c r="BF212"/>
  <c r="T212"/>
  <c r="R212"/>
  <c r="P212"/>
  <c r="BI211"/>
  <c r="BH211"/>
  <c r="BG211"/>
  <c r="BF211"/>
  <c r="T211"/>
  <c r="R211"/>
  <c r="P211"/>
  <c r="BI210"/>
  <c r="BH210"/>
  <c r="BG210"/>
  <c r="BF210"/>
  <c r="T210"/>
  <c r="R210"/>
  <c r="P210"/>
  <c r="BI209"/>
  <c r="BH209"/>
  <c r="BG209"/>
  <c r="BF209"/>
  <c r="T209"/>
  <c r="R209"/>
  <c r="P209"/>
  <c r="BI208"/>
  <c r="BH208"/>
  <c r="BG208"/>
  <c r="BF208"/>
  <c r="T208"/>
  <c r="R208"/>
  <c r="P208"/>
  <c r="BI207"/>
  <c r="BH207"/>
  <c r="BG207"/>
  <c r="BF207"/>
  <c r="T207"/>
  <c r="R207"/>
  <c r="P207"/>
  <c r="BI206"/>
  <c r="BH206"/>
  <c r="BG206"/>
  <c r="BF206"/>
  <c r="T206"/>
  <c r="R206"/>
  <c r="P206"/>
  <c r="BI205"/>
  <c r="BH205"/>
  <c r="BG205"/>
  <c r="BF205"/>
  <c r="T205"/>
  <c r="R205"/>
  <c r="P205"/>
  <c r="BI204"/>
  <c r="BH204"/>
  <c r="BG204"/>
  <c r="BF204"/>
  <c r="T204"/>
  <c r="R204"/>
  <c r="P204"/>
  <c r="BI203"/>
  <c r="BH203"/>
  <c r="BG203"/>
  <c r="BF203"/>
  <c r="T203"/>
  <c r="R203"/>
  <c r="P203"/>
  <c r="BI202"/>
  <c r="BH202"/>
  <c r="BG202"/>
  <c r="BF202"/>
  <c r="T202"/>
  <c r="R202"/>
  <c r="P202"/>
  <c r="BI201"/>
  <c r="BH201"/>
  <c r="BG201"/>
  <c r="BF201"/>
  <c r="T201"/>
  <c r="R201"/>
  <c r="P201"/>
  <c r="BI199"/>
  <c r="BH199"/>
  <c r="BG199"/>
  <c r="BF199"/>
  <c r="T199"/>
  <c r="T198"/>
  <c r="R199"/>
  <c r="R198"/>
  <c r="P199"/>
  <c r="P198"/>
  <c r="BI197"/>
  <c r="BH197"/>
  <c r="BG197"/>
  <c r="BF197"/>
  <c r="T197"/>
  <c r="R197"/>
  <c r="P197"/>
  <c r="BI196"/>
  <c r="BH196"/>
  <c r="BG196"/>
  <c r="BF196"/>
  <c r="T196"/>
  <c r="R196"/>
  <c r="P196"/>
  <c r="BI194"/>
  <c r="BH194"/>
  <c r="BG194"/>
  <c r="BF194"/>
  <c r="T194"/>
  <c r="R194"/>
  <c r="P194"/>
  <c r="BI193"/>
  <c r="BH193"/>
  <c r="BG193"/>
  <c r="BF193"/>
  <c r="T193"/>
  <c r="R193"/>
  <c r="P193"/>
  <c r="BI191"/>
  <c r="BH191"/>
  <c r="BG191"/>
  <c r="BF191"/>
  <c r="T191"/>
  <c r="R191"/>
  <c r="P191"/>
  <c r="BI190"/>
  <c r="BH190"/>
  <c r="BG190"/>
  <c r="BF190"/>
  <c r="T190"/>
  <c r="R190"/>
  <c r="P190"/>
  <c r="BI188"/>
  <c r="BH188"/>
  <c r="BG188"/>
  <c r="BF188"/>
  <c r="T188"/>
  <c r="T187"/>
  <c r="R188"/>
  <c r="R187"/>
  <c r="P188"/>
  <c r="P187"/>
  <c r="BI186"/>
  <c r="BH186"/>
  <c r="BG186"/>
  <c r="BF186"/>
  <c r="T186"/>
  <c r="T185"/>
  <c r="R186"/>
  <c r="R185"/>
  <c r="P186"/>
  <c r="P185"/>
  <c r="BI184"/>
  <c r="BH184"/>
  <c r="BG184"/>
  <c r="BF184"/>
  <c r="T184"/>
  <c r="T183"/>
  <c r="R184"/>
  <c r="R183"/>
  <c r="P184"/>
  <c r="P183"/>
  <c r="BI182"/>
  <c r="BH182"/>
  <c r="BG182"/>
  <c r="BF182"/>
  <c r="T182"/>
  <c r="R182"/>
  <c r="P182"/>
  <c r="BI181"/>
  <c r="BH181"/>
  <c r="BG181"/>
  <c r="BF181"/>
  <c r="T181"/>
  <c r="R181"/>
  <c r="P181"/>
  <c r="BI179"/>
  <c r="BH179"/>
  <c r="BG179"/>
  <c r="BF179"/>
  <c r="T179"/>
  <c r="R179"/>
  <c r="P179"/>
  <c r="BI178"/>
  <c r="BH178"/>
  <c r="BG178"/>
  <c r="BF178"/>
  <c r="T178"/>
  <c r="R178"/>
  <c r="P178"/>
  <c r="BI176"/>
  <c r="BH176"/>
  <c r="BG176"/>
  <c r="BF176"/>
  <c r="T176"/>
  <c r="R176"/>
  <c r="P176"/>
  <c r="BI175"/>
  <c r="BH175"/>
  <c r="BG175"/>
  <c r="BF175"/>
  <c r="T175"/>
  <c r="R175"/>
  <c r="P175"/>
  <c r="BI174"/>
  <c r="BH174"/>
  <c r="BG174"/>
  <c r="BF174"/>
  <c r="T174"/>
  <c r="R174"/>
  <c r="P174"/>
  <c r="BI173"/>
  <c r="BH173"/>
  <c r="BG173"/>
  <c r="BF173"/>
  <c r="T173"/>
  <c r="R173"/>
  <c r="P173"/>
  <c r="BI172"/>
  <c r="BH172"/>
  <c r="BG172"/>
  <c r="BF172"/>
  <c r="T172"/>
  <c r="R172"/>
  <c r="P172"/>
  <c r="BI171"/>
  <c r="BH171"/>
  <c r="BG171"/>
  <c r="BF171"/>
  <c r="T171"/>
  <c r="R171"/>
  <c r="P171"/>
  <c r="BI169"/>
  <c r="BH169"/>
  <c r="BG169"/>
  <c r="BF169"/>
  <c r="T169"/>
  <c r="T168"/>
  <c r="R169"/>
  <c r="R168"/>
  <c r="P169"/>
  <c r="P168"/>
  <c r="BI167"/>
  <c r="BH167"/>
  <c r="BG167"/>
  <c r="BF167"/>
  <c r="T167"/>
  <c r="T166"/>
  <c r="R167"/>
  <c r="R166"/>
  <c r="P167"/>
  <c r="P166"/>
  <c r="BI165"/>
  <c r="BH165"/>
  <c r="BG165"/>
  <c r="BF165"/>
  <c r="T165"/>
  <c r="T164"/>
  <c r="R165"/>
  <c r="R164"/>
  <c r="P165"/>
  <c r="P164"/>
  <c r="BI163"/>
  <c r="BH163"/>
  <c r="BG163"/>
  <c r="BF163"/>
  <c r="T163"/>
  <c r="T162"/>
  <c r="R163"/>
  <c r="R162"/>
  <c r="P163"/>
  <c r="P162"/>
  <c r="BI161"/>
  <c r="BH161"/>
  <c r="BG161"/>
  <c r="BF161"/>
  <c r="T161"/>
  <c r="T160"/>
  <c r="R161"/>
  <c r="R160"/>
  <c r="P161"/>
  <c r="P160"/>
  <c r="BI159"/>
  <c r="BH159"/>
  <c r="BG159"/>
  <c r="BF159"/>
  <c r="T159"/>
  <c r="T158"/>
  <c r="R159"/>
  <c r="R158"/>
  <c r="P159"/>
  <c r="P158"/>
  <c r="BI157"/>
  <c r="BH157"/>
  <c r="BG157"/>
  <c r="BF157"/>
  <c r="T157"/>
  <c r="T156"/>
  <c r="R157"/>
  <c r="R156"/>
  <c r="P157"/>
  <c r="P156"/>
  <c r="BI155"/>
  <c r="BH155"/>
  <c r="BG155"/>
  <c r="BF155"/>
  <c r="T155"/>
  <c r="T154"/>
  <c r="R155"/>
  <c r="R154"/>
  <c r="P155"/>
  <c r="P154"/>
  <c r="BI153"/>
  <c r="BH153"/>
  <c r="BG153"/>
  <c r="BF153"/>
  <c r="T153"/>
  <c r="R153"/>
  <c r="P153"/>
  <c r="BI152"/>
  <c r="BH152"/>
  <c r="BG152"/>
  <c r="BF152"/>
  <c r="T152"/>
  <c r="R152"/>
  <c r="P152"/>
  <c r="BI150"/>
  <c r="BH150"/>
  <c r="BG150"/>
  <c r="BF150"/>
  <c r="T150"/>
  <c r="T149"/>
  <c r="R150"/>
  <c r="R149"/>
  <c r="P150"/>
  <c r="P149"/>
  <c r="BI148"/>
  <c r="BH148"/>
  <c r="BG148"/>
  <c r="BF148"/>
  <c r="T148"/>
  <c r="R148"/>
  <c r="P148"/>
  <c r="BI147"/>
  <c r="BH147"/>
  <c r="BG147"/>
  <c r="BF147"/>
  <c r="T147"/>
  <c r="R147"/>
  <c r="P147"/>
  <c r="BI146"/>
  <c r="BH146"/>
  <c r="BG146"/>
  <c r="BF146"/>
  <c r="T146"/>
  <c r="R146"/>
  <c r="P146"/>
  <c r="BI145"/>
  <c r="BH145"/>
  <c r="BG145"/>
  <c r="BF145"/>
  <c r="T145"/>
  <c r="R145"/>
  <c r="P145"/>
  <c r="BI144"/>
  <c r="BH144"/>
  <c r="BG144"/>
  <c r="BF144"/>
  <c r="T144"/>
  <c r="R144"/>
  <c r="P144"/>
  <c r="BI143"/>
  <c r="BH143"/>
  <c r="BG143"/>
  <c r="BF143"/>
  <c r="T143"/>
  <c r="R143"/>
  <c r="P143"/>
  <c r="BI142"/>
  <c r="BH142"/>
  <c r="BG142"/>
  <c r="BF142"/>
  <c r="T142"/>
  <c r="R142"/>
  <c r="P142"/>
  <c r="BI140"/>
  <c r="BH140"/>
  <c r="BG140"/>
  <c r="BF140"/>
  <c r="T140"/>
  <c r="R140"/>
  <c r="P140"/>
  <c r="BI139"/>
  <c r="BH139"/>
  <c r="BG139"/>
  <c r="BF139"/>
  <c r="T139"/>
  <c r="R139"/>
  <c r="P139"/>
  <c r="BI135"/>
  <c r="BH135"/>
  <c r="BG135"/>
  <c r="BF135"/>
  <c r="T135"/>
  <c r="R135"/>
  <c r="P135"/>
  <c r="BI133"/>
  <c r="BH133"/>
  <c r="BG133"/>
  <c r="BF133"/>
  <c r="T133"/>
  <c r="R133"/>
  <c r="P133"/>
  <c r="BI131"/>
  <c r="BH131"/>
  <c r="BG131"/>
  <c r="BF131"/>
  <c r="T131"/>
  <c r="R131"/>
  <c r="P131"/>
  <c r="BI129"/>
  <c r="BH129"/>
  <c r="BG129"/>
  <c r="BF129"/>
  <c r="T129"/>
  <c r="R129"/>
  <c r="P129"/>
  <c r="BI128"/>
  <c r="BH128"/>
  <c r="BG128"/>
  <c r="BF128"/>
  <c r="T128"/>
  <c r="R128"/>
  <c r="P128"/>
  <c r="BI127"/>
  <c r="BH127"/>
  <c r="BG127"/>
  <c r="BF127"/>
  <c r="T127"/>
  <c r="R127"/>
  <c r="P127"/>
  <c r="BI126"/>
  <c r="BH126"/>
  <c r="BG126"/>
  <c r="BF126"/>
  <c r="T126"/>
  <c r="R126"/>
  <c r="P126"/>
  <c r="BI125"/>
  <c r="BH125"/>
  <c r="BG125"/>
  <c r="BF125"/>
  <c r="T125"/>
  <c r="R125"/>
  <c r="P125"/>
  <c r="BI124"/>
  <c r="BH124"/>
  <c r="BG124"/>
  <c r="BF124"/>
  <c r="T124"/>
  <c r="R124"/>
  <c r="P124"/>
  <c r="BI123"/>
  <c r="BH123"/>
  <c r="BG123"/>
  <c r="BF123"/>
  <c r="T123"/>
  <c r="R123"/>
  <c r="P123"/>
  <c r="BI122"/>
  <c r="BH122"/>
  <c r="BG122"/>
  <c r="BF122"/>
  <c r="T122"/>
  <c r="R122"/>
  <c r="P122"/>
  <c r="BI121"/>
  <c r="BH121"/>
  <c r="BG121"/>
  <c r="BF121"/>
  <c r="T121"/>
  <c r="R121"/>
  <c r="P121"/>
  <c r="BI120"/>
  <c r="BH120"/>
  <c r="BG120"/>
  <c r="BF120"/>
  <c r="T120"/>
  <c r="R120"/>
  <c r="P120"/>
  <c r="BI119"/>
  <c r="BH119"/>
  <c r="BG119"/>
  <c r="BF119"/>
  <c r="T119"/>
  <c r="R119"/>
  <c r="P119"/>
  <c r="BI118"/>
  <c r="BH118"/>
  <c r="BG118"/>
  <c r="BF118"/>
  <c r="T118"/>
  <c r="R118"/>
  <c r="P118"/>
  <c r="F109"/>
  <c r="E107"/>
  <c r="F52"/>
  <c r="E50"/>
  <c r="J24"/>
  <c r="E24"/>
  <c r="J55"/>
  <c r="J23"/>
  <c r="J21"/>
  <c r="E21"/>
  <c r="J54"/>
  <c r="J20"/>
  <c r="J18"/>
  <c r="E18"/>
  <c r="F112"/>
  <c r="J17"/>
  <c r="J15"/>
  <c r="E15"/>
  <c r="F111"/>
  <c r="J14"/>
  <c r="J12"/>
  <c r="J109"/>
  <c r="E7"/>
  <c r="E105"/>
  <c i="5" r="J37"/>
  <c r="J36"/>
  <c i="1" r="AY58"/>
  <c i="5" r="J35"/>
  <c i="1" r="AX58"/>
  <c i="5" r="BI227"/>
  <c r="BH227"/>
  <c r="BG227"/>
  <c r="BF227"/>
  <c r="T227"/>
  <c r="R227"/>
  <c r="P227"/>
  <c r="BI226"/>
  <c r="BH226"/>
  <c r="BG226"/>
  <c r="BF226"/>
  <c r="T226"/>
  <c r="R226"/>
  <c r="P226"/>
  <c r="BI225"/>
  <c r="BH225"/>
  <c r="BG225"/>
  <c r="BF225"/>
  <c r="T225"/>
  <c r="R225"/>
  <c r="P225"/>
  <c r="BI223"/>
  <c r="BH223"/>
  <c r="BG223"/>
  <c r="BF223"/>
  <c r="T223"/>
  <c r="R223"/>
  <c r="P223"/>
  <c r="BI222"/>
  <c r="BH222"/>
  <c r="BG222"/>
  <c r="BF222"/>
  <c r="T222"/>
  <c r="R222"/>
  <c r="P222"/>
  <c r="BI221"/>
  <c r="BH221"/>
  <c r="BG221"/>
  <c r="BF221"/>
  <c r="T221"/>
  <c r="R221"/>
  <c r="P221"/>
  <c r="BI219"/>
  <c r="BH219"/>
  <c r="BG219"/>
  <c r="BF219"/>
  <c r="T219"/>
  <c r="R219"/>
  <c r="P219"/>
  <c r="BI218"/>
  <c r="BH218"/>
  <c r="BG218"/>
  <c r="BF218"/>
  <c r="T218"/>
  <c r="R218"/>
  <c r="P218"/>
  <c r="BI217"/>
  <c r="BH217"/>
  <c r="BG217"/>
  <c r="BF217"/>
  <c r="T217"/>
  <c r="R217"/>
  <c r="P217"/>
  <c r="BI215"/>
  <c r="BH215"/>
  <c r="BG215"/>
  <c r="BF215"/>
  <c r="T215"/>
  <c r="T214"/>
  <c r="R215"/>
  <c r="R214"/>
  <c r="P215"/>
  <c r="P214"/>
  <c r="BI213"/>
  <c r="BH213"/>
  <c r="BG213"/>
  <c r="BF213"/>
  <c r="T213"/>
  <c r="T212"/>
  <c r="R213"/>
  <c r="R212"/>
  <c r="P213"/>
  <c r="P212"/>
  <c r="BI211"/>
  <c r="BH211"/>
  <c r="BG211"/>
  <c r="BF211"/>
  <c r="T211"/>
  <c r="R211"/>
  <c r="P211"/>
  <c r="BI210"/>
  <c r="BH210"/>
  <c r="BG210"/>
  <c r="BF210"/>
  <c r="T210"/>
  <c r="R210"/>
  <c r="P210"/>
  <c r="BI209"/>
  <c r="BH209"/>
  <c r="BG209"/>
  <c r="BF209"/>
  <c r="T209"/>
  <c r="R209"/>
  <c r="P209"/>
  <c r="BI208"/>
  <c r="BH208"/>
  <c r="BG208"/>
  <c r="BF208"/>
  <c r="T208"/>
  <c r="R208"/>
  <c r="P208"/>
  <c r="BI206"/>
  <c r="BH206"/>
  <c r="BG206"/>
  <c r="BF206"/>
  <c r="T206"/>
  <c r="R206"/>
  <c r="P206"/>
  <c r="BI204"/>
  <c r="BH204"/>
  <c r="BG204"/>
  <c r="BF204"/>
  <c r="T204"/>
  <c r="R204"/>
  <c r="P204"/>
  <c r="BI203"/>
  <c r="BH203"/>
  <c r="BG203"/>
  <c r="BF203"/>
  <c r="T203"/>
  <c r="R203"/>
  <c r="P203"/>
  <c r="BI202"/>
  <c r="BH202"/>
  <c r="BG202"/>
  <c r="BF202"/>
  <c r="T202"/>
  <c r="R202"/>
  <c r="P202"/>
  <c r="BI201"/>
  <c r="BH201"/>
  <c r="BG201"/>
  <c r="BF201"/>
  <c r="T201"/>
  <c r="R201"/>
  <c r="P201"/>
  <c r="BI199"/>
  <c r="BH199"/>
  <c r="BG199"/>
  <c r="BF199"/>
  <c r="T199"/>
  <c r="R199"/>
  <c r="P199"/>
  <c r="BI197"/>
  <c r="BH197"/>
  <c r="BG197"/>
  <c r="BF197"/>
  <c r="T197"/>
  <c r="R197"/>
  <c r="P197"/>
  <c r="BI196"/>
  <c r="BH196"/>
  <c r="BG196"/>
  <c r="BF196"/>
  <c r="T196"/>
  <c r="R196"/>
  <c r="P196"/>
  <c r="BI195"/>
  <c r="BH195"/>
  <c r="BG195"/>
  <c r="BF195"/>
  <c r="T195"/>
  <c r="R195"/>
  <c r="P195"/>
  <c r="BI194"/>
  <c r="BH194"/>
  <c r="BG194"/>
  <c r="BF194"/>
  <c r="T194"/>
  <c r="R194"/>
  <c r="P194"/>
  <c r="BI193"/>
  <c r="BH193"/>
  <c r="BG193"/>
  <c r="BF193"/>
  <c r="T193"/>
  <c r="R193"/>
  <c r="P193"/>
  <c r="BI192"/>
  <c r="BH192"/>
  <c r="BG192"/>
  <c r="BF192"/>
  <c r="T192"/>
  <c r="R192"/>
  <c r="P192"/>
  <c r="BI190"/>
  <c r="BH190"/>
  <c r="BG190"/>
  <c r="BF190"/>
  <c r="T190"/>
  <c r="R190"/>
  <c r="P190"/>
  <c r="BI188"/>
  <c r="BH188"/>
  <c r="BG188"/>
  <c r="BF188"/>
  <c r="T188"/>
  <c r="R188"/>
  <c r="P188"/>
  <c r="BI187"/>
  <c r="BH187"/>
  <c r="BG187"/>
  <c r="BF187"/>
  <c r="T187"/>
  <c r="R187"/>
  <c r="P187"/>
  <c r="BI186"/>
  <c r="BH186"/>
  <c r="BG186"/>
  <c r="BF186"/>
  <c r="T186"/>
  <c r="R186"/>
  <c r="P186"/>
  <c r="BI185"/>
  <c r="BH185"/>
  <c r="BG185"/>
  <c r="BF185"/>
  <c r="T185"/>
  <c r="R185"/>
  <c r="P185"/>
  <c r="BI184"/>
  <c r="BH184"/>
  <c r="BG184"/>
  <c r="BF184"/>
  <c r="T184"/>
  <c r="R184"/>
  <c r="P184"/>
  <c r="BI183"/>
  <c r="BH183"/>
  <c r="BG183"/>
  <c r="BF183"/>
  <c r="T183"/>
  <c r="R183"/>
  <c r="P183"/>
  <c r="BI182"/>
  <c r="BH182"/>
  <c r="BG182"/>
  <c r="BF182"/>
  <c r="T182"/>
  <c r="R182"/>
  <c r="P182"/>
  <c r="BI180"/>
  <c r="BH180"/>
  <c r="BG180"/>
  <c r="BF180"/>
  <c r="T180"/>
  <c r="R180"/>
  <c r="P180"/>
  <c r="BI178"/>
  <c r="BH178"/>
  <c r="BG178"/>
  <c r="BF178"/>
  <c r="T178"/>
  <c r="R178"/>
  <c r="P178"/>
  <c r="BI177"/>
  <c r="BH177"/>
  <c r="BG177"/>
  <c r="BF177"/>
  <c r="T177"/>
  <c r="R177"/>
  <c r="P177"/>
  <c r="BI176"/>
  <c r="BH176"/>
  <c r="BG176"/>
  <c r="BF176"/>
  <c r="T176"/>
  <c r="R176"/>
  <c r="P176"/>
  <c r="BI175"/>
  <c r="BH175"/>
  <c r="BG175"/>
  <c r="BF175"/>
  <c r="T175"/>
  <c r="R175"/>
  <c r="P175"/>
  <c r="BI174"/>
  <c r="BH174"/>
  <c r="BG174"/>
  <c r="BF174"/>
  <c r="T174"/>
  <c r="R174"/>
  <c r="P174"/>
  <c r="BI173"/>
  <c r="BH173"/>
  <c r="BG173"/>
  <c r="BF173"/>
  <c r="T173"/>
  <c r="R173"/>
  <c r="P173"/>
  <c r="BI172"/>
  <c r="BH172"/>
  <c r="BG172"/>
  <c r="BF172"/>
  <c r="T172"/>
  <c r="R172"/>
  <c r="P172"/>
  <c r="BI170"/>
  <c r="BH170"/>
  <c r="BG170"/>
  <c r="BF170"/>
  <c r="T170"/>
  <c r="R170"/>
  <c r="P170"/>
  <c r="BI168"/>
  <c r="BH168"/>
  <c r="BG168"/>
  <c r="BF168"/>
  <c r="T168"/>
  <c r="R168"/>
  <c r="P168"/>
  <c r="BI167"/>
  <c r="BH167"/>
  <c r="BG167"/>
  <c r="BF167"/>
  <c r="T167"/>
  <c r="R167"/>
  <c r="P167"/>
  <c r="BI166"/>
  <c r="BH166"/>
  <c r="BG166"/>
  <c r="BF166"/>
  <c r="T166"/>
  <c r="R166"/>
  <c r="P166"/>
  <c r="BI165"/>
  <c r="BH165"/>
  <c r="BG165"/>
  <c r="BF165"/>
  <c r="T165"/>
  <c r="R165"/>
  <c r="P165"/>
  <c r="BI164"/>
  <c r="BH164"/>
  <c r="BG164"/>
  <c r="BF164"/>
  <c r="T164"/>
  <c r="R164"/>
  <c r="P164"/>
  <c r="BI163"/>
  <c r="BH163"/>
  <c r="BG163"/>
  <c r="BF163"/>
  <c r="T163"/>
  <c r="R163"/>
  <c r="P163"/>
  <c r="BI162"/>
  <c r="BH162"/>
  <c r="BG162"/>
  <c r="BF162"/>
  <c r="T162"/>
  <c r="R162"/>
  <c r="P162"/>
  <c r="BI160"/>
  <c r="BH160"/>
  <c r="BG160"/>
  <c r="BF160"/>
  <c r="T160"/>
  <c r="R160"/>
  <c r="P160"/>
  <c r="BI158"/>
  <c r="BH158"/>
  <c r="BG158"/>
  <c r="BF158"/>
  <c r="T158"/>
  <c r="R158"/>
  <c r="P158"/>
  <c r="BI157"/>
  <c r="BH157"/>
  <c r="BG157"/>
  <c r="BF157"/>
  <c r="T157"/>
  <c r="R157"/>
  <c r="P157"/>
  <c r="BI156"/>
  <c r="BH156"/>
  <c r="BG156"/>
  <c r="BF156"/>
  <c r="T156"/>
  <c r="R156"/>
  <c r="P156"/>
  <c r="BI155"/>
  <c r="BH155"/>
  <c r="BG155"/>
  <c r="BF155"/>
  <c r="T155"/>
  <c r="R155"/>
  <c r="P155"/>
  <c r="BI154"/>
  <c r="BH154"/>
  <c r="BG154"/>
  <c r="BF154"/>
  <c r="T154"/>
  <c r="R154"/>
  <c r="P154"/>
  <c r="BI153"/>
  <c r="BH153"/>
  <c r="BG153"/>
  <c r="BF153"/>
  <c r="T153"/>
  <c r="R153"/>
  <c r="P153"/>
  <c r="BI152"/>
  <c r="BH152"/>
  <c r="BG152"/>
  <c r="BF152"/>
  <c r="T152"/>
  <c r="R152"/>
  <c r="P152"/>
  <c r="BI151"/>
  <c r="BH151"/>
  <c r="BG151"/>
  <c r="BF151"/>
  <c r="T151"/>
  <c r="R151"/>
  <c r="P151"/>
  <c r="BI150"/>
  <c r="BH150"/>
  <c r="BG150"/>
  <c r="BF150"/>
  <c r="T150"/>
  <c r="R150"/>
  <c r="P150"/>
  <c r="BI149"/>
  <c r="BH149"/>
  <c r="BG149"/>
  <c r="BF149"/>
  <c r="T149"/>
  <c r="R149"/>
  <c r="P149"/>
  <c r="BI148"/>
  <c r="BH148"/>
  <c r="BG148"/>
  <c r="BF148"/>
  <c r="T148"/>
  <c r="R148"/>
  <c r="P148"/>
  <c r="BI147"/>
  <c r="BH147"/>
  <c r="BG147"/>
  <c r="BF147"/>
  <c r="T147"/>
  <c r="R147"/>
  <c r="P147"/>
  <c r="BI146"/>
  <c r="BH146"/>
  <c r="BG146"/>
  <c r="BF146"/>
  <c r="T146"/>
  <c r="R146"/>
  <c r="P146"/>
  <c r="BI145"/>
  <c r="BH145"/>
  <c r="BG145"/>
  <c r="BF145"/>
  <c r="T145"/>
  <c r="R145"/>
  <c r="P145"/>
  <c r="BI143"/>
  <c r="BH143"/>
  <c r="BG143"/>
  <c r="BF143"/>
  <c r="T143"/>
  <c r="R143"/>
  <c r="P143"/>
  <c r="BI141"/>
  <c r="BH141"/>
  <c r="BG141"/>
  <c r="BF141"/>
  <c r="T141"/>
  <c r="R141"/>
  <c r="P141"/>
  <c r="BI140"/>
  <c r="BH140"/>
  <c r="BG140"/>
  <c r="BF140"/>
  <c r="T140"/>
  <c r="R140"/>
  <c r="P140"/>
  <c r="BI139"/>
  <c r="BH139"/>
  <c r="BG139"/>
  <c r="BF139"/>
  <c r="T139"/>
  <c r="R139"/>
  <c r="P139"/>
  <c r="BI138"/>
  <c r="BH138"/>
  <c r="BG138"/>
  <c r="BF138"/>
  <c r="T138"/>
  <c r="R138"/>
  <c r="P138"/>
  <c r="BI137"/>
  <c r="BH137"/>
  <c r="BG137"/>
  <c r="BF137"/>
  <c r="T137"/>
  <c r="R137"/>
  <c r="P137"/>
  <c r="BI136"/>
  <c r="BH136"/>
  <c r="BG136"/>
  <c r="BF136"/>
  <c r="T136"/>
  <c r="R136"/>
  <c r="P136"/>
  <c r="BI135"/>
  <c r="BH135"/>
  <c r="BG135"/>
  <c r="BF135"/>
  <c r="T135"/>
  <c r="R135"/>
  <c r="P135"/>
  <c r="BI134"/>
  <c r="BH134"/>
  <c r="BG134"/>
  <c r="BF134"/>
  <c r="T134"/>
  <c r="R134"/>
  <c r="P134"/>
  <c r="BI133"/>
  <c r="BH133"/>
  <c r="BG133"/>
  <c r="BF133"/>
  <c r="T133"/>
  <c r="R133"/>
  <c r="P133"/>
  <c r="BI132"/>
  <c r="BH132"/>
  <c r="BG132"/>
  <c r="BF132"/>
  <c r="T132"/>
  <c r="R132"/>
  <c r="P132"/>
  <c r="BI131"/>
  <c r="BH131"/>
  <c r="BG131"/>
  <c r="BF131"/>
  <c r="T131"/>
  <c r="R131"/>
  <c r="P131"/>
  <c r="BI130"/>
  <c r="BH130"/>
  <c r="BG130"/>
  <c r="BF130"/>
  <c r="T130"/>
  <c r="R130"/>
  <c r="P130"/>
  <c r="BI128"/>
  <c r="BH128"/>
  <c r="BG128"/>
  <c r="BF128"/>
  <c r="T128"/>
  <c r="R128"/>
  <c r="P128"/>
  <c r="BI127"/>
  <c r="BH127"/>
  <c r="BG127"/>
  <c r="BF127"/>
  <c r="T127"/>
  <c r="R127"/>
  <c r="P127"/>
  <c r="BI126"/>
  <c r="BH126"/>
  <c r="BG126"/>
  <c r="BF126"/>
  <c r="T126"/>
  <c r="R126"/>
  <c r="P126"/>
  <c r="BI125"/>
  <c r="BH125"/>
  <c r="BG125"/>
  <c r="BF125"/>
  <c r="T125"/>
  <c r="R125"/>
  <c r="P125"/>
  <c r="BI124"/>
  <c r="BH124"/>
  <c r="BG124"/>
  <c r="BF124"/>
  <c r="T124"/>
  <c r="R124"/>
  <c r="P124"/>
  <c r="BI123"/>
  <c r="BH123"/>
  <c r="BG123"/>
  <c r="BF123"/>
  <c r="T123"/>
  <c r="R123"/>
  <c r="P123"/>
  <c r="BI122"/>
  <c r="BH122"/>
  <c r="BG122"/>
  <c r="BF122"/>
  <c r="T122"/>
  <c r="R122"/>
  <c r="P122"/>
  <c r="BI121"/>
  <c r="BH121"/>
  <c r="BG121"/>
  <c r="BF121"/>
  <c r="T121"/>
  <c r="R121"/>
  <c r="P121"/>
  <c r="BI120"/>
  <c r="BH120"/>
  <c r="BG120"/>
  <c r="BF120"/>
  <c r="T120"/>
  <c r="R120"/>
  <c r="P120"/>
  <c r="BI119"/>
  <c r="BH119"/>
  <c r="BG119"/>
  <c r="BF119"/>
  <c r="T119"/>
  <c r="R119"/>
  <c r="P119"/>
  <c r="BI117"/>
  <c r="BH117"/>
  <c r="BG117"/>
  <c r="BF117"/>
  <c r="T117"/>
  <c r="R117"/>
  <c r="P117"/>
  <c r="BI115"/>
  <c r="BH115"/>
  <c r="BG115"/>
  <c r="BF115"/>
  <c r="T115"/>
  <c r="R115"/>
  <c r="P115"/>
  <c r="BI114"/>
  <c r="BH114"/>
  <c r="BG114"/>
  <c r="BF114"/>
  <c r="T114"/>
  <c r="R114"/>
  <c r="P114"/>
  <c r="BI113"/>
  <c r="BH113"/>
  <c r="BG113"/>
  <c r="BF113"/>
  <c r="T113"/>
  <c r="R113"/>
  <c r="P113"/>
  <c r="BI112"/>
  <c r="BH112"/>
  <c r="BG112"/>
  <c r="BF112"/>
  <c r="T112"/>
  <c r="R112"/>
  <c r="P112"/>
  <c r="BI111"/>
  <c r="BH111"/>
  <c r="BG111"/>
  <c r="BF111"/>
  <c r="T111"/>
  <c r="R111"/>
  <c r="P111"/>
  <c r="BI110"/>
  <c r="BH110"/>
  <c r="BG110"/>
  <c r="BF110"/>
  <c r="T110"/>
  <c r="R110"/>
  <c r="P110"/>
  <c r="BI109"/>
  <c r="BH109"/>
  <c r="BG109"/>
  <c r="BF109"/>
  <c r="T109"/>
  <c r="R109"/>
  <c r="P109"/>
  <c r="BI108"/>
  <c r="BH108"/>
  <c r="BG108"/>
  <c r="BF108"/>
  <c r="T108"/>
  <c r="R108"/>
  <c r="P108"/>
  <c r="BI107"/>
  <c r="BH107"/>
  <c r="BG107"/>
  <c r="BF107"/>
  <c r="T107"/>
  <c r="R107"/>
  <c r="P107"/>
  <c r="BI106"/>
  <c r="BH106"/>
  <c r="BG106"/>
  <c r="BF106"/>
  <c r="T106"/>
  <c r="R106"/>
  <c r="P106"/>
  <c r="BI104"/>
  <c r="BH104"/>
  <c r="BG104"/>
  <c r="BF104"/>
  <c r="T104"/>
  <c r="R104"/>
  <c r="P104"/>
  <c r="BI103"/>
  <c r="BH103"/>
  <c r="BG103"/>
  <c r="BF103"/>
  <c r="T103"/>
  <c r="R103"/>
  <c r="P103"/>
  <c r="BI102"/>
  <c r="BH102"/>
  <c r="BG102"/>
  <c r="BF102"/>
  <c r="T102"/>
  <c r="R102"/>
  <c r="P102"/>
  <c r="BI101"/>
  <c r="BH101"/>
  <c r="BG101"/>
  <c r="BF101"/>
  <c r="T101"/>
  <c r="R101"/>
  <c r="P101"/>
  <c r="BI100"/>
  <c r="BH100"/>
  <c r="BG100"/>
  <c r="BF100"/>
  <c r="T100"/>
  <c r="R100"/>
  <c r="P100"/>
  <c r="BI99"/>
  <c r="BH99"/>
  <c r="BG99"/>
  <c r="BF99"/>
  <c r="T99"/>
  <c r="R99"/>
  <c r="P99"/>
  <c r="BI98"/>
  <c r="BH98"/>
  <c r="BG98"/>
  <c r="BF98"/>
  <c r="T98"/>
  <c r="R98"/>
  <c r="P98"/>
  <c r="BI97"/>
  <c r="BH97"/>
  <c r="BG97"/>
  <c r="BF97"/>
  <c r="T97"/>
  <c r="R97"/>
  <c r="P97"/>
  <c r="BI95"/>
  <c r="BH95"/>
  <c r="BG95"/>
  <c r="BF95"/>
  <c r="T95"/>
  <c r="R95"/>
  <c r="P95"/>
  <c r="F87"/>
  <c r="E85"/>
  <c r="F52"/>
  <c r="E50"/>
  <c r="J24"/>
  <c r="E24"/>
  <c r="J55"/>
  <c r="J23"/>
  <c r="J21"/>
  <c r="E21"/>
  <c r="J89"/>
  <c r="J20"/>
  <c r="J18"/>
  <c r="E18"/>
  <c r="F90"/>
  <c r="J17"/>
  <c r="J15"/>
  <c r="E15"/>
  <c r="F54"/>
  <c r="J14"/>
  <c r="J12"/>
  <c r="J52"/>
  <c r="E7"/>
  <c r="E83"/>
  <c i="4" r="J37"/>
  <c r="J36"/>
  <c i="1" r="AY57"/>
  <c i="4" r="J35"/>
  <c i="1" r="AX57"/>
  <c i="4" r="BI139"/>
  <c r="BH139"/>
  <c r="BG139"/>
  <c r="BF139"/>
  <c r="T139"/>
  <c r="R139"/>
  <c r="P139"/>
  <c r="BI138"/>
  <c r="BH138"/>
  <c r="BG138"/>
  <c r="BF138"/>
  <c r="T138"/>
  <c r="R138"/>
  <c r="P138"/>
  <c r="BI137"/>
  <c r="BH137"/>
  <c r="BG137"/>
  <c r="BF137"/>
  <c r="T137"/>
  <c r="R137"/>
  <c r="P137"/>
  <c r="BI136"/>
  <c r="BH136"/>
  <c r="BG136"/>
  <c r="BF136"/>
  <c r="T136"/>
  <c r="R136"/>
  <c r="P136"/>
  <c r="BI135"/>
  <c r="BH135"/>
  <c r="BG135"/>
  <c r="BF135"/>
  <c r="T135"/>
  <c r="R135"/>
  <c r="P135"/>
  <c r="BI134"/>
  <c r="BH134"/>
  <c r="BG134"/>
  <c r="BF134"/>
  <c r="T134"/>
  <c r="R134"/>
  <c r="P134"/>
  <c r="BI133"/>
  <c r="BH133"/>
  <c r="BG133"/>
  <c r="BF133"/>
  <c r="T133"/>
  <c r="R133"/>
  <c r="P133"/>
  <c r="BI132"/>
  <c r="BH132"/>
  <c r="BG132"/>
  <c r="BF132"/>
  <c r="T132"/>
  <c r="R132"/>
  <c r="P132"/>
  <c r="BI131"/>
  <c r="BH131"/>
  <c r="BG131"/>
  <c r="BF131"/>
  <c r="T131"/>
  <c r="R131"/>
  <c r="P131"/>
  <c r="BI130"/>
  <c r="BH130"/>
  <c r="BG130"/>
  <c r="BF130"/>
  <c r="T130"/>
  <c r="R130"/>
  <c r="P130"/>
  <c r="BI129"/>
  <c r="BH129"/>
  <c r="BG129"/>
  <c r="BF129"/>
  <c r="T129"/>
  <c r="R129"/>
  <c r="P129"/>
  <c r="BI128"/>
  <c r="BH128"/>
  <c r="BG128"/>
  <c r="BF128"/>
  <c r="T128"/>
  <c r="R128"/>
  <c r="P128"/>
  <c r="BI127"/>
  <c r="BH127"/>
  <c r="BG127"/>
  <c r="BF127"/>
  <c r="T127"/>
  <c r="R127"/>
  <c r="P127"/>
  <c r="BI126"/>
  <c r="BH126"/>
  <c r="BG126"/>
  <c r="BF126"/>
  <c r="T126"/>
  <c r="R126"/>
  <c r="P126"/>
  <c r="BI125"/>
  <c r="BH125"/>
  <c r="BG125"/>
  <c r="BF125"/>
  <c r="T125"/>
  <c r="R125"/>
  <c r="P125"/>
  <c r="BI124"/>
  <c r="BH124"/>
  <c r="BG124"/>
  <c r="BF124"/>
  <c r="T124"/>
  <c r="R124"/>
  <c r="P124"/>
  <c r="BI123"/>
  <c r="BH123"/>
  <c r="BG123"/>
  <c r="BF123"/>
  <c r="T123"/>
  <c r="R123"/>
  <c r="P123"/>
  <c r="BI122"/>
  <c r="BH122"/>
  <c r="BG122"/>
  <c r="BF122"/>
  <c r="T122"/>
  <c r="R122"/>
  <c r="P122"/>
  <c r="BI121"/>
  <c r="BH121"/>
  <c r="BG121"/>
  <c r="BF121"/>
  <c r="T121"/>
  <c r="R121"/>
  <c r="P121"/>
  <c r="BI120"/>
  <c r="BH120"/>
  <c r="BG120"/>
  <c r="BF120"/>
  <c r="T120"/>
  <c r="R120"/>
  <c r="P120"/>
  <c r="BI119"/>
  <c r="BH119"/>
  <c r="BG119"/>
  <c r="BF119"/>
  <c r="T119"/>
  <c r="R119"/>
  <c r="P119"/>
  <c r="BI118"/>
  <c r="BH118"/>
  <c r="BG118"/>
  <c r="BF118"/>
  <c r="T118"/>
  <c r="R118"/>
  <c r="P118"/>
  <c r="BI117"/>
  <c r="BH117"/>
  <c r="BG117"/>
  <c r="BF117"/>
  <c r="T117"/>
  <c r="R117"/>
  <c r="P117"/>
  <c r="BI116"/>
  <c r="BH116"/>
  <c r="BG116"/>
  <c r="BF116"/>
  <c r="T116"/>
  <c r="R116"/>
  <c r="P116"/>
  <c r="BI115"/>
  <c r="BH115"/>
  <c r="BG115"/>
  <c r="BF115"/>
  <c r="T115"/>
  <c r="R115"/>
  <c r="P115"/>
  <c r="BI114"/>
  <c r="BH114"/>
  <c r="BG114"/>
  <c r="BF114"/>
  <c r="T114"/>
  <c r="R114"/>
  <c r="P114"/>
  <c r="BI113"/>
  <c r="BH113"/>
  <c r="BG113"/>
  <c r="BF113"/>
  <c r="T113"/>
  <c r="R113"/>
  <c r="P113"/>
  <c r="BI112"/>
  <c r="BH112"/>
  <c r="BG112"/>
  <c r="BF112"/>
  <c r="T112"/>
  <c r="R112"/>
  <c r="P112"/>
  <c r="BI111"/>
  <c r="BH111"/>
  <c r="BG111"/>
  <c r="BF111"/>
  <c r="T111"/>
  <c r="R111"/>
  <c r="P111"/>
  <c r="BI110"/>
  <c r="BH110"/>
  <c r="BG110"/>
  <c r="BF110"/>
  <c r="T110"/>
  <c r="R110"/>
  <c r="P110"/>
  <c r="BI109"/>
  <c r="BH109"/>
  <c r="BG109"/>
  <c r="BF109"/>
  <c r="T109"/>
  <c r="R109"/>
  <c r="P109"/>
  <c r="BI108"/>
  <c r="BH108"/>
  <c r="BG108"/>
  <c r="BF108"/>
  <c r="T108"/>
  <c r="R108"/>
  <c r="P108"/>
  <c r="BI107"/>
  <c r="BH107"/>
  <c r="BG107"/>
  <c r="BF107"/>
  <c r="T107"/>
  <c r="R107"/>
  <c r="P107"/>
  <c r="BI106"/>
  <c r="BH106"/>
  <c r="BG106"/>
  <c r="BF106"/>
  <c r="T106"/>
  <c r="R106"/>
  <c r="P106"/>
  <c r="BI105"/>
  <c r="BH105"/>
  <c r="BG105"/>
  <c r="BF105"/>
  <c r="T105"/>
  <c r="R105"/>
  <c r="P105"/>
  <c r="BI104"/>
  <c r="BH104"/>
  <c r="BG104"/>
  <c r="BF104"/>
  <c r="T104"/>
  <c r="R104"/>
  <c r="P104"/>
  <c r="BI103"/>
  <c r="BH103"/>
  <c r="BG103"/>
  <c r="BF103"/>
  <c r="T103"/>
  <c r="R103"/>
  <c r="P103"/>
  <c r="BI102"/>
  <c r="BH102"/>
  <c r="BG102"/>
  <c r="BF102"/>
  <c r="T102"/>
  <c r="R102"/>
  <c r="P102"/>
  <c r="BI101"/>
  <c r="BH101"/>
  <c r="BG101"/>
  <c r="BF101"/>
  <c r="T101"/>
  <c r="R101"/>
  <c r="P101"/>
  <c r="BI100"/>
  <c r="BH100"/>
  <c r="BG100"/>
  <c r="BF100"/>
  <c r="T100"/>
  <c r="R100"/>
  <c r="P100"/>
  <c r="BI99"/>
  <c r="BH99"/>
  <c r="BG99"/>
  <c r="BF99"/>
  <c r="T99"/>
  <c r="R99"/>
  <c r="P99"/>
  <c r="BI98"/>
  <c r="BH98"/>
  <c r="BG98"/>
  <c r="BF98"/>
  <c r="T98"/>
  <c r="R98"/>
  <c r="P98"/>
  <c r="BI97"/>
  <c r="BH97"/>
  <c r="BG97"/>
  <c r="BF97"/>
  <c r="T97"/>
  <c r="R97"/>
  <c r="P97"/>
  <c r="BI96"/>
  <c r="BH96"/>
  <c r="BG96"/>
  <c r="BF96"/>
  <c r="T96"/>
  <c r="R96"/>
  <c r="P96"/>
  <c r="BI95"/>
  <c r="BH95"/>
  <c r="BG95"/>
  <c r="BF95"/>
  <c r="T95"/>
  <c r="R95"/>
  <c r="P95"/>
  <c r="BI94"/>
  <c r="BH94"/>
  <c r="BG94"/>
  <c r="BF94"/>
  <c r="T94"/>
  <c r="R94"/>
  <c r="P94"/>
  <c r="BI93"/>
  <c r="BH93"/>
  <c r="BG93"/>
  <c r="BF93"/>
  <c r="T93"/>
  <c r="R93"/>
  <c r="P93"/>
  <c r="BI92"/>
  <c r="BH92"/>
  <c r="BG92"/>
  <c r="BF92"/>
  <c r="T92"/>
  <c r="R92"/>
  <c r="P92"/>
  <c r="BI91"/>
  <c r="BH91"/>
  <c r="BG91"/>
  <c r="BF91"/>
  <c r="T91"/>
  <c r="R91"/>
  <c r="P91"/>
  <c r="BI90"/>
  <c r="BH90"/>
  <c r="BG90"/>
  <c r="BF90"/>
  <c r="T90"/>
  <c r="R90"/>
  <c r="P90"/>
  <c r="BI89"/>
  <c r="BH89"/>
  <c r="BG89"/>
  <c r="BF89"/>
  <c r="T89"/>
  <c r="R89"/>
  <c r="P89"/>
  <c r="BI88"/>
  <c r="BH88"/>
  <c r="BG88"/>
  <c r="BF88"/>
  <c r="T88"/>
  <c r="R88"/>
  <c r="P88"/>
  <c r="BI87"/>
  <c r="BH87"/>
  <c r="BG87"/>
  <c r="BF87"/>
  <c r="T87"/>
  <c r="R87"/>
  <c r="P87"/>
  <c r="BI86"/>
  <c r="BH86"/>
  <c r="BG86"/>
  <c r="BF86"/>
  <c r="T86"/>
  <c r="R86"/>
  <c r="P86"/>
  <c r="BI85"/>
  <c r="BH85"/>
  <c r="BG85"/>
  <c r="BF85"/>
  <c r="T85"/>
  <c r="R85"/>
  <c r="P85"/>
  <c r="BI84"/>
  <c r="BH84"/>
  <c r="BG84"/>
  <c r="BF84"/>
  <c r="T84"/>
  <c r="R84"/>
  <c r="P84"/>
  <c r="BI83"/>
  <c r="BH83"/>
  <c r="BG83"/>
  <c r="BF83"/>
  <c r="T83"/>
  <c r="R83"/>
  <c r="P83"/>
  <c r="BI82"/>
  <c r="BH82"/>
  <c r="BG82"/>
  <c r="BF82"/>
  <c r="T82"/>
  <c r="R82"/>
  <c r="P82"/>
  <c r="BI81"/>
  <c r="BH81"/>
  <c r="BG81"/>
  <c r="BF81"/>
  <c r="T81"/>
  <c r="R81"/>
  <c r="P81"/>
  <c r="BI80"/>
  <c r="BH80"/>
  <c r="BG80"/>
  <c r="BF80"/>
  <c r="T80"/>
  <c r="R80"/>
  <c r="P80"/>
  <c r="F73"/>
  <c r="E71"/>
  <c r="F52"/>
  <c r="E50"/>
  <c r="J24"/>
  <c r="E24"/>
  <c r="J76"/>
  <c r="J23"/>
  <c r="J21"/>
  <c r="E21"/>
  <c r="J75"/>
  <c r="J20"/>
  <c r="J18"/>
  <c r="E18"/>
  <c r="F76"/>
  <c r="J17"/>
  <c r="J15"/>
  <c r="E15"/>
  <c r="F75"/>
  <c r="J14"/>
  <c r="J12"/>
  <c r="J73"/>
  <c r="E7"/>
  <c r="E48"/>
  <c i="3" r="J37"/>
  <c r="J36"/>
  <c i="1" r="AY56"/>
  <c i="3" r="J35"/>
  <c i="1" r="AX56"/>
  <c i="3" r="BI298"/>
  <c r="BH298"/>
  <c r="BG298"/>
  <c r="BF298"/>
  <c r="T298"/>
  <c r="T297"/>
  <c r="R298"/>
  <c r="R297"/>
  <c r="P298"/>
  <c r="P297"/>
  <c r="BI295"/>
  <c r="BH295"/>
  <c r="BG295"/>
  <c r="BF295"/>
  <c r="T295"/>
  <c r="R295"/>
  <c r="P295"/>
  <c r="BI293"/>
  <c r="BH293"/>
  <c r="BG293"/>
  <c r="BF293"/>
  <c r="T293"/>
  <c r="R293"/>
  <c r="P293"/>
  <c r="BI291"/>
  <c r="BH291"/>
  <c r="BG291"/>
  <c r="BF291"/>
  <c r="T291"/>
  <c r="R291"/>
  <c r="P291"/>
  <c r="BI288"/>
  <c r="BH288"/>
  <c r="BG288"/>
  <c r="BF288"/>
  <c r="T288"/>
  <c r="R288"/>
  <c r="P288"/>
  <c r="BI286"/>
  <c r="BH286"/>
  <c r="BG286"/>
  <c r="BF286"/>
  <c r="T286"/>
  <c r="R286"/>
  <c r="P286"/>
  <c r="BI285"/>
  <c r="BH285"/>
  <c r="BG285"/>
  <c r="BF285"/>
  <c r="T285"/>
  <c r="R285"/>
  <c r="P285"/>
  <c r="BI283"/>
  <c r="BH283"/>
  <c r="BG283"/>
  <c r="BF283"/>
  <c r="T283"/>
  <c r="R283"/>
  <c r="P283"/>
  <c r="BI281"/>
  <c r="BH281"/>
  <c r="BG281"/>
  <c r="BF281"/>
  <c r="T281"/>
  <c r="R281"/>
  <c r="P281"/>
  <c r="BI279"/>
  <c r="BH279"/>
  <c r="BG279"/>
  <c r="BF279"/>
  <c r="T279"/>
  <c r="R279"/>
  <c r="P279"/>
  <c r="BI277"/>
  <c r="BH277"/>
  <c r="BG277"/>
  <c r="BF277"/>
  <c r="T277"/>
  <c r="R277"/>
  <c r="P277"/>
  <c r="BI275"/>
  <c r="BH275"/>
  <c r="BG275"/>
  <c r="BF275"/>
  <c r="T275"/>
  <c r="R275"/>
  <c r="P275"/>
  <c r="BI272"/>
  <c r="BH272"/>
  <c r="BG272"/>
  <c r="BF272"/>
  <c r="T272"/>
  <c r="R272"/>
  <c r="P272"/>
  <c r="BI270"/>
  <c r="BH270"/>
  <c r="BG270"/>
  <c r="BF270"/>
  <c r="T270"/>
  <c r="R270"/>
  <c r="P270"/>
  <c r="BI268"/>
  <c r="BH268"/>
  <c r="BG268"/>
  <c r="BF268"/>
  <c r="T268"/>
  <c r="R268"/>
  <c r="P268"/>
  <c r="BI266"/>
  <c r="BH266"/>
  <c r="BG266"/>
  <c r="BF266"/>
  <c r="T266"/>
  <c r="R266"/>
  <c r="P266"/>
  <c r="BI264"/>
  <c r="BH264"/>
  <c r="BG264"/>
  <c r="BF264"/>
  <c r="T264"/>
  <c r="R264"/>
  <c r="P264"/>
  <c r="BI262"/>
  <c r="BH262"/>
  <c r="BG262"/>
  <c r="BF262"/>
  <c r="T262"/>
  <c r="R262"/>
  <c r="P262"/>
  <c r="BI260"/>
  <c r="BH260"/>
  <c r="BG260"/>
  <c r="BF260"/>
  <c r="T260"/>
  <c r="R260"/>
  <c r="P260"/>
  <c r="BI258"/>
  <c r="BH258"/>
  <c r="BG258"/>
  <c r="BF258"/>
  <c r="T258"/>
  <c r="R258"/>
  <c r="P258"/>
  <c r="BI256"/>
  <c r="BH256"/>
  <c r="BG256"/>
  <c r="BF256"/>
  <c r="T256"/>
  <c r="R256"/>
  <c r="P256"/>
  <c r="BI254"/>
  <c r="BH254"/>
  <c r="BG254"/>
  <c r="BF254"/>
  <c r="T254"/>
  <c r="R254"/>
  <c r="P254"/>
  <c r="BI252"/>
  <c r="BH252"/>
  <c r="BG252"/>
  <c r="BF252"/>
  <c r="T252"/>
  <c r="R252"/>
  <c r="P252"/>
  <c r="BI250"/>
  <c r="BH250"/>
  <c r="BG250"/>
  <c r="BF250"/>
  <c r="T250"/>
  <c r="R250"/>
  <c r="P250"/>
  <c r="BI249"/>
  <c r="BH249"/>
  <c r="BG249"/>
  <c r="BF249"/>
  <c r="T249"/>
  <c r="R249"/>
  <c r="P249"/>
  <c r="BI248"/>
  <c r="BH248"/>
  <c r="BG248"/>
  <c r="BF248"/>
  <c r="T248"/>
  <c r="R248"/>
  <c r="P248"/>
  <c r="BI246"/>
  <c r="BH246"/>
  <c r="BG246"/>
  <c r="BF246"/>
  <c r="T246"/>
  <c r="R246"/>
  <c r="P246"/>
  <c r="BI244"/>
  <c r="BH244"/>
  <c r="BG244"/>
  <c r="BF244"/>
  <c r="T244"/>
  <c r="R244"/>
  <c r="P244"/>
  <c r="BI241"/>
  <c r="BH241"/>
  <c r="BG241"/>
  <c r="BF241"/>
  <c r="T241"/>
  <c r="R241"/>
  <c r="P241"/>
  <c r="BI239"/>
  <c r="BH239"/>
  <c r="BG239"/>
  <c r="BF239"/>
  <c r="T239"/>
  <c r="R239"/>
  <c r="P239"/>
  <c r="BI236"/>
  <c r="BH236"/>
  <c r="BG236"/>
  <c r="BF236"/>
  <c r="T236"/>
  <c r="R236"/>
  <c r="P236"/>
  <c r="BI233"/>
  <c r="BH233"/>
  <c r="BG233"/>
  <c r="BF233"/>
  <c r="T233"/>
  <c r="R233"/>
  <c r="P233"/>
  <c r="BI230"/>
  <c r="BH230"/>
  <c r="BG230"/>
  <c r="BF230"/>
  <c r="T230"/>
  <c r="R230"/>
  <c r="P230"/>
  <c r="BI227"/>
  <c r="BH227"/>
  <c r="BG227"/>
  <c r="BF227"/>
  <c r="T227"/>
  <c r="R227"/>
  <c r="P227"/>
  <c r="BI225"/>
  <c r="BH225"/>
  <c r="BG225"/>
  <c r="BF225"/>
  <c r="T225"/>
  <c r="R225"/>
  <c r="P225"/>
  <c r="BI223"/>
  <c r="BH223"/>
  <c r="BG223"/>
  <c r="BF223"/>
  <c r="T223"/>
  <c r="R223"/>
  <c r="P223"/>
  <c r="BI221"/>
  <c r="BH221"/>
  <c r="BG221"/>
  <c r="BF221"/>
  <c r="T221"/>
  <c r="R221"/>
  <c r="P221"/>
  <c r="BI220"/>
  <c r="BH220"/>
  <c r="BG220"/>
  <c r="BF220"/>
  <c r="T220"/>
  <c r="R220"/>
  <c r="P220"/>
  <c r="BI219"/>
  <c r="BH219"/>
  <c r="BG219"/>
  <c r="BF219"/>
  <c r="T219"/>
  <c r="R219"/>
  <c r="P219"/>
  <c r="BI217"/>
  <c r="BH217"/>
  <c r="BG217"/>
  <c r="BF217"/>
  <c r="T217"/>
  <c r="R217"/>
  <c r="P217"/>
  <c r="BI215"/>
  <c r="BH215"/>
  <c r="BG215"/>
  <c r="BF215"/>
  <c r="T215"/>
  <c r="R215"/>
  <c r="P215"/>
  <c r="BI214"/>
  <c r="BH214"/>
  <c r="BG214"/>
  <c r="BF214"/>
  <c r="T214"/>
  <c r="R214"/>
  <c r="P214"/>
  <c r="BI213"/>
  <c r="BH213"/>
  <c r="BG213"/>
  <c r="BF213"/>
  <c r="T213"/>
  <c r="R213"/>
  <c r="P213"/>
  <c r="BI212"/>
  <c r="BH212"/>
  <c r="BG212"/>
  <c r="BF212"/>
  <c r="T212"/>
  <c r="R212"/>
  <c r="P212"/>
  <c r="BI211"/>
  <c r="BH211"/>
  <c r="BG211"/>
  <c r="BF211"/>
  <c r="T211"/>
  <c r="R211"/>
  <c r="P211"/>
  <c r="BI210"/>
  <c r="BH210"/>
  <c r="BG210"/>
  <c r="BF210"/>
  <c r="T210"/>
  <c r="R210"/>
  <c r="P210"/>
  <c r="BI209"/>
  <c r="BH209"/>
  <c r="BG209"/>
  <c r="BF209"/>
  <c r="T209"/>
  <c r="R209"/>
  <c r="P209"/>
  <c r="BI208"/>
  <c r="BH208"/>
  <c r="BG208"/>
  <c r="BF208"/>
  <c r="T208"/>
  <c r="R208"/>
  <c r="P208"/>
  <c r="BI207"/>
  <c r="BH207"/>
  <c r="BG207"/>
  <c r="BF207"/>
  <c r="T207"/>
  <c r="R207"/>
  <c r="P207"/>
  <c r="BI206"/>
  <c r="BH206"/>
  <c r="BG206"/>
  <c r="BF206"/>
  <c r="T206"/>
  <c r="R206"/>
  <c r="P206"/>
  <c r="BI205"/>
  <c r="BH205"/>
  <c r="BG205"/>
  <c r="BF205"/>
  <c r="T205"/>
  <c r="R205"/>
  <c r="P205"/>
  <c r="BI204"/>
  <c r="BH204"/>
  <c r="BG204"/>
  <c r="BF204"/>
  <c r="T204"/>
  <c r="R204"/>
  <c r="P204"/>
  <c r="BI203"/>
  <c r="BH203"/>
  <c r="BG203"/>
  <c r="BF203"/>
  <c r="T203"/>
  <c r="R203"/>
  <c r="P203"/>
  <c r="BI202"/>
  <c r="BH202"/>
  <c r="BG202"/>
  <c r="BF202"/>
  <c r="T202"/>
  <c r="R202"/>
  <c r="P202"/>
  <c r="BI200"/>
  <c r="BH200"/>
  <c r="BG200"/>
  <c r="BF200"/>
  <c r="T200"/>
  <c r="R200"/>
  <c r="P200"/>
  <c r="BI197"/>
  <c r="BH197"/>
  <c r="BG197"/>
  <c r="BF197"/>
  <c r="T197"/>
  <c r="R197"/>
  <c r="P197"/>
  <c r="BI194"/>
  <c r="BH194"/>
  <c r="BG194"/>
  <c r="BF194"/>
  <c r="T194"/>
  <c r="R194"/>
  <c r="P194"/>
  <c r="BI191"/>
  <c r="BH191"/>
  <c r="BG191"/>
  <c r="BF191"/>
  <c r="T191"/>
  <c r="R191"/>
  <c r="P191"/>
  <c r="BI189"/>
  <c r="BH189"/>
  <c r="BG189"/>
  <c r="BF189"/>
  <c r="T189"/>
  <c r="R189"/>
  <c r="P189"/>
  <c r="BI187"/>
  <c r="BH187"/>
  <c r="BG187"/>
  <c r="BF187"/>
  <c r="T187"/>
  <c r="R187"/>
  <c r="P187"/>
  <c r="BI185"/>
  <c r="BH185"/>
  <c r="BG185"/>
  <c r="BF185"/>
  <c r="T185"/>
  <c r="R185"/>
  <c r="P185"/>
  <c r="BI183"/>
  <c r="BH183"/>
  <c r="BG183"/>
  <c r="BF183"/>
  <c r="T183"/>
  <c r="R183"/>
  <c r="P183"/>
  <c r="BI180"/>
  <c r="BH180"/>
  <c r="BG180"/>
  <c r="BF180"/>
  <c r="T180"/>
  <c r="R180"/>
  <c r="P180"/>
  <c r="BI177"/>
  <c r="BH177"/>
  <c r="BG177"/>
  <c r="BF177"/>
  <c r="T177"/>
  <c r="R177"/>
  <c r="P177"/>
  <c r="BI176"/>
  <c r="BH176"/>
  <c r="BG176"/>
  <c r="BF176"/>
  <c r="T176"/>
  <c r="R176"/>
  <c r="P176"/>
  <c r="BI175"/>
  <c r="BH175"/>
  <c r="BG175"/>
  <c r="BF175"/>
  <c r="T175"/>
  <c r="R175"/>
  <c r="P175"/>
  <c r="BI174"/>
  <c r="BH174"/>
  <c r="BG174"/>
  <c r="BF174"/>
  <c r="T174"/>
  <c r="R174"/>
  <c r="P174"/>
  <c r="BI173"/>
  <c r="BH173"/>
  <c r="BG173"/>
  <c r="BF173"/>
  <c r="T173"/>
  <c r="R173"/>
  <c r="P173"/>
  <c r="BI172"/>
  <c r="BH172"/>
  <c r="BG172"/>
  <c r="BF172"/>
  <c r="T172"/>
  <c r="R172"/>
  <c r="P172"/>
  <c r="BI171"/>
  <c r="BH171"/>
  <c r="BG171"/>
  <c r="BF171"/>
  <c r="T171"/>
  <c r="R171"/>
  <c r="P171"/>
  <c r="BI170"/>
  <c r="BH170"/>
  <c r="BG170"/>
  <c r="BF170"/>
  <c r="T170"/>
  <c r="R170"/>
  <c r="P170"/>
  <c r="BI169"/>
  <c r="BH169"/>
  <c r="BG169"/>
  <c r="BF169"/>
  <c r="T169"/>
  <c r="R169"/>
  <c r="P169"/>
  <c r="BI168"/>
  <c r="BH168"/>
  <c r="BG168"/>
  <c r="BF168"/>
  <c r="T168"/>
  <c r="R168"/>
  <c r="P168"/>
  <c r="BI167"/>
  <c r="BH167"/>
  <c r="BG167"/>
  <c r="BF167"/>
  <c r="T167"/>
  <c r="R167"/>
  <c r="P167"/>
  <c r="BI166"/>
  <c r="BH166"/>
  <c r="BG166"/>
  <c r="BF166"/>
  <c r="T166"/>
  <c r="R166"/>
  <c r="P166"/>
  <c r="BI165"/>
  <c r="BH165"/>
  <c r="BG165"/>
  <c r="BF165"/>
  <c r="T165"/>
  <c r="R165"/>
  <c r="P165"/>
  <c r="BI164"/>
  <c r="BH164"/>
  <c r="BG164"/>
  <c r="BF164"/>
  <c r="T164"/>
  <c r="R164"/>
  <c r="P164"/>
  <c r="BI163"/>
  <c r="BH163"/>
  <c r="BG163"/>
  <c r="BF163"/>
  <c r="T163"/>
  <c r="R163"/>
  <c r="P163"/>
  <c r="BI162"/>
  <c r="BH162"/>
  <c r="BG162"/>
  <c r="BF162"/>
  <c r="T162"/>
  <c r="R162"/>
  <c r="P162"/>
  <c r="BI161"/>
  <c r="BH161"/>
  <c r="BG161"/>
  <c r="BF161"/>
  <c r="T161"/>
  <c r="R161"/>
  <c r="P161"/>
  <c r="BI160"/>
  <c r="BH160"/>
  <c r="BG160"/>
  <c r="BF160"/>
  <c r="T160"/>
  <c r="R160"/>
  <c r="P160"/>
  <c r="BI159"/>
  <c r="BH159"/>
  <c r="BG159"/>
  <c r="BF159"/>
  <c r="T159"/>
  <c r="R159"/>
  <c r="P159"/>
  <c r="BI158"/>
  <c r="BH158"/>
  <c r="BG158"/>
  <c r="BF158"/>
  <c r="T158"/>
  <c r="R158"/>
  <c r="P158"/>
  <c r="BI157"/>
  <c r="BH157"/>
  <c r="BG157"/>
  <c r="BF157"/>
  <c r="T157"/>
  <c r="R157"/>
  <c r="P157"/>
  <c r="BI156"/>
  <c r="BH156"/>
  <c r="BG156"/>
  <c r="BF156"/>
  <c r="T156"/>
  <c r="R156"/>
  <c r="P156"/>
  <c r="BI154"/>
  <c r="BH154"/>
  <c r="BG154"/>
  <c r="BF154"/>
  <c r="T154"/>
  <c r="R154"/>
  <c r="P154"/>
  <c r="BI151"/>
  <c r="BH151"/>
  <c r="BG151"/>
  <c r="BF151"/>
  <c r="T151"/>
  <c r="R151"/>
  <c r="P151"/>
  <c r="BI149"/>
  <c r="BH149"/>
  <c r="BG149"/>
  <c r="BF149"/>
  <c r="T149"/>
  <c r="R149"/>
  <c r="P149"/>
  <c r="BI147"/>
  <c r="BH147"/>
  <c r="BG147"/>
  <c r="BF147"/>
  <c r="T147"/>
  <c r="R147"/>
  <c r="P147"/>
  <c r="BI145"/>
  <c r="BH145"/>
  <c r="BG145"/>
  <c r="BF145"/>
  <c r="T145"/>
  <c r="R145"/>
  <c r="P145"/>
  <c r="BI143"/>
  <c r="BH143"/>
  <c r="BG143"/>
  <c r="BF143"/>
  <c r="T143"/>
  <c r="R143"/>
  <c r="P143"/>
  <c r="BI141"/>
  <c r="BH141"/>
  <c r="BG141"/>
  <c r="BF141"/>
  <c r="T141"/>
  <c r="R141"/>
  <c r="P141"/>
  <c r="BI137"/>
  <c r="BH137"/>
  <c r="BG137"/>
  <c r="BF137"/>
  <c r="T137"/>
  <c r="T136"/>
  <c r="R137"/>
  <c r="R136"/>
  <c r="P137"/>
  <c r="P136"/>
  <c r="BI127"/>
  <c r="BH127"/>
  <c r="BG127"/>
  <c r="BF127"/>
  <c r="T127"/>
  <c r="T126"/>
  <c r="R127"/>
  <c r="R126"/>
  <c r="P127"/>
  <c r="P126"/>
  <c r="BI124"/>
  <c r="BH124"/>
  <c r="BG124"/>
  <c r="BF124"/>
  <c r="T124"/>
  <c r="R124"/>
  <c r="P124"/>
  <c r="BI115"/>
  <c r="BH115"/>
  <c r="BG115"/>
  <c r="BF115"/>
  <c r="T115"/>
  <c r="R115"/>
  <c r="P115"/>
  <c r="BI109"/>
  <c r="BH109"/>
  <c r="BG109"/>
  <c r="BF109"/>
  <c r="T109"/>
  <c r="R109"/>
  <c r="P109"/>
  <c r="BI106"/>
  <c r="BH106"/>
  <c r="BG106"/>
  <c r="BF106"/>
  <c r="T106"/>
  <c r="R106"/>
  <c r="P106"/>
  <c r="BI101"/>
  <c r="BH101"/>
  <c r="BG101"/>
  <c r="BF101"/>
  <c r="T101"/>
  <c r="R101"/>
  <c r="P101"/>
  <c r="BI92"/>
  <c r="BH92"/>
  <c r="BG92"/>
  <c r="BF92"/>
  <c r="T92"/>
  <c r="R92"/>
  <c r="P92"/>
  <c r="J86"/>
  <c r="J85"/>
  <c r="F85"/>
  <c r="F83"/>
  <c r="E81"/>
  <c r="J55"/>
  <c r="J54"/>
  <c r="F54"/>
  <c r="F52"/>
  <c r="E50"/>
  <c r="J18"/>
  <c r="E18"/>
  <c r="F55"/>
  <c r="J17"/>
  <c r="J12"/>
  <c r="J52"/>
  <c r="E7"/>
  <c r="E79"/>
  <c i="2" r="J37"/>
  <c r="J36"/>
  <c i="1" r="AY55"/>
  <c i="2" r="J35"/>
  <c i="1" r="AX55"/>
  <c i="2" r="BI1256"/>
  <c r="BH1256"/>
  <c r="BG1256"/>
  <c r="BF1256"/>
  <c r="T1256"/>
  <c r="T1255"/>
  <c r="R1256"/>
  <c r="R1255"/>
  <c r="P1256"/>
  <c r="P1255"/>
  <c r="BI1253"/>
  <c r="BH1253"/>
  <c r="BG1253"/>
  <c r="BF1253"/>
  <c r="T1253"/>
  <c r="R1253"/>
  <c r="P1253"/>
  <c r="BI1250"/>
  <c r="BH1250"/>
  <c r="BG1250"/>
  <c r="BF1250"/>
  <c r="T1250"/>
  <c r="R1250"/>
  <c r="P1250"/>
  <c r="BI1247"/>
  <c r="BH1247"/>
  <c r="BG1247"/>
  <c r="BF1247"/>
  <c r="T1247"/>
  <c r="R1247"/>
  <c r="P1247"/>
  <c r="BI1245"/>
  <c r="BH1245"/>
  <c r="BG1245"/>
  <c r="BF1245"/>
  <c r="T1245"/>
  <c r="R1245"/>
  <c r="P1245"/>
  <c r="BI1238"/>
  <c r="BH1238"/>
  <c r="BG1238"/>
  <c r="BF1238"/>
  <c r="T1238"/>
  <c r="R1238"/>
  <c r="P1238"/>
  <c r="BI1221"/>
  <c r="BH1221"/>
  <c r="BG1221"/>
  <c r="BF1221"/>
  <c r="T1221"/>
  <c r="R1221"/>
  <c r="P1221"/>
  <c r="BI1218"/>
  <c r="BH1218"/>
  <c r="BG1218"/>
  <c r="BF1218"/>
  <c r="T1218"/>
  <c r="R1218"/>
  <c r="P1218"/>
  <c r="BI1217"/>
  <c r="BH1217"/>
  <c r="BG1217"/>
  <c r="BF1217"/>
  <c r="T1217"/>
  <c r="R1217"/>
  <c r="P1217"/>
  <c r="BI1214"/>
  <c r="BH1214"/>
  <c r="BG1214"/>
  <c r="BF1214"/>
  <c r="T1214"/>
  <c r="R1214"/>
  <c r="P1214"/>
  <c r="BI1212"/>
  <c r="BH1212"/>
  <c r="BG1212"/>
  <c r="BF1212"/>
  <c r="T1212"/>
  <c r="R1212"/>
  <c r="P1212"/>
  <c r="BI1209"/>
  <c r="BH1209"/>
  <c r="BG1209"/>
  <c r="BF1209"/>
  <c r="T1209"/>
  <c r="R1209"/>
  <c r="P1209"/>
  <c r="BI1206"/>
  <c r="BH1206"/>
  <c r="BG1206"/>
  <c r="BF1206"/>
  <c r="T1206"/>
  <c r="R1206"/>
  <c r="P1206"/>
  <c r="BI1204"/>
  <c r="BH1204"/>
  <c r="BG1204"/>
  <c r="BF1204"/>
  <c r="T1204"/>
  <c r="R1204"/>
  <c r="P1204"/>
  <c r="BI1201"/>
  <c r="BH1201"/>
  <c r="BG1201"/>
  <c r="BF1201"/>
  <c r="T1201"/>
  <c r="R1201"/>
  <c r="P1201"/>
  <c r="BI1199"/>
  <c r="BH1199"/>
  <c r="BG1199"/>
  <c r="BF1199"/>
  <c r="T1199"/>
  <c r="R1199"/>
  <c r="P1199"/>
  <c r="BI1196"/>
  <c r="BH1196"/>
  <c r="BG1196"/>
  <c r="BF1196"/>
  <c r="T1196"/>
  <c r="R1196"/>
  <c r="P1196"/>
  <c r="BI1193"/>
  <c r="BH1193"/>
  <c r="BG1193"/>
  <c r="BF1193"/>
  <c r="T1193"/>
  <c r="R1193"/>
  <c r="P1193"/>
  <c r="BI1165"/>
  <c r="BH1165"/>
  <c r="BG1165"/>
  <c r="BF1165"/>
  <c r="T1165"/>
  <c r="R1165"/>
  <c r="P1165"/>
  <c r="BI1162"/>
  <c r="BH1162"/>
  <c r="BG1162"/>
  <c r="BF1162"/>
  <c r="T1162"/>
  <c r="R1162"/>
  <c r="P1162"/>
  <c r="BI1160"/>
  <c r="BH1160"/>
  <c r="BG1160"/>
  <c r="BF1160"/>
  <c r="T1160"/>
  <c r="R1160"/>
  <c r="P1160"/>
  <c r="BI1157"/>
  <c r="BH1157"/>
  <c r="BG1157"/>
  <c r="BF1157"/>
  <c r="T1157"/>
  <c r="R1157"/>
  <c r="P1157"/>
  <c r="BI1155"/>
  <c r="BH1155"/>
  <c r="BG1155"/>
  <c r="BF1155"/>
  <c r="T1155"/>
  <c r="R1155"/>
  <c r="P1155"/>
  <c r="BI1152"/>
  <c r="BH1152"/>
  <c r="BG1152"/>
  <c r="BF1152"/>
  <c r="T1152"/>
  <c r="R1152"/>
  <c r="P1152"/>
  <c r="BI1148"/>
  <c r="BH1148"/>
  <c r="BG1148"/>
  <c r="BF1148"/>
  <c r="T1148"/>
  <c r="R1148"/>
  <c r="P1148"/>
  <c r="BI1146"/>
  <c r="BH1146"/>
  <c r="BG1146"/>
  <c r="BF1146"/>
  <c r="T1146"/>
  <c r="R1146"/>
  <c r="P1146"/>
  <c r="BI1143"/>
  <c r="BH1143"/>
  <c r="BG1143"/>
  <c r="BF1143"/>
  <c r="T1143"/>
  <c r="R1143"/>
  <c r="P1143"/>
  <c r="BI1141"/>
  <c r="BH1141"/>
  <c r="BG1141"/>
  <c r="BF1141"/>
  <c r="T1141"/>
  <c r="R1141"/>
  <c r="P1141"/>
  <c r="BI1138"/>
  <c r="BH1138"/>
  <c r="BG1138"/>
  <c r="BF1138"/>
  <c r="T1138"/>
  <c r="R1138"/>
  <c r="P1138"/>
  <c r="BI1136"/>
  <c r="BH1136"/>
  <c r="BG1136"/>
  <c r="BF1136"/>
  <c r="T1136"/>
  <c r="R1136"/>
  <c r="P1136"/>
  <c r="BI1131"/>
  <c r="BH1131"/>
  <c r="BG1131"/>
  <c r="BF1131"/>
  <c r="T1131"/>
  <c r="R1131"/>
  <c r="P1131"/>
  <c r="BI1129"/>
  <c r="BH1129"/>
  <c r="BG1129"/>
  <c r="BF1129"/>
  <c r="T1129"/>
  <c r="R1129"/>
  <c r="P1129"/>
  <c r="BI1124"/>
  <c r="BH1124"/>
  <c r="BG1124"/>
  <c r="BF1124"/>
  <c r="T1124"/>
  <c r="R1124"/>
  <c r="P1124"/>
  <c r="BI1121"/>
  <c r="BH1121"/>
  <c r="BG1121"/>
  <c r="BF1121"/>
  <c r="T1121"/>
  <c r="R1121"/>
  <c r="P1121"/>
  <c r="BI1118"/>
  <c r="BH1118"/>
  <c r="BG1118"/>
  <c r="BF1118"/>
  <c r="T1118"/>
  <c r="R1118"/>
  <c r="P1118"/>
  <c r="BI1111"/>
  <c r="BH1111"/>
  <c r="BG1111"/>
  <c r="BF1111"/>
  <c r="T1111"/>
  <c r="R1111"/>
  <c r="P1111"/>
  <c r="BI1108"/>
  <c r="BH1108"/>
  <c r="BG1108"/>
  <c r="BF1108"/>
  <c r="T1108"/>
  <c r="R1108"/>
  <c r="P1108"/>
  <c r="BI1106"/>
  <c r="BH1106"/>
  <c r="BG1106"/>
  <c r="BF1106"/>
  <c r="T1106"/>
  <c r="R1106"/>
  <c r="P1106"/>
  <c r="BI1100"/>
  <c r="BH1100"/>
  <c r="BG1100"/>
  <c r="BF1100"/>
  <c r="T1100"/>
  <c r="R1100"/>
  <c r="P1100"/>
  <c r="BI1097"/>
  <c r="BH1097"/>
  <c r="BG1097"/>
  <c r="BF1097"/>
  <c r="T1097"/>
  <c r="R1097"/>
  <c r="P1097"/>
  <c r="BI1094"/>
  <c r="BH1094"/>
  <c r="BG1094"/>
  <c r="BF1094"/>
  <c r="T1094"/>
  <c r="R1094"/>
  <c r="P1094"/>
  <c r="BI1091"/>
  <c r="BH1091"/>
  <c r="BG1091"/>
  <c r="BF1091"/>
  <c r="T1091"/>
  <c r="R1091"/>
  <c r="P1091"/>
  <c r="BI1088"/>
  <c r="BH1088"/>
  <c r="BG1088"/>
  <c r="BF1088"/>
  <c r="T1088"/>
  <c r="R1088"/>
  <c r="P1088"/>
  <c r="BI1085"/>
  <c r="BH1085"/>
  <c r="BG1085"/>
  <c r="BF1085"/>
  <c r="T1085"/>
  <c r="R1085"/>
  <c r="P1085"/>
  <c r="BI1083"/>
  <c r="BH1083"/>
  <c r="BG1083"/>
  <c r="BF1083"/>
  <c r="T1083"/>
  <c r="R1083"/>
  <c r="P1083"/>
  <c r="BI1075"/>
  <c r="BH1075"/>
  <c r="BG1075"/>
  <c r="BF1075"/>
  <c r="T1075"/>
  <c r="R1075"/>
  <c r="P1075"/>
  <c r="BI1072"/>
  <c r="BH1072"/>
  <c r="BG1072"/>
  <c r="BF1072"/>
  <c r="T1072"/>
  <c r="R1072"/>
  <c r="P1072"/>
  <c r="BI1063"/>
  <c r="BH1063"/>
  <c r="BG1063"/>
  <c r="BF1063"/>
  <c r="T1063"/>
  <c r="R1063"/>
  <c r="P1063"/>
  <c r="BI1060"/>
  <c r="BH1060"/>
  <c r="BG1060"/>
  <c r="BF1060"/>
  <c r="T1060"/>
  <c r="R1060"/>
  <c r="P1060"/>
  <c r="BI1058"/>
  <c r="BH1058"/>
  <c r="BG1058"/>
  <c r="BF1058"/>
  <c r="T1058"/>
  <c r="R1058"/>
  <c r="P1058"/>
  <c r="BI1056"/>
  <c r="BH1056"/>
  <c r="BG1056"/>
  <c r="BF1056"/>
  <c r="T1056"/>
  <c r="R1056"/>
  <c r="P1056"/>
  <c r="BI1054"/>
  <c r="BH1054"/>
  <c r="BG1054"/>
  <c r="BF1054"/>
  <c r="T1054"/>
  <c r="R1054"/>
  <c r="P1054"/>
  <c r="BI1052"/>
  <c r="BH1052"/>
  <c r="BG1052"/>
  <c r="BF1052"/>
  <c r="T1052"/>
  <c r="R1052"/>
  <c r="P1052"/>
  <c r="BI1050"/>
  <c r="BH1050"/>
  <c r="BG1050"/>
  <c r="BF1050"/>
  <c r="T1050"/>
  <c r="R1050"/>
  <c r="P1050"/>
  <c r="BI1048"/>
  <c r="BH1048"/>
  <c r="BG1048"/>
  <c r="BF1048"/>
  <c r="T1048"/>
  <c r="R1048"/>
  <c r="P1048"/>
  <c r="BI1046"/>
  <c r="BH1046"/>
  <c r="BG1046"/>
  <c r="BF1046"/>
  <c r="T1046"/>
  <c r="R1046"/>
  <c r="P1046"/>
  <c r="BI1044"/>
  <c r="BH1044"/>
  <c r="BG1044"/>
  <c r="BF1044"/>
  <c r="T1044"/>
  <c r="R1044"/>
  <c r="P1044"/>
  <c r="BI1042"/>
  <c r="BH1042"/>
  <c r="BG1042"/>
  <c r="BF1042"/>
  <c r="T1042"/>
  <c r="R1042"/>
  <c r="P1042"/>
  <c r="BI1040"/>
  <c r="BH1040"/>
  <c r="BG1040"/>
  <c r="BF1040"/>
  <c r="T1040"/>
  <c r="R1040"/>
  <c r="P1040"/>
  <c r="BI1038"/>
  <c r="BH1038"/>
  <c r="BG1038"/>
  <c r="BF1038"/>
  <c r="T1038"/>
  <c r="R1038"/>
  <c r="P1038"/>
  <c r="BI1032"/>
  <c r="BH1032"/>
  <c r="BG1032"/>
  <c r="BF1032"/>
  <c r="T1032"/>
  <c r="R1032"/>
  <c r="P1032"/>
  <c r="BI1030"/>
  <c r="BH1030"/>
  <c r="BG1030"/>
  <c r="BF1030"/>
  <c r="T1030"/>
  <c r="R1030"/>
  <c r="P1030"/>
  <c r="BI1025"/>
  <c r="BH1025"/>
  <c r="BG1025"/>
  <c r="BF1025"/>
  <c r="T1025"/>
  <c r="R1025"/>
  <c r="P1025"/>
  <c r="BI1022"/>
  <c r="BH1022"/>
  <c r="BG1022"/>
  <c r="BF1022"/>
  <c r="T1022"/>
  <c r="R1022"/>
  <c r="P1022"/>
  <c r="BI1019"/>
  <c r="BH1019"/>
  <c r="BG1019"/>
  <c r="BF1019"/>
  <c r="T1019"/>
  <c r="R1019"/>
  <c r="P1019"/>
  <c r="BI1016"/>
  <c r="BH1016"/>
  <c r="BG1016"/>
  <c r="BF1016"/>
  <c r="T1016"/>
  <c r="R1016"/>
  <c r="P1016"/>
  <c r="BI1012"/>
  <c r="BH1012"/>
  <c r="BG1012"/>
  <c r="BF1012"/>
  <c r="T1012"/>
  <c r="R1012"/>
  <c r="P1012"/>
  <c r="BI1010"/>
  <c r="BH1010"/>
  <c r="BG1010"/>
  <c r="BF1010"/>
  <c r="T1010"/>
  <c r="R1010"/>
  <c r="P1010"/>
  <c r="BI1007"/>
  <c r="BH1007"/>
  <c r="BG1007"/>
  <c r="BF1007"/>
  <c r="T1007"/>
  <c r="R1007"/>
  <c r="P1007"/>
  <c r="BI1004"/>
  <c r="BH1004"/>
  <c r="BG1004"/>
  <c r="BF1004"/>
  <c r="T1004"/>
  <c r="R1004"/>
  <c r="P1004"/>
  <c r="BI1000"/>
  <c r="BH1000"/>
  <c r="BG1000"/>
  <c r="BF1000"/>
  <c r="T1000"/>
  <c r="R1000"/>
  <c r="P1000"/>
  <c r="BI998"/>
  <c r="BH998"/>
  <c r="BG998"/>
  <c r="BF998"/>
  <c r="T998"/>
  <c r="R998"/>
  <c r="P998"/>
  <c r="BI995"/>
  <c r="BH995"/>
  <c r="BG995"/>
  <c r="BF995"/>
  <c r="T995"/>
  <c r="R995"/>
  <c r="P995"/>
  <c r="BI993"/>
  <c r="BH993"/>
  <c r="BG993"/>
  <c r="BF993"/>
  <c r="T993"/>
  <c r="R993"/>
  <c r="P993"/>
  <c r="BI987"/>
  <c r="BH987"/>
  <c r="BG987"/>
  <c r="BF987"/>
  <c r="T987"/>
  <c r="R987"/>
  <c r="P987"/>
  <c r="BI985"/>
  <c r="BH985"/>
  <c r="BG985"/>
  <c r="BF985"/>
  <c r="T985"/>
  <c r="R985"/>
  <c r="P985"/>
  <c r="BI982"/>
  <c r="BH982"/>
  <c r="BG982"/>
  <c r="BF982"/>
  <c r="T982"/>
  <c r="R982"/>
  <c r="P982"/>
  <c r="BI980"/>
  <c r="BH980"/>
  <c r="BG980"/>
  <c r="BF980"/>
  <c r="T980"/>
  <c r="R980"/>
  <c r="P980"/>
  <c r="BI976"/>
  <c r="BH976"/>
  <c r="BG976"/>
  <c r="BF976"/>
  <c r="T976"/>
  <c r="R976"/>
  <c r="P976"/>
  <c r="BI974"/>
  <c r="BH974"/>
  <c r="BG974"/>
  <c r="BF974"/>
  <c r="T974"/>
  <c r="R974"/>
  <c r="P974"/>
  <c r="BI970"/>
  <c r="BH970"/>
  <c r="BG970"/>
  <c r="BF970"/>
  <c r="T970"/>
  <c r="R970"/>
  <c r="P970"/>
  <c r="BI968"/>
  <c r="BH968"/>
  <c r="BG968"/>
  <c r="BF968"/>
  <c r="T968"/>
  <c r="R968"/>
  <c r="P968"/>
  <c r="BI964"/>
  <c r="BH964"/>
  <c r="BG964"/>
  <c r="BF964"/>
  <c r="T964"/>
  <c r="R964"/>
  <c r="P964"/>
  <c r="BI962"/>
  <c r="BH962"/>
  <c r="BG962"/>
  <c r="BF962"/>
  <c r="T962"/>
  <c r="R962"/>
  <c r="P962"/>
  <c r="BI959"/>
  <c r="BH959"/>
  <c r="BG959"/>
  <c r="BF959"/>
  <c r="T959"/>
  <c r="R959"/>
  <c r="P959"/>
  <c r="BI956"/>
  <c r="BH956"/>
  <c r="BG956"/>
  <c r="BF956"/>
  <c r="T956"/>
  <c r="R956"/>
  <c r="P956"/>
  <c r="BI954"/>
  <c r="BH954"/>
  <c r="BG954"/>
  <c r="BF954"/>
  <c r="T954"/>
  <c r="R954"/>
  <c r="P954"/>
  <c r="BI952"/>
  <c r="BH952"/>
  <c r="BG952"/>
  <c r="BF952"/>
  <c r="T952"/>
  <c r="R952"/>
  <c r="P952"/>
  <c r="BI945"/>
  <c r="BH945"/>
  <c r="BG945"/>
  <c r="BF945"/>
  <c r="T945"/>
  <c r="R945"/>
  <c r="P945"/>
  <c r="BI944"/>
  <c r="BH944"/>
  <c r="BG944"/>
  <c r="BF944"/>
  <c r="T944"/>
  <c r="R944"/>
  <c r="P944"/>
  <c r="BI942"/>
  <c r="BH942"/>
  <c r="BG942"/>
  <c r="BF942"/>
  <c r="T942"/>
  <c r="R942"/>
  <c r="P942"/>
  <c r="BI940"/>
  <c r="BH940"/>
  <c r="BG940"/>
  <c r="BF940"/>
  <c r="T940"/>
  <c r="R940"/>
  <c r="P940"/>
  <c r="BI938"/>
  <c r="BH938"/>
  <c r="BG938"/>
  <c r="BF938"/>
  <c r="T938"/>
  <c r="R938"/>
  <c r="P938"/>
  <c r="BI936"/>
  <c r="BH936"/>
  <c r="BG936"/>
  <c r="BF936"/>
  <c r="T936"/>
  <c r="R936"/>
  <c r="P936"/>
  <c r="BI934"/>
  <c r="BH934"/>
  <c r="BG934"/>
  <c r="BF934"/>
  <c r="T934"/>
  <c r="R934"/>
  <c r="P934"/>
  <c r="BI931"/>
  <c r="BH931"/>
  <c r="BG931"/>
  <c r="BF931"/>
  <c r="T931"/>
  <c r="R931"/>
  <c r="P931"/>
  <c r="BI930"/>
  <c r="BH930"/>
  <c r="BG930"/>
  <c r="BF930"/>
  <c r="T930"/>
  <c r="R930"/>
  <c r="P930"/>
  <c r="BI928"/>
  <c r="BH928"/>
  <c r="BG928"/>
  <c r="BF928"/>
  <c r="T928"/>
  <c r="R928"/>
  <c r="P928"/>
  <c r="BI925"/>
  <c r="BH925"/>
  <c r="BG925"/>
  <c r="BF925"/>
  <c r="T925"/>
  <c r="R925"/>
  <c r="P925"/>
  <c r="BI923"/>
  <c r="BH923"/>
  <c r="BG923"/>
  <c r="BF923"/>
  <c r="T923"/>
  <c r="R923"/>
  <c r="P923"/>
  <c r="BI920"/>
  <c r="BH920"/>
  <c r="BG920"/>
  <c r="BF920"/>
  <c r="T920"/>
  <c r="R920"/>
  <c r="P920"/>
  <c r="BI918"/>
  <c r="BH918"/>
  <c r="BG918"/>
  <c r="BF918"/>
  <c r="T918"/>
  <c r="R918"/>
  <c r="P918"/>
  <c r="BI913"/>
  <c r="BH913"/>
  <c r="BG913"/>
  <c r="BF913"/>
  <c r="T913"/>
  <c r="R913"/>
  <c r="P913"/>
  <c r="BI910"/>
  <c r="BH910"/>
  <c r="BG910"/>
  <c r="BF910"/>
  <c r="T910"/>
  <c r="R910"/>
  <c r="P910"/>
  <c r="BI908"/>
  <c r="BH908"/>
  <c r="BG908"/>
  <c r="BF908"/>
  <c r="T908"/>
  <c r="R908"/>
  <c r="P908"/>
  <c r="BI905"/>
  <c r="BH905"/>
  <c r="BG905"/>
  <c r="BF905"/>
  <c r="T905"/>
  <c r="R905"/>
  <c r="P905"/>
  <c r="BI902"/>
  <c r="BH902"/>
  <c r="BG902"/>
  <c r="BF902"/>
  <c r="T902"/>
  <c r="R902"/>
  <c r="P902"/>
  <c r="BI899"/>
  <c r="BH899"/>
  <c r="BG899"/>
  <c r="BF899"/>
  <c r="T899"/>
  <c r="R899"/>
  <c r="P899"/>
  <c r="BI896"/>
  <c r="BH896"/>
  <c r="BG896"/>
  <c r="BF896"/>
  <c r="T896"/>
  <c r="R896"/>
  <c r="P896"/>
  <c r="BI893"/>
  <c r="BH893"/>
  <c r="BG893"/>
  <c r="BF893"/>
  <c r="T893"/>
  <c r="R893"/>
  <c r="P893"/>
  <c r="BI890"/>
  <c r="BH890"/>
  <c r="BG890"/>
  <c r="BF890"/>
  <c r="T890"/>
  <c r="R890"/>
  <c r="P890"/>
  <c r="BI887"/>
  <c r="BH887"/>
  <c r="BG887"/>
  <c r="BF887"/>
  <c r="T887"/>
  <c r="R887"/>
  <c r="P887"/>
  <c r="BI885"/>
  <c r="BH885"/>
  <c r="BG885"/>
  <c r="BF885"/>
  <c r="T885"/>
  <c r="R885"/>
  <c r="P885"/>
  <c r="BI884"/>
  <c r="BH884"/>
  <c r="BG884"/>
  <c r="BF884"/>
  <c r="T884"/>
  <c r="R884"/>
  <c r="P884"/>
  <c r="BI879"/>
  <c r="BH879"/>
  <c r="BG879"/>
  <c r="BF879"/>
  <c r="T879"/>
  <c r="R879"/>
  <c r="P879"/>
  <c r="BI878"/>
  <c r="BH878"/>
  <c r="BG878"/>
  <c r="BF878"/>
  <c r="T878"/>
  <c r="R878"/>
  <c r="P878"/>
  <c r="BI872"/>
  <c r="BH872"/>
  <c r="BG872"/>
  <c r="BF872"/>
  <c r="T872"/>
  <c r="R872"/>
  <c r="P872"/>
  <c r="BI871"/>
  <c r="BH871"/>
  <c r="BG871"/>
  <c r="BF871"/>
  <c r="T871"/>
  <c r="R871"/>
  <c r="P871"/>
  <c r="BI868"/>
  <c r="BH868"/>
  <c r="BG868"/>
  <c r="BF868"/>
  <c r="T868"/>
  <c r="R868"/>
  <c r="P868"/>
  <c r="BI866"/>
  <c r="BH866"/>
  <c r="BG866"/>
  <c r="BF866"/>
  <c r="T866"/>
  <c r="R866"/>
  <c r="P866"/>
  <c r="BI864"/>
  <c r="BH864"/>
  <c r="BG864"/>
  <c r="BF864"/>
  <c r="T864"/>
  <c r="R864"/>
  <c r="P864"/>
  <c r="BI861"/>
  <c r="BH861"/>
  <c r="BG861"/>
  <c r="BF861"/>
  <c r="T861"/>
  <c r="R861"/>
  <c r="P861"/>
  <c r="BI858"/>
  <c r="BH858"/>
  <c r="BG858"/>
  <c r="BF858"/>
  <c r="T858"/>
  <c r="R858"/>
  <c r="P858"/>
  <c r="BI856"/>
  <c r="BH856"/>
  <c r="BG856"/>
  <c r="BF856"/>
  <c r="T856"/>
  <c r="R856"/>
  <c r="P856"/>
  <c r="BI853"/>
  <c r="BH853"/>
  <c r="BG853"/>
  <c r="BF853"/>
  <c r="T853"/>
  <c r="R853"/>
  <c r="P853"/>
  <c r="BI852"/>
  <c r="BH852"/>
  <c r="BG852"/>
  <c r="BF852"/>
  <c r="T852"/>
  <c r="R852"/>
  <c r="P852"/>
  <c r="BI850"/>
  <c r="BH850"/>
  <c r="BG850"/>
  <c r="BF850"/>
  <c r="T850"/>
  <c r="R850"/>
  <c r="P850"/>
  <c r="BI847"/>
  <c r="BH847"/>
  <c r="BG847"/>
  <c r="BF847"/>
  <c r="T847"/>
  <c r="R847"/>
  <c r="P847"/>
  <c r="BI842"/>
  <c r="BH842"/>
  <c r="BG842"/>
  <c r="BF842"/>
  <c r="T842"/>
  <c r="R842"/>
  <c r="P842"/>
  <c r="BI839"/>
  <c r="BH839"/>
  <c r="BG839"/>
  <c r="BF839"/>
  <c r="T839"/>
  <c r="R839"/>
  <c r="P839"/>
  <c r="BI835"/>
  <c r="BH835"/>
  <c r="BG835"/>
  <c r="BF835"/>
  <c r="T835"/>
  <c r="R835"/>
  <c r="P835"/>
  <c r="BI831"/>
  <c r="BH831"/>
  <c r="BG831"/>
  <c r="BF831"/>
  <c r="T831"/>
  <c r="R831"/>
  <c r="P831"/>
  <c r="BI827"/>
  <c r="BH827"/>
  <c r="BG827"/>
  <c r="BF827"/>
  <c r="T827"/>
  <c r="R827"/>
  <c r="P827"/>
  <c r="BI823"/>
  <c r="BH823"/>
  <c r="BG823"/>
  <c r="BF823"/>
  <c r="T823"/>
  <c r="R823"/>
  <c r="P823"/>
  <c r="BI813"/>
  <c r="BH813"/>
  <c r="BG813"/>
  <c r="BF813"/>
  <c r="T813"/>
  <c r="R813"/>
  <c r="P813"/>
  <c r="BI809"/>
  <c r="BH809"/>
  <c r="BG809"/>
  <c r="BF809"/>
  <c r="T809"/>
  <c r="R809"/>
  <c r="P809"/>
  <c r="BI805"/>
  <c r="BH805"/>
  <c r="BG805"/>
  <c r="BF805"/>
  <c r="T805"/>
  <c r="R805"/>
  <c r="P805"/>
  <c r="BI801"/>
  <c r="BH801"/>
  <c r="BG801"/>
  <c r="BF801"/>
  <c r="T801"/>
  <c r="R801"/>
  <c r="P801"/>
  <c r="BI797"/>
  <c r="BH797"/>
  <c r="BG797"/>
  <c r="BF797"/>
  <c r="T797"/>
  <c r="R797"/>
  <c r="P797"/>
  <c r="BI794"/>
  <c r="BH794"/>
  <c r="BG794"/>
  <c r="BF794"/>
  <c r="T794"/>
  <c r="R794"/>
  <c r="P794"/>
  <c r="BI791"/>
  <c r="BH791"/>
  <c r="BG791"/>
  <c r="BF791"/>
  <c r="T791"/>
  <c r="R791"/>
  <c r="P791"/>
  <c r="BI786"/>
  <c r="BH786"/>
  <c r="BG786"/>
  <c r="BF786"/>
  <c r="T786"/>
  <c r="R786"/>
  <c r="P786"/>
  <c r="BI783"/>
  <c r="BH783"/>
  <c r="BG783"/>
  <c r="BF783"/>
  <c r="T783"/>
  <c r="R783"/>
  <c r="P783"/>
  <c r="BI780"/>
  <c r="BH780"/>
  <c r="BG780"/>
  <c r="BF780"/>
  <c r="T780"/>
  <c r="R780"/>
  <c r="P780"/>
  <c r="BI773"/>
  <c r="BH773"/>
  <c r="BG773"/>
  <c r="BF773"/>
  <c r="T773"/>
  <c r="R773"/>
  <c r="P773"/>
  <c r="BI770"/>
  <c r="BH770"/>
  <c r="BG770"/>
  <c r="BF770"/>
  <c r="T770"/>
  <c r="R770"/>
  <c r="P770"/>
  <c r="BI767"/>
  <c r="BH767"/>
  <c r="BG767"/>
  <c r="BF767"/>
  <c r="T767"/>
  <c r="R767"/>
  <c r="P767"/>
  <c r="BI765"/>
  <c r="BH765"/>
  <c r="BG765"/>
  <c r="BF765"/>
  <c r="T765"/>
  <c r="R765"/>
  <c r="P765"/>
  <c r="BI762"/>
  <c r="BH762"/>
  <c r="BG762"/>
  <c r="BF762"/>
  <c r="T762"/>
  <c r="R762"/>
  <c r="P762"/>
  <c r="BI760"/>
  <c r="BH760"/>
  <c r="BG760"/>
  <c r="BF760"/>
  <c r="T760"/>
  <c r="R760"/>
  <c r="P760"/>
  <c r="BI758"/>
  <c r="BH758"/>
  <c r="BG758"/>
  <c r="BF758"/>
  <c r="T758"/>
  <c r="R758"/>
  <c r="P758"/>
  <c r="BI756"/>
  <c r="BH756"/>
  <c r="BG756"/>
  <c r="BF756"/>
  <c r="T756"/>
  <c r="R756"/>
  <c r="P756"/>
  <c r="BI754"/>
  <c r="BH754"/>
  <c r="BG754"/>
  <c r="BF754"/>
  <c r="T754"/>
  <c r="R754"/>
  <c r="P754"/>
  <c r="BI751"/>
  <c r="BH751"/>
  <c r="BG751"/>
  <c r="BF751"/>
  <c r="T751"/>
  <c r="R751"/>
  <c r="P751"/>
  <c r="BI748"/>
  <c r="BH748"/>
  <c r="BG748"/>
  <c r="BF748"/>
  <c r="T748"/>
  <c r="R748"/>
  <c r="P748"/>
  <c r="BI745"/>
  <c r="BH745"/>
  <c r="BG745"/>
  <c r="BF745"/>
  <c r="T745"/>
  <c r="R745"/>
  <c r="P745"/>
  <c r="BI742"/>
  <c r="BH742"/>
  <c r="BG742"/>
  <c r="BF742"/>
  <c r="T742"/>
  <c r="R742"/>
  <c r="P742"/>
  <c r="BI739"/>
  <c r="BH739"/>
  <c r="BG739"/>
  <c r="BF739"/>
  <c r="T739"/>
  <c r="R739"/>
  <c r="P739"/>
  <c r="BI736"/>
  <c r="BH736"/>
  <c r="BG736"/>
  <c r="BF736"/>
  <c r="T736"/>
  <c r="R736"/>
  <c r="P736"/>
  <c r="BI733"/>
  <c r="BH733"/>
  <c r="BG733"/>
  <c r="BF733"/>
  <c r="T733"/>
  <c r="R733"/>
  <c r="P733"/>
  <c r="BI732"/>
  <c r="BH732"/>
  <c r="BG732"/>
  <c r="BF732"/>
  <c r="T732"/>
  <c r="R732"/>
  <c r="P732"/>
  <c r="BI727"/>
  <c r="BH727"/>
  <c r="BG727"/>
  <c r="BF727"/>
  <c r="T727"/>
  <c r="R727"/>
  <c r="P727"/>
  <c r="BI725"/>
  <c r="BH725"/>
  <c r="BG725"/>
  <c r="BF725"/>
  <c r="T725"/>
  <c r="R725"/>
  <c r="P725"/>
  <c r="BI722"/>
  <c r="BH722"/>
  <c r="BG722"/>
  <c r="BF722"/>
  <c r="T722"/>
  <c r="R722"/>
  <c r="P722"/>
  <c r="BI720"/>
  <c r="BH720"/>
  <c r="BG720"/>
  <c r="BF720"/>
  <c r="T720"/>
  <c r="R720"/>
  <c r="P720"/>
  <c r="BI719"/>
  <c r="BH719"/>
  <c r="BG719"/>
  <c r="BF719"/>
  <c r="T719"/>
  <c r="R719"/>
  <c r="P719"/>
  <c r="BI717"/>
  <c r="BH717"/>
  <c r="BG717"/>
  <c r="BF717"/>
  <c r="T717"/>
  <c r="R717"/>
  <c r="P717"/>
  <c r="BI715"/>
  <c r="BH715"/>
  <c r="BG715"/>
  <c r="BF715"/>
  <c r="T715"/>
  <c r="R715"/>
  <c r="P715"/>
  <c r="BI713"/>
  <c r="BH713"/>
  <c r="BG713"/>
  <c r="BF713"/>
  <c r="T713"/>
  <c r="R713"/>
  <c r="P713"/>
  <c r="BI711"/>
  <c r="BH711"/>
  <c r="BG711"/>
  <c r="BF711"/>
  <c r="T711"/>
  <c r="R711"/>
  <c r="P711"/>
  <c r="BI709"/>
  <c r="BH709"/>
  <c r="BG709"/>
  <c r="BF709"/>
  <c r="T709"/>
  <c r="R709"/>
  <c r="P709"/>
  <c r="BI707"/>
  <c r="BH707"/>
  <c r="BG707"/>
  <c r="BF707"/>
  <c r="T707"/>
  <c r="R707"/>
  <c r="P707"/>
  <c r="BI705"/>
  <c r="BH705"/>
  <c r="BG705"/>
  <c r="BF705"/>
  <c r="T705"/>
  <c r="R705"/>
  <c r="P705"/>
  <c r="BI703"/>
  <c r="BH703"/>
  <c r="BG703"/>
  <c r="BF703"/>
  <c r="T703"/>
  <c r="R703"/>
  <c r="P703"/>
  <c r="BI701"/>
  <c r="BH701"/>
  <c r="BG701"/>
  <c r="BF701"/>
  <c r="T701"/>
  <c r="R701"/>
  <c r="P701"/>
  <c r="BI699"/>
  <c r="BH699"/>
  <c r="BG699"/>
  <c r="BF699"/>
  <c r="T699"/>
  <c r="R699"/>
  <c r="P699"/>
  <c r="BI698"/>
  <c r="BH698"/>
  <c r="BG698"/>
  <c r="BF698"/>
  <c r="T698"/>
  <c r="R698"/>
  <c r="P698"/>
  <c r="BI696"/>
  <c r="BH696"/>
  <c r="BG696"/>
  <c r="BF696"/>
  <c r="T696"/>
  <c r="R696"/>
  <c r="P696"/>
  <c r="BI694"/>
  <c r="BH694"/>
  <c r="BG694"/>
  <c r="BF694"/>
  <c r="T694"/>
  <c r="R694"/>
  <c r="P694"/>
  <c r="BI692"/>
  <c r="BH692"/>
  <c r="BG692"/>
  <c r="BF692"/>
  <c r="T692"/>
  <c r="R692"/>
  <c r="P692"/>
  <c r="BI690"/>
  <c r="BH690"/>
  <c r="BG690"/>
  <c r="BF690"/>
  <c r="T690"/>
  <c r="R690"/>
  <c r="P690"/>
  <c r="BI688"/>
  <c r="BH688"/>
  <c r="BG688"/>
  <c r="BF688"/>
  <c r="T688"/>
  <c r="R688"/>
  <c r="P688"/>
  <c r="BI686"/>
  <c r="BH686"/>
  <c r="BG686"/>
  <c r="BF686"/>
  <c r="T686"/>
  <c r="R686"/>
  <c r="P686"/>
  <c r="BI681"/>
  <c r="BH681"/>
  <c r="BG681"/>
  <c r="BF681"/>
  <c r="T681"/>
  <c r="T680"/>
  <c r="R681"/>
  <c r="R680"/>
  <c r="P681"/>
  <c r="P680"/>
  <c r="BI678"/>
  <c r="BH678"/>
  <c r="BG678"/>
  <c r="BF678"/>
  <c r="T678"/>
  <c r="R678"/>
  <c r="P678"/>
  <c r="BI676"/>
  <c r="BH676"/>
  <c r="BG676"/>
  <c r="BF676"/>
  <c r="T676"/>
  <c r="R676"/>
  <c r="P676"/>
  <c r="BI673"/>
  <c r="BH673"/>
  <c r="BG673"/>
  <c r="BF673"/>
  <c r="T673"/>
  <c r="R673"/>
  <c r="P673"/>
  <c r="BI671"/>
  <c r="BH671"/>
  <c r="BG671"/>
  <c r="BF671"/>
  <c r="T671"/>
  <c r="R671"/>
  <c r="P671"/>
  <c r="BI668"/>
  <c r="BH668"/>
  <c r="BG668"/>
  <c r="BF668"/>
  <c r="T668"/>
  <c r="R668"/>
  <c r="P668"/>
  <c r="BI666"/>
  <c r="BH666"/>
  <c r="BG666"/>
  <c r="BF666"/>
  <c r="T666"/>
  <c r="R666"/>
  <c r="P666"/>
  <c r="BI663"/>
  <c r="BH663"/>
  <c r="BG663"/>
  <c r="BF663"/>
  <c r="T663"/>
  <c r="R663"/>
  <c r="P663"/>
  <c r="BI662"/>
  <c r="BH662"/>
  <c r="BG662"/>
  <c r="BF662"/>
  <c r="T662"/>
  <c r="R662"/>
  <c r="P662"/>
  <c r="BI660"/>
  <c r="BH660"/>
  <c r="BG660"/>
  <c r="BF660"/>
  <c r="T660"/>
  <c r="R660"/>
  <c r="P660"/>
  <c r="BI659"/>
  <c r="BH659"/>
  <c r="BG659"/>
  <c r="BF659"/>
  <c r="T659"/>
  <c r="R659"/>
  <c r="P659"/>
  <c r="BI655"/>
  <c r="BH655"/>
  <c r="BG655"/>
  <c r="BF655"/>
  <c r="T655"/>
  <c r="R655"/>
  <c r="P655"/>
  <c r="BI653"/>
  <c r="BH653"/>
  <c r="BG653"/>
  <c r="BF653"/>
  <c r="T653"/>
  <c r="R653"/>
  <c r="P653"/>
  <c r="BI650"/>
  <c r="BH650"/>
  <c r="BG650"/>
  <c r="BF650"/>
  <c r="T650"/>
  <c r="R650"/>
  <c r="P650"/>
  <c r="BI647"/>
  <c r="BH647"/>
  <c r="BG647"/>
  <c r="BF647"/>
  <c r="T647"/>
  <c r="R647"/>
  <c r="P647"/>
  <c r="BI645"/>
  <c r="BH645"/>
  <c r="BG645"/>
  <c r="BF645"/>
  <c r="T645"/>
  <c r="R645"/>
  <c r="P645"/>
  <c r="BI641"/>
  <c r="BH641"/>
  <c r="BG641"/>
  <c r="BF641"/>
  <c r="T641"/>
  <c r="R641"/>
  <c r="P641"/>
  <c r="BI639"/>
  <c r="BH639"/>
  <c r="BG639"/>
  <c r="BF639"/>
  <c r="T639"/>
  <c r="R639"/>
  <c r="P639"/>
  <c r="BI636"/>
  <c r="BH636"/>
  <c r="BG636"/>
  <c r="BF636"/>
  <c r="T636"/>
  <c r="R636"/>
  <c r="P636"/>
  <c r="BI630"/>
  <c r="BH630"/>
  <c r="BG630"/>
  <c r="BF630"/>
  <c r="T630"/>
  <c r="R630"/>
  <c r="P630"/>
  <c r="BI628"/>
  <c r="BH628"/>
  <c r="BG628"/>
  <c r="BF628"/>
  <c r="T628"/>
  <c r="R628"/>
  <c r="P628"/>
  <c r="BI625"/>
  <c r="BH625"/>
  <c r="BG625"/>
  <c r="BF625"/>
  <c r="T625"/>
  <c r="R625"/>
  <c r="P625"/>
  <c r="BI619"/>
  <c r="BH619"/>
  <c r="BG619"/>
  <c r="BF619"/>
  <c r="T619"/>
  <c r="R619"/>
  <c r="P619"/>
  <c r="BI615"/>
  <c r="BH615"/>
  <c r="BG615"/>
  <c r="BF615"/>
  <c r="T615"/>
  <c r="T614"/>
  <c r="R615"/>
  <c r="R614"/>
  <c r="P615"/>
  <c r="P614"/>
  <c r="BI612"/>
  <c r="BH612"/>
  <c r="BG612"/>
  <c r="BF612"/>
  <c r="T612"/>
  <c r="R612"/>
  <c r="P612"/>
  <c r="BI606"/>
  <c r="BH606"/>
  <c r="BG606"/>
  <c r="BF606"/>
  <c r="T606"/>
  <c r="R606"/>
  <c r="P606"/>
  <c r="BI605"/>
  <c r="BH605"/>
  <c r="BG605"/>
  <c r="BF605"/>
  <c r="T605"/>
  <c r="R605"/>
  <c r="P605"/>
  <c r="BI603"/>
  <c r="BH603"/>
  <c r="BG603"/>
  <c r="BF603"/>
  <c r="T603"/>
  <c r="R603"/>
  <c r="P603"/>
  <c r="BI601"/>
  <c r="BH601"/>
  <c r="BG601"/>
  <c r="BF601"/>
  <c r="T601"/>
  <c r="R601"/>
  <c r="P601"/>
  <c r="BI597"/>
  <c r="BH597"/>
  <c r="BG597"/>
  <c r="BF597"/>
  <c r="T597"/>
  <c r="R597"/>
  <c r="P597"/>
  <c r="BI594"/>
  <c r="BH594"/>
  <c r="BG594"/>
  <c r="BF594"/>
  <c r="T594"/>
  <c r="R594"/>
  <c r="P594"/>
  <c r="BI591"/>
  <c r="BH591"/>
  <c r="BG591"/>
  <c r="BF591"/>
  <c r="T591"/>
  <c r="R591"/>
  <c r="P591"/>
  <c r="BI586"/>
  <c r="BH586"/>
  <c r="BG586"/>
  <c r="BF586"/>
  <c r="T586"/>
  <c r="R586"/>
  <c r="P586"/>
  <c r="BI578"/>
  <c r="BH578"/>
  <c r="BG578"/>
  <c r="BF578"/>
  <c r="T578"/>
  <c r="R578"/>
  <c r="P578"/>
  <c r="BI572"/>
  <c r="BH572"/>
  <c r="BG572"/>
  <c r="BF572"/>
  <c r="T572"/>
  <c r="R572"/>
  <c r="P572"/>
  <c r="BI559"/>
  <c r="BH559"/>
  <c r="BG559"/>
  <c r="BF559"/>
  <c r="T559"/>
  <c r="R559"/>
  <c r="P559"/>
  <c r="BI557"/>
  <c r="BH557"/>
  <c r="BG557"/>
  <c r="BF557"/>
  <c r="T557"/>
  <c r="R557"/>
  <c r="P557"/>
  <c r="BI547"/>
  <c r="BH547"/>
  <c r="BG547"/>
  <c r="BF547"/>
  <c r="T547"/>
  <c r="R547"/>
  <c r="P547"/>
  <c r="BI545"/>
  <c r="BH545"/>
  <c r="BG545"/>
  <c r="BF545"/>
  <c r="T545"/>
  <c r="R545"/>
  <c r="P545"/>
  <c r="BI536"/>
  <c r="BH536"/>
  <c r="BG536"/>
  <c r="BF536"/>
  <c r="T536"/>
  <c r="R536"/>
  <c r="P536"/>
  <c r="BI534"/>
  <c r="BH534"/>
  <c r="BG534"/>
  <c r="BF534"/>
  <c r="T534"/>
  <c r="R534"/>
  <c r="P534"/>
  <c r="BI529"/>
  <c r="BH529"/>
  <c r="BG529"/>
  <c r="BF529"/>
  <c r="T529"/>
  <c r="R529"/>
  <c r="P529"/>
  <c r="BI527"/>
  <c r="BH527"/>
  <c r="BG527"/>
  <c r="BF527"/>
  <c r="T527"/>
  <c r="R527"/>
  <c r="P527"/>
  <c r="BI508"/>
  <c r="BH508"/>
  <c r="BG508"/>
  <c r="BF508"/>
  <c r="T508"/>
  <c r="R508"/>
  <c r="P508"/>
  <c r="BI488"/>
  <c r="BH488"/>
  <c r="BG488"/>
  <c r="BF488"/>
  <c r="T488"/>
  <c r="R488"/>
  <c r="P488"/>
  <c r="BI480"/>
  <c r="BH480"/>
  <c r="BG480"/>
  <c r="BF480"/>
  <c r="T480"/>
  <c r="R480"/>
  <c r="P480"/>
  <c r="BI477"/>
  <c r="BH477"/>
  <c r="BG477"/>
  <c r="BF477"/>
  <c r="T477"/>
  <c r="R477"/>
  <c r="P477"/>
  <c r="BI474"/>
  <c r="BH474"/>
  <c r="BG474"/>
  <c r="BF474"/>
  <c r="T474"/>
  <c r="R474"/>
  <c r="P474"/>
  <c r="BI469"/>
  <c r="BH469"/>
  <c r="BG469"/>
  <c r="BF469"/>
  <c r="T469"/>
  <c r="R469"/>
  <c r="P469"/>
  <c r="BI467"/>
  <c r="BH467"/>
  <c r="BG467"/>
  <c r="BF467"/>
  <c r="T467"/>
  <c r="R467"/>
  <c r="P467"/>
  <c r="BI464"/>
  <c r="BH464"/>
  <c r="BG464"/>
  <c r="BF464"/>
  <c r="T464"/>
  <c r="R464"/>
  <c r="P464"/>
  <c r="BI459"/>
  <c r="BH459"/>
  <c r="BG459"/>
  <c r="BF459"/>
  <c r="T459"/>
  <c r="R459"/>
  <c r="P459"/>
  <c r="BI457"/>
  <c r="BH457"/>
  <c r="BG457"/>
  <c r="BF457"/>
  <c r="T457"/>
  <c r="R457"/>
  <c r="P457"/>
  <c r="BI454"/>
  <c r="BH454"/>
  <c r="BG454"/>
  <c r="BF454"/>
  <c r="T454"/>
  <c r="R454"/>
  <c r="P454"/>
  <c r="BI451"/>
  <c r="BH451"/>
  <c r="BG451"/>
  <c r="BF451"/>
  <c r="T451"/>
  <c r="R451"/>
  <c r="P451"/>
  <c r="BI448"/>
  <c r="BH448"/>
  <c r="BG448"/>
  <c r="BF448"/>
  <c r="T448"/>
  <c r="R448"/>
  <c r="P448"/>
  <c r="BI446"/>
  <c r="BH446"/>
  <c r="BG446"/>
  <c r="BF446"/>
  <c r="T446"/>
  <c r="R446"/>
  <c r="P446"/>
  <c r="BI443"/>
  <c r="BH443"/>
  <c r="BG443"/>
  <c r="BF443"/>
  <c r="T443"/>
  <c r="R443"/>
  <c r="P443"/>
  <c r="BI440"/>
  <c r="BH440"/>
  <c r="BG440"/>
  <c r="BF440"/>
  <c r="T440"/>
  <c r="R440"/>
  <c r="P440"/>
  <c r="BI433"/>
  <c r="BH433"/>
  <c r="BG433"/>
  <c r="BF433"/>
  <c r="T433"/>
  <c r="R433"/>
  <c r="P433"/>
  <c r="BI426"/>
  <c r="BH426"/>
  <c r="BG426"/>
  <c r="BF426"/>
  <c r="T426"/>
  <c r="R426"/>
  <c r="P426"/>
  <c r="BI424"/>
  <c r="BH424"/>
  <c r="BG424"/>
  <c r="BF424"/>
  <c r="T424"/>
  <c r="R424"/>
  <c r="P424"/>
  <c r="BI422"/>
  <c r="BH422"/>
  <c r="BG422"/>
  <c r="BF422"/>
  <c r="T422"/>
  <c r="R422"/>
  <c r="P422"/>
  <c r="BI420"/>
  <c r="BH420"/>
  <c r="BG420"/>
  <c r="BF420"/>
  <c r="T420"/>
  <c r="R420"/>
  <c r="P420"/>
  <c r="BI417"/>
  <c r="BH417"/>
  <c r="BG417"/>
  <c r="BF417"/>
  <c r="T417"/>
  <c r="R417"/>
  <c r="P417"/>
  <c r="BI406"/>
  <c r="BH406"/>
  <c r="BG406"/>
  <c r="BF406"/>
  <c r="T406"/>
  <c r="R406"/>
  <c r="P406"/>
  <c r="BI404"/>
  <c r="BH404"/>
  <c r="BG404"/>
  <c r="BF404"/>
  <c r="T404"/>
  <c r="R404"/>
  <c r="P404"/>
  <c r="BI401"/>
  <c r="BH401"/>
  <c r="BG401"/>
  <c r="BF401"/>
  <c r="T401"/>
  <c r="R401"/>
  <c r="P401"/>
  <c r="BI399"/>
  <c r="BH399"/>
  <c r="BG399"/>
  <c r="BF399"/>
  <c r="T399"/>
  <c r="R399"/>
  <c r="P399"/>
  <c r="BI389"/>
  <c r="BH389"/>
  <c r="BG389"/>
  <c r="BF389"/>
  <c r="T389"/>
  <c r="R389"/>
  <c r="P389"/>
  <c r="BI384"/>
  <c r="BH384"/>
  <c r="BG384"/>
  <c r="BF384"/>
  <c r="T384"/>
  <c r="R384"/>
  <c r="P384"/>
  <c r="BI381"/>
  <c r="BH381"/>
  <c r="BG381"/>
  <c r="BF381"/>
  <c r="T381"/>
  <c r="R381"/>
  <c r="P381"/>
  <c r="BI378"/>
  <c r="BH378"/>
  <c r="BG378"/>
  <c r="BF378"/>
  <c r="T378"/>
  <c r="R378"/>
  <c r="P378"/>
  <c r="BI357"/>
  <c r="BH357"/>
  <c r="BG357"/>
  <c r="BF357"/>
  <c r="T357"/>
  <c r="R357"/>
  <c r="P357"/>
  <c r="BI354"/>
  <c r="BH354"/>
  <c r="BG354"/>
  <c r="BF354"/>
  <c r="T354"/>
  <c r="R354"/>
  <c r="P354"/>
  <c r="BI352"/>
  <c r="BH352"/>
  <c r="BG352"/>
  <c r="BF352"/>
  <c r="T352"/>
  <c r="R352"/>
  <c r="P352"/>
  <c r="BI349"/>
  <c r="BH349"/>
  <c r="BG349"/>
  <c r="BF349"/>
  <c r="T349"/>
  <c r="R349"/>
  <c r="P349"/>
  <c r="BI346"/>
  <c r="BH346"/>
  <c r="BG346"/>
  <c r="BF346"/>
  <c r="T346"/>
  <c r="R346"/>
  <c r="P346"/>
  <c r="BI343"/>
  <c r="BH343"/>
  <c r="BG343"/>
  <c r="BF343"/>
  <c r="T343"/>
  <c r="R343"/>
  <c r="P343"/>
  <c r="BI340"/>
  <c r="BH340"/>
  <c r="BG340"/>
  <c r="BF340"/>
  <c r="T340"/>
  <c r="R340"/>
  <c r="P340"/>
  <c r="BI338"/>
  <c r="BH338"/>
  <c r="BG338"/>
  <c r="BF338"/>
  <c r="T338"/>
  <c r="R338"/>
  <c r="P338"/>
  <c r="BI336"/>
  <c r="BH336"/>
  <c r="BG336"/>
  <c r="BF336"/>
  <c r="T336"/>
  <c r="R336"/>
  <c r="P336"/>
  <c r="BI334"/>
  <c r="BH334"/>
  <c r="BG334"/>
  <c r="BF334"/>
  <c r="T334"/>
  <c r="R334"/>
  <c r="P334"/>
  <c r="BI332"/>
  <c r="BH332"/>
  <c r="BG332"/>
  <c r="BF332"/>
  <c r="T332"/>
  <c r="R332"/>
  <c r="P332"/>
  <c r="BI329"/>
  <c r="BH329"/>
  <c r="BG329"/>
  <c r="BF329"/>
  <c r="T329"/>
  <c r="R329"/>
  <c r="P329"/>
  <c r="BI325"/>
  <c r="BH325"/>
  <c r="BG325"/>
  <c r="BF325"/>
  <c r="T325"/>
  <c r="R325"/>
  <c r="P325"/>
  <c r="BI319"/>
  <c r="BH319"/>
  <c r="BG319"/>
  <c r="BF319"/>
  <c r="T319"/>
  <c r="R319"/>
  <c r="P319"/>
  <c r="BI316"/>
  <c r="BH316"/>
  <c r="BG316"/>
  <c r="BF316"/>
  <c r="T316"/>
  <c r="R316"/>
  <c r="P316"/>
  <c r="BI314"/>
  <c r="BH314"/>
  <c r="BG314"/>
  <c r="BF314"/>
  <c r="T314"/>
  <c r="R314"/>
  <c r="P314"/>
  <c r="BI304"/>
  <c r="BH304"/>
  <c r="BG304"/>
  <c r="BF304"/>
  <c r="T304"/>
  <c r="R304"/>
  <c r="P304"/>
  <c r="BI275"/>
  <c r="BH275"/>
  <c r="BG275"/>
  <c r="BF275"/>
  <c r="T275"/>
  <c r="R275"/>
  <c r="P275"/>
  <c r="BI272"/>
  <c r="BH272"/>
  <c r="BG272"/>
  <c r="BF272"/>
  <c r="T272"/>
  <c r="R272"/>
  <c r="P272"/>
  <c r="BI270"/>
  <c r="BH270"/>
  <c r="BG270"/>
  <c r="BF270"/>
  <c r="T270"/>
  <c r="R270"/>
  <c r="P270"/>
  <c r="BI267"/>
  <c r="BH267"/>
  <c r="BG267"/>
  <c r="BF267"/>
  <c r="T267"/>
  <c r="R267"/>
  <c r="P267"/>
  <c r="BI264"/>
  <c r="BH264"/>
  <c r="BG264"/>
  <c r="BF264"/>
  <c r="T264"/>
  <c r="R264"/>
  <c r="P264"/>
  <c r="BI261"/>
  <c r="BH261"/>
  <c r="BG261"/>
  <c r="BF261"/>
  <c r="T261"/>
  <c r="R261"/>
  <c r="P261"/>
  <c r="BI258"/>
  <c r="BH258"/>
  <c r="BG258"/>
  <c r="BF258"/>
  <c r="T258"/>
  <c r="R258"/>
  <c r="P258"/>
  <c r="BI255"/>
  <c r="BH255"/>
  <c r="BG255"/>
  <c r="BF255"/>
  <c r="T255"/>
  <c r="R255"/>
  <c r="P255"/>
  <c r="BI252"/>
  <c r="BH252"/>
  <c r="BG252"/>
  <c r="BF252"/>
  <c r="T252"/>
  <c r="R252"/>
  <c r="P252"/>
  <c r="BI250"/>
  <c r="BH250"/>
  <c r="BG250"/>
  <c r="BF250"/>
  <c r="T250"/>
  <c r="R250"/>
  <c r="P250"/>
  <c r="BI245"/>
  <c r="BH245"/>
  <c r="BG245"/>
  <c r="BF245"/>
  <c r="T245"/>
  <c r="R245"/>
  <c r="P245"/>
  <c r="BI242"/>
  <c r="BH242"/>
  <c r="BG242"/>
  <c r="BF242"/>
  <c r="T242"/>
  <c r="R242"/>
  <c r="P242"/>
  <c r="BI237"/>
  <c r="BH237"/>
  <c r="BG237"/>
  <c r="BF237"/>
  <c r="T237"/>
  <c r="R237"/>
  <c r="P237"/>
  <c r="BI233"/>
  <c r="BH233"/>
  <c r="BG233"/>
  <c r="BF233"/>
  <c r="T233"/>
  <c r="R233"/>
  <c r="P233"/>
  <c r="BI231"/>
  <c r="BH231"/>
  <c r="BG231"/>
  <c r="BF231"/>
  <c r="T231"/>
  <c r="R231"/>
  <c r="P231"/>
  <c r="BI228"/>
  <c r="BH228"/>
  <c r="BG228"/>
  <c r="BF228"/>
  <c r="T228"/>
  <c r="R228"/>
  <c r="P228"/>
  <c r="BI225"/>
  <c r="BH225"/>
  <c r="BG225"/>
  <c r="BF225"/>
  <c r="T225"/>
  <c r="R225"/>
  <c r="P225"/>
  <c r="BI222"/>
  <c r="BH222"/>
  <c r="BG222"/>
  <c r="BF222"/>
  <c r="T222"/>
  <c r="R222"/>
  <c r="P222"/>
  <c r="BI220"/>
  <c r="BH220"/>
  <c r="BG220"/>
  <c r="BF220"/>
  <c r="T220"/>
  <c r="R220"/>
  <c r="P220"/>
  <c r="BI211"/>
  <c r="BH211"/>
  <c r="BG211"/>
  <c r="BF211"/>
  <c r="T211"/>
  <c r="R211"/>
  <c r="P211"/>
  <c r="BI201"/>
  <c r="BH201"/>
  <c r="BG201"/>
  <c r="BF201"/>
  <c r="T201"/>
  <c r="R201"/>
  <c r="P201"/>
  <c r="BI192"/>
  <c r="BH192"/>
  <c r="BG192"/>
  <c r="BF192"/>
  <c r="T192"/>
  <c r="R192"/>
  <c r="P192"/>
  <c r="BI190"/>
  <c r="BH190"/>
  <c r="BG190"/>
  <c r="BF190"/>
  <c r="T190"/>
  <c r="R190"/>
  <c r="P190"/>
  <c r="BI181"/>
  <c r="BH181"/>
  <c r="BG181"/>
  <c r="BF181"/>
  <c r="T181"/>
  <c r="R181"/>
  <c r="P181"/>
  <c r="BI178"/>
  <c r="BH178"/>
  <c r="BG178"/>
  <c r="BF178"/>
  <c r="T178"/>
  <c r="R178"/>
  <c r="P178"/>
  <c r="BI170"/>
  <c r="BH170"/>
  <c r="BG170"/>
  <c r="BF170"/>
  <c r="T170"/>
  <c r="R170"/>
  <c r="P170"/>
  <c r="BI164"/>
  <c r="BH164"/>
  <c r="BG164"/>
  <c r="BF164"/>
  <c r="T164"/>
  <c r="R164"/>
  <c r="P164"/>
  <c r="BI161"/>
  <c r="BH161"/>
  <c r="BG161"/>
  <c r="BF161"/>
  <c r="T161"/>
  <c r="R161"/>
  <c r="P161"/>
  <c r="BI159"/>
  <c r="BH159"/>
  <c r="BG159"/>
  <c r="BF159"/>
  <c r="T159"/>
  <c r="R159"/>
  <c r="P159"/>
  <c r="BI155"/>
  <c r="BH155"/>
  <c r="BG155"/>
  <c r="BF155"/>
  <c r="T155"/>
  <c r="R155"/>
  <c r="P155"/>
  <c r="BI151"/>
  <c r="BH151"/>
  <c r="BG151"/>
  <c r="BF151"/>
  <c r="T151"/>
  <c r="R151"/>
  <c r="P151"/>
  <c r="BI147"/>
  <c r="BH147"/>
  <c r="BG147"/>
  <c r="BF147"/>
  <c r="T147"/>
  <c r="R147"/>
  <c r="P147"/>
  <c r="BI141"/>
  <c r="BH141"/>
  <c r="BG141"/>
  <c r="BF141"/>
  <c r="T141"/>
  <c r="R141"/>
  <c r="P141"/>
  <c r="BI136"/>
  <c r="BH136"/>
  <c r="BG136"/>
  <c r="BF136"/>
  <c r="T136"/>
  <c r="R136"/>
  <c r="P136"/>
  <c r="BI133"/>
  <c r="BH133"/>
  <c r="BG133"/>
  <c r="BF133"/>
  <c r="T133"/>
  <c r="R133"/>
  <c r="P133"/>
  <c r="BI130"/>
  <c r="BH130"/>
  <c r="BG130"/>
  <c r="BF130"/>
  <c r="T130"/>
  <c r="R130"/>
  <c r="P130"/>
  <c r="BI126"/>
  <c r="BH126"/>
  <c r="BG126"/>
  <c r="BF126"/>
  <c r="T126"/>
  <c r="R126"/>
  <c r="P126"/>
  <c r="BI120"/>
  <c r="BH120"/>
  <c r="BG120"/>
  <c r="BF120"/>
  <c r="T120"/>
  <c r="R120"/>
  <c r="P120"/>
  <c r="BI116"/>
  <c r="BH116"/>
  <c r="BG116"/>
  <c r="BF116"/>
  <c r="T116"/>
  <c r="R116"/>
  <c r="P116"/>
  <c r="BI111"/>
  <c r="BH111"/>
  <c r="BG111"/>
  <c r="BF111"/>
  <c r="T111"/>
  <c r="R111"/>
  <c r="P111"/>
  <c r="BI108"/>
  <c r="BH108"/>
  <c r="BG108"/>
  <c r="BF108"/>
  <c r="T108"/>
  <c r="R108"/>
  <c r="P108"/>
  <c r="J101"/>
  <c r="F101"/>
  <c r="F99"/>
  <c r="E97"/>
  <c r="J54"/>
  <c r="F54"/>
  <c r="F52"/>
  <c r="E50"/>
  <c r="J24"/>
  <c r="E24"/>
  <c r="J102"/>
  <c r="J23"/>
  <c r="J18"/>
  <c r="E18"/>
  <c r="F102"/>
  <c r="J17"/>
  <c r="J12"/>
  <c r="J52"/>
  <c r="E7"/>
  <c r="E95"/>
  <c i="1" r="L50"/>
  <c r="AM50"/>
  <c r="AM49"/>
  <c r="L49"/>
  <c r="AM47"/>
  <c r="L47"/>
  <c r="L45"/>
  <c r="L44"/>
  <c i="2" r="J1108"/>
  <c r="J1040"/>
  <c r="BK902"/>
  <c r="J847"/>
  <c r="BK783"/>
  <c r="J767"/>
  <c r="J733"/>
  <c r="BK707"/>
  <c r="J690"/>
  <c r="J628"/>
  <c r="J529"/>
  <c r="J424"/>
  <c r="BK228"/>
  <c r="BK136"/>
  <c r="BK1245"/>
  <c r="BK1209"/>
  <c r="BK1141"/>
  <c r="J1063"/>
  <c r="BK1025"/>
  <c r="BK995"/>
  <c r="J952"/>
  <c r="BK913"/>
  <c r="J885"/>
  <c r="BK809"/>
  <c r="BK767"/>
  <c r="BK713"/>
  <c r="J666"/>
  <c r="J534"/>
  <c r="J457"/>
  <c r="BK332"/>
  <c r="BK258"/>
  <c r="J222"/>
  <c r="BK1253"/>
  <c r="BK1204"/>
  <c r="J1143"/>
  <c r="J1097"/>
  <c r="J1004"/>
  <c r="J959"/>
  <c r="BK910"/>
  <c r="J856"/>
  <c r="BK751"/>
  <c r="BK732"/>
  <c r="J699"/>
  <c r="BK681"/>
  <c r="BK597"/>
  <c r="J488"/>
  <c r="BK426"/>
  <c r="J346"/>
  <c r="BK245"/>
  <c r="J151"/>
  <c r="BK130"/>
  <c r="BK1214"/>
  <c r="J1160"/>
  <c r="BK1143"/>
  <c r="BK1124"/>
  <c r="BK1060"/>
  <c r="J1025"/>
  <c r="BK974"/>
  <c r="J923"/>
  <c r="BK878"/>
  <c r="J842"/>
  <c r="J783"/>
  <c r="BK719"/>
  <c r="BK673"/>
  <c r="BK625"/>
  <c r="BK547"/>
  <c r="J469"/>
  <c r="BK440"/>
  <c r="J401"/>
  <c r="BK354"/>
  <c r="J272"/>
  <c r="BK252"/>
  <c r="J116"/>
  <c r="BK1218"/>
  <c r="BK1152"/>
  <c r="BK1118"/>
  <c r="BK1097"/>
  <c r="J1044"/>
  <c r="BK1010"/>
  <c r="BK964"/>
  <c r="BK893"/>
  <c r="BK864"/>
  <c r="J727"/>
  <c r="J709"/>
  <c r="BK678"/>
  <c r="BK659"/>
  <c r="BK619"/>
  <c r="BK578"/>
  <c r="BK529"/>
  <c r="BK467"/>
  <c r="J381"/>
  <c r="BK343"/>
  <c r="J319"/>
  <c r="BK250"/>
  <c r="J220"/>
  <c r="BK155"/>
  <c r="J1072"/>
  <c r="J1010"/>
  <c r="J985"/>
  <c r="BK923"/>
  <c r="BK853"/>
  <c r="J770"/>
  <c r="BK748"/>
  <c r="J717"/>
  <c r="J676"/>
  <c r="BK628"/>
  <c r="J547"/>
  <c r="BK420"/>
  <c r="J264"/>
  <c r="BK178"/>
  <c i="3" r="BK291"/>
  <c r="J268"/>
  <c r="J252"/>
  <c r="J214"/>
  <c r="J202"/>
  <c r="J164"/>
  <c r="J147"/>
  <c r="J283"/>
  <c r="BK252"/>
  <c r="BK215"/>
  <c r="BK191"/>
  <c r="J171"/>
  <c r="BK158"/>
  <c r="BK281"/>
  <c r="BK249"/>
  <c r="J213"/>
  <c r="J191"/>
  <c r="J170"/>
  <c r="BK151"/>
  <c r="J298"/>
  <c r="J275"/>
  <c r="J230"/>
  <c r="J206"/>
  <c r="BK174"/>
  <c r="BK101"/>
  <c r="J249"/>
  <c r="BK210"/>
  <c r="BK203"/>
  <c r="J189"/>
  <c r="BK176"/>
  <c r="BK171"/>
  <c r="BK167"/>
  <c r="J159"/>
  <c r="BK145"/>
  <c r="J264"/>
  <c r="BK170"/>
  <c r="BK106"/>
  <c i="4" r="J123"/>
  <c r="BK118"/>
  <c r="BK89"/>
  <c r="BK134"/>
  <c r="J126"/>
  <c r="J115"/>
  <c r="BK104"/>
  <c r="BK97"/>
  <c r="J137"/>
  <c r="J124"/>
  <c r="BK110"/>
  <c r="J96"/>
  <c r="BK84"/>
  <c r="J133"/>
  <c r="BK123"/>
  <c r="J104"/>
  <c r="J87"/>
  <c r="BK138"/>
  <c r="J119"/>
  <c r="J95"/>
  <c r="BK88"/>
  <c r="J125"/>
  <c r="J107"/>
  <c r="BK96"/>
  <c i="5" r="J227"/>
  <c r="J218"/>
  <c r="J195"/>
  <c r="BK178"/>
  <c r="J163"/>
  <c r="BK151"/>
  <c r="J138"/>
  <c r="J117"/>
  <c r="J104"/>
  <c r="BK97"/>
  <c r="BK221"/>
  <c r="BK187"/>
  <c r="BK175"/>
  <c r="BK170"/>
  <c r="J154"/>
  <c r="J147"/>
  <c r="BK135"/>
  <c r="BK130"/>
  <c r="BK125"/>
  <c r="BK107"/>
  <c r="BK103"/>
  <c r="BK223"/>
  <c r="J221"/>
  <c r="BK203"/>
  <c r="J187"/>
  <c r="BK180"/>
  <c r="BK162"/>
  <c r="J153"/>
  <c r="J145"/>
  <c r="J134"/>
  <c r="J120"/>
  <c r="BK114"/>
  <c r="J102"/>
  <c r="J225"/>
  <c r="J222"/>
  <c r="BK206"/>
  <c r="J202"/>
  <c r="J185"/>
  <c r="BK167"/>
  <c r="J158"/>
  <c r="BK150"/>
  <c r="BK149"/>
  <c r="J127"/>
  <c r="BK119"/>
  <c r="J108"/>
  <c r="J100"/>
  <c r="BK211"/>
  <c r="J196"/>
  <c r="BK183"/>
  <c r="J168"/>
  <c r="J146"/>
  <c r="BK134"/>
  <c r="BK112"/>
  <c r="J106"/>
  <c r="J208"/>
  <c r="BK195"/>
  <c r="BK185"/>
  <c r="BK168"/>
  <c r="BK160"/>
  <c r="BK131"/>
  <c r="BK120"/>
  <c r="BK113"/>
  <c i="6" r="BK229"/>
  <c r="J214"/>
  <c r="J201"/>
  <c r="BK191"/>
  <c r="J174"/>
  <c r="J150"/>
  <c r="J127"/>
  <c r="J229"/>
  <c r="J219"/>
  <c r="BK212"/>
  <c r="J206"/>
  <c r="BK188"/>
  <c r="BK171"/>
  <c r="J155"/>
  <c r="J139"/>
  <c r="BK126"/>
  <c r="BK237"/>
  <c r="BK219"/>
  <c r="BK199"/>
  <c r="J179"/>
  <c r="J157"/>
  <c r="BK147"/>
  <c r="BK127"/>
  <c r="BK118"/>
  <c r="BK232"/>
  <c r="J212"/>
  <c r="BK196"/>
  <c r="BK163"/>
  <c r="BK144"/>
  <c r="BK129"/>
  <c r="J235"/>
  <c r="J227"/>
  <c r="BK208"/>
  <c r="J199"/>
  <c r="BK172"/>
  <c r="BK157"/>
  <c r="J125"/>
  <c r="BK206"/>
  <c r="BK167"/>
  <c r="J126"/>
  <c i="7" r="BK110"/>
  <c r="J118"/>
  <c r="BK104"/>
  <c r="BK98"/>
  <c r="J114"/>
  <c i="8" r="J144"/>
  <c r="J152"/>
  <c r="J158"/>
  <c r="BK145"/>
  <c r="J124"/>
  <c r="BK148"/>
  <c r="BK108"/>
  <c r="J103"/>
  <c i="9" r="BK332"/>
  <c r="BK296"/>
  <c r="J243"/>
  <c r="J218"/>
  <c r="J163"/>
  <c r="BK132"/>
  <c r="J92"/>
  <c r="J273"/>
  <c r="J265"/>
  <c r="BK244"/>
  <c r="BK195"/>
  <c r="BK138"/>
  <c r="J98"/>
  <c r="J315"/>
  <c r="BK269"/>
  <c r="J232"/>
  <c r="J189"/>
  <c r="J156"/>
  <c r="BK130"/>
  <c r="J94"/>
  <c r="BK329"/>
  <c r="J252"/>
  <c r="BK238"/>
  <c r="J177"/>
  <c r="J145"/>
  <c r="J329"/>
  <c r="BK319"/>
  <c r="BK267"/>
  <c r="J227"/>
  <c r="BK317"/>
  <c r="J263"/>
  <c r="BK227"/>
  <c r="J169"/>
  <c r="BK128"/>
  <c r="BK98"/>
  <c i="10" r="BK197"/>
  <c r="J174"/>
  <c r="J144"/>
  <c r="BK108"/>
  <c r="BK215"/>
  <c r="J198"/>
  <c r="BK186"/>
  <c r="BK144"/>
  <c r="J208"/>
  <c r="BK178"/>
  <c r="BK152"/>
  <c r="J124"/>
  <c r="J96"/>
  <c r="BK206"/>
  <c r="BK194"/>
  <c r="J172"/>
  <c r="BK116"/>
  <c r="BK98"/>
  <c r="J176"/>
  <c r="BK136"/>
  <c r="BK112"/>
  <c r="BK179"/>
  <c r="J152"/>
  <c r="BK120"/>
  <c i="11" r="J110"/>
  <c r="J90"/>
  <c r="BK93"/>
  <c r="BK103"/>
  <c i="2" r="BK1094"/>
  <c r="J1048"/>
  <c r="J1000"/>
  <c r="J934"/>
  <c r="BK884"/>
  <c r="J773"/>
  <c r="BK756"/>
  <c r="J713"/>
  <c r="J673"/>
  <c r="BK605"/>
  <c r="BK457"/>
  <c r="BK422"/>
  <c r="BK304"/>
  <c r="J181"/>
  <c r="BK1247"/>
  <c r="BK1212"/>
  <c r="BK1121"/>
  <c r="J1058"/>
  <c r="J1012"/>
  <c r="BK976"/>
  <c r="BK940"/>
  <c r="BK899"/>
  <c r="BK871"/>
  <c r="BK813"/>
  <c r="J751"/>
  <c r="J696"/>
  <c r="J606"/>
  <c r="J474"/>
  <c r="J338"/>
  <c r="J250"/>
  <c r="BK159"/>
  <c r="J1250"/>
  <c r="J1206"/>
  <c r="BK1160"/>
  <c r="J1118"/>
  <c r="J1032"/>
  <c r="J976"/>
  <c r="BK934"/>
  <c r="BK908"/>
  <c r="BK868"/>
  <c r="BK805"/>
  <c r="BK733"/>
  <c r="J707"/>
  <c r="BK668"/>
  <c r="J653"/>
  <c r="J605"/>
  <c r="BK557"/>
  <c r="BK459"/>
  <c r="J422"/>
  <c r="BK378"/>
  <c r="J275"/>
  <c r="BK231"/>
  <c r="BK147"/>
  <c r="BK108"/>
  <c r="J1212"/>
  <c r="J1162"/>
  <c r="J1111"/>
  <c r="J1056"/>
  <c r="BK982"/>
  <c r="BK930"/>
  <c r="J868"/>
  <c r="J827"/>
  <c r="J762"/>
  <c r="J742"/>
  <c r="J694"/>
  <c r="BK650"/>
  <c r="BK586"/>
  <c r="J433"/>
  <c r="J384"/>
  <c r="J343"/>
  <c r="BK261"/>
  <c r="BK181"/>
  <c r="J108"/>
  <c r="J1199"/>
  <c r="BK1138"/>
  <c r="BK1106"/>
  <c r="BK1046"/>
  <c r="J982"/>
  <c r="J940"/>
  <c r="J913"/>
  <c r="J887"/>
  <c r="J852"/>
  <c r="BK786"/>
  <c r="J711"/>
  <c r="J688"/>
  <c r="BK653"/>
  <c r="BK615"/>
  <c r="J559"/>
  <c r="BK477"/>
  <c r="J420"/>
  <c r="BK346"/>
  <c r="J329"/>
  <c r="J270"/>
  <c r="J231"/>
  <c r="BK164"/>
  <c r="BK1136"/>
  <c r="J1083"/>
  <c r="BK1044"/>
  <c r="BK980"/>
  <c r="J918"/>
  <c r="J850"/>
  <c r="J765"/>
  <c r="BK736"/>
  <c r="BK690"/>
  <c r="BK641"/>
  <c r="J586"/>
  <c r="BK480"/>
  <c r="J336"/>
  <c r="J211"/>
  <c r="BK133"/>
  <c i="1" r="AS54"/>
  <c i="3" r="BK149"/>
  <c r="BK286"/>
  <c r="BK250"/>
  <c r="J211"/>
  <c r="BK180"/>
  <c r="BK156"/>
  <c r="BK293"/>
  <c r="BK266"/>
  <c r="BK221"/>
  <c r="BK206"/>
  <c r="BK177"/>
  <c r="BK160"/>
  <c r="J109"/>
  <c r="BK295"/>
  <c r="J262"/>
  <c r="J233"/>
  <c r="J204"/>
  <c r="BK154"/>
  <c r="J266"/>
  <c r="BK236"/>
  <c r="J207"/>
  <c r="BK200"/>
  <c r="BK183"/>
  <c r="J173"/>
  <c r="BK169"/>
  <c r="BK164"/>
  <c r="J156"/>
  <c r="BK124"/>
  <c r="J258"/>
  <c r="BK241"/>
  <c r="BK220"/>
  <c r="BK211"/>
  <c r="J187"/>
  <c r="BK168"/>
  <c r="J162"/>
  <c r="J149"/>
  <c r="BK141"/>
  <c i="4" r="J128"/>
  <c r="BK119"/>
  <c r="BK102"/>
  <c r="J88"/>
  <c r="BK131"/>
  <c r="BK124"/>
  <c r="J111"/>
  <c r="BK101"/>
  <c r="J85"/>
  <c r="BK126"/>
  <c r="BK113"/>
  <c r="J94"/>
  <c r="BK81"/>
  <c r="J131"/>
  <c r="J117"/>
  <c r="J101"/>
  <c r="J83"/>
  <c r="BK114"/>
  <c r="J100"/>
  <c r="BK91"/>
  <c r="BK127"/>
  <c r="BK112"/>
  <c r="BK95"/>
  <c i="5" r="BK226"/>
  <c r="J217"/>
  <c r="BK196"/>
  <c r="BK182"/>
  <c r="BK174"/>
  <c i="6" r="J190"/>
  <c r="J161"/>
  <c r="BK122"/>
  <c r="J181"/>
  <c r="BK155"/>
  <c i="7" r="J123"/>
  <c r="BK87"/>
  <c r="J107"/>
  <c r="J104"/>
  <c r="BK90"/>
  <c i="8" r="BK129"/>
  <c r="BK154"/>
  <c r="BK111"/>
  <c r="BK95"/>
  <c r="BK127"/>
  <c r="J138"/>
  <c r="J129"/>
  <c i="9" r="J317"/>
  <c r="J278"/>
  <c r="J247"/>
  <c r="J222"/>
  <c r="J159"/>
  <c r="BK104"/>
  <c r="J305"/>
  <c r="J255"/>
  <c r="BK222"/>
  <c r="J149"/>
  <c r="J114"/>
  <c r="J308"/>
  <c r="BK246"/>
  <c r="BK220"/>
  <c r="J168"/>
  <c r="J342"/>
  <c r="J325"/>
  <c r="J294"/>
  <c r="BK265"/>
  <c r="BK230"/>
  <c r="J204"/>
  <c r="BK156"/>
  <c r="J108"/>
  <c r="BK325"/>
  <c r="BK300"/>
  <c r="J272"/>
  <c r="J235"/>
  <c r="J289"/>
  <c r="BK255"/>
  <c r="J195"/>
  <c r="J147"/>
  <c r="J100"/>
  <c i="10" r="J202"/>
  <c r="BK175"/>
  <c r="BK146"/>
  <c r="J104"/>
  <c r="BK210"/>
  <c r="J194"/>
  <c r="J159"/>
  <c r="BK192"/>
  <c r="BK157"/>
  <c r="BK127"/>
  <c r="BK106"/>
  <c r="J217"/>
  <c r="BK198"/>
  <c r="J182"/>
  <c r="J157"/>
  <c r="J112"/>
  <c r="J185"/>
  <c r="J127"/>
  <c r="BK185"/>
  <c r="J136"/>
  <c r="J94"/>
  <c i="11" r="BK88"/>
  <c r="BK95"/>
  <c r="J88"/>
  <c r="BK100"/>
  <c i="2" r="J1146"/>
  <c r="BK1038"/>
  <c r="BK944"/>
  <c r="J928"/>
  <c r="BK872"/>
  <c r="BK831"/>
  <c r="BK780"/>
  <c r="BK758"/>
  <c r="BK709"/>
  <c r="J698"/>
  <c r="J655"/>
  <c r="J578"/>
  <c r="J448"/>
  <c r="BK336"/>
  <c r="J192"/>
  <c r="BK1250"/>
  <c r="BK1217"/>
  <c r="BK1162"/>
  <c r="BK1091"/>
  <c r="BK1022"/>
  <c r="J970"/>
  <c r="BK938"/>
  <c r="J905"/>
  <c r="J839"/>
  <c r="J780"/>
  <c r="J681"/>
  <c r="J625"/>
  <c r="J480"/>
  <c r="BK399"/>
  <c r="J314"/>
  <c r="J170"/>
  <c r="J1214"/>
  <c r="J1165"/>
  <c r="J1100"/>
  <c r="BK1042"/>
  <c r="J962"/>
  <c r="BK928"/>
  <c r="J896"/>
  <c r="J794"/>
  <c r="BK720"/>
  <c r="BK663"/>
  <c r="J641"/>
  <c r="J615"/>
  <c r="BK545"/>
  <c r="BK451"/>
  <c r="J404"/>
  <c r="J325"/>
  <c r="BK211"/>
  <c r="J133"/>
  <c r="J1201"/>
  <c r="J1152"/>
  <c r="BK1131"/>
  <c r="J1075"/>
  <c r="J1042"/>
  <c r="J1016"/>
  <c r="BK970"/>
  <c r="J920"/>
  <c r="J809"/>
  <c r="J760"/>
  <c r="BK715"/>
  <c r="BK655"/>
  <c r="BK606"/>
  <c r="BK488"/>
  <c r="BK424"/>
  <c r="J378"/>
  <c r="J334"/>
  <c r="J258"/>
  <c r="J161"/>
  <c r="J1238"/>
  <c r="BK1206"/>
  <c r="J1129"/>
  <c r="J1060"/>
  <c r="J1019"/>
  <c r="BK1004"/>
  <c r="BK931"/>
  <c r="BK896"/>
  <c r="J866"/>
  <c r="J831"/>
  <c r="J732"/>
  <c r="BK705"/>
  <c r="BK660"/>
  <c r="BK630"/>
  <c r="BK594"/>
  <c r="BK527"/>
  <c r="BK448"/>
  <c r="BK389"/>
  <c r="BK340"/>
  <c r="J304"/>
  <c r="BK264"/>
  <c r="J228"/>
  <c r="BK116"/>
  <c r="BK1085"/>
  <c r="J1038"/>
  <c r="BK993"/>
  <c r="BK905"/>
  <c r="BK842"/>
  <c r="BK760"/>
  <c r="BK722"/>
  <c r="BK688"/>
  <c r="BK636"/>
  <c r="J572"/>
  <c r="J340"/>
  <c r="BK237"/>
  <c r="J136"/>
  <c r="BK120"/>
  <c i="3" r="J281"/>
  <c r="BK254"/>
  <c r="BK209"/>
  <c r="BK185"/>
  <c r="J145"/>
  <c r="BK258"/>
  <c r="BK227"/>
  <c r="J209"/>
  <c r="BK166"/>
  <c r="BK127"/>
  <c r="J285"/>
  <c r="J241"/>
  <c r="J208"/>
  <c r="J172"/>
  <c r="BK143"/>
  <c r="J101"/>
  <c r="J291"/>
  <c r="BK268"/>
  <c r="BK219"/>
  <c r="J115"/>
  <c r="BK279"/>
  <c r="J154"/>
  <c r="J254"/>
  <c r="BK233"/>
  <c r="J223"/>
  <c r="BK208"/>
  <c r="BK172"/>
  <c r="BK161"/>
  <c r="J151"/>
  <c r="BK109"/>
  <c i="4" r="BK125"/>
  <c r="BK106"/>
  <c r="J90"/>
  <c r="BK132"/>
  <c r="J118"/>
  <c r="J110"/>
  <c r="BK86"/>
  <c r="J136"/>
  <c r="BK121"/>
  <c r="BK108"/>
  <c r="BK92"/>
  <c r="J139"/>
  <c r="BK130"/>
  <c r="J106"/>
  <c r="BK90"/>
  <c r="J82"/>
  <c r="J122"/>
  <c r="BK107"/>
  <c r="J92"/>
  <c r="BK80"/>
  <c r="BK115"/>
  <c r="J98"/>
  <c r="J89"/>
  <c i="5" r="BK225"/>
  <c r="J210"/>
  <c r="J184"/>
  <c r="BK164"/>
  <c r="J148"/>
  <c r="BK137"/>
  <c r="J107"/>
  <c r="BK95"/>
  <c r="BK215"/>
  <c r="BK184"/>
  <c r="J160"/>
  <c r="J150"/>
  <c r="BK138"/>
  <c r="BK128"/>
  <c r="J122"/>
  <c r="J98"/>
  <c r="BK208"/>
  <c r="BK197"/>
  <c r="J178"/>
  <c r="BK158"/>
  <c r="BK148"/>
  <c r="BK139"/>
  <c r="J124"/>
  <c r="BK104"/>
  <c r="J95"/>
  <c r="J223"/>
  <c r="J209"/>
  <c r="J193"/>
  <c r="BK172"/>
  <c r="J151"/>
  <c r="J128"/>
  <c r="J114"/>
  <c r="BK98"/>
  <c r="J206"/>
  <c r="J180"/>
  <c r="J149"/>
  <c r="J137"/>
  <c r="BK133"/>
  <c r="BK110"/>
  <c r="BK202"/>
  <c r="J170"/>
  <c r="BK147"/>
  <c r="J126"/>
  <c r="BK108"/>
  <c i="6" r="BK222"/>
  <c r="J197"/>
  <c r="BK184"/>
  <c r="J153"/>
  <c r="J135"/>
  <c r="BK227"/>
  <c r="J215"/>
  <c r="J207"/>
  <c r="J191"/>
  <c r="J182"/>
  <c r="BK152"/>
  <c r="BK128"/>
  <c r="BK119"/>
  <c r="BK224"/>
  <c r="BK197"/>
  <c r="J163"/>
  <c r="BK133"/>
  <c r="J123"/>
  <c r="BK235"/>
  <c r="J222"/>
  <c r="BK205"/>
  <c r="BK173"/>
  <c r="J159"/>
  <c r="J131"/>
  <c r="J232"/>
  <c r="J211"/>
  <c r="J205"/>
  <c r="BK181"/>
  <c r="J140"/>
  <c r="J213"/>
  <c r="J193"/>
  <c r="BK175"/>
  <c r="BK146"/>
  <c i="7" r="J116"/>
  <c r="J90"/>
  <c r="BK118"/>
  <c i="8" r="J136"/>
  <c r="BK158"/>
  <c r="J127"/>
  <c r="J108"/>
  <c r="BK131"/>
  <c r="J90"/>
  <c r="BK136"/>
  <c r="J98"/>
  <c i="9" r="BK308"/>
  <c r="BK263"/>
  <c r="J238"/>
  <c r="BK204"/>
  <c r="BK183"/>
  <c r="BK119"/>
  <c r="BK92"/>
  <c r="BK294"/>
  <c r="BK243"/>
  <c r="J193"/>
  <c r="BK163"/>
  <c r="J132"/>
  <c r="J96"/>
  <c r="J332"/>
  <c r="J321"/>
  <c r="J298"/>
  <c r="BK281"/>
  <c r="BK253"/>
  <c r="BK247"/>
  <c r="J215"/>
  <c r="J171"/>
  <c r="BK134"/>
  <c r="J327"/>
  <c r="J283"/>
  <c r="BK250"/>
  <c r="BK96"/>
  <c r="J270"/>
  <c r="J230"/>
  <c r="J183"/>
  <c r="J134"/>
  <c r="J104"/>
  <c i="10" r="J189"/>
  <c r="BK169"/>
  <c r="BK138"/>
  <c r="BK219"/>
  <c r="J191"/>
  <c r="BK164"/>
  <c r="BK100"/>
  <c r="BK183"/>
  <c r="J142"/>
  <c r="J120"/>
  <c r="J98"/>
  <c r="BK200"/>
  <c r="J183"/>
  <c r="J166"/>
  <c r="BK142"/>
  <c r="J110"/>
  <c r="BK148"/>
  <c r="BK104"/>
  <c r="J180"/>
  <c r="J114"/>
  <c i="11" r="J93"/>
  <c r="BK86"/>
  <c r="BK110"/>
  <c i="2" r="BK1063"/>
  <c r="J1030"/>
  <c r="J954"/>
  <c r="J908"/>
  <c r="BK861"/>
  <c r="J823"/>
  <c r="BK770"/>
  <c r="J722"/>
  <c r="BK701"/>
  <c r="J659"/>
  <c r="J557"/>
  <c r="J440"/>
  <c r="BK401"/>
  <c r="BK201"/>
  <c r="BK126"/>
  <c r="BK1238"/>
  <c r="BK1165"/>
  <c r="BK1100"/>
  <c r="J1052"/>
  <c r="J980"/>
  <c r="J942"/>
  <c r="J893"/>
  <c r="BK856"/>
  <c r="BK773"/>
  <c r="BK686"/>
  <c r="J636"/>
  <c r="BK536"/>
  <c r="J459"/>
  <c r="J354"/>
  <c r="J267"/>
  <c r="BK225"/>
  <c r="J147"/>
  <c r="J1217"/>
  <c r="BK1193"/>
  <c r="J1141"/>
  <c r="J1094"/>
  <c r="BK1019"/>
  <c r="J974"/>
  <c r="BK942"/>
  <c r="J879"/>
  <c r="BK852"/>
  <c r="J739"/>
  <c r="J725"/>
  <c r="BK694"/>
  <c r="J662"/>
  <c r="J619"/>
  <c r="J536"/>
  <c r="BK443"/>
  <c r="J357"/>
  <c r="J237"/>
  <c r="J155"/>
  <c r="J120"/>
  <c r="J1245"/>
  <c r="J1193"/>
  <c r="J1148"/>
  <c r="J995"/>
  <c r="J938"/>
  <c r="J864"/>
  <c r="BK801"/>
  <c r="J736"/>
  <c r="BK698"/>
  <c r="BK647"/>
  <c r="BK572"/>
  <c r="J477"/>
  <c r="J399"/>
  <c r="BK338"/>
  <c r="J255"/>
  <c r="BK151"/>
  <c r="J1209"/>
  <c r="BK1146"/>
  <c r="BK1075"/>
  <c r="BK1016"/>
  <c r="BK952"/>
  <c r="BK918"/>
  <c r="BK839"/>
  <c r="BK765"/>
  <c r="J720"/>
  <c r="J692"/>
  <c r="BK662"/>
  <c r="BK645"/>
  <c r="BK603"/>
  <c r="J545"/>
  <c r="BK469"/>
  <c r="J443"/>
  <c r="J349"/>
  <c r="BK334"/>
  <c r="BK272"/>
  <c r="BK242"/>
  <c r="J178"/>
  <c r="J1124"/>
  <c r="BK1048"/>
  <c r="J931"/>
  <c r="J871"/>
  <c r="BK797"/>
  <c r="J758"/>
  <c r="BK711"/>
  <c r="J645"/>
  <c r="BK559"/>
  <c r="BK433"/>
  <c r="J201"/>
  <c r="J126"/>
  <c i="3" r="J272"/>
  <c r="J260"/>
  <c r="J239"/>
  <c r="BK187"/>
  <c r="BK173"/>
  <c r="J161"/>
  <c r="BK137"/>
  <c r="J256"/>
  <c r="BK223"/>
  <c r="BK202"/>
  <c r="BK175"/>
  <c r="J165"/>
  <c r="BK92"/>
  <c r="BK272"/>
  <c r="J219"/>
  <c r="J183"/>
  <c r="BK115"/>
  <c r="J295"/>
  <c r="J236"/>
  <c r="BK212"/>
  <c r="J180"/>
  <c r="BK288"/>
  <c r="J163"/>
  <c r="J270"/>
  <c r="BK246"/>
  <c r="J225"/>
  <c r="BK213"/>
  <c r="BK197"/>
  <c r="J175"/>
  <c r="J166"/>
  <c r="J157"/>
  <c r="BK147"/>
  <c i="4" r="BK137"/>
  <c r="BK120"/>
  <c r="J99"/>
  <c r="J80"/>
  <c r="J130"/>
  <c r="BK122"/>
  <c r="J113"/>
  <c r="J102"/>
  <c r="BK139"/>
  <c r="J132"/>
  <c r="J116"/>
  <c r="BK103"/>
  <c r="J91"/>
  <c r="J138"/>
  <c r="BK129"/>
  <c r="BK111"/>
  <c r="J103"/>
  <c r="J84"/>
  <c r="BK128"/>
  <c r="BK109"/>
  <c r="J93"/>
  <c r="BK85"/>
  <c r="BK117"/>
  <c r="J105"/>
  <c r="BK83"/>
  <c i="5" r="BK222"/>
  <c r="BK209"/>
  <c r="BK186"/>
  <c r="BK176"/>
  <c r="J162"/>
  <c r="BK143"/>
  <c r="BK124"/>
  <c r="BK115"/>
  <c r="J103"/>
  <c r="BK218"/>
  <c r="J186"/>
  <c r="J172"/>
  <c r="BK152"/>
  <c r="J140"/>
  <c r="BK132"/>
  <c r="J113"/>
  <c r="BK166"/>
  <c r="J152"/>
  <c r="J125"/>
  <c r="J110"/>
  <c r="J99"/>
  <c r="J203"/>
  <c r="J188"/>
  <c r="J167"/>
  <c r="J111"/>
  <c r="J211"/>
  <c r="BK194"/>
  <c r="BK163"/>
  <c r="J135"/>
  <c r="J115"/>
  <c i="6" r="J224"/>
  <c r="BK204"/>
  <c r="BK176"/>
  <c r="BK145"/>
  <c r="BK140"/>
  <c r="BK120"/>
  <c r="BK226"/>
  <c r="BK210"/>
  <c r="J196"/>
  <c r="J184"/>
  <c r="BK150"/>
  <c r="BK121"/>
  <c r="J217"/>
  <c r="J188"/>
  <c r="BK159"/>
  <c r="J145"/>
  <c r="BK125"/>
  <c r="J230"/>
  <c r="BK203"/>
  <c r="J176"/>
  <c r="BK153"/>
  <c r="J128"/>
  <c r="BK230"/>
  <c r="BK207"/>
  <c r="BK194"/>
  <c r="J143"/>
  <c r="BK123"/>
  <c r="J204"/>
  <c r="BK178"/>
  <c r="J148"/>
  <c i="7" r="BK114"/>
  <c r="J95"/>
  <c r="J98"/>
  <c r="J87"/>
  <c i="8" r="J149"/>
  <c r="BK90"/>
  <c r="J135"/>
  <c r="J121"/>
  <c r="J141"/>
  <c r="BK103"/>
  <c r="J145"/>
  <c r="J95"/>
  <c i="9" r="BK342"/>
  <c r="J281"/>
  <c r="BK235"/>
  <c r="BK201"/>
  <c r="BK145"/>
  <c r="J119"/>
  <c r="BK315"/>
  <c r="BK283"/>
  <c r="J269"/>
  <c r="J250"/>
  <c r="BK208"/>
  <c r="BK143"/>
  <c r="BK106"/>
  <c r="BK323"/>
  <c r="BK270"/>
  <c r="J208"/>
  <c r="BK177"/>
  <c r="J141"/>
  <c r="BK122"/>
  <c r="BK335"/>
  <c r="J319"/>
  <c r="J285"/>
  <c r="BK232"/>
  <c r="J206"/>
  <c r="BK169"/>
  <c r="J335"/>
  <c r="BK285"/>
  <c r="J257"/>
  <c r="BK108"/>
  <c r="BK272"/>
  <c r="J249"/>
  <c r="J153"/>
  <c r="BK125"/>
  <c i="10" r="BK217"/>
  <c r="BK195"/>
  <c r="BK172"/>
  <c r="J130"/>
  <c r="BK212"/>
  <c r="BK188"/>
  <c r="BK122"/>
  <c r="J197"/>
  <c r="BK166"/>
  <c r="BK134"/>
  <c r="BK114"/>
  <c r="J212"/>
  <c r="BK191"/>
  <c r="BK176"/>
  <c r="J146"/>
  <c r="J106"/>
  <c r="J178"/>
  <c r="BK168"/>
  <c r="J140"/>
  <c r="J116"/>
  <c r="BK159"/>
  <c r="BK150"/>
  <c r="J108"/>
  <c i="11" r="BK90"/>
  <c r="J100"/>
  <c r="J98"/>
  <c r="BK106"/>
  <c i="2" r="BK1129"/>
  <c r="BK1012"/>
  <c r="J945"/>
  <c r="BK850"/>
  <c r="J791"/>
  <c r="BK742"/>
  <c r="J703"/>
  <c r="J663"/>
  <c r="J601"/>
  <c r="J467"/>
  <c r="J426"/>
  <c r="BK352"/>
  <c r="BK190"/>
  <c r="J1253"/>
  <c r="J1218"/>
  <c r="BK1155"/>
  <c r="BK1072"/>
  <c r="BK1030"/>
  <c r="J1007"/>
  <c r="J956"/>
  <c r="BK925"/>
  <c r="BK866"/>
  <c r="J805"/>
  <c r="J756"/>
  <c r="BK703"/>
  <c r="J639"/>
  <c r="J591"/>
  <c r="BK474"/>
  <c r="BK404"/>
  <c r="BK329"/>
  <c r="J252"/>
  <c r="J141"/>
  <c r="BK1201"/>
  <c r="J1121"/>
  <c r="BK1052"/>
  <c r="BK998"/>
  <c r="BK956"/>
  <c r="J925"/>
  <c r="J902"/>
  <c r="J853"/>
  <c r="BK745"/>
  <c r="BK696"/>
  <c r="BK676"/>
  <c r="J650"/>
  <c r="J603"/>
  <c r="BK454"/>
  <c r="BK417"/>
  <c r="BK349"/>
  <c r="BK270"/>
  <c r="BK170"/>
  <c r="J111"/>
  <c r="J1204"/>
  <c r="BK1157"/>
  <c r="J1136"/>
  <c r="BK1083"/>
  <c r="J1022"/>
  <c r="BK962"/>
  <c r="BK885"/>
  <c r="J858"/>
  <c r="J786"/>
  <c r="J745"/>
  <c r="BK699"/>
  <c r="J668"/>
  <c r="BK639"/>
  <c r="BK534"/>
  <c r="J454"/>
  <c r="BK406"/>
  <c r="BK357"/>
  <c r="BK325"/>
  <c r="BK233"/>
  <c r="BK1221"/>
  <c r="J1155"/>
  <c r="J1131"/>
  <c r="J1088"/>
  <c r="BK1040"/>
  <c r="J987"/>
  <c r="J944"/>
  <c r="BK890"/>
  <c r="J861"/>
  <c r="BK791"/>
  <c r="BK725"/>
  <c r="BK384"/>
  <c r="J316"/>
  <c r="J233"/>
  <c r="BK192"/>
  <c r="J1091"/>
  <c r="BK1058"/>
  <c r="BK1000"/>
  <c r="BK968"/>
  <c r="BK879"/>
  <c r="BK794"/>
  <c r="BK739"/>
  <c r="J701"/>
  <c r="BK666"/>
  <c r="BK591"/>
  <c r="J508"/>
  <c r="BK316"/>
  <c r="J242"/>
  <c r="J190"/>
  <c r="J130"/>
  <c i="3" r="J286"/>
  <c r="BK264"/>
  <c r="J248"/>
  <c r="BK207"/>
  <c r="J176"/>
  <c r="BK162"/>
  <c r="J124"/>
  <c r="BK270"/>
  <c r="J217"/>
  <c r="J197"/>
  <c r="J168"/>
  <c r="J137"/>
  <c r="J279"/>
  <c r="J220"/>
  <c r="J200"/>
  <c r="J174"/>
  <c r="BK159"/>
  <c r="J106"/>
  <c r="BK283"/>
  <c r="J250"/>
  <c r="J221"/>
  <c r="J205"/>
  <c r="J92"/>
  <c r="BK244"/>
  <c r="J212"/>
  <c i="5" r="BK193"/>
  <c r="J175"/>
  <c r="BK157"/>
  <c r="BK141"/>
  <c r="J130"/>
  <c r="BK109"/>
  <c r="J226"/>
  <c r="J213"/>
  <c r="J201"/>
  <c r="J182"/>
  <c r="J164"/>
  <c r="BK153"/>
  <c r="J141"/>
  <c r="J123"/>
  <c r="J101"/>
  <c r="BK213"/>
  <c r="BK199"/>
  <c r="J174"/>
  <c r="J165"/>
  <c r="J136"/>
  <c r="BK123"/>
  <c r="BK102"/>
  <c r="BK201"/>
  <c r="J190"/>
  <c r="J166"/>
  <c r="J139"/>
  <c r="BK122"/>
  <c r="BK111"/>
  <c i="6" r="BK215"/>
  <c r="BK193"/>
  <c r="J173"/>
  <c r="BK142"/>
  <c r="J119"/>
  <c r="BK213"/>
  <c r="J194"/>
  <c r="BK169"/>
  <c r="J146"/>
  <c r="J122"/>
  <c r="J233"/>
  <c r="J202"/>
  <c r="J172"/>
  <c r="J152"/>
  <c r="J129"/>
  <c r="J237"/>
  <c r="BK214"/>
  <c r="J186"/>
  <c r="J165"/>
  <c r="J147"/>
  <c r="J124"/>
  <c r="BK217"/>
  <c r="BK202"/>
  <c r="J175"/>
  <c r="J142"/>
  <c r="J220"/>
  <c r="J203"/>
  <c r="BK174"/>
  <c r="BK143"/>
  <c i="7" r="BK107"/>
  <c r="J121"/>
  <c r="BK95"/>
  <c r="BK121"/>
  <c i="8" r="J154"/>
  <c r="BK124"/>
  <c r="BK146"/>
  <c r="BK141"/>
  <c r="BK135"/>
  <c r="BK152"/>
  <c r="J131"/>
  <c i="9" r="BK338"/>
  <c r="BK305"/>
  <c r="BK257"/>
  <c r="J225"/>
  <c r="J191"/>
  <c r="J143"/>
  <c r="BK102"/>
  <c r="BK276"/>
  <c r="J267"/>
  <c r="BK141"/>
  <c r="BK100"/>
  <c r="BK298"/>
  <c r="J201"/>
  <c r="BK171"/>
  <c r="BK161"/>
  <c r="J138"/>
  <c r="J125"/>
  <c r="J338"/>
  <c r="J323"/>
  <c r="J300"/>
  <c r="J287"/>
  <c r="BK273"/>
  <c r="J246"/>
  <c r="J220"/>
  <c r="J161"/>
  <c r="BK94"/>
  <c r="BK321"/>
  <c r="J276"/>
  <c r="J244"/>
  <c r="J102"/>
  <c r="BK278"/>
  <c r="BK252"/>
  <c r="BK193"/>
  <c r="BK149"/>
  <c r="J122"/>
  <c i="10" r="J215"/>
  <c r="J179"/>
  <c r="BK96"/>
  <c r="J206"/>
  <c r="J171"/>
  <c r="BK110"/>
  <c r="J200"/>
  <c r="BK174"/>
  <c r="J138"/>
  <c r="J102"/>
  <c r="J210"/>
  <c r="BK189"/>
  <c r="J168"/>
  <c r="J134"/>
  <c r="BK204"/>
  <c r="J169"/>
  <c r="BK154"/>
  <c r="BK94"/>
  <c r="BK163"/>
  <c r="J148"/>
  <c i="11" r="BK98"/>
  <c r="J106"/>
  <c r="J103"/>
  <c r="J108"/>
  <c r="J86"/>
  <c i="2" r="BK1050"/>
  <c r="J1046"/>
  <c r="BK1007"/>
  <c r="J930"/>
  <c r="J890"/>
  <c r="BK858"/>
  <c r="J813"/>
  <c r="BK762"/>
  <c r="BK717"/>
  <c r="J686"/>
  <c r="J597"/>
  <c r="BK446"/>
  <c r="J417"/>
  <c r="BK222"/>
  <c r="J1256"/>
  <c r="J1221"/>
  <c r="BK1199"/>
  <c r="J1106"/>
  <c r="BK1054"/>
  <c r="BK985"/>
  <c r="J964"/>
  <c r="J936"/>
  <c r="BK887"/>
  <c r="J835"/>
  <c r="J797"/>
  <c r="J719"/>
  <c r="J671"/>
  <c r="BK601"/>
  <c r="BK508"/>
  <c r="J451"/>
  <c r="BK319"/>
  <c r="J245"/>
  <c r="J1247"/>
  <c r="J1196"/>
  <c r="J1157"/>
  <c r="BK1111"/>
  <c r="J1050"/>
  <c r="J993"/>
  <c r="BK954"/>
  <c r="BK920"/>
  <c r="J872"/>
  <c r="BK835"/>
  <c r="BK727"/>
  <c r="J678"/>
  <c r="J660"/>
  <c r="J630"/>
  <c r="J594"/>
  <c r="J464"/>
  <c r="BK381"/>
  <c r="J332"/>
  <c r="BK255"/>
  <c r="J164"/>
  <c r="BK141"/>
  <c r="BK1256"/>
  <c r="BK1196"/>
  <c r="J1138"/>
  <c r="J1085"/>
  <c r="BK1032"/>
  <c r="BK987"/>
  <c r="BK945"/>
  <c r="J884"/>
  <c r="BK847"/>
  <c r="J801"/>
  <c r="J748"/>
  <c r="J705"/>
  <c r="BK671"/>
  <c r="J612"/>
  <c r="J527"/>
  <c r="J446"/>
  <c r="J389"/>
  <c r="J352"/>
  <c r="BK267"/>
  <c r="BK220"/>
  <c r="BK111"/>
  <c r="BK1148"/>
  <c r="BK1108"/>
  <c r="BK1056"/>
  <c r="J968"/>
  <c r="BK936"/>
  <c r="J899"/>
  <c r="J878"/>
  <c r="BK827"/>
  <c r="J754"/>
  <c r="J715"/>
  <c r="J406"/>
  <c r="BK275"/>
  <c r="J261"/>
  <c r="J225"/>
  <c r="J159"/>
  <c r="BK1088"/>
  <c r="J1054"/>
  <c r="J998"/>
  <c r="BK959"/>
  <c r="J910"/>
  <c r="BK823"/>
  <c r="BK754"/>
  <c r="BK692"/>
  <c r="J647"/>
  <c r="BK612"/>
  <c r="BK464"/>
  <c r="BK314"/>
  <c r="BK161"/>
  <c i="3" r="J293"/>
  <c r="BK285"/>
  <c r="BK262"/>
  <c r="J244"/>
  <c r="BK204"/>
  <c r="BK165"/>
  <c r="BK157"/>
  <c r="BK277"/>
  <c r="BK239"/>
  <c r="BK214"/>
  <c r="BK189"/>
  <c r="BK163"/>
  <c r="J288"/>
  <c r="BK256"/>
  <c r="BK225"/>
  <c r="J210"/>
  <c r="BK194"/>
  <c r="J169"/>
  <c r="J127"/>
  <c r="BK298"/>
  <c r="J277"/>
  <c r="J246"/>
  <c r="J215"/>
  <c r="J185"/>
  <c r="J141"/>
  <c r="BK260"/>
  <c r="J227"/>
  <c r="BK205"/>
  <c r="J194"/>
  <c r="J158"/>
  <c r="BK275"/>
  <c r="BK248"/>
  <c r="BK230"/>
  <c r="BK217"/>
  <c r="J203"/>
  <c r="J177"/>
  <c r="J167"/>
  <c r="J160"/>
  <c r="J143"/>
  <c i="4" r="BK136"/>
  <c r="J121"/>
  <c r="J109"/>
  <c r="BK94"/>
  <c r="J135"/>
  <c r="J129"/>
  <c r="BK116"/>
  <c r="BK105"/>
  <c r="BK99"/>
  <c r="BK82"/>
  <c r="BK135"/>
  <c r="J114"/>
  <c r="J97"/>
  <c r="BK87"/>
  <c r="BK133"/>
  <c r="J127"/>
  <c r="J108"/>
  <c r="BK93"/>
  <c r="J134"/>
  <c r="J112"/>
  <c r="BK98"/>
  <c r="J81"/>
  <c r="J120"/>
  <c r="BK100"/>
  <c r="J86"/>
  <c i="5" r="BK219"/>
  <c r="J197"/>
  <c r="J192"/>
  <c r="J177"/>
  <c r="BK155"/>
  <c r="BK140"/>
  <c r="BK121"/>
  <c r="BK106"/>
  <c r="BK99"/>
  <c r="BK227"/>
  <c r="BK190"/>
  <c r="BK177"/>
  <c r="J155"/>
  <c r="BK145"/>
  <c r="J133"/>
  <c r="BK126"/>
  <c r="J112"/>
  <c r="J97"/>
  <c r="BK217"/>
  <c r="J199"/>
  <c r="J183"/>
  <c r="BK165"/>
  <c r="J156"/>
  <c r="BK146"/>
  <c r="J131"/>
  <c r="BK117"/>
  <c r="BK100"/>
  <c r="BK210"/>
  <c r="J204"/>
  <c r="BK188"/>
  <c r="J173"/>
  <c r="BK154"/>
  <c r="BK136"/>
  <c r="J121"/>
  <c r="J109"/>
  <c r="J219"/>
  <c r="J194"/>
  <c r="BK173"/>
  <c r="BK156"/>
  <c r="J143"/>
  <c r="J132"/>
  <c r="J215"/>
  <c r="BK204"/>
  <c r="BK192"/>
  <c r="J176"/>
  <c r="J157"/>
  <c r="BK127"/>
  <c r="J119"/>
  <c r="BK101"/>
  <c i="6" r="J210"/>
  <c r="J178"/>
  <c r="J144"/>
  <c r="J121"/>
  <c r="BK220"/>
  <c r="J208"/>
  <c r="BK186"/>
  <c r="BK165"/>
  <c r="BK135"/>
  <c r="BK124"/>
  <c r="J226"/>
  <c r="BK190"/>
  <c r="J167"/>
  <c r="BK148"/>
  <c r="J120"/>
  <c r="BK233"/>
  <c r="J209"/>
  <c r="BK182"/>
  <c r="BK161"/>
  <c r="J133"/>
  <c r="J118"/>
  <c r="BK209"/>
  <c r="BK201"/>
  <c r="J169"/>
  <c r="BK131"/>
  <c r="BK211"/>
  <c r="BK179"/>
  <c r="J171"/>
  <c r="BK139"/>
  <c i="7" r="J110"/>
  <c r="BK123"/>
  <c r="BK116"/>
  <c i="8" r="J146"/>
  <c r="BK98"/>
  <c r="BK138"/>
  <c r="BK149"/>
  <c r="J148"/>
  <c r="BK121"/>
  <c r="BK144"/>
  <c r="J111"/>
  <c i="9" r="BK327"/>
  <c r="J259"/>
  <c r="BK189"/>
  <c r="BK153"/>
  <c r="BK111"/>
  <c r="BK289"/>
  <c r="J253"/>
  <c r="BK215"/>
  <c r="BK191"/>
  <c r="J111"/>
  <c r="BK324"/>
  <c r="BK261"/>
  <c r="BK225"/>
  <c r="BK147"/>
  <c r="BK249"/>
  <c r="BK218"/>
  <c r="BK168"/>
  <c r="J128"/>
  <c r="J324"/>
  <c r="BK287"/>
  <c r="J261"/>
  <c r="BK114"/>
  <c r="J296"/>
  <c r="BK259"/>
  <c r="BK206"/>
  <c r="BK159"/>
  <c r="J130"/>
  <c r="J106"/>
  <c i="10" r="J204"/>
  <c r="BK180"/>
  <c r="J150"/>
  <c r="BK118"/>
  <c r="J100"/>
  <c r="BK208"/>
  <c r="J195"/>
  <c r="J175"/>
  <c r="BK102"/>
  <c r="J188"/>
  <c r="J163"/>
  <c r="BK140"/>
  <c r="J118"/>
  <c r="J219"/>
  <c r="BK202"/>
  <c r="J186"/>
  <c r="BK171"/>
  <c r="BK130"/>
  <c r="BK182"/>
  <c r="J164"/>
  <c r="J122"/>
  <c r="J192"/>
  <c r="J154"/>
  <c r="BK124"/>
  <c i="11" r="J95"/>
  <c r="BK108"/>
  <c r="F37"/>
  <c i="2" l="1" r="BK150"/>
  <c r="J150"/>
  <c r="J62"/>
  <c r="P236"/>
  <c r="T328"/>
  <c r="BK450"/>
  <c r="J450"/>
  <c r="J67"/>
  <c r="P649"/>
  <c r="R685"/>
  <c r="BK769"/>
  <c r="J769"/>
  <c r="J75"/>
  <c r="P860"/>
  <c r="T958"/>
  <c r="P1110"/>
  <c r="R1164"/>
  <c r="BK1249"/>
  <c r="J1249"/>
  <c r="J84"/>
  <c i="3" r="BK91"/>
  <c r="T140"/>
  <c r="BK251"/>
  <c r="J251"/>
  <c r="J67"/>
  <c r="T290"/>
  <c i="4" r="R79"/>
  <c i="5" r="BK116"/>
  <c r="J116"/>
  <c r="J61"/>
  <c r="R142"/>
  <c r="BK169"/>
  <c r="J169"/>
  <c r="J64"/>
  <c r="R179"/>
  <c r="BK198"/>
  <c r="J198"/>
  <c r="J67"/>
  <c r="R205"/>
  <c r="T216"/>
  <c r="BK224"/>
  <c r="J224"/>
  <c r="J73"/>
  <c i="6" r="T117"/>
  <c r="P138"/>
  <c r="T138"/>
  <c r="BK151"/>
  <c r="J151"/>
  <c r="J67"/>
  <c r="BK177"/>
  <c r="J177"/>
  <c r="J77"/>
  <c r="P180"/>
  <c r="T189"/>
  <c r="P195"/>
  <c r="T195"/>
  <c r="P228"/>
  <c r="T231"/>
  <c i="7" r="T120"/>
  <c i="8" r="T89"/>
  <c r="R151"/>
  <c i="9" r="R91"/>
  <c r="R152"/>
  <c r="R182"/>
  <c r="P229"/>
  <c r="R229"/>
  <c r="R256"/>
  <c i="10" r="P93"/>
  <c r="P92"/>
  <c i="2" r="P107"/>
  <c r="R150"/>
  <c r="BK348"/>
  <c r="J348"/>
  <c r="J65"/>
  <c r="T348"/>
  <c r="P445"/>
  <c r="T445"/>
  <c r="BK649"/>
  <c r="J649"/>
  <c r="J71"/>
  <c r="BK724"/>
  <c r="J724"/>
  <c r="J74"/>
  <c r="R769"/>
  <c r="P796"/>
  <c r="P841"/>
  <c r="BK958"/>
  <c r="J958"/>
  <c r="J79"/>
  <c r="R1062"/>
  <c r="BK1164"/>
  <c r="J1164"/>
  <c r="J82"/>
  <c r="R1220"/>
  <c r="T1249"/>
  <c i="3" r="BK199"/>
  <c r="J199"/>
  <c r="J66"/>
  <c r="R251"/>
  <c i="5" r="R94"/>
  <c r="BK142"/>
  <c r="J142"/>
  <c r="J62"/>
  <c r="R159"/>
  <c r="T169"/>
  <c r="R189"/>
  <c r="BK205"/>
  <c r="J205"/>
  <c r="J68"/>
  <c r="R216"/>
  <c r="R224"/>
  <c i="6" r="BK130"/>
  <c r="J130"/>
  <c r="J62"/>
  <c r="BK141"/>
  <c r="J141"/>
  <c r="J65"/>
  <c r="T151"/>
  <c r="T170"/>
  <c r="R180"/>
  <c r="P189"/>
  <c r="T192"/>
  <c r="P200"/>
  <c r="P218"/>
  <c r="BK225"/>
  <c r="J225"/>
  <c r="J91"/>
  <c r="R228"/>
  <c i="7" r="BK86"/>
  <c r="J86"/>
  <c r="J61"/>
  <c r="BK113"/>
  <c r="J113"/>
  <c r="J63"/>
  <c r="BK120"/>
  <c r="J120"/>
  <c r="J64"/>
  <c i="8" r="BK126"/>
  <c r="J126"/>
  <c r="J62"/>
  <c r="T126"/>
  <c r="T151"/>
  <c i="9" r="P91"/>
  <c r="BK152"/>
  <c r="J152"/>
  <c r="J63"/>
  <c r="P182"/>
  <c r="BK237"/>
  <c r="J237"/>
  <c r="J66"/>
  <c r="P256"/>
  <c i="10" r="R93"/>
  <c r="R92"/>
  <c r="T133"/>
  <c r="T162"/>
  <c r="BK214"/>
  <c r="J214"/>
  <c r="J71"/>
  <c i="2" r="BK107"/>
  <c r="J107"/>
  <c r="J61"/>
  <c r="BK236"/>
  <c r="J236"/>
  <c r="J63"/>
  <c r="R328"/>
  <c r="R450"/>
  <c r="T618"/>
  <c r="P685"/>
  <c r="P724"/>
  <c r="T769"/>
  <c r="T796"/>
  <c r="T841"/>
  <c r="R958"/>
  <c r="BK1110"/>
  <c r="J1110"/>
  <c r="J81"/>
  <c r="T1164"/>
  <c r="P1249"/>
  <c i="3" r="P91"/>
  <c r="P90"/>
  <c r="R140"/>
  <c r="P251"/>
  <c r="R290"/>
  <c i="4" r="T79"/>
  <c i="5" r="P116"/>
  <c r="T142"/>
  <c r="R169"/>
  <c r="BK189"/>
  <c r="J189"/>
  <c r="J66"/>
  <c r="T198"/>
  <c r="R220"/>
  <c i="6" r="P130"/>
  <c r="T141"/>
  <c r="P177"/>
  <c r="T180"/>
  <c r="P192"/>
  <c r="R200"/>
  <c r="R218"/>
  <c r="BK228"/>
  <c r="J228"/>
  <c r="J92"/>
  <c r="R231"/>
  <c i="7" r="P113"/>
  <c r="P120"/>
  <c i="9" r="BK91"/>
  <c r="J91"/>
  <c r="J61"/>
  <c r="P137"/>
  <c r="R137"/>
  <c r="T152"/>
  <c r="BK256"/>
  <c r="J256"/>
  <c r="J67"/>
  <c r="BK326"/>
  <c r="J326"/>
  <c r="J68"/>
  <c r="R326"/>
  <c i="10" r="BK93"/>
  <c r="J93"/>
  <c r="J61"/>
  <c r="BK156"/>
  <c r="J156"/>
  <c r="J67"/>
  <c r="R162"/>
  <c r="T199"/>
  <c i="11" r="T85"/>
  <c r="BK97"/>
  <c r="J97"/>
  <c r="J62"/>
  <c i="2" r="R107"/>
  <c r="T150"/>
  <c r="BK328"/>
  <c r="J328"/>
  <c r="J64"/>
  <c r="T450"/>
  <c r="R618"/>
  <c r="BK685"/>
  <c r="J685"/>
  <c r="J73"/>
  <c r="T724"/>
  <c r="BK796"/>
  <c r="J796"/>
  <c r="J76"/>
  <c r="BK841"/>
  <c r="J841"/>
  <c r="J77"/>
  <c r="T860"/>
  <c r="P1062"/>
  <c r="T1110"/>
  <c r="P1220"/>
  <c i="3" r="P140"/>
  <c r="R199"/>
  <c r="BK290"/>
  <c r="J290"/>
  <c r="J68"/>
  <c i="4" r="P79"/>
  <c i="1" r="AU57"/>
  <c i="5" r="P94"/>
  <c r="T116"/>
  <c r="P159"/>
  <c r="BK179"/>
  <c r="J179"/>
  <c r="J65"/>
  <c r="T189"/>
  <c r="P205"/>
  <c r="BK216"/>
  <c r="J216"/>
  <c r="J71"/>
  <c r="P220"/>
  <c r="T224"/>
  <c i="6" r="P117"/>
  <c r="P116"/>
  <c r="T130"/>
  <c r="R141"/>
  <c r="BK170"/>
  <c r="J170"/>
  <c r="J76"/>
  <c r="R177"/>
  <c r="BK189"/>
  <c r="J189"/>
  <c r="J82"/>
  <c r="BK192"/>
  <c r="J192"/>
  <c r="J83"/>
  <c r="BK200"/>
  <c r="J200"/>
  <c r="J86"/>
  <c r="T218"/>
  <c r="T225"/>
  <c r="T228"/>
  <c i="7" r="R86"/>
  <c r="R113"/>
  <c i="8" r="R89"/>
  <c r="R88"/>
  <c r="R87"/>
  <c r="R126"/>
  <c r="R134"/>
  <c i="9" r="BK137"/>
  <c r="J137"/>
  <c r="J62"/>
  <c r="T137"/>
  <c r="BK182"/>
  <c r="J182"/>
  <c r="J64"/>
  <c r="BK229"/>
  <c r="J229"/>
  <c r="J65"/>
  <c r="T229"/>
  <c r="T237"/>
  <c r="P326"/>
  <c i="10" r="BK133"/>
  <c r="BK132"/>
  <c r="J132"/>
  <c r="J65"/>
  <c r="P156"/>
  <c r="R156"/>
  <c r="T156"/>
  <c r="R199"/>
  <c r="T214"/>
  <c i="11" r="R85"/>
  <c r="R92"/>
  <c r="R97"/>
  <c i="2" r="T107"/>
  <c r="T236"/>
  <c r="P348"/>
  <c r="R348"/>
  <c r="BK445"/>
  <c r="J445"/>
  <c r="J66"/>
  <c r="R445"/>
  <c r="BK618"/>
  <c r="J618"/>
  <c r="J70"/>
  <c r="T649"/>
  <c r="T685"/>
  <c r="P769"/>
  <c r="R796"/>
  <c r="R841"/>
  <c r="R860"/>
  <c r="BK1062"/>
  <c r="J1062"/>
  <c r="J80"/>
  <c r="R1110"/>
  <c r="BK1220"/>
  <c r="J1220"/>
  <c r="J83"/>
  <c r="R1249"/>
  <c i="3" r="T91"/>
  <c r="T90"/>
  <c r="BK140"/>
  <c r="BK139"/>
  <c r="J139"/>
  <c r="J64"/>
  <c r="T199"/>
  <c r="P290"/>
  <c i="4" r="BK79"/>
  <c r="J79"/>
  <c r="J59"/>
  <c i="5" r="T94"/>
  <c r="P142"/>
  <c r="T159"/>
  <c r="P179"/>
  <c r="P189"/>
  <c r="R198"/>
  <c r="BK220"/>
  <c r="J220"/>
  <c r="J72"/>
  <c r="P224"/>
  <c i="6" r="R117"/>
  <c r="BK138"/>
  <c r="J138"/>
  <c r="J64"/>
  <c r="R138"/>
  <c r="P151"/>
  <c r="R170"/>
  <c r="BK180"/>
  <c r="J180"/>
  <c r="J78"/>
  <c r="R189"/>
  <c r="BK195"/>
  <c r="J195"/>
  <c r="J84"/>
  <c r="R195"/>
  <c r="BK218"/>
  <c r="J218"/>
  <c r="J88"/>
  <c r="P225"/>
  <c r="P231"/>
  <c i="7" r="P86"/>
  <c r="P85"/>
  <c r="P84"/>
  <c i="1" r="AU60"/>
  <c i="7" r="T113"/>
  <c i="8" r="P89"/>
  <c r="P126"/>
  <c r="P134"/>
  <c r="BK151"/>
  <c r="J151"/>
  <c r="J65"/>
  <c i="9" r="R237"/>
  <c i="10" r="R133"/>
  <c r="R132"/>
  <c r="P162"/>
  <c r="P161"/>
  <c r="P199"/>
  <c r="R214"/>
  <c i="11" r="P85"/>
  <c r="P92"/>
  <c r="P97"/>
  <c r="BK105"/>
  <c r="J105"/>
  <c r="J64"/>
  <c i="2" r="P150"/>
  <c r="R236"/>
  <c r="P328"/>
  <c r="P450"/>
  <c r="P618"/>
  <c r="R649"/>
  <c r="R724"/>
  <c r="BK860"/>
  <c r="J860"/>
  <c r="J78"/>
  <c r="P958"/>
  <c r="T1062"/>
  <c r="P1164"/>
  <c r="T1220"/>
  <c i="3" r="R91"/>
  <c r="R90"/>
  <c r="P199"/>
  <c r="T251"/>
  <c i="5" r="BK94"/>
  <c r="J94"/>
  <c r="J60"/>
  <c r="R116"/>
  <c r="BK159"/>
  <c r="J159"/>
  <c r="J63"/>
  <c r="P169"/>
  <c r="T179"/>
  <c r="P198"/>
  <c r="T205"/>
  <c r="P216"/>
  <c r="T220"/>
  <c i="6" r="BK117"/>
  <c r="J117"/>
  <c r="J61"/>
  <c r="R130"/>
  <c r="P141"/>
  <c r="R151"/>
  <c r="P170"/>
  <c r="T177"/>
  <c r="R192"/>
  <c r="T200"/>
  <c r="R225"/>
  <c r="BK231"/>
  <c r="J231"/>
  <c r="J93"/>
  <c i="7" r="T86"/>
  <c r="T85"/>
  <c r="T84"/>
  <c r="R120"/>
  <c i="8" r="BK89"/>
  <c r="BK134"/>
  <c r="J134"/>
  <c r="J64"/>
  <c r="T134"/>
  <c r="P151"/>
  <c i="9" r="T91"/>
  <c r="P152"/>
  <c r="T182"/>
  <c r="P237"/>
  <c r="T256"/>
  <c r="T326"/>
  <c i="10" r="T93"/>
  <c r="T92"/>
  <c r="P133"/>
  <c r="P132"/>
  <c r="BK162"/>
  <c r="BK161"/>
  <c r="J161"/>
  <c r="J68"/>
  <c r="BK199"/>
  <c r="J199"/>
  <c r="J70"/>
  <c r="P214"/>
  <c i="11" r="BK85"/>
  <c r="BK92"/>
  <c r="J92"/>
  <c r="J61"/>
  <c r="T92"/>
  <c r="T97"/>
  <c r="P105"/>
  <c r="R105"/>
  <c r="T105"/>
  <c i="2" r="BK614"/>
  <c r="J614"/>
  <c r="J68"/>
  <c r="BK680"/>
  <c r="J680"/>
  <c r="J72"/>
  <c i="6" r="BK156"/>
  <c r="J156"/>
  <c r="J69"/>
  <c r="BK162"/>
  <c r="J162"/>
  <c r="J72"/>
  <c r="BK168"/>
  <c r="J168"/>
  <c r="J75"/>
  <c r="BK216"/>
  <c r="J216"/>
  <c r="J87"/>
  <c r="BK221"/>
  <c r="J221"/>
  <c r="J89"/>
  <c i="9" r="BK341"/>
  <c r="J341"/>
  <c r="J69"/>
  <c i="10" r="BK129"/>
  <c r="J129"/>
  <c r="J64"/>
  <c i="3" r="BK126"/>
  <c r="J126"/>
  <c r="J62"/>
  <c r="BK297"/>
  <c r="J297"/>
  <c r="J69"/>
  <c i="6" r="BK158"/>
  <c r="J158"/>
  <c r="J70"/>
  <c r="BK166"/>
  <c r="J166"/>
  <c r="J74"/>
  <c r="BK164"/>
  <c r="J164"/>
  <c r="J73"/>
  <c r="BK185"/>
  <c r="J185"/>
  <c r="J80"/>
  <c r="BK223"/>
  <c r="J223"/>
  <c r="J90"/>
  <c i="7" r="BK109"/>
  <c r="J109"/>
  <c r="J62"/>
  <c i="2" r="BK1255"/>
  <c r="J1255"/>
  <c r="J85"/>
  <c i="6" r="BK149"/>
  <c r="J149"/>
  <c r="J66"/>
  <c r="BK160"/>
  <c r="J160"/>
  <c r="J71"/>
  <c i="5" r="BK212"/>
  <c r="J212"/>
  <c r="J69"/>
  <c r="BK214"/>
  <c r="J214"/>
  <c r="J70"/>
  <c i="6" r="BK154"/>
  <c r="J154"/>
  <c r="J68"/>
  <c r="BK198"/>
  <c r="J198"/>
  <c r="J85"/>
  <c i="8" r="BK130"/>
  <c r="J130"/>
  <c r="J63"/>
  <c r="BK157"/>
  <c r="J157"/>
  <c r="J67"/>
  <c i="10" r="BK123"/>
  <c r="J123"/>
  <c r="J62"/>
  <c i="3" r="BK136"/>
  <c r="J136"/>
  <c r="J63"/>
  <c i="6" r="BK183"/>
  <c r="J183"/>
  <c r="J79"/>
  <c r="BK187"/>
  <c r="J187"/>
  <c r="J81"/>
  <c r="BK234"/>
  <c r="J234"/>
  <c r="J94"/>
  <c r="BK236"/>
  <c r="J236"/>
  <c r="J95"/>
  <c i="10" r="BK126"/>
  <c r="J126"/>
  <c r="J63"/>
  <c i="11" r="BK102"/>
  <c r="J102"/>
  <c r="J63"/>
  <c i="10" r="J133"/>
  <c r="J66"/>
  <c i="11" r="F55"/>
  <c r="BE88"/>
  <c r="BE90"/>
  <c r="BE95"/>
  <c r="BE98"/>
  <c r="BE106"/>
  <c r="BE108"/>
  <c r="BE110"/>
  <c i="10" r="J162"/>
  <c r="J69"/>
  <c i="11" r="BE93"/>
  <c i="10" r="BK92"/>
  <c r="J92"/>
  <c r="J60"/>
  <c i="11" r="J52"/>
  <c r="E74"/>
  <c r="J55"/>
  <c r="BE86"/>
  <c r="BE100"/>
  <c r="BE103"/>
  <c i="1" r="BD64"/>
  <c i="9" r="BK90"/>
  <c r="BK89"/>
  <c r="J89"/>
  <c r="J59"/>
  <c i="10" r="F55"/>
  <c r="J85"/>
  <c r="BE106"/>
  <c r="BE118"/>
  <c r="BE127"/>
  <c r="BE130"/>
  <c r="BE157"/>
  <c r="BE183"/>
  <c r="E48"/>
  <c r="BE102"/>
  <c r="BE110"/>
  <c r="BE120"/>
  <c r="BE124"/>
  <c r="BE134"/>
  <c r="BE146"/>
  <c r="BE179"/>
  <c r="BE186"/>
  <c r="BE188"/>
  <c r="BE206"/>
  <c r="BE210"/>
  <c r="BE94"/>
  <c r="BE114"/>
  <c r="BE140"/>
  <c r="BE144"/>
  <c r="BE154"/>
  <c r="BE169"/>
  <c r="BE175"/>
  <c r="BE192"/>
  <c r="BE195"/>
  <c r="BE197"/>
  <c r="BE208"/>
  <c r="BE100"/>
  <c r="BE112"/>
  <c r="BE116"/>
  <c r="BE122"/>
  <c r="BE136"/>
  <c r="BE150"/>
  <c r="BE159"/>
  <c r="BE164"/>
  <c r="BE172"/>
  <c r="BE176"/>
  <c r="BE180"/>
  <c r="BE182"/>
  <c r="BE191"/>
  <c r="BE202"/>
  <c r="BE212"/>
  <c r="BE96"/>
  <c r="BE98"/>
  <c r="BE104"/>
  <c r="BE108"/>
  <c r="BE138"/>
  <c r="BE163"/>
  <c r="BE166"/>
  <c r="BE174"/>
  <c r="BE178"/>
  <c r="BE185"/>
  <c r="BE189"/>
  <c r="BE204"/>
  <c r="BE215"/>
  <c r="BE217"/>
  <c r="BE219"/>
  <c r="BE142"/>
  <c r="BE148"/>
  <c r="BE152"/>
  <c r="BE168"/>
  <c r="BE171"/>
  <c r="BE194"/>
  <c r="BE198"/>
  <c r="BE200"/>
  <c i="8" r="BK156"/>
  <c r="J156"/>
  <c r="J66"/>
  <c i="9" r="J55"/>
  <c r="BE111"/>
  <c r="BE119"/>
  <c r="BE134"/>
  <c r="BE138"/>
  <c r="BE143"/>
  <c r="BE153"/>
  <c r="BE161"/>
  <c r="BE163"/>
  <c r="BE168"/>
  <c r="BE169"/>
  <c r="BE189"/>
  <c r="BE208"/>
  <c r="BE243"/>
  <c r="BE247"/>
  <c r="BE250"/>
  <c r="BE257"/>
  <c r="BE269"/>
  <c r="BE287"/>
  <c r="BE294"/>
  <c r="BE298"/>
  <c r="BE315"/>
  <c r="BE319"/>
  <c r="BE323"/>
  <c r="BE325"/>
  <c i="8" r="J89"/>
  <c r="J61"/>
  <c i="9" r="F55"/>
  <c r="BE94"/>
  <c r="BE100"/>
  <c r="BE106"/>
  <c r="BE222"/>
  <c r="BE225"/>
  <c r="BE270"/>
  <c r="BE281"/>
  <c r="BE305"/>
  <c r="BE317"/>
  <c r="BE327"/>
  <c r="BE332"/>
  <c r="BE335"/>
  <c r="BE338"/>
  <c r="BE342"/>
  <c r="J52"/>
  <c r="E79"/>
  <c r="BE92"/>
  <c r="BE122"/>
  <c r="BE132"/>
  <c r="BE141"/>
  <c r="BE159"/>
  <c r="BE195"/>
  <c r="BE201"/>
  <c r="BE235"/>
  <c r="BE255"/>
  <c r="BE261"/>
  <c r="BE263"/>
  <c r="BE278"/>
  <c r="BE296"/>
  <c r="BE329"/>
  <c r="BE98"/>
  <c r="BE104"/>
  <c r="BE108"/>
  <c r="BE128"/>
  <c r="BE183"/>
  <c r="BE191"/>
  <c r="BE230"/>
  <c r="BE238"/>
  <c r="BE244"/>
  <c r="BE249"/>
  <c r="BE259"/>
  <c r="BE265"/>
  <c r="BE267"/>
  <c r="BE283"/>
  <c r="BE285"/>
  <c r="BE321"/>
  <c r="BE96"/>
  <c r="BE102"/>
  <c r="BE125"/>
  <c r="BE145"/>
  <c r="BE147"/>
  <c r="BE177"/>
  <c r="BE218"/>
  <c r="BE220"/>
  <c r="BE227"/>
  <c r="BE232"/>
  <c r="BE272"/>
  <c r="BE308"/>
  <c r="BE324"/>
  <c r="BE114"/>
  <c r="BE130"/>
  <c r="BE149"/>
  <c r="BE156"/>
  <c r="BE171"/>
  <c r="BE193"/>
  <c r="BE204"/>
  <c r="BE206"/>
  <c r="BE215"/>
  <c r="BE246"/>
  <c r="BE252"/>
  <c r="BE253"/>
  <c r="BE273"/>
  <c r="BE276"/>
  <c r="BE289"/>
  <c r="BE300"/>
  <c i="8" r="F55"/>
  <c r="J81"/>
  <c r="BE108"/>
  <c r="BE135"/>
  <c r="BE154"/>
  <c r="BE98"/>
  <c r="BE111"/>
  <c r="BE129"/>
  <c r="BE136"/>
  <c r="BE138"/>
  <c r="BE146"/>
  <c r="BE152"/>
  <c i="7" r="BK85"/>
  <c r="J85"/>
  <c r="J60"/>
  <c i="8" r="E48"/>
  <c r="BE90"/>
  <c r="BE148"/>
  <c r="BE103"/>
  <c r="BE124"/>
  <c r="BE131"/>
  <c r="BE144"/>
  <c r="BE149"/>
  <c r="BE95"/>
  <c r="BE121"/>
  <c r="BE127"/>
  <c r="BE141"/>
  <c r="BE145"/>
  <c r="BE158"/>
  <c i="7" r="BE87"/>
  <c r="BE114"/>
  <c r="BE123"/>
  <c i="6" r="BK116"/>
  <c r="J116"/>
  <c r="J60"/>
  <c i="7" r="J52"/>
  <c r="BE95"/>
  <c r="BE110"/>
  <c r="F55"/>
  <c r="BE107"/>
  <c r="BE118"/>
  <c r="E74"/>
  <c r="BE104"/>
  <c r="BE121"/>
  <c r="BE90"/>
  <c r="BE98"/>
  <c r="BE116"/>
  <c i="6" r="F55"/>
  <c r="J112"/>
  <c r="BE129"/>
  <c r="BE131"/>
  <c r="BE140"/>
  <c r="BE142"/>
  <c r="BE145"/>
  <c r="BE147"/>
  <c r="BE153"/>
  <c r="BE163"/>
  <c r="BE173"/>
  <c r="BE191"/>
  <c r="BE199"/>
  <c r="BE202"/>
  <c r="BE212"/>
  <c r="BE219"/>
  <c r="J52"/>
  <c r="J111"/>
  <c r="BE118"/>
  <c r="BE119"/>
  <c r="BE128"/>
  <c r="BE135"/>
  <c r="BE139"/>
  <c r="BE155"/>
  <c r="BE159"/>
  <c r="BE167"/>
  <c r="BE171"/>
  <c r="BE174"/>
  <c r="BE176"/>
  <c r="BE182"/>
  <c r="BE193"/>
  <c r="BE196"/>
  <c r="BE197"/>
  <c r="BE204"/>
  <c r="BE206"/>
  <c r="BE214"/>
  <c r="BE220"/>
  <c r="BE229"/>
  <c r="BE237"/>
  <c r="F54"/>
  <c r="BE123"/>
  <c r="BE146"/>
  <c r="BE150"/>
  <c r="BE169"/>
  <c r="BE172"/>
  <c r="BE181"/>
  <c r="BE194"/>
  <c r="BE208"/>
  <c r="BE210"/>
  <c r="BE211"/>
  <c r="BE213"/>
  <c r="BE222"/>
  <c r="BE224"/>
  <c r="BE226"/>
  <c r="BE227"/>
  <c r="BE230"/>
  <c r="BE232"/>
  <c r="BE233"/>
  <c r="BE235"/>
  <c r="E48"/>
  <c r="BE121"/>
  <c r="BE122"/>
  <c r="BE124"/>
  <c r="BE144"/>
  <c r="BE165"/>
  <c r="BE178"/>
  <c r="BE184"/>
  <c r="BE186"/>
  <c r="BE201"/>
  <c r="BE207"/>
  <c r="BE215"/>
  <c r="BE120"/>
  <c r="BE125"/>
  <c r="BE127"/>
  <c r="BE143"/>
  <c r="BE148"/>
  <c r="BE157"/>
  <c r="BE161"/>
  <c r="BE179"/>
  <c r="BE190"/>
  <c r="BE205"/>
  <c r="BE217"/>
  <c r="BE126"/>
  <c r="BE133"/>
  <c r="BE152"/>
  <c r="BE175"/>
  <c r="BE188"/>
  <c r="BE203"/>
  <c r="BE209"/>
  <c i="5" r="E48"/>
  <c r="F55"/>
  <c r="J87"/>
  <c r="BE109"/>
  <c r="BE110"/>
  <c r="BE121"/>
  <c r="BE125"/>
  <c r="BE145"/>
  <c r="BE146"/>
  <c r="BE162"/>
  <c r="BE167"/>
  <c r="BE177"/>
  <c r="BE178"/>
  <c r="BE188"/>
  <c r="BE199"/>
  <c r="BE203"/>
  <c r="J90"/>
  <c r="BE100"/>
  <c r="BE141"/>
  <c r="BE155"/>
  <c r="BE157"/>
  <c r="BE166"/>
  <c r="BE172"/>
  <c r="BE176"/>
  <c r="BE182"/>
  <c r="BE184"/>
  <c r="BE193"/>
  <c r="BE197"/>
  <c r="BE204"/>
  <c r="BE209"/>
  <c r="BE215"/>
  <c r="F89"/>
  <c r="BE95"/>
  <c r="BE107"/>
  <c r="BE117"/>
  <c r="BE122"/>
  <c r="BE126"/>
  <c r="BE133"/>
  <c r="BE140"/>
  <c r="BE148"/>
  <c r="BE154"/>
  <c r="BE170"/>
  <c r="BE186"/>
  <c r="BE187"/>
  <c r="BE201"/>
  <c r="BE208"/>
  <c r="BE221"/>
  <c r="BE223"/>
  <c r="BE226"/>
  <c r="J54"/>
  <c r="BE97"/>
  <c r="BE99"/>
  <c r="BE101"/>
  <c r="BE103"/>
  <c r="BE111"/>
  <c r="BE112"/>
  <c r="BE113"/>
  <c r="BE114"/>
  <c r="BE115"/>
  <c r="BE119"/>
  <c r="BE135"/>
  <c r="BE136"/>
  <c r="BE137"/>
  <c r="BE138"/>
  <c r="BE143"/>
  <c r="BE163"/>
  <c r="BE164"/>
  <c r="BE174"/>
  <c r="BE195"/>
  <c r="BE196"/>
  <c r="BE202"/>
  <c r="BE206"/>
  <c r="BE210"/>
  <c r="BE218"/>
  <c r="BE222"/>
  <c r="BE102"/>
  <c r="BE104"/>
  <c r="BE106"/>
  <c r="BE123"/>
  <c r="BE124"/>
  <c r="BE127"/>
  <c r="BE149"/>
  <c r="BE151"/>
  <c r="BE156"/>
  <c r="BE158"/>
  <c r="BE183"/>
  <c r="BE192"/>
  <c r="BE213"/>
  <c r="BE217"/>
  <c r="BE219"/>
  <c r="BE225"/>
  <c r="BE227"/>
  <c r="BE98"/>
  <c r="BE108"/>
  <c r="BE120"/>
  <c r="BE128"/>
  <c r="BE130"/>
  <c r="BE131"/>
  <c r="BE132"/>
  <c r="BE134"/>
  <c r="BE139"/>
  <c r="BE147"/>
  <c r="BE150"/>
  <c r="BE152"/>
  <c r="BE153"/>
  <c r="BE160"/>
  <c r="BE165"/>
  <c r="BE168"/>
  <c r="BE173"/>
  <c r="BE175"/>
  <c r="BE180"/>
  <c r="BE185"/>
  <c r="BE190"/>
  <c r="BE194"/>
  <c r="BE211"/>
  <c i="4" r="J52"/>
  <c r="E69"/>
  <c r="BE82"/>
  <c r="BE97"/>
  <c r="BE99"/>
  <c r="BE106"/>
  <c r="BE111"/>
  <c r="BE126"/>
  <c i="3" r="J91"/>
  <c r="J61"/>
  <c r="J140"/>
  <c r="J65"/>
  <c i="4" r="J55"/>
  <c r="BE84"/>
  <c r="BE94"/>
  <c r="BE101"/>
  <c r="BE108"/>
  <c r="BE113"/>
  <c r="BE118"/>
  <c r="BE123"/>
  <c r="BE124"/>
  <c r="F54"/>
  <c r="BE81"/>
  <c r="BE89"/>
  <c r="BE95"/>
  <c r="BE100"/>
  <c r="BE102"/>
  <c r="BE110"/>
  <c r="BE115"/>
  <c r="BE116"/>
  <c r="BE122"/>
  <c r="BE129"/>
  <c r="BE130"/>
  <c r="BE131"/>
  <c r="BE133"/>
  <c r="BE139"/>
  <c r="F55"/>
  <c r="BE83"/>
  <c r="BE88"/>
  <c r="BE90"/>
  <c r="BE104"/>
  <c r="BE107"/>
  <c r="BE109"/>
  <c r="BE112"/>
  <c r="BE120"/>
  <c r="BE128"/>
  <c r="BE134"/>
  <c r="BE138"/>
  <c r="J54"/>
  <c r="BE80"/>
  <c r="BE96"/>
  <c r="BE103"/>
  <c r="BE114"/>
  <c r="BE119"/>
  <c r="BE121"/>
  <c r="BE125"/>
  <c r="BE132"/>
  <c r="BE136"/>
  <c r="BE137"/>
  <c r="BE85"/>
  <c r="BE86"/>
  <c r="BE87"/>
  <c r="BE91"/>
  <c r="BE92"/>
  <c r="BE93"/>
  <c r="BE98"/>
  <c r="BE105"/>
  <c r="BE117"/>
  <c r="BE127"/>
  <c r="BE135"/>
  <c i="2" r="BK106"/>
  <c r="J106"/>
  <c r="J60"/>
  <c i="3" r="BE101"/>
  <c r="BE145"/>
  <c r="BE149"/>
  <c r="BE156"/>
  <c r="BE159"/>
  <c r="BE165"/>
  <c r="BE167"/>
  <c r="BE176"/>
  <c r="BE202"/>
  <c r="BE204"/>
  <c r="BE205"/>
  <c r="BE207"/>
  <c r="BE215"/>
  <c r="BE227"/>
  <c r="BE239"/>
  <c r="BE256"/>
  <c r="BE262"/>
  <c r="BE277"/>
  <c i="2" r="BK617"/>
  <c r="J617"/>
  <c r="J69"/>
  <c i="3" r="F86"/>
  <c r="BE143"/>
  <c r="BE151"/>
  <c r="BE161"/>
  <c r="BE166"/>
  <c r="BE175"/>
  <c r="BE180"/>
  <c r="BE191"/>
  <c r="BE209"/>
  <c r="BE230"/>
  <c r="BE241"/>
  <c r="BE246"/>
  <c r="BE258"/>
  <c r="BE281"/>
  <c r="BE286"/>
  <c r="E48"/>
  <c r="J83"/>
  <c r="BE137"/>
  <c r="BE169"/>
  <c r="BE170"/>
  <c r="BE172"/>
  <c r="BE211"/>
  <c r="BE214"/>
  <c r="BE220"/>
  <c r="BE244"/>
  <c r="BE252"/>
  <c r="BE260"/>
  <c r="BE266"/>
  <c r="BE285"/>
  <c r="BE293"/>
  <c r="BE295"/>
  <c r="BE298"/>
  <c r="BE92"/>
  <c r="BE124"/>
  <c r="BE141"/>
  <c r="BE147"/>
  <c r="BE158"/>
  <c r="BE171"/>
  <c r="BE173"/>
  <c r="BE189"/>
  <c r="BE197"/>
  <c r="BE212"/>
  <c r="BE233"/>
  <c r="BE248"/>
  <c r="BE254"/>
  <c r="BE264"/>
  <c r="BE268"/>
  <c r="BE283"/>
  <c r="BE291"/>
  <c r="BE109"/>
  <c r="BE115"/>
  <c r="BE154"/>
  <c r="BE157"/>
  <c r="BE162"/>
  <c r="BE164"/>
  <c r="BE174"/>
  <c r="BE177"/>
  <c r="BE185"/>
  <c r="BE187"/>
  <c r="BE194"/>
  <c r="BE200"/>
  <c r="BE206"/>
  <c r="BE210"/>
  <c r="BE213"/>
  <c r="BE221"/>
  <c r="BE272"/>
  <c r="BE275"/>
  <c r="BE288"/>
  <c r="BE106"/>
  <c r="BE127"/>
  <c r="BE160"/>
  <c r="BE163"/>
  <c r="BE168"/>
  <c r="BE183"/>
  <c r="BE203"/>
  <c r="BE208"/>
  <c r="BE217"/>
  <c r="BE219"/>
  <c r="BE223"/>
  <c r="BE225"/>
  <c r="BE236"/>
  <c r="BE249"/>
  <c r="BE250"/>
  <c r="BE270"/>
  <c r="BE279"/>
  <c i="2" r="BE141"/>
  <c r="BE181"/>
  <c r="BE228"/>
  <c r="BE261"/>
  <c r="BE401"/>
  <c r="BE426"/>
  <c r="BE578"/>
  <c r="BE594"/>
  <c r="BE597"/>
  <c r="BE605"/>
  <c r="BE606"/>
  <c r="BE625"/>
  <c r="BE630"/>
  <c r="BE659"/>
  <c r="BE663"/>
  <c r="BE673"/>
  <c r="BE681"/>
  <c r="BE686"/>
  <c r="BE745"/>
  <c r="BE762"/>
  <c r="BE767"/>
  <c r="BE773"/>
  <c r="BE783"/>
  <c r="BE786"/>
  <c r="BE791"/>
  <c r="BE801"/>
  <c r="BE805"/>
  <c r="BE809"/>
  <c r="BE813"/>
  <c r="BE852"/>
  <c r="BE868"/>
  <c r="BE908"/>
  <c r="BE913"/>
  <c r="BE920"/>
  <c r="BE962"/>
  <c r="BE964"/>
  <c r="BE974"/>
  <c r="BE976"/>
  <c r="BE987"/>
  <c r="BE1004"/>
  <c r="BE1007"/>
  <c r="BE1056"/>
  <c r="BE1075"/>
  <c r="BE1097"/>
  <c r="BE1131"/>
  <c r="E48"/>
  <c r="F55"/>
  <c r="J99"/>
  <c r="BE136"/>
  <c r="BE151"/>
  <c r="BE170"/>
  <c r="BE237"/>
  <c r="BE252"/>
  <c r="BE255"/>
  <c r="BE267"/>
  <c r="BE354"/>
  <c r="BE357"/>
  <c r="BE404"/>
  <c r="BE417"/>
  <c r="BE424"/>
  <c r="BE457"/>
  <c r="BE459"/>
  <c r="BE464"/>
  <c r="BE508"/>
  <c r="BE557"/>
  <c r="BE572"/>
  <c r="BE591"/>
  <c r="BE641"/>
  <c r="BE655"/>
  <c r="BE668"/>
  <c r="BE676"/>
  <c r="BE690"/>
  <c r="BE698"/>
  <c r="BE722"/>
  <c r="BE727"/>
  <c r="BE751"/>
  <c r="BE756"/>
  <c r="BE770"/>
  <c r="BE794"/>
  <c r="BE797"/>
  <c r="BE835"/>
  <c r="BE842"/>
  <c r="BE858"/>
  <c r="BE902"/>
  <c r="BE928"/>
  <c r="BE942"/>
  <c r="BE954"/>
  <c r="BE956"/>
  <c r="BE959"/>
  <c r="BE980"/>
  <c r="BE985"/>
  <c r="BE1000"/>
  <c r="BE1019"/>
  <c r="BE1030"/>
  <c r="BE1032"/>
  <c r="BE1038"/>
  <c r="BE1050"/>
  <c r="BE1052"/>
  <c r="BE1054"/>
  <c r="BE1058"/>
  <c r="BE1063"/>
  <c r="BE1072"/>
  <c r="BE1091"/>
  <c r="BE1094"/>
  <c r="BE1100"/>
  <c r="BE1111"/>
  <c r="BE1124"/>
  <c r="BE1136"/>
  <c r="BE1160"/>
  <c r="BE1165"/>
  <c r="BE1212"/>
  <c r="BE120"/>
  <c r="BE130"/>
  <c r="BE147"/>
  <c r="BE159"/>
  <c r="BE178"/>
  <c r="BE190"/>
  <c r="BE192"/>
  <c r="BE201"/>
  <c r="BE211"/>
  <c r="BE225"/>
  <c r="BE242"/>
  <c r="BE245"/>
  <c r="BE250"/>
  <c r="BE264"/>
  <c r="BE332"/>
  <c r="BE336"/>
  <c r="BE346"/>
  <c r="BE349"/>
  <c r="BE378"/>
  <c r="BE422"/>
  <c r="BE451"/>
  <c r="BE480"/>
  <c r="BE559"/>
  <c r="BE619"/>
  <c r="BE636"/>
  <c r="BE645"/>
  <c r="BE660"/>
  <c r="BE678"/>
  <c r="BE703"/>
  <c r="BE713"/>
  <c r="BE732"/>
  <c r="BE733"/>
  <c r="BE739"/>
  <c r="BE758"/>
  <c r="BE780"/>
  <c r="BE823"/>
  <c r="BE839"/>
  <c r="BE856"/>
  <c r="BE861"/>
  <c r="BE866"/>
  <c r="BE872"/>
  <c r="BE890"/>
  <c r="BE936"/>
  <c r="BE944"/>
  <c r="BE968"/>
  <c r="BE1016"/>
  <c r="BE1048"/>
  <c r="BE1106"/>
  <c r="BE1121"/>
  <c r="BE1129"/>
  <c r="BE1141"/>
  <c r="BE1196"/>
  <c r="BE1199"/>
  <c r="BE1217"/>
  <c r="BE1253"/>
  <c r="J55"/>
  <c r="BE126"/>
  <c r="BE220"/>
  <c r="BE222"/>
  <c r="BE233"/>
  <c r="BE258"/>
  <c r="BE275"/>
  <c r="BE304"/>
  <c r="BE314"/>
  <c r="BE316"/>
  <c r="BE319"/>
  <c r="BE340"/>
  <c r="BE352"/>
  <c r="BE384"/>
  <c r="BE440"/>
  <c r="BE467"/>
  <c r="BE601"/>
  <c r="BE612"/>
  <c r="BE628"/>
  <c r="BE639"/>
  <c r="BE647"/>
  <c r="BE719"/>
  <c r="BE725"/>
  <c r="BE742"/>
  <c r="BE760"/>
  <c r="BE831"/>
  <c r="BE847"/>
  <c r="BE850"/>
  <c r="BE885"/>
  <c r="BE887"/>
  <c r="BE893"/>
  <c r="BE899"/>
  <c r="BE905"/>
  <c r="BE918"/>
  <c r="BE940"/>
  <c r="BE952"/>
  <c r="BE970"/>
  <c r="BE995"/>
  <c r="BE1010"/>
  <c r="BE1012"/>
  <c r="BE1040"/>
  <c r="BE1060"/>
  <c r="BE1083"/>
  <c r="BE1085"/>
  <c r="BE1108"/>
  <c r="BE1138"/>
  <c r="BE1148"/>
  <c r="BE1152"/>
  <c r="BE1162"/>
  <c r="BE1201"/>
  <c r="BE1204"/>
  <c r="BE1209"/>
  <c r="BE1218"/>
  <c r="BE1221"/>
  <c r="BE1238"/>
  <c r="BE1245"/>
  <c r="BE1250"/>
  <c r="BE108"/>
  <c r="BE111"/>
  <c r="BE116"/>
  <c r="BE155"/>
  <c r="BE164"/>
  <c r="BE231"/>
  <c r="BE270"/>
  <c r="BE272"/>
  <c r="BE325"/>
  <c r="BE338"/>
  <c r="BE343"/>
  <c r="BE381"/>
  <c r="BE389"/>
  <c r="BE406"/>
  <c r="BE433"/>
  <c r="BE446"/>
  <c r="BE448"/>
  <c r="BE454"/>
  <c r="BE469"/>
  <c r="BE477"/>
  <c r="BE529"/>
  <c r="BE615"/>
  <c r="BE650"/>
  <c r="BE653"/>
  <c r="BE688"/>
  <c r="BE692"/>
  <c r="BE694"/>
  <c r="BE701"/>
  <c r="BE707"/>
  <c r="BE709"/>
  <c r="BE711"/>
  <c r="BE717"/>
  <c r="BE736"/>
  <c r="BE748"/>
  <c r="BE765"/>
  <c r="BE853"/>
  <c r="BE878"/>
  <c r="BE879"/>
  <c r="BE884"/>
  <c r="BE896"/>
  <c r="BE923"/>
  <c r="BE930"/>
  <c r="BE931"/>
  <c r="BE934"/>
  <c r="BE945"/>
  <c r="BE982"/>
  <c r="BE993"/>
  <c r="BE1046"/>
  <c r="BE1088"/>
  <c r="BE1118"/>
  <c r="BE1146"/>
  <c r="BE1155"/>
  <c r="BE1157"/>
  <c r="BE1193"/>
  <c r="BE1206"/>
  <c r="BE1214"/>
  <c r="BE1247"/>
  <c r="BE1256"/>
  <c r="BE133"/>
  <c r="BE161"/>
  <c r="BE329"/>
  <c r="BE334"/>
  <c r="BE399"/>
  <c r="BE420"/>
  <c r="BE443"/>
  <c r="BE474"/>
  <c r="BE488"/>
  <c r="BE527"/>
  <c r="BE534"/>
  <c r="BE536"/>
  <c r="BE545"/>
  <c r="BE547"/>
  <c r="BE586"/>
  <c r="BE603"/>
  <c r="BE662"/>
  <c r="BE666"/>
  <c r="BE671"/>
  <c r="BE696"/>
  <c r="BE699"/>
  <c r="BE705"/>
  <c r="BE715"/>
  <c r="BE720"/>
  <c r="BE754"/>
  <c r="BE827"/>
  <c r="BE864"/>
  <c r="BE871"/>
  <c r="BE910"/>
  <c r="BE925"/>
  <c r="BE938"/>
  <c r="BE998"/>
  <c r="BE1022"/>
  <c r="BE1025"/>
  <c r="BE1042"/>
  <c r="BE1044"/>
  <c r="BE1143"/>
  <c r="F35"/>
  <c i="1" r="BB55"/>
  <c i="5" r="F37"/>
  <c i="1" r="BD58"/>
  <c i="6" r="F35"/>
  <c i="1" r="BB59"/>
  <c i="8" r="J34"/>
  <c i="1" r="AW61"/>
  <c i="9" r="F36"/>
  <c i="1" r="BC62"/>
  <c i="10" r="F34"/>
  <c i="1" r="BA63"/>
  <c i="11" r="F35"/>
  <c i="1" r="BB64"/>
  <c i="2" r="J34"/>
  <c i="1" r="AW55"/>
  <c i="4" r="F35"/>
  <c i="1" r="BB57"/>
  <c i="6" r="F34"/>
  <c i="1" r="BA59"/>
  <c i="7" r="J34"/>
  <c i="1" r="AW60"/>
  <c i="7" r="F37"/>
  <c i="1" r="BD60"/>
  <c i="8" r="F36"/>
  <c i="1" r="BC61"/>
  <c i="10" r="J34"/>
  <c i="1" r="AW63"/>
  <c i="10" r="F35"/>
  <c i="1" r="BB63"/>
  <c i="11" r="J34"/>
  <c i="1" r="AW64"/>
  <c i="2" r="F36"/>
  <c i="1" r="BC55"/>
  <c i="4" r="F36"/>
  <c i="1" r="BC57"/>
  <c i="5" r="F35"/>
  <c i="1" r="BB58"/>
  <c i="7" r="F34"/>
  <c i="1" r="BA60"/>
  <c i="7" r="F36"/>
  <c i="1" r="BC60"/>
  <c i="8" r="F35"/>
  <c i="1" r="BB61"/>
  <c i="9" r="F37"/>
  <c i="1" r="BD62"/>
  <c i="10" r="F37"/>
  <c i="1" r="BD63"/>
  <c i="2" r="F34"/>
  <c i="1" r="BA55"/>
  <c i="5" r="J34"/>
  <c i="1" r="AW58"/>
  <c i="6" r="F36"/>
  <c i="1" r="BC59"/>
  <c i="9" r="F34"/>
  <c i="1" r="BA62"/>
  <c i="10" r="F36"/>
  <c i="1" r="BC63"/>
  <c i="2" r="F37"/>
  <c i="1" r="BD55"/>
  <c i="5" r="F34"/>
  <c i="1" r="BA58"/>
  <c i="6" r="F37"/>
  <c i="1" r="BD59"/>
  <c i="8" r="F37"/>
  <c i="1" r="BD61"/>
  <c i="9" r="F35"/>
  <c i="1" r="BB62"/>
  <c i="11" r="F34"/>
  <c i="1" r="BA64"/>
  <c i="3" r="J34"/>
  <c i="1" r="AW56"/>
  <c i="3" r="F34"/>
  <c i="1" r="BA56"/>
  <c i="3" r="F35"/>
  <c i="1" r="BB56"/>
  <c i="3" r="F37"/>
  <c i="1" r="BD56"/>
  <c i="3" r="F36"/>
  <c i="1" r="BC56"/>
  <c i="4" r="J34"/>
  <c i="1" r="AW57"/>
  <c i="4" r="F34"/>
  <c i="1" r="BA57"/>
  <c i="4" r="F37"/>
  <c i="1" r="BD57"/>
  <c i="4" r="J30"/>
  <c i="5" r="F36"/>
  <c i="1" r="BC58"/>
  <c i="6" r="J34"/>
  <c i="1" r="AW59"/>
  <c i="7" r="F35"/>
  <c i="1" r="BB60"/>
  <c i="8" r="F34"/>
  <c i="1" r="BA61"/>
  <c i="9" r="J34"/>
  <c i="1" r="AW62"/>
  <c i="11" r="F36"/>
  <c i="1" r="BC64"/>
  <c i="8" l="1" r="BK88"/>
  <c r="J88"/>
  <c r="J60"/>
  <c i="5" r="P93"/>
  <c i="1" r="AU58"/>
  <c i="5" r="T93"/>
  <c i="2" r="R617"/>
  <c i="3" r="R139"/>
  <c r="R89"/>
  <c i="2" r="T617"/>
  <c i="6" r="P137"/>
  <c r="P115"/>
  <c i="1" r="AU59"/>
  <c i="3" r="BK90"/>
  <c r="BK89"/>
  <c r="J89"/>
  <c r="J59"/>
  <c i="9" r="T90"/>
  <c r="T89"/>
  <c i="2" r="P617"/>
  <c i="11" r="R84"/>
  <c r="T84"/>
  <c i="10" r="T132"/>
  <c i="8" r="T88"/>
  <c r="T87"/>
  <c i="9" r="P90"/>
  <c r="P89"/>
  <c i="1" r="AU62"/>
  <c i="10" r="P91"/>
  <c i="1" r="AU63"/>
  <c i="3" r="T139"/>
  <c r="T89"/>
  <c i="11" r="BK84"/>
  <c r="J84"/>
  <c r="J59"/>
  <c r="P84"/>
  <c i="1" r="AU64"/>
  <c i="6" r="R116"/>
  <c i="2" r="T106"/>
  <c r="T105"/>
  <c i="7" r="R85"/>
  <c r="R84"/>
  <c i="10" r="R161"/>
  <c r="R91"/>
  <c i="9" r="R90"/>
  <c r="R89"/>
  <c i="6" r="T116"/>
  <c i="2" r="P106"/>
  <c r="P105"/>
  <c i="1" r="AU55"/>
  <c i="8" r="P88"/>
  <c r="P87"/>
  <c i="1" r="AU61"/>
  <c i="6" r="R137"/>
  <c i="3" r="P139"/>
  <c r="P89"/>
  <c i="1" r="AU56"/>
  <c i="2" r="R106"/>
  <c r="R105"/>
  <c i="10" r="T161"/>
  <c i="5" r="R93"/>
  <c i="6" r="T137"/>
  <c r="BK137"/>
  <c r="J137"/>
  <c r="J63"/>
  <c i="5" r="BK93"/>
  <c r="J93"/>
  <c r="J59"/>
  <c i="11" r="J85"/>
  <c r="J60"/>
  <c i="10" r="BK91"/>
  <c r="J91"/>
  <c r="J59"/>
  <c i="9" r="J90"/>
  <c r="J60"/>
  <c i="7" r="BK84"/>
  <c r="J84"/>
  <c r="J59"/>
  <c i="1" r="AG57"/>
  <c i="2" r="BK105"/>
  <c r="J105"/>
  <c i="3" r="F33"/>
  <c i="1" r="AZ56"/>
  <c i="5" r="J33"/>
  <c i="1" r="AV58"/>
  <c r="AT58"/>
  <c i="6" r="J33"/>
  <c i="1" r="AV59"/>
  <c r="AT59"/>
  <c i="8" r="J33"/>
  <c i="1" r="AV61"/>
  <c r="AT61"/>
  <c i="9" r="J30"/>
  <c i="1" r="AG62"/>
  <c i="10" r="F33"/>
  <c i="1" r="AZ63"/>
  <c i="10" r="J33"/>
  <c i="1" r="AV63"/>
  <c r="AT63"/>
  <c i="11" r="J33"/>
  <c i="1" r="AV64"/>
  <c r="AT64"/>
  <c r="BA54"/>
  <c r="W30"/>
  <c i="2" r="J30"/>
  <c i="1" r="AG55"/>
  <c i="4" r="F33"/>
  <c i="1" r="AZ57"/>
  <c i="4" r="J33"/>
  <c i="1" r="AV57"/>
  <c r="AT57"/>
  <c r="AN57"/>
  <c i="5" r="F33"/>
  <c i="1" r="AZ58"/>
  <c i="7" r="J33"/>
  <c i="1" r="AV60"/>
  <c r="AT60"/>
  <c i="7" r="F33"/>
  <c i="1" r="AZ60"/>
  <c i="9" r="J33"/>
  <c i="1" r="AV62"/>
  <c r="AT62"/>
  <c r="BB54"/>
  <c r="AX54"/>
  <c r="BD54"/>
  <c r="W33"/>
  <c i="2" r="F33"/>
  <c i="1" r="AZ55"/>
  <c i="3" r="J33"/>
  <c i="1" r="AV56"/>
  <c r="AT56"/>
  <c i="6" r="F33"/>
  <c i="1" r="AZ59"/>
  <c i="8" r="F33"/>
  <c i="1" r="AZ61"/>
  <c i="9" r="F33"/>
  <c i="1" r="AZ62"/>
  <c i="11" r="F33"/>
  <c i="1" r="AZ64"/>
  <c r="BC54"/>
  <c r="W32"/>
  <c i="2" r="J33"/>
  <c i="1" r="AV55"/>
  <c r="AT55"/>
  <c i="10" l="1" r="T91"/>
  <c i="6" r="T115"/>
  <c r="R115"/>
  <c r="BK115"/>
  <c r="J115"/>
  <c r="J59"/>
  <c i="3" r="J90"/>
  <c r="J60"/>
  <c i="8" r="BK87"/>
  <c r="J87"/>
  <c r="J59"/>
  <c i="1" r="AN62"/>
  <c i="9" r="J39"/>
  <c i="4" r="J39"/>
  <c i="1" r="AN55"/>
  <c i="2" r="J59"/>
  <c r="J39"/>
  <c i="1" r="AU54"/>
  <c r="AY54"/>
  <c i="7" r="J30"/>
  <c i="1" r="AG60"/>
  <c r="AN60"/>
  <c r="AW54"/>
  <c r="AK30"/>
  <c i="3" r="J30"/>
  <c i="1" r="AG56"/>
  <c i="5" r="J30"/>
  <c i="1" r="AG58"/>
  <c i="6" r="J30"/>
  <c i="1" r="AG59"/>
  <c i="10" r="J30"/>
  <c i="1" r="AG63"/>
  <c r="AN63"/>
  <c i="11" r="J30"/>
  <c i="1" r="AG64"/>
  <c r="W31"/>
  <c r="AZ54"/>
  <c r="AV54"/>
  <c r="AK29"/>
  <c i="3" l="1" r="J39"/>
  <c i="11" r="J39"/>
  <c i="5" r="J39"/>
  <c i="10" r="J39"/>
  <c i="7" r="J39"/>
  <c i="6" r="J39"/>
  <c i="1" r="AN59"/>
  <c r="AN58"/>
  <c r="AN64"/>
  <c r="AN56"/>
  <c i="8" r="J30"/>
  <c i="1" r="AG61"/>
  <c r="AN61"/>
  <c r="W29"/>
  <c r="AT54"/>
  <c i="8" l="1" r="J39"/>
  <c i="1" r="AG54"/>
  <c r="AK26"/>
  <c r="AK35"/>
  <c l="1" r="AN54"/>
</calcChain>
</file>

<file path=xl/sharedStrings.xml><?xml version="1.0" encoding="utf-8"?>
<sst xmlns="http://schemas.openxmlformats.org/spreadsheetml/2006/main">
  <si>
    <t>Export Komplet</t>
  </si>
  <si>
    <t>VZ</t>
  </si>
  <si>
    <t>2.0</t>
  </si>
  <si>
    <t>ZAMOK</t>
  </si>
  <si>
    <t>False</t>
  </si>
  <si>
    <t>{d0575701-0c01-48d4-8073-193236e0185a}</t>
  </si>
  <si>
    <t>0,1</t>
  </si>
  <si>
    <t>21</t>
  </si>
  <si>
    <t>15</t>
  </si>
  <si>
    <t>REKAPITULACE STAVBY</t>
  </si>
  <si>
    <t xml:space="preserve">v ---  níže se nacházejí doplnkové a pomocné údaje k sestavám  --- v</t>
  </si>
  <si>
    <t>Návod na vyplnění</t>
  </si>
  <si>
    <t>0,001</t>
  </si>
  <si>
    <t>Kód:</t>
  </si>
  <si>
    <t>2023_07_13</t>
  </si>
  <si>
    <t>Měnit lze pouze buňky se žlutým podbarvením!_x000d_
_x000d_
1) v Rekapitulaci stavby vyplňte údaje o Uchazeči (přenesou se do ostatních sestav i v jiných listech)_x000d_
_x000d_
2) na vybraných listech vyplňte v sestavě Soupis prací ceny u položek</t>
  </si>
  <si>
    <t>Stavba:</t>
  </si>
  <si>
    <t>Kulturní dům ČP 1, Třemošná- rev 03</t>
  </si>
  <si>
    <t>KSO:</t>
  </si>
  <si>
    <t>801 43 31</t>
  </si>
  <si>
    <t>CC-CZ:</t>
  </si>
  <si>
    <t>12614</t>
  </si>
  <si>
    <t>Místo:</t>
  </si>
  <si>
    <t>Třemošná</t>
  </si>
  <si>
    <t>Datum:</t>
  </si>
  <si>
    <t>20. 12. 2023</t>
  </si>
  <si>
    <t>CZ-CPV:</t>
  </si>
  <si>
    <t>45000000-7</t>
  </si>
  <si>
    <t>CZ-CPA:</t>
  </si>
  <si>
    <t>41.00.48</t>
  </si>
  <si>
    <t>Zadavatel:</t>
  </si>
  <si>
    <t>IČ:</t>
  </si>
  <si>
    <t/>
  </si>
  <si>
    <t>Město Třemošná, Sídliště 992, 330 01 Třemošná</t>
  </si>
  <si>
    <t>DIČ:</t>
  </si>
  <si>
    <t>Uchazeč:</t>
  </si>
  <si>
    <t>Vyplň údaj</t>
  </si>
  <si>
    <t>Projektant:</t>
  </si>
  <si>
    <t>49194852</t>
  </si>
  <si>
    <t>RAVAL projekt v. o. s.</t>
  </si>
  <si>
    <t>Zpracovatel:</t>
  </si>
  <si>
    <t xml:space="preserve"> </t>
  </si>
  <si>
    <t>Poznámka:</t>
  </si>
  <si>
    <t>Soupis prací je sestaven s využitím Cenové soustavy ÚRS. Položky, které pochází z této cenové soustavy, jsou ve sloupci 'Cenová soustava' označeny popisem 'CS ÚRS' a úrovní příslušného kalendářního pololetí. Veškeré další informace vymezující popis a podmínky použití těchto položek z Cenové soustavy, které nejsou uvedeny přímo v soupisu prací, jsou neomezeně dálkově k dispozici na webu podminky.urs.cz.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</si>
  <si>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</si>
  <si>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</si>
  <si>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</si>
  <si>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</si>
  <si>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</si>
  <si>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</si>
  <si>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</si>
  <si>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</si>
  <si>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</si>
  <si>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</si>
  <si>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</si>
  <si>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</si>
  <si>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</si>
  <si>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REKAPITULACE OBJEKTŮ STAVBY A SOUPISŮ PRACÍ</t>
  </si>
  <si>
    <t>Informatívní údaje z listů zakázek</t>
  </si>
  <si>
    <t>Kód</t>
  </si>
  <si>
    <t>Popis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</si>
  <si>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</si>
  <si>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</si>
  <si>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</si>
  <si>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</si>
  <si>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</si>
  <si>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</si>
  <si>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</si>
  <si>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</si>
  <si>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</si>
  <si>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</si>
  <si>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</si>
  <si>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</si>
  <si>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</si>
  <si>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</si>
  <si>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</si>
  <si>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stavby celkem</t>
  </si>
  <si>
    <t>D</t>
  </si>
  <si>
    <t>0</t>
  </si>
  <si>
    <t>###NOIMPORT###</t>
  </si>
  <si>
    <t>IMPORT</t>
  </si>
  <si>
    <t>{00000000-0000-0000-0000-000000000000}</t>
  </si>
  <si>
    <t>/</t>
  </si>
  <si>
    <t>01</t>
  </si>
  <si>
    <t>Architektonicko stavební řešení</t>
  </si>
  <si>
    <t>STA</t>
  </si>
  <si>
    <t>1</t>
  </si>
  <si>
    <t>{f1259c1f-5548-4b7f-bc57-39d6708d395c}</t>
  </si>
  <si>
    <t>2</t>
  </si>
  <si>
    <t>02</t>
  </si>
  <si>
    <t>Zdravotní instalace</t>
  </si>
  <si>
    <t>{bcac5178-84b4-47b0-b1ee-1d4b351f476f}</t>
  </si>
  <si>
    <t>03</t>
  </si>
  <si>
    <t>Vytápění</t>
  </si>
  <si>
    <t>{b1de6206-2143-400c-8956-8f780db57991}</t>
  </si>
  <si>
    <t>04</t>
  </si>
  <si>
    <t>Vzduchotechnika</t>
  </si>
  <si>
    <t>{1f0020f2-9cdf-4aa5-a98d-73d106c67306}</t>
  </si>
  <si>
    <t>05</t>
  </si>
  <si>
    <t>Elektroinstalace</t>
  </si>
  <si>
    <t>{d55359d4-67c8-4058-a7f6-da9f56bb960a}</t>
  </si>
  <si>
    <t>06</t>
  </si>
  <si>
    <t>Splašková kanalizace</t>
  </si>
  <si>
    <t>{89987d8b-0d77-4ecb-bee5-1b2bfbaaa5c4}</t>
  </si>
  <si>
    <t>07</t>
  </si>
  <si>
    <t>Dešťová kanalizace</t>
  </si>
  <si>
    <t>{ff8cedc3-3795-493e-bfc4-598b4b56c68f}</t>
  </si>
  <si>
    <t>08</t>
  </si>
  <si>
    <t>Zpevněné plochy</t>
  </si>
  <si>
    <t>{922b4630-2b4d-4cbd-ba6d-05eb16034aa1}</t>
  </si>
  <si>
    <t>09</t>
  </si>
  <si>
    <t>Úprava stávající NTL plynovodbní přípojky</t>
  </si>
  <si>
    <t>{7d3ab926-68a0-4e3f-87fb-ba986ced6004}</t>
  </si>
  <si>
    <t>VON</t>
  </si>
  <si>
    <t>Vedlejší rozpočtové náklady</t>
  </si>
  <si>
    <t>{1d0ef0fc-b965-496e-b4e1-e303d45a9923}</t>
  </si>
  <si>
    <t>deska</t>
  </si>
  <si>
    <t>87,735</t>
  </si>
  <si>
    <t>dlažba</t>
  </si>
  <si>
    <t>keramická dlažba</t>
  </si>
  <si>
    <t>373,2275</t>
  </si>
  <si>
    <t>KRYCÍ LIST SOUPISU PRACÍ</t>
  </si>
  <si>
    <t>dřevpodlaha</t>
  </si>
  <si>
    <t>dřevěná podlaha</t>
  </si>
  <si>
    <t>469,2</t>
  </si>
  <si>
    <t>keramobklad</t>
  </si>
  <si>
    <t>keram obklad</t>
  </si>
  <si>
    <t>278,73</t>
  </si>
  <si>
    <t>obklad</t>
  </si>
  <si>
    <t>keraamický obklad</t>
  </si>
  <si>
    <t>284,43</t>
  </si>
  <si>
    <t>obkladpodia</t>
  </si>
  <si>
    <t>keram obklad podia</t>
  </si>
  <si>
    <t>5,7</t>
  </si>
  <si>
    <t>Objekt:</t>
  </si>
  <si>
    <t>S01</t>
  </si>
  <si>
    <t>keram dlažba 80xx80</t>
  </si>
  <si>
    <t>163,06</t>
  </si>
  <si>
    <t>01 - Architektonicko stavební řešení</t>
  </si>
  <si>
    <t>S02</t>
  </si>
  <si>
    <t>keram dlažba 60/60</t>
  </si>
  <si>
    <t>164,99</t>
  </si>
  <si>
    <t>S03</t>
  </si>
  <si>
    <t>dřevěná podlaha 1NP</t>
  </si>
  <si>
    <t>165,94</t>
  </si>
  <si>
    <t>S04</t>
  </si>
  <si>
    <t>výtah</t>
  </si>
  <si>
    <t>3,24</t>
  </si>
  <si>
    <t>3</t>
  </si>
  <si>
    <t>střecha</t>
  </si>
  <si>
    <t>beton krytina</t>
  </si>
  <si>
    <t>707,3</t>
  </si>
  <si>
    <t>žbdeska</t>
  </si>
  <si>
    <t>žb deska</t>
  </si>
  <si>
    <t>584,9</t>
  </si>
  <si>
    <t>REKAPITULACE ČLENĚNÍ SOUPISU PRACÍ</t>
  </si>
  <si>
    <t>Kód dílu - Popis</t>
  </si>
  <si>
    <t>Cena celkem [CZK]</t>
  </si>
  <si>
    <t>-1</t>
  </si>
  <si>
    <t>HSV - Práce a dodávky HSV</t>
  </si>
  <si>
    <t xml:space="preserve">    1 - Zemní práce</t>
  </si>
  <si>
    <t xml:space="preserve">    2 - Zakládání</t>
  </si>
  <si>
    <t xml:space="preserve">    3 - Svislé a kompletní konstrukce</t>
  </si>
  <si>
    <t xml:space="preserve">    4 - Vodorovné konstrukce</t>
  </si>
  <si>
    <t xml:space="preserve">    6 - Úpravy povrchů, podlahy a osazování výplní</t>
  </si>
  <si>
    <t xml:space="preserve">    8 - Trubní vedení</t>
  </si>
  <si>
    <t xml:space="preserve">    9 - Ostatní konstrukce a práce, bourání</t>
  </si>
  <si>
    <t xml:space="preserve">    998 - Přesun hmot</t>
  </si>
  <si>
    <t>PSV - Práce a dodávky PSV</t>
  </si>
  <si>
    <t xml:space="preserve">    711 - Izolace proti vodě, vlhkosti a plynům</t>
  </si>
  <si>
    <t xml:space="preserve">    713 - Izolace tepelné</t>
  </si>
  <si>
    <t xml:space="preserve">    722 - Zdravotechnika - vnitřní vodovod</t>
  </si>
  <si>
    <t xml:space="preserve">    725 - Zdravotechnika - zařizovací předměty</t>
  </si>
  <si>
    <t xml:space="preserve">    762 - Konstrukce tesařské</t>
  </si>
  <si>
    <t xml:space="preserve">    763 - Konstrukce suché výstavby</t>
  </si>
  <si>
    <t xml:space="preserve">    764 - Konstrukce klempířské</t>
  </si>
  <si>
    <t xml:space="preserve">    765 - Krytina skládaná</t>
  </si>
  <si>
    <t xml:space="preserve">    766 - Konstrukce truhlářské</t>
  </si>
  <si>
    <t xml:space="preserve">    767 - Konstrukce zámečnické</t>
  </si>
  <si>
    <t xml:space="preserve">    771 - Podlahy z dlaždic</t>
  </si>
  <si>
    <t xml:space="preserve">    775 - Podlahy skládané</t>
  </si>
  <si>
    <t xml:space="preserve">    781 - Dokončovací práce - obklady</t>
  </si>
  <si>
    <t xml:space="preserve">    784 - Dokončovací práce - malby a tapety</t>
  </si>
  <si>
    <t xml:space="preserve">    789 - Povrchové úpravy ocelových konstrukcí a technologických zařízení</t>
  </si>
  <si>
    <t>OST - Ostatní</t>
  </si>
  <si>
    <t>SOUPIS PRACÍ</t>
  </si>
  <si>
    <t>PČ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</si>
  <si>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</si>
  <si>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</si>
  <si>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</si>
  <si>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</si>
  <si>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</si>
  <si>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</si>
  <si>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</si>
  <si>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</si>
  <si>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</si>
  <si>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</si>
  <si>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</si>
  <si>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HSV</t>
  </si>
  <si>
    <t>Práce a dodávky HSV</t>
  </si>
  <si>
    <t>ROZPOCET</t>
  </si>
  <si>
    <t>Zemní práce</t>
  </si>
  <si>
    <t>K</t>
  </si>
  <si>
    <t>122351104</t>
  </si>
  <si>
    <t>Odkopávky a prokopávky nezapažené strojně v hornině třídy těžitelnosti II skupiny 4 přes 100 do 500 m3</t>
  </si>
  <si>
    <t>m3</t>
  </si>
  <si>
    <t>CS ÚRS 2023 02</t>
  </si>
  <si>
    <t>4</t>
  </si>
  <si>
    <t>92521962</t>
  </si>
  <si>
    <t>Online PSC</t>
  </si>
  <si>
    <t>https://podminky.urs.cz/item/CS_URS_2023_02/122351104</t>
  </si>
  <si>
    <t>VV</t>
  </si>
  <si>
    <t>(1,371+0,58)*(28,52+3)*(23,1+3)</t>
  </si>
  <si>
    <t>True</t>
  </si>
  <si>
    <t>131351100</t>
  </si>
  <si>
    <t>Hloubení nezapažených jam a zářezů strojně s urovnáním dna do předepsaného profilu a spádu v hornině třídy těžitelnosti II skupiny 4 do 20 m3</t>
  </si>
  <si>
    <t>-1410913718</t>
  </si>
  <si>
    <t>https://podminky.urs.cz/item/CS_URS_2023_02/131351100</t>
  </si>
  <si>
    <t>1,6*1,8*0,5"kanalizační šachta"</t>
  </si>
  <si>
    <t>1,3*1,6*1,5"šachta pro VS</t>
  </si>
  <si>
    <t>Součet</t>
  </si>
  <si>
    <t>162351103</t>
  </si>
  <si>
    <t>Vodorovné přemístění výkopku nebo sypaniny po suchu na obvyklém dopravním prostředku, bez naložení výkopku, avšak se složením bez rozhrnutí z horniny třídy těžitelnosti I skupiny 1 až 3 na vzdálenost přes 50 do 500 m</t>
  </si>
  <si>
    <t>-938370318</t>
  </si>
  <si>
    <t>https://podminky.urs.cz/item/CS_URS_2023_02/162351103</t>
  </si>
  <si>
    <t>"pro zásyp a zpět"</t>
  </si>
  <si>
    <t>2*(734,337)</t>
  </si>
  <si>
    <t>162751117</t>
  </si>
  <si>
    <t>Vodorovné přemístění výkopku nebo sypaniny po suchu na obvyklém dopravním prostředku, bez naložení výkopku, avšak se složením bez rozhrnutí z horniny třídy těžitelnosti I skupiny 1 až 3 na vzdálenost přes 9 000 do 10 000 m</t>
  </si>
  <si>
    <t>723657929</t>
  </si>
  <si>
    <t>https://podminky.urs.cz/item/CS_URS_2023_02/162751117</t>
  </si>
  <si>
    <t>1605+4,56"odkop</t>
  </si>
  <si>
    <t>(7,37-1,36)*40*1,1*0,3*0,3*PI"piloty</t>
  </si>
  <si>
    <t>-(734,337)"zásyp</t>
  </si>
  <si>
    <t>5</t>
  </si>
  <si>
    <t>162751119</t>
  </si>
  <si>
    <t>Vodorovné přemístění výkopku nebo sypaniny po suchu na obvyklém dopravním prostředku, bez naložení výkopku, avšak se složením bez rozhrnutí z horniny třídy těžitelnosti I skupiny 1 až 3 na vzdálenost Příplatek k ceně za každých dalších i započatých 1 000 m</t>
  </si>
  <si>
    <t>-1986435437</t>
  </si>
  <si>
    <t>https://podminky.urs.cz/item/CS_URS_2023_02/162751119</t>
  </si>
  <si>
    <t>949,992</t>
  </si>
  <si>
    <t>949,992*10 'Přepočtené koeficientem množství</t>
  </si>
  <si>
    <t>6</t>
  </si>
  <si>
    <t>167151111</t>
  </si>
  <si>
    <t>Nakládání, skládání a překládání neulehlého výkopku nebo sypaniny strojně nakládání, množství přes 100 m3, z hornin třídy těžitelnosti I, skupiny 1 až 3</t>
  </si>
  <si>
    <t>2145716234</t>
  </si>
  <si>
    <t>https://podminky.urs.cz/item/CS_URS_2023_02/167151111</t>
  </si>
  <si>
    <t>"zásyp" 545,537+188,8</t>
  </si>
  <si>
    <t>7</t>
  </si>
  <si>
    <t>171201231</t>
  </si>
  <si>
    <t>Poplatek za uložení stavebního odpadu na recyklační skládce (skládkovné) zeminy a kamení zatříděného do Katalogu odpadů pod kódem 17 05 04</t>
  </si>
  <si>
    <t>t</t>
  </si>
  <si>
    <t>1323430021</t>
  </si>
  <si>
    <t>https://podminky.urs.cz/item/CS_URS_2023_02/171201231</t>
  </si>
  <si>
    <t>949,992*1,85</t>
  </si>
  <si>
    <t>8</t>
  </si>
  <si>
    <t>174151101</t>
  </si>
  <si>
    <t>Zásyp sypaninou z jakékoliv horniny strojně s uložením výkopku ve vrstvách se zhutněním jam, šachet, rýh nebo kolem objektů v těchto vykopávkách</t>
  </si>
  <si>
    <t>986546705</t>
  </si>
  <si>
    <t>https://podminky.urs.cz/item/CS_URS_2023_02/174151101</t>
  </si>
  <si>
    <t>1,5*125 "kolem objektu"</t>
  </si>
  <si>
    <t>4,65-(1,4*1,1*1,5+1,6*1,3*0,5)"šachty</t>
  </si>
  <si>
    <t>9</t>
  </si>
  <si>
    <t>174151102</t>
  </si>
  <si>
    <t>Zásyp sypaninou z jakékoliv horniny strojně s uložením výkopku ve vrstvách se zhutněním v prostorách s omezeným pohybem stroje s urovnáním povrchu zásypu</t>
  </si>
  <si>
    <t>263631344</t>
  </si>
  <si>
    <t>https://podminky.urs.cz/item/CS_URS_2023_02/174151102</t>
  </si>
  <si>
    <t>"mezi pasy"</t>
  </si>
  <si>
    <t>(1,37-0,47)*(9,55*(6,975+2,8+6,325+3)+7,9*(9,325+5,175)+2,2*3,9)</t>
  </si>
  <si>
    <t>(1,37+0,13)*(3,4*7,9+3,55*2,7+(4,45+2+3,5+3,2+2)*9,5)</t>
  </si>
  <si>
    <t>10</t>
  </si>
  <si>
    <t>181951112</t>
  </si>
  <si>
    <t>Úprava pláně vyrovnáním výškových rozdílů strojně v hornině třídy těžitelnosti I, skupiny 1 až 3 se zhutněním</t>
  </si>
  <si>
    <t>m2</t>
  </si>
  <si>
    <t>167370326</t>
  </si>
  <si>
    <t>https://podminky.urs.cz/item/CS_URS_2023_02/181951112</t>
  </si>
  <si>
    <t>628</t>
  </si>
  <si>
    <t>Zakládání</t>
  </si>
  <si>
    <t>11</t>
  </si>
  <si>
    <t>226112114</t>
  </si>
  <si>
    <t>Velkoprofilové vrty náběrovým vrtáním svislé nezapažené průměru přes 550 do 650 mm, v hl od 0 do 5 m v hornině tř. IV</t>
  </si>
  <si>
    <t>m</t>
  </si>
  <si>
    <t>964756461</t>
  </si>
  <si>
    <t>https://podminky.urs.cz/item/CS_URS_2023_02/226112114</t>
  </si>
  <si>
    <t>"úroveň -1,37"</t>
  </si>
  <si>
    <t>(7,37-1,37)*40</t>
  </si>
  <si>
    <t>12</t>
  </si>
  <si>
    <t>231112112</t>
  </si>
  <si>
    <t>Zřízení výplně pilot bez vytažení pažnic nezapažených nebo zapažených bentonitovou suspenzí svislých z betonu železového, v hl od 0 do 10 m, při průměru piloty přes 450 do 650 mm</t>
  </si>
  <si>
    <t>-1859276991</t>
  </si>
  <si>
    <t>https://podminky.urs.cz/item/CS_URS_2023_02/231112112</t>
  </si>
  <si>
    <t>(7,37-1,37)*40*1,1</t>
  </si>
  <si>
    <t>13</t>
  </si>
  <si>
    <t>M</t>
  </si>
  <si>
    <t>58933323</t>
  </si>
  <si>
    <t>beton C 30/37 X0 kamenivo frakce 0/16</t>
  </si>
  <si>
    <t>-1655291545</t>
  </si>
  <si>
    <t>(7,37-1,37)*40*1,1*0,3*0,3*PI</t>
  </si>
  <si>
    <t>14</t>
  </si>
  <si>
    <t>231611114</t>
  </si>
  <si>
    <t>Výztuž pilot betonovaných do země z oceli 10 505 (R)</t>
  </si>
  <si>
    <t>-648267901</t>
  </si>
  <si>
    <t>https://podminky.urs.cz/item/CS_URS_2023_02/231611114</t>
  </si>
  <si>
    <t>0,18*74,644</t>
  </si>
  <si>
    <t>271532212</t>
  </si>
  <si>
    <t>Podsyp pod základové konstrukce se zhutněním a urovnáním povrchu z kameniva hrubého, frakce 16 - 32 mm</t>
  </si>
  <si>
    <t>-2120319218</t>
  </si>
  <si>
    <t>https://podminky.urs.cz/item/CS_URS_2023_02/271532212</t>
  </si>
  <si>
    <t>0,1*597</t>
  </si>
  <si>
    <t>0,1*2,7*9,91"terasa</t>
  </si>
  <si>
    <t>0,2*9,98*1,66"rampa</t>
  </si>
  <si>
    <t>16</t>
  </si>
  <si>
    <t>273321211</t>
  </si>
  <si>
    <t>Základy z betonu železového (bez výztuže) desky z betonu bez zvláštních nároků na prostředí tř. C 12/15</t>
  </si>
  <si>
    <t>-21411586</t>
  </si>
  <si>
    <t>https://podminky.urs.cz/item/CS_URS_2023_02/273321211</t>
  </si>
  <si>
    <t>podkladní beton tl 150mm</t>
  </si>
  <si>
    <t>(0,47-0,32)*482,9</t>
  </si>
  <si>
    <t>(0,28-0,13)*(102)</t>
  </si>
  <si>
    <t>Mezisoučet</t>
  </si>
  <si>
    <t>0,15*2,7*9,91"terasa</t>
  </si>
  <si>
    <t>17</t>
  </si>
  <si>
    <t>273321611</t>
  </si>
  <si>
    <t>Základy z betonu železového (bez výztuže) desky z betonu bez zvláštních nároků na prostředí tř. C 30/37</t>
  </si>
  <si>
    <t>1630291008</t>
  </si>
  <si>
    <t>https://podminky.urs.cz/item/CS_URS_2023_02/273321611</t>
  </si>
  <si>
    <t>0,15*9,98*1,66"rampa</t>
  </si>
  <si>
    <t>18</t>
  </si>
  <si>
    <t>273351121</t>
  </si>
  <si>
    <t>Bednění základů desek zřízení</t>
  </si>
  <si>
    <t>-1803975934</t>
  </si>
  <si>
    <t>https://podminky.urs.cz/item/CS_URS_2023_02/273351121</t>
  </si>
  <si>
    <t>podkladní beton</t>
  </si>
  <si>
    <t>0,15*98,15</t>
  </si>
  <si>
    <t>0,15*50,95</t>
  </si>
  <si>
    <t>0,15*(2,7+9,91)"terasa</t>
  </si>
  <si>
    <t>rampa</t>
  </si>
  <si>
    <t>0,15*1,65</t>
  </si>
  <si>
    <t>19</t>
  </si>
  <si>
    <t>273351122</t>
  </si>
  <si>
    <t>Bednění základů desek odstranění</t>
  </si>
  <si>
    <t>452917175</t>
  </si>
  <si>
    <t>https://podminky.urs.cz/item/CS_URS_2023_02/273351122</t>
  </si>
  <si>
    <t>20</t>
  </si>
  <si>
    <t>273362021</t>
  </si>
  <si>
    <t>Výztuž základů desek ze svařovaných sítí z drátů typu KARI</t>
  </si>
  <si>
    <t>-492495858</t>
  </si>
  <si>
    <t>https://podminky.urs.cz/item/CS_URS_2023_02/273362021</t>
  </si>
  <si>
    <t>(0,47-0,32)*482,9*5,4*2*1,25/1000</t>
  </si>
  <si>
    <t>(0,28-0,13)*(102)*5,4*2*1,25/1000</t>
  </si>
  <si>
    <t>2,7*9,91*5,4*2*1,25/1000"terasa</t>
  </si>
  <si>
    <t>9,98*1,66*5,4*2*1,25/1000</t>
  </si>
  <si>
    <t>274321611</t>
  </si>
  <si>
    <t>Základy z betonu železového (bez výztuže) pasy z betonu bez zvláštních nároků na prostředí tř. C 30/37</t>
  </si>
  <si>
    <t>2021822413</t>
  </si>
  <si>
    <t>https://podminky.urs.cz/item/CS_URS_2023_02/274321611</t>
  </si>
  <si>
    <t>P</t>
  </si>
  <si>
    <t>Poznámka k položce:_x000d_
C30/37-XC2,XA1-Dmax16-S4</t>
  </si>
  <si>
    <t>0,4*(0,9*(18,65+10,35+18,65+10,35+10,35+10,3*4+17,7+22,2*2+20,7+0,4)+1,2*(1,56+0,7+0,7+1,56))</t>
  </si>
  <si>
    <t>0,45*0,9*(18,6+4,75+17,7+3,1)"Z10,Z13,Z20</t>
  </si>
  <si>
    <t>0,5*0,9*10,3"Z11</t>
  </si>
  <si>
    <t>0,7*1,2*10,06"Z19</t>
  </si>
  <si>
    <t>0,7*1,2*(7,605+5,545)"Z21</t>
  </si>
  <si>
    <t>(0,74+0,36)*0,4*(3+2,1+1,5+3,15)"venkovní schodiště</t>
  </si>
  <si>
    <t>22</t>
  </si>
  <si>
    <t>274351121</t>
  </si>
  <si>
    <t>Bednění základů pasů rovné zřízení</t>
  </si>
  <si>
    <t>201047538</t>
  </si>
  <si>
    <t>https://podminky.urs.cz/item/CS_URS_2023_02/274351121</t>
  </si>
  <si>
    <t>2*(0,9*(18,65+10,35+18,65+10,35+10,35+10,3*4+17,7+22,2*2+20,7+0,4)+1,2*(1,56+0,7+0,7+1,56))</t>
  </si>
  <si>
    <t>2*0,9*(18,6+4,75+17,7+3,1)"Z10,Z13,Z20</t>
  </si>
  <si>
    <t>2*0,9*10,3"Z11</t>
  </si>
  <si>
    <t>2*1,2*10,06"Z19</t>
  </si>
  <si>
    <t>2*1,2*(7,605+5,545)"Z21</t>
  </si>
  <si>
    <t>(0,74+0,36)*2*(3+2,1+1,5+3,15)"venkovní schodiště</t>
  </si>
  <si>
    <t>23</t>
  </si>
  <si>
    <t>274351122</t>
  </si>
  <si>
    <t>Bednění základů pasů rovné odstranění</t>
  </si>
  <si>
    <t>251510814</t>
  </si>
  <si>
    <t>https://podminky.urs.cz/item/CS_URS_2023_02/274351122</t>
  </si>
  <si>
    <t>24</t>
  </si>
  <si>
    <t>274361821</t>
  </si>
  <si>
    <t>Výztuž základů pasů z betonářské oceli 10 505 (R) nebo BSt 500</t>
  </si>
  <si>
    <t>-1394888051</t>
  </si>
  <si>
    <t>https://podminky.urs.cz/item/CS_URS_2023_02/274361821</t>
  </si>
  <si>
    <t>0,18*117,862</t>
  </si>
  <si>
    <t>25</t>
  </si>
  <si>
    <t>275322611</t>
  </si>
  <si>
    <t>Základy z betonu železového (bez výztuže) patky z betonu se zvýšenými nároky na prostředí tř. C 30/37</t>
  </si>
  <si>
    <t>1480588860</t>
  </si>
  <si>
    <t>https://podminky.urs.cz/item/CS_URS_2023_02/275322611</t>
  </si>
  <si>
    <t>(0,74+0,36)*(0,4*0,4)*7</t>
  </si>
  <si>
    <t>26</t>
  </si>
  <si>
    <t>275351121</t>
  </si>
  <si>
    <t>Bednění základů patek zřízení</t>
  </si>
  <si>
    <t>-1483871738</t>
  </si>
  <si>
    <t>https://podminky.urs.cz/item/CS_URS_2023_02/275351121</t>
  </si>
  <si>
    <t>(0,74+0,36)*(0,4*4)*7</t>
  </si>
  <si>
    <t>27</t>
  </si>
  <si>
    <t>275351122</t>
  </si>
  <si>
    <t>Bednění základů patek odstranění</t>
  </si>
  <si>
    <t>-1247454298</t>
  </si>
  <si>
    <t>https://podminky.urs.cz/item/CS_URS_2023_02/275351122</t>
  </si>
  <si>
    <t>28</t>
  </si>
  <si>
    <t>275361821</t>
  </si>
  <si>
    <t>Výztuž základů patek z betonářské oceli 10 505 (R)</t>
  </si>
  <si>
    <t>-2036237</t>
  </si>
  <si>
    <t>https://podminky.urs.cz/item/CS_URS_2023_02/275361821</t>
  </si>
  <si>
    <t>0,18*1,232</t>
  </si>
  <si>
    <t>Svislé a kompletní konstrukce</t>
  </si>
  <si>
    <t>29</t>
  </si>
  <si>
    <t>311101214</t>
  </si>
  <si>
    <t>Vytvoření prostupů nebo suchých kanálků v betonových zdech nosných z monolitického betonu a železobetonu vodorovných, šikmých, obloukových, zalomených, svislých vložkami z trub, prefabrikovaných dílců, dutinových tvarovek, apod., bez jejich dodání trvale osazenými na sraz, včetně polohového zajištění v bednění při betonáži, vnější průřezové plochy přes 0,10 do 0,20 m2</t>
  </si>
  <si>
    <t>2002792586</t>
  </si>
  <si>
    <t>https://podminky.urs.cz/item/CS_URS_2023_02/311101214</t>
  </si>
  <si>
    <t>0,4*1"pažnice V1</t>
  </si>
  <si>
    <t>0,45*1"pažnice V2</t>
  </si>
  <si>
    <t>30</t>
  </si>
  <si>
    <t>28611130</t>
  </si>
  <si>
    <t>trubka kanalizační PVC DN 160x500mm SN4</t>
  </si>
  <si>
    <t>365708285</t>
  </si>
  <si>
    <t>0,5*2</t>
  </si>
  <si>
    <t>1*1,01 'Přepočtené koeficientem množství</t>
  </si>
  <si>
    <t>31</t>
  </si>
  <si>
    <t>311101215</t>
  </si>
  <si>
    <t>Vytvoření prostupů nebo suchých kanálků v betonových zdech nosných z monolitického betonu a železobetonu vodorovných, šikmých, obloukových, zalomených, svislých vložkami z trub, prefabrikovaných dílců, dutinových tvarovek, apod., bez jejich dodání trvale osazenými na sraz, včetně polohového zajištění v bednění při betonáži, vnější průřezové plochy přes 0,20 do 0,35 m2</t>
  </si>
  <si>
    <t>-1871727562</t>
  </si>
  <si>
    <t>https://podminky.urs.cz/item/CS_URS_2023_02/311101215</t>
  </si>
  <si>
    <t>0,4*2"pažnice V3</t>
  </si>
  <si>
    <t>0,45*2"pažnice V4</t>
  </si>
  <si>
    <t>32</t>
  </si>
  <si>
    <t>28611135</t>
  </si>
  <si>
    <t>trubka kanalizační PVC DN 200x500mm SN4</t>
  </si>
  <si>
    <t>2133781864</t>
  </si>
  <si>
    <t>0,5*3</t>
  </si>
  <si>
    <t>33</t>
  </si>
  <si>
    <t>311272211</t>
  </si>
  <si>
    <t>Zdivo z pórobetonových tvárnic na tenké maltové lože, tl. zdiva 300 mm pevnost tvárnic do P2, objemová hmotnost do 450 kg/m3 hladkých</t>
  </si>
  <si>
    <t>1712768215</t>
  </si>
  <si>
    <t>https://podminky.urs.cz/item/CS_URS_2023_02/311272211</t>
  </si>
  <si>
    <t>0,75*(9,95*2)</t>
  </si>
  <si>
    <t>34</t>
  </si>
  <si>
    <t>311272311</t>
  </si>
  <si>
    <t>Zdivo z pórobetonových tvárnic na tenké maltové lože, tl. zdiva 375 mm pevnost tvárnic do P2, objemová hmotnost do 450 kg/m3 hladkých</t>
  </si>
  <si>
    <t>1703087391</t>
  </si>
  <si>
    <t>https://podminky.urs.cz/item/CS_URS_2023_02/311272311</t>
  </si>
  <si>
    <t>0,75*9,9*2</t>
  </si>
  <si>
    <t>35</t>
  </si>
  <si>
    <t>317168012</t>
  </si>
  <si>
    <t>Překlady keramické ploché osazené do maltového lože, výšky překladu 71 mm šířky 115 mm, délky 1250 mm</t>
  </si>
  <si>
    <t>kus</t>
  </si>
  <si>
    <t>1866144383</t>
  </si>
  <si>
    <t>https://podminky.urs.cz/item/CS_URS_2023_02/317168012</t>
  </si>
  <si>
    <t>18"P1</t>
  </si>
  <si>
    <t>36</t>
  </si>
  <si>
    <t>317168017</t>
  </si>
  <si>
    <t>Překlady keramické ploché osazené do maltového lože, výšky překladu 71 mm šířky 115 mm, délky 2500 mm</t>
  </si>
  <si>
    <t>-1887379409</t>
  </si>
  <si>
    <t>https://podminky.urs.cz/item/CS_URS_2023_02/317168017</t>
  </si>
  <si>
    <t>2"P2</t>
  </si>
  <si>
    <t>37</t>
  </si>
  <si>
    <t>330321611</t>
  </si>
  <si>
    <t>Sloupy, pilíře, táhla, rámové stojky, vzpěry z betonu železového (bez výztuže) pohledového bez zvláštních nároků na vliv prostředí tř. C 30/37</t>
  </si>
  <si>
    <t>1139984961</t>
  </si>
  <si>
    <t>https://podminky.urs.cz/item/CS_URS_2023_02/330321611</t>
  </si>
  <si>
    <t>6*0,125*0,125*3,55*PI"P1.1</t>
  </si>
  <si>
    <t>38</t>
  </si>
  <si>
    <t>332351115</t>
  </si>
  <si>
    <t>Bednění kruhových a oblých sloupů a pilířů včetně vzepření průřezu kruhového nebo zakřiveného výšky do 4 m, průměru sloupu přes 0,25 do 0,40 m zřízení</t>
  </si>
  <si>
    <t>1338177420</t>
  </si>
  <si>
    <t>https://podminky.urs.cz/item/CS_URS_2023_02/332351115</t>
  </si>
  <si>
    <t>6*0,25*PI*3,55"P1.1</t>
  </si>
  <si>
    <t>39</t>
  </si>
  <si>
    <t>332351116</t>
  </si>
  <si>
    <t>Bednění kruhových a oblých sloupů a pilířů včetně vzepření průřezu kruhového nebo zakřiveného výšky do 4 m, průměru sloupu přes 0,25 do 0,40 m odstranění</t>
  </si>
  <si>
    <t>-140732193</t>
  </si>
  <si>
    <t>https://podminky.urs.cz/item/CS_URS_2023_02/332351116</t>
  </si>
  <si>
    <t>40</t>
  </si>
  <si>
    <t>332361821</t>
  </si>
  <si>
    <t>Výztuž sloupů, pilířů, rámových stojek, táhel nebo vzpěr oblých svislých nebo šikmých (odkloněných) z betonářské oceli 10 505 (R) nebo BSt 500</t>
  </si>
  <si>
    <t>-2085568260</t>
  </si>
  <si>
    <t>https://podminky.urs.cz/item/CS_URS_2023_02/332361821</t>
  </si>
  <si>
    <t>0,18*1,046</t>
  </si>
  <si>
    <t>41</t>
  </si>
  <si>
    <t>341321610</t>
  </si>
  <si>
    <t>Stěny a příčky z betonu železového (bez výztuže) nosné tř. C 30/37</t>
  </si>
  <si>
    <t>-390504908</t>
  </si>
  <si>
    <t>https://podminky.urs.cz/item/CS_URS_2023_02/341321610</t>
  </si>
  <si>
    <t xml:space="preserve">Poznámka k položce:_x000d_
C30/37 XC1 Dmax 16 S4 </t>
  </si>
  <si>
    <t>"1NP"</t>
  </si>
  <si>
    <t>0,3*10"S1.1</t>
  </si>
  <si>
    <t>0,3*13"S1.2</t>
  </si>
  <si>
    <t>0,25*35"S1.3</t>
  </si>
  <si>
    <t>0,25*3"S1.4</t>
  </si>
  <si>
    <t>0,25*32"S1.5</t>
  </si>
  <si>
    <t>0,25*28"S1.6</t>
  </si>
  <si>
    <t>0,3*28"S1.7</t>
  </si>
  <si>
    <t>0,3*18"S1.8</t>
  </si>
  <si>
    <t>0,4*30"S1.9</t>
  </si>
  <si>
    <t>0,3*60"S1.10</t>
  </si>
  <si>
    <t>0,3*66"S1.11</t>
  </si>
  <si>
    <t>0,3*64"S1.12</t>
  </si>
  <si>
    <t>0,3*49"S1.13</t>
  </si>
  <si>
    <t>0,3*10"S2.1</t>
  </si>
  <si>
    <t>0,3*10"S2.2</t>
  </si>
  <si>
    <t>0,25*22"S2.3</t>
  </si>
  <si>
    <t>0,25*28"S2.4</t>
  </si>
  <si>
    <t>0,3*10"S2.5</t>
  </si>
  <si>
    <t>0,4*10"S2.6</t>
  </si>
  <si>
    <t>0,3*83"S2.7</t>
  </si>
  <si>
    <t>0,3*81"S2.8</t>
  </si>
  <si>
    <t>0,3*66"S2.9</t>
  </si>
  <si>
    <t>42</t>
  </si>
  <si>
    <t>341351111</t>
  </si>
  <si>
    <t>Bednění stěn a příček nosných rovné oboustranné za každou stranu zřízení</t>
  </si>
  <si>
    <t>618588053</t>
  </si>
  <si>
    <t>https://podminky.urs.cz/item/CS_URS_2023_02/341351111</t>
  </si>
  <si>
    <t>2*(10+13+35+3+32+18+28+28+30+60+66+64+49)"1NP</t>
  </si>
  <si>
    <t>"prostupy" 0,3*(9+2,92*2+7,8+2,92*2+1,2+1,4*2+1,8+2,54*2+1,04+2,54*2+1,84+2,54*2+1,14+2,54*2+2,6+2,47*2+0,76+0,55*2+0,97+2,455*2)</t>
  </si>
  <si>
    <t>0,3*(1,8+2,1*2+2,6+2,47*2+0,45+0,515*2+0,63+0,325*2+0,515+0,515*2+0,77+2,455*2+4+2,1*2+(1,2+1,7*2)*2+1,2+1,4*2)</t>
  </si>
  <si>
    <t>0,25*(0,87+2,455*2+0,97+2,455*2+0,9*2,33*2+0,97+2,455*2+0,87+2,455*2+0,515+0,45*2+0,77+2,455*2)</t>
  </si>
  <si>
    <t>2*(10+28+10+22+81+10+66+83)"2NP</t>
  </si>
  <si>
    <t>"prostupy" 0,25*(0,87+2,43*2+0,7+2,43*2+0,9+2,445*2+0,97+2,43*2+0,97+2,43*2)</t>
  </si>
  <si>
    <t>0,3*(0,97+2,43*2+(0,97+2,43*2)*2+2,5+0,9*2+1,2+0,9*2+4+2,1*2)</t>
  </si>
  <si>
    <t>43</t>
  </si>
  <si>
    <t>341351112</t>
  </si>
  <si>
    <t>Bednění stěn a příček nosných rovné oboustranné za každou stranu odstranění</t>
  </si>
  <si>
    <t>1472420774</t>
  </si>
  <si>
    <t>https://podminky.urs.cz/item/CS_URS_2023_02/341351112</t>
  </si>
  <si>
    <t>44</t>
  </si>
  <si>
    <t>341361821</t>
  </si>
  <si>
    <t>Výztuž stěn a příček nosných svislých nebo šikmých, rovných nebo oblých z betonářské oceli 10 505 (R) nebo BSt 500</t>
  </si>
  <si>
    <t>-1489217103</t>
  </si>
  <si>
    <t>https://podminky.urs.cz/item/CS_URS_2023_02/341361821</t>
  </si>
  <si>
    <t>0,18*223,4</t>
  </si>
  <si>
    <t>45</t>
  </si>
  <si>
    <t>342244201</t>
  </si>
  <si>
    <t>Příčky jednoduché z cihel děrovaných broušených, na tenkovrstvou maltu, pevnost cihel do P15, tl. příčky 80 mm</t>
  </si>
  <si>
    <t>-791699514</t>
  </si>
  <si>
    <t>https://podminky.urs.cz/item/CS_URS_2023_02/342244201</t>
  </si>
  <si>
    <t>3,55*(3,6+7,75+2+3,5+3,45+2,4+1,8*3+7,15+3,65+1+2,3+1,9+5,35*2+1,8*2+2,1+1,8*2+2,05+4)</t>
  </si>
  <si>
    <t>2,95*(3,85+4,05+2,2)</t>
  </si>
  <si>
    <t>-"otvory" (4*0,8*2+0,7*2*12+0,9*6*2)</t>
  </si>
  <si>
    <t>46</t>
  </si>
  <si>
    <t>342244221</t>
  </si>
  <si>
    <t>Příčky jednoduché z cihel děrovaných broušených, na tenkovrstvou maltu, pevnost cihel do P15, tl. příčky 140 mm</t>
  </si>
  <si>
    <t>215859345</t>
  </si>
  <si>
    <t>https://podminky.urs.cz/item/CS_URS_2023_02/342244221</t>
  </si>
  <si>
    <t>3,55*(3+5,4+2,3+1,1)"1NP</t>
  </si>
  <si>
    <t>Vodorovné konstrukce</t>
  </si>
  <si>
    <t>47</t>
  </si>
  <si>
    <t>411321616</t>
  </si>
  <si>
    <t>Stropy z betonu železového (bez výztuže) stropů deskových, plochých střech, desek balkonových, desek hřibových stropů včetně hlavic hřibových sloupů tř. C 30/37</t>
  </si>
  <si>
    <t>1622694228</t>
  </si>
  <si>
    <t>https://podminky.urs.cz/item/CS_URS_2023_02/411321616</t>
  </si>
  <si>
    <t>0,275*382</t>
  </si>
  <si>
    <t>48</t>
  </si>
  <si>
    <t>411351021</t>
  </si>
  <si>
    <t>Bednění stropních konstrukcí - bez podpěrné konstrukce desek tloušťky stropní desky přes 25 do 50 cm zřízení</t>
  </si>
  <si>
    <t>-58323121</t>
  </si>
  <si>
    <t>https://podminky.urs.cz/item/CS_URS_2023_02/411351021</t>
  </si>
  <si>
    <t>49</t>
  </si>
  <si>
    <t>411351022</t>
  </si>
  <si>
    <t>Bednění stropních konstrukcí - bez podpěrné konstrukce desek tloušťky stropní desky přes 25 do 50 cm odstranění</t>
  </si>
  <si>
    <t>-1999618516</t>
  </si>
  <si>
    <t>https://podminky.urs.cz/item/CS_URS_2023_02/411351022</t>
  </si>
  <si>
    <t>50</t>
  </si>
  <si>
    <t>411354315</t>
  </si>
  <si>
    <t>Podpěrná konstrukce stropů - desek, kleneb a skořepin výška podepření do 4 m tloušťka stropu přes 25 do 35 cm zřízení</t>
  </si>
  <si>
    <t>1243812274</t>
  </si>
  <si>
    <t>https://podminky.urs.cz/item/CS_URS_2023_02/411354315</t>
  </si>
  <si>
    <t>51</t>
  </si>
  <si>
    <t>411354316</t>
  </si>
  <si>
    <t>Podpěrná konstrukce stropů - desek, kleneb a skořepin výška podepření do 4 m tloušťka stropu přes 25 do 35 cm odstranění</t>
  </si>
  <si>
    <t>488693622</t>
  </si>
  <si>
    <t>https://podminky.urs.cz/item/CS_URS_2023_02/411354316</t>
  </si>
  <si>
    <t>52</t>
  </si>
  <si>
    <t>411361821</t>
  </si>
  <si>
    <t>Výztuž stropů prostě uložených, vetknutých, spojitých, deskových, trámových (žebrových, kazetových), s keramickými a jinými vložkami, konsolových nebo balkonových, hřibových včetně hlavic hřibových sloupů, plochých střech a pro zavěšení železobetonových podhledů z betonářské oceli 10 505 (R) nebo BSt 500</t>
  </si>
  <si>
    <t>-339131352</t>
  </si>
  <si>
    <t>https://podminky.urs.cz/item/CS_URS_2023_02/411361821</t>
  </si>
  <si>
    <t>0,18*105,05</t>
  </si>
  <si>
    <t>53</t>
  </si>
  <si>
    <t>417351115</t>
  </si>
  <si>
    <t>Bednění bočnic ztužujících pásů a věnců včetně vzpěr zřízení</t>
  </si>
  <si>
    <t>1671150497</t>
  </si>
  <si>
    <t>https://podminky.urs.cz/item/CS_URS_2023_02/417351115</t>
  </si>
  <si>
    <t>0,275*120</t>
  </si>
  <si>
    <t>54</t>
  </si>
  <si>
    <t>417351116</t>
  </si>
  <si>
    <t>Bednění bočnic ztužujících pásů a věnců včetně vzpěr odstranění</t>
  </si>
  <si>
    <t>-184942452</t>
  </si>
  <si>
    <t>https://podminky.urs.cz/item/CS_URS_2023_02/417351116</t>
  </si>
  <si>
    <t>Úpravy povrchů, podlahy a osazování výplní</t>
  </si>
  <si>
    <t>55</t>
  </si>
  <si>
    <t>611321341</t>
  </si>
  <si>
    <t>Omítka vápenocementová vnitřních ploch nanášená strojně dvouvrstvá, tloušťky jádrové omítky do 10 mm a tloušťky štuku do 3 mm štuková vodorovných konstrukcí stropů rovných</t>
  </si>
  <si>
    <t>-1608579932</t>
  </si>
  <si>
    <t>https://podminky.urs.cz/item/CS_URS_2023_02/611321341</t>
  </si>
  <si>
    <t>11,56+13,18+4,73+6,65+8,1+8,28+6,82</t>
  </si>
  <si>
    <t>56</t>
  </si>
  <si>
    <t>611321391</t>
  </si>
  <si>
    <t>Omítka vápenocementová vnitřních ploch nanášená strojně Příplatek k cenám za každých dalších i započatých 5 mm tloušťky omítky přes 10 mm stropů</t>
  </si>
  <si>
    <t>-1757886311</t>
  </si>
  <si>
    <t>https://podminky.urs.cz/item/CS_URS_2023_02/611321391</t>
  </si>
  <si>
    <t>57</t>
  </si>
  <si>
    <t>612321321</t>
  </si>
  <si>
    <t>Omítka vápenocementová vnitřních ploch nanášená strojně jednovrstvá, tloušťky do 10 mm hladká svislých konstrukcí stěn</t>
  </si>
  <si>
    <t>1039564668</t>
  </si>
  <si>
    <t>https://podminky.urs.cz/item/CS_URS_2023_02/612321321</t>
  </si>
  <si>
    <t>58</t>
  </si>
  <si>
    <t>612321341</t>
  </si>
  <si>
    <t>Omítka vápenocementová vnitřních ploch nanášená strojně dvouvrstvá, tloušťky jádrové omítky do 10 mm a tloušťky štuku do 3 mm štuková svislých konstrukcí stěn</t>
  </si>
  <si>
    <t>-958799370</t>
  </si>
  <si>
    <t>https://podminky.urs.cz/item/CS_URS_2023_02/612321341</t>
  </si>
  <si>
    <t>1NP</t>
  </si>
  <si>
    <t>2,63*((4+3,85+4+3,85+2,05+2,3*2+1,8)*2+10,15*2+9,6)</t>
  </si>
  <si>
    <t>4,7*9,6+4,95*2*3,25+2,2*2*3,85+46*2</t>
  </si>
  <si>
    <t>3,23*(2,25+3,65+3,5+1,9+3,6+3,6+1,8+3,35+3,45*2+2,4+9,65+9,7+3,65+1,85+1,8+1+1,75+1+1,75+1+1,8+2+1,8+2,35+1,8+2,45+1,8+2,5)*2</t>
  </si>
  <si>
    <t>3,23*(2,3+2+1,2+1,9+1+1,9+2,9+2,1+1,8+2,3+1,05+1,8+2,35+2,1+1,8*1,8+0,9+1,8+2,45+1,8+2,05+2,9+2,35+2,05+2,625+8,1+4,55)</t>
  </si>
  <si>
    <t>7,2*(6,9+8,1+5,05)</t>
  </si>
  <si>
    <t>2NP</t>
  </si>
  <si>
    <t>3,125*(2,6+8,1+4,55+6,25*2+8,1)</t>
  </si>
  <si>
    <t>3,125*(9,65+7,905+9,08+4,4+3,6+5,35+5,35+1+1,85)</t>
  </si>
  <si>
    <t>6,9*(1,7+1,95)*2</t>
  </si>
  <si>
    <t>-"Al dveře" (1,55*2,1+0,8*2,1+1,6*2,1+0,9*2,1)</t>
  </si>
  <si>
    <t>"ostění" 0,25*(1,55+2*2,1+0,8+2*2,1+1,6+2*2,1+0,9+2,1*2)</t>
  </si>
  <si>
    <t>-"Al sestavy" (8,1*3,35+3*2,6*3+7,8*2,6+8,1*1,03+8,1*2,525/26+16,9*0,89+16,9*5,28/2+4,05*0,93+4,05*2,53/2)</t>
  </si>
  <si>
    <t>"ostění" 0,25*(8,1+2*3,35+3*(2,6+2*3)+7,8+2*2,6+8,1+2*1,03+2,4*2+16,9+2*0,89+2,5*2+4,05+2*0,93+2,4*2)</t>
  </si>
  <si>
    <t>-"PVC okna" (1,2*1,4*2+1,2*1,7*2+4*2,1*2+1,8*2,1*1+1,2*0,9+2,5*0,9)</t>
  </si>
  <si>
    <t>"ostění" 0,25*((1,2+2*1,4)*2+(1,2+2*1,7)*2+(4+2*2,1)*2+1,8+2*2,1*1+1,2+2*0,9+2,5+2*0,9)</t>
  </si>
  <si>
    <t>-"vnitřní dveře" 2*(0,7*2,1*16+0,8*2,1*7+0,9*2,1*12+2,57*2,135*2+1,55*2,15)</t>
  </si>
  <si>
    <t>-obklad</t>
  </si>
  <si>
    <t>59</t>
  </si>
  <si>
    <t>612321391</t>
  </si>
  <si>
    <t>Omítka vápenocementová vnitřních ploch nanášená strojně Příplatek k cenám za každých dalších i započatých 5 mm tloušťky omítky přes 10 mm stěn</t>
  </si>
  <si>
    <t>-526292816</t>
  </si>
  <si>
    <t>https://podminky.urs.cz/item/CS_URS_2023_02/612321391</t>
  </si>
  <si>
    <t>284,43+1005,416</t>
  </si>
  <si>
    <t>60</t>
  </si>
  <si>
    <t>622151021</t>
  </si>
  <si>
    <t>Penetrační nátěr vnějších pastovitých tenkovrstvých omítek mozaikových akrylátový stěn</t>
  </si>
  <si>
    <t>921565714</t>
  </si>
  <si>
    <t>https://podminky.urs.cz/item/CS_URS_2023_02/622151021</t>
  </si>
  <si>
    <t>0,3*108</t>
  </si>
  <si>
    <t>61</t>
  </si>
  <si>
    <t>622151031</t>
  </si>
  <si>
    <t>Penetrační nátěr vnějších pastovitých tenkovrstvých omítek silikonový stěn</t>
  </si>
  <si>
    <t>1753563336</t>
  </si>
  <si>
    <t>https://podminky.urs.cz/item/CS_URS_2023_02/622151031</t>
  </si>
  <si>
    <t>482,414</t>
  </si>
  <si>
    <t>-"cihel pásek" 183,33</t>
  </si>
  <si>
    <t>62</t>
  </si>
  <si>
    <t>622211031</t>
  </si>
  <si>
    <t>Montáž kontaktního zateplení lepením a mechanickým kotvením z polystyrenových desek na vnější stěny, na podklad betonový nebo z lehčeného betonu, z tvárnic keramických nebo vápenopískových, tloušťky desek přes 120 do 160 mm</t>
  </si>
  <si>
    <t>2003065035</t>
  </si>
  <si>
    <t>https://podminky.urs.cz/item/CS_URS_2023_02/622211031</t>
  </si>
  <si>
    <t>"fasáda" 54+58+54+162+158+159</t>
  </si>
  <si>
    <t>"ostění" 0,16*(1,55+2*2,1+0,8+2*2,1+1,6+2*2,1+0,9+2,1*2)</t>
  </si>
  <si>
    <t>"ostění" 0,16*(8,1+2*3,35+3*(2,6+2*3)+7,8+2*2,6+8,1+2*1,03+2,4*2+16,9+2*0,89+2,5*2+4,05+2*0,93+2,4*2)</t>
  </si>
  <si>
    <t>"ostění" 0,16*((1,2+2*1,4)*2+(1,2+2*1,7)*2+(4+2*2,1)*2+1,8+2*2,1*1+1,2+2*0,9+2,5+2*0,9)</t>
  </si>
  <si>
    <t>63</t>
  </si>
  <si>
    <t>28375952</t>
  </si>
  <si>
    <t>deska EPS 70 fasádní ?=0,039 tl 160mm</t>
  </si>
  <si>
    <t>1416546135</t>
  </si>
  <si>
    <t>482,413615384615*1,05 'Přepočtené koeficientem množství</t>
  </si>
  <si>
    <t>64</t>
  </si>
  <si>
    <t>622252001</t>
  </si>
  <si>
    <t>Montáž profilů kontaktního zateplení zakládacích soklových připevněných hmoždinkami</t>
  </si>
  <si>
    <t>1357017414</t>
  </si>
  <si>
    <t>https://podminky.urs.cz/item/CS_URS_2023_02/622252001</t>
  </si>
  <si>
    <t>(29,05+22,52)*2</t>
  </si>
  <si>
    <t>65</t>
  </si>
  <si>
    <t>59051653</t>
  </si>
  <si>
    <t>profil zakládací Al tl 0,7mm pro ETICS pro izolant tl 160mm</t>
  </si>
  <si>
    <t>484831741</t>
  </si>
  <si>
    <t>103,14*1,05 'Přepočtené koeficientem množství</t>
  </si>
  <si>
    <t>66</t>
  </si>
  <si>
    <t>622252002</t>
  </si>
  <si>
    <t>Montáž profilů kontaktního zateplení ostatních stěnových, dilatačních apod. lepených do tmelu</t>
  </si>
  <si>
    <t>1920673574</t>
  </si>
  <si>
    <t>https://podminky.urs.cz/item/CS_URS_2023_02/622252002</t>
  </si>
  <si>
    <t>rohové</t>
  </si>
  <si>
    <t>"ostění" (1,55*2+2*2,1+0,8*2+2*2,1+1,6*2+2*2,1+0,9*2+2,1*2)</t>
  </si>
  <si>
    <t>"ostění" (8,1*2+2*3,35+3*(2,6*2+2*3)+7,8*2+2*2,6+8,1*2+2*1,03+2,4*2+16,9*2+2*0,89+2,5*2+4,05*2+2*0,93+2,4*2)</t>
  </si>
  <si>
    <t>"ostění" ((1,2*2+2*1,4)*2+(1,2*2+2*1,7)*2+(4*2+2*2,1)*2+1,8*2+2*2,1*1+1,2*2+2*0,9+2,5*2+2*0,9)</t>
  </si>
  <si>
    <t>8*5,5</t>
  </si>
  <si>
    <t>APU lišty</t>
  </si>
  <si>
    <t>247,4</t>
  </si>
  <si>
    <t>67</t>
  </si>
  <si>
    <t>59051476</t>
  </si>
  <si>
    <t>profil začišťovací PVC 9mm s výztužnou tkaninou pro ostění ETICS</t>
  </si>
  <si>
    <t>-1230891111</t>
  </si>
  <si>
    <t>247,4*1,05 'Přepočtené koeficientem množství</t>
  </si>
  <si>
    <t>68</t>
  </si>
  <si>
    <t>59051486</t>
  </si>
  <si>
    <t>profil rohový PVC 15x15mm s výztužnou tkaninou š 100mm pro ETICS</t>
  </si>
  <si>
    <t>-491250467</t>
  </si>
  <si>
    <t>291,4</t>
  </si>
  <si>
    <t>69</t>
  </si>
  <si>
    <t>622511112</t>
  </si>
  <si>
    <t>Omítka tenkovrstvá akrylátová vnějších ploch probarvená bez penetrace mozaiková střednězrnná stěn</t>
  </si>
  <si>
    <t>1907766862</t>
  </si>
  <si>
    <t>https://podminky.urs.cz/item/CS_URS_2023_02/622511112</t>
  </si>
  <si>
    <t>70</t>
  </si>
  <si>
    <t>622531012</t>
  </si>
  <si>
    <t>Omítka tenkovrstvá silikonová vnějších ploch probarvená bez penetrace zatíraná (škrábaná), zrnitost 1,5 mm stěn</t>
  </si>
  <si>
    <t>284729598</t>
  </si>
  <si>
    <t>https://podminky.urs.cz/item/CS_URS_2023_02/622531012</t>
  </si>
  <si>
    <t>71</t>
  </si>
  <si>
    <t>631311115</t>
  </si>
  <si>
    <t>Mazanina z betonu prostého bez zvýšených nároků na prostředí tl. přes 50 do 80 mm tř. C 20/25</t>
  </si>
  <si>
    <t>942731169</t>
  </si>
  <si>
    <t>https://podminky.urs.cz/item/CS_URS_2023_02/631311115</t>
  </si>
  <si>
    <t>ochranná vrstva izolace tl 60mm</t>
  </si>
  <si>
    <t>0,06*žbdeska</t>
  </si>
  <si>
    <t>0,06*2,7*9,91"terasa</t>
  </si>
  <si>
    <t>0,06*3,24"výtah</t>
  </si>
  <si>
    <t>72</t>
  </si>
  <si>
    <t>631362021</t>
  </si>
  <si>
    <t>Výztuž mazanin ze svařovaných sítí z drátů typu KARI</t>
  </si>
  <si>
    <t>-680507742</t>
  </si>
  <si>
    <t>https://podminky.urs.cz/item/CS_URS_2023_02/631362021</t>
  </si>
  <si>
    <t>kari síť W4/150/150</t>
  </si>
  <si>
    <t>žbdeska*1,353*1,25/1000</t>
  </si>
  <si>
    <t>2,7*9,91*1,353*1,25/1000"terasa</t>
  </si>
  <si>
    <t>3,24*1,353*1,25/1000"výtah</t>
  </si>
  <si>
    <t>73</t>
  </si>
  <si>
    <t>632451024</t>
  </si>
  <si>
    <t>Potěr cementový vyrovnávací z malty (MC-15) v pásu o průměrné (střední) tl. přes 40 do 50 mm</t>
  </si>
  <si>
    <t>1482301994</t>
  </si>
  <si>
    <t>https://podminky.urs.cz/item/CS_URS_2023_02/632451024</t>
  </si>
  <si>
    <t>2,7*9,91"terasa, spádový tl 20-80mm</t>
  </si>
  <si>
    <t>74</t>
  </si>
  <si>
    <t>641.R</t>
  </si>
  <si>
    <t>Montáž + dodávka perforovaný nerez plech pro odtok vody otvor pr.10mm</t>
  </si>
  <si>
    <t>-770572395</t>
  </si>
  <si>
    <t>13*0,6"O06</t>
  </si>
  <si>
    <t>Trubní vedení</t>
  </si>
  <si>
    <t>75</t>
  </si>
  <si>
    <t>893225111.R</t>
  </si>
  <si>
    <t>Šachtice domovní pro vodoměry nebo vodovodní uzávěry se stěnami z betonu se základovou deskou (dnem) z betonu s cementovým potěrem, s vyspravením nerovností, s vynecháním prostupů ve stěnách pro potrubí a jeho obetonováním, s dodáním a osazením poklopu vel. 600x900 mm obestavěného prostoru přes 0,75 do 5 m3 - vstupní</t>
  </si>
  <si>
    <t>2067164238</t>
  </si>
  <si>
    <t>1,1*1,4*2</t>
  </si>
  <si>
    <t>76</t>
  </si>
  <si>
    <t>894215112.R</t>
  </si>
  <si>
    <t>Šachtice domovní kanalizační (revizní) se stěnami z betonu se základovou deskou (dnem) z betonu, s vyspravením s nerovností, obetonováním potrubí ve stěnách a nade dnem, s cementovým potěrem ve spádu k čisticí vložce, s dodáním a osazením poklopu vel. 900x1200 mm obestavěného prostoru přes 1,30 do 5 m3 - vstupní</t>
  </si>
  <si>
    <t>428850611</t>
  </si>
  <si>
    <t>1,3*1,6*1</t>
  </si>
  <si>
    <t>Ostatní konstrukce a práce, bourání</t>
  </si>
  <si>
    <t>77</t>
  </si>
  <si>
    <t>941211112</t>
  </si>
  <si>
    <t>Lešení řadové rámové lehké pracovní s podlahami s provozním zatížením tř. 3 do 200 kg/m2 šířky tř. SW06 od 0,6 do 0,9 m výšky přes 10 do 25 m montáž</t>
  </si>
  <si>
    <t>625725250</t>
  </si>
  <si>
    <t>https://podminky.urs.cz/item/CS_URS_2023_02/941211112</t>
  </si>
  <si>
    <t>(29,05*2+1,5*4+22,52*2)*11,3</t>
  </si>
  <si>
    <t>78</t>
  </si>
  <si>
    <t>941211212</t>
  </si>
  <si>
    <t>Lešení řadové rámové lehké pracovní s podlahami s provozním zatížením tř. 3 do 200 kg/m2 šířky tř. SW06 od 0,6 do 0,9 m výšky přes 10 do 25 m příplatek za každý den použití</t>
  </si>
  <si>
    <t>-1223660959</t>
  </si>
  <si>
    <t>https://podminky.urs.cz/item/CS_URS_2023_02/941211212</t>
  </si>
  <si>
    <t>"5 měsíců" 5*30*1233,282</t>
  </si>
  <si>
    <t>79</t>
  </si>
  <si>
    <t>941211812</t>
  </si>
  <si>
    <t>Lešení řadové rámové lehké pracovní s podlahami s provozním zatížením tř. 3 do 200 kg/m2 šířky tř. SW06 od 0,6 do 0,9 m výšky přes 10 do 25 m demontáž</t>
  </si>
  <si>
    <t>633036202</t>
  </si>
  <si>
    <t>https://podminky.urs.cz/item/CS_URS_2023_02/941211812</t>
  </si>
  <si>
    <t>80</t>
  </si>
  <si>
    <t>943211111</t>
  </si>
  <si>
    <t>Lešení prostorové rámové lehké pracovní s podlahami s provozním zatížením tř. 3 do 200 kg/m2 výšky do 10 m montáž</t>
  </si>
  <si>
    <t>-502738797</t>
  </si>
  <si>
    <t>https://podminky.urs.cz/item/CS_URS_2023_02/943211111</t>
  </si>
  <si>
    <t>53*7,15</t>
  </si>
  <si>
    <t>103*10,65/3*2</t>
  </si>
  <si>
    <t>81</t>
  </si>
  <si>
    <t>943211211</t>
  </si>
  <si>
    <t>Lešení prostorové rámové lehké pracovní s podlahami s provozním zatížením tř. 3 do 200 kg/m2 výšky do 10 m příplatek k ceně za každý den použití</t>
  </si>
  <si>
    <t>-1158535935</t>
  </si>
  <si>
    <t>https://podminky.urs.cz/item/CS_URS_2023_02/943211211</t>
  </si>
  <si>
    <t>"2měsíce" 2*30*1110,25</t>
  </si>
  <si>
    <t>82</t>
  </si>
  <si>
    <t>943211811</t>
  </si>
  <si>
    <t>Lešení prostorové rámové lehké pracovní s podlahami s provozním zatížením tř. 3 do 200 kg/m2 výšky do 10 m demontáž</t>
  </si>
  <si>
    <t>702208858</t>
  </si>
  <si>
    <t>https://podminky.urs.cz/item/CS_URS_2023_02/943211811</t>
  </si>
  <si>
    <t>83</t>
  </si>
  <si>
    <t>949101111</t>
  </si>
  <si>
    <t>Lešení pomocné pracovní pro objekty pozemních staveb pro zatížení do 150 kg/m2, o výšce lešeňové podlahy do 1,9 m</t>
  </si>
  <si>
    <t>-1272913454</t>
  </si>
  <si>
    <t>https://podminky.urs.cz/item/CS_URS_2023_02/949101111</t>
  </si>
  <si>
    <t>497,23+342,58</t>
  </si>
  <si>
    <t>-"prostorové"(53+103)</t>
  </si>
  <si>
    <t>84</t>
  </si>
  <si>
    <t>952901111</t>
  </si>
  <si>
    <t>Vyčištění budov nebo objektů před předáním do užívání budov bytové nebo občanské výstavby, světlé výšky podlaží do 4 m</t>
  </si>
  <si>
    <t>-655833368</t>
  </si>
  <si>
    <t>https://podminky.urs.cz/item/CS_URS_2023_02/952901111</t>
  </si>
  <si>
    <t>378+339</t>
  </si>
  <si>
    <t>85</t>
  </si>
  <si>
    <t>952901114</t>
  </si>
  <si>
    <t>Vyčištění budov nebo objektů před předáním do užívání budov bytové nebo občanské výstavby, světlé výšky podlaží přes 4 m</t>
  </si>
  <si>
    <t>-1177311869</t>
  </si>
  <si>
    <t>https://podminky.urs.cz/item/CS_URS_2023_02/952901114</t>
  </si>
  <si>
    <t>155+52</t>
  </si>
  <si>
    <t>86</t>
  </si>
  <si>
    <t>953312115</t>
  </si>
  <si>
    <t>Vložky svislé do dilatačních spár z polystyrenových desek fasádních včetně dodání a osazení, v jakémkoliv zdivu přes 30 do 50 mm</t>
  </si>
  <si>
    <t>181293345</t>
  </si>
  <si>
    <t>https://podminky.urs.cz/item/CS_URS_2023_02/953312115</t>
  </si>
  <si>
    <t>"základy, venkovní schodiště"</t>
  </si>
  <si>
    <t>0,4*5*(0,36+0,74)</t>
  </si>
  <si>
    <t>"základy opěrná stěna"</t>
  </si>
  <si>
    <t>0,2*(1,42-0,22)</t>
  </si>
  <si>
    <t>0,7*(0,82+0,38)</t>
  </si>
  <si>
    <t>87</t>
  </si>
  <si>
    <t>441171121</t>
  </si>
  <si>
    <t>Montáž ocelové konstrukce zastřešení (vazníky, krovy) hmotnosti jednotlivých prvků přes 30 do 50 kg/m, délky do 12 m</t>
  </si>
  <si>
    <t>241943831</t>
  </si>
  <si>
    <t>https://podminky.urs.cz/item/CS_URS_2023_02/441171121</t>
  </si>
  <si>
    <t>terasa zastřešení</t>
  </si>
  <si>
    <t>4*0,144"HEA1</t>
  </si>
  <si>
    <t>1*0,482"HEA2</t>
  </si>
  <si>
    <t>2*0,213"HEA3</t>
  </si>
  <si>
    <t>výpis ocel prvků střecha</t>
  </si>
  <si>
    <t>14*0,513"HEA 3</t>
  </si>
  <si>
    <t>7*0,589"HEA 4</t>
  </si>
  <si>
    <t>6*0,358"HEA 5</t>
  </si>
  <si>
    <t>1*0,319"HEA 6</t>
  </si>
  <si>
    <t>1*0,392"HEA 7</t>
  </si>
  <si>
    <t>6*0,251"HEA 8</t>
  </si>
  <si>
    <t>0,192*2"HEA 9</t>
  </si>
  <si>
    <t>2*0,097"HEA 10</t>
  </si>
  <si>
    <t>2*0,107"HEA 11</t>
  </si>
  <si>
    <t>2*0,214"HEA 12</t>
  </si>
  <si>
    <t>4*0,353"HEA 13</t>
  </si>
  <si>
    <t>2*0,204"HEA 14</t>
  </si>
  <si>
    <t>88</t>
  </si>
  <si>
    <t>13010960</t>
  </si>
  <si>
    <t>ocel profilová jakost S235JR (11 375) průřez HEA 200</t>
  </si>
  <si>
    <t>-99065624</t>
  </si>
  <si>
    <t>19,768*1,1 'Přepočtené koeficientem množství</t>
  </si>
  <si>
    <t>89</t>
  </si>
  <si>
    <t>13010962</t>
  </si>
  <si>
    <t>ocel profilová jakost S235JR (11 375) průřez HEA 220</t>
  </si>
  <si>
    <t>-1938751490</t>
  </si>
  <si>
    <t>90</t>
  </si>
  <si>
    <t>441171151</t>
  </si>
  <si>
    <t>Montáž ocelové konstrukce zastřešení (vazníky, krovy) hmotnosti jednotlivých prvků přes 100 kg/m, délky do 12 m</t>
  </si>
  <si>
    <t>519335044</t>
  </si>
  <si>
    <t>https://podminky.urs.cz/item/CS_URS_2023_02/441171151</t>
  </si>
  <si>
    <t>5*1,268"HEA 1</t>
  </si>
  <si>
    <t>5*1,274"HEA 2</t>
  </si>
  <si>
    <t>91</t>
  </si>
  <si>
    <t>13011003</t>
  </si>
  <si>
    <t>ocel profilová jakost S235JR (11 375) průřez HEA 340</t>
  </si>
  <si>
    <t>-1714086796</t>
  </si>
  <si>
    <t>12,71*1,1 'Přepočtené koeficientem množství</t>
  </si>
  <si>
    <t>92</t>
  </si>
  <si>
    <t>441171112</t>
  </si>
  <si>
    <t>Montáž ocelové konstrukce zastřešení (vazníky, krovy) hmotnosti jednotlivých prvků do 30 kg/m, délky přes 12 do 18 m</t>
  </si>
  <si>
    <t>663462607</t>
  </si>
  <si>
    <t>https://podminky.urs.cz/item/CS_URS_2023_02/441171112</t>
  </si>
  <si>
    <t>1,892"QRO 1</t>
  </si>
  <si>
    <t>0,864"QRO 2</t>
  </si>
  <si>
    <t>0,15"QRO 3</t>
  </si>
  <si>
    <t>0,765" QRO 4</t>
  </si>
  <si>
    <t>0,267" QRO 5</t>
  </si>
  <si>
    <t>0,284" QRO 6</t>
  </si>
  <si>
    <t>93</t>
  </si>
  <si>
    <t>14550303</t>
  </si>
  <si>
    <t>profil ocelový svařovaný jakost S235 průřez čtvercový 100x100x8mm</t>
  </si>
  <si>
    <t>545384772</t>
  </si>
  <si>
    <t>4,222*1,1 'Přepočtené koeficientem množství</t>
  </si>
  <si>
    <t>94</t>
  </si>
  <si>
    <t>441171113</t>
  </si>
  <si>
    <t>Montáž ocelové konstrukce zastřešení (vazníky, krovy) hmotnosti jednotlivých prvků do 30 kg/m, délky přes 18 do 24 m</t>
  </si>
  <si>
    <t>437112773</t>
  </si>
  <si>
    <t>https://podminky.urs.cz/item/CS_URS_2023_02/441171113</t>
  </si>
  <si>
    <t>zastřešení terasy</t>
  </si>
  <si>
    <t>0,13"T1</t>
  </si>
  <si>
    <t>krov</t>
  </si>
  <si>
    <t>1,724"T1</t>
  </si>
  <si>
    <t>0,196"T2</t>
  </si>
  <si>
    <t>0,664"T3</t>
  </si>
  <si>
    <t>0,076"T4</t>
  </si>
  <si>
    <t>95</t>
  </si>
  <si>
    <t>13010018</t>
  </si>
  <si>
    <t>tyč ocelová kruhová jakost S235JR (11 375) D 25mm</t>
  </si>
  <si>
    <t>-870024059</t>
  </si>
  <si>
    <t>2,79*1,1 'Přepočtené koeficientem množství</t>
  </si>
  <si>
    <t>96</t>
  </si>
  <si>
    <t>-70108103</t>
  </si>
  <si>
    <t>terasa</t>
  </si>
  <si>
    <t>0,492"PRO1</t>
  </si>
  <si>
    <t>0,234"PRO2</t>
  </si>
  <si>
    <t>0,338"PRO3</t>
  </si>
  <si>
    <t>0,442"PRO4</t>
  </si>
  <si>
    <t>0,252"PRO5</t>
  </si>
  <si>
    <t>0,46"J1</t>
  </si>
  <si>
    <t>0,27"J2</t>
  </si>
  <si>
    <t>97</t>
  </si>
  <si>
    <t>14550441.R</t>
  </si>
  <si>
    <t>profil ocelový svařovaný jakost S355 průřez obdelníkový 250x100x6mm</t>
  </si>
  <si>
    <t>808990414</t>
  </si>
  <si>
    <t>0,73*1,1 'Přepočtené koeficientem množství</t>
  </si>
  <si>
    <t>98</t>
  </si>
  <si>
    <t>14550441.R2</t>
  </si>
  <si>
    <t>profil ocelový pozink sloup průřez obdelníkový 250x100x6mm</t>
  </si>
  <si>
    <t>-1587557265</t>
  </si>
  <si>
    <t>1,758*1,1 'Přepočtené koeficientem množství</t>
  </si>
  <si>
    <t>99</t>
  </si>
  <si>
    <t>441171111</t>
  </si>
  <si>
    <t>Montáž ocelové konstrukce zastřešení (vazníky, krovy) hmotnosti jednotlivých prvků do 30 kg/m, délky do 12 m</t>
  </si>
  <si>
    <t>-463702791</t>
  </si>
  <si>
    <t>https://podminky.urs.cz/item/CS_URS_2023_02/441171111</t>
  </si>
  <si>
    <t>0,64"P5</t>
  </si>
  <si>
    <t>0,23"P10</t>
  </si>
  <si>
    <t>100</t>
  </si>
  <si>
    <t>13010202</t>
  </si>
  <si>
    <t>tyč ocelová plochá jakost S235JR (11 375) 40x5mm</t>
  </si>
  <si>
    <t>-405889778</t>
  </si>
  <si>
    <t>0,64*1,1 'Přepočtené koeficientem množství</t>
  </si>
  <si>
    <t>101</t>
  </si>
  <si>
    <t>13010332</t>
  </si>
  <si>
    <t>tyč ocelová plochá jakost S235JR (11 375) 250x10mm</t>
  </si>
  <si>
    <t>1880553251</t>
  </si>
  <si>
    <t>0,23*1,1 'Přepočtené koeficientem množství</t>
  </si>
  <si>
    <t>102</t>
  </si>
  <si>
    <t>441171141</t>
  </si>
  <si>
    <t>Montáž ocelové konstrukce zastřešení (vazníky, krovy) hmotnosti jednotlivých prvků přes 80 do 100 kg/m, délky do 12 m</t>
  </si>
  <si>
    <t>1686754684</t>
  </si>
  <si>
    <t>https://podminky.urs.cz/item/CS_URS_2023_02/441171141</t>
  </si>
  <si>
    <t>0,694"UPN400</t>
  </si>
  <si>
    <t>103</t>
  </si>
  <si>
    <t>13011032</t>
  </si>
  <si>
    <t>ocel profilová jakost S235JR (11 375) průřez U (UPN) 400</t>
  </si>
  <si>
    <t>-841797104</t>
  </si>
  <si>
    <t>0,694*1,1 'Přepočtené koeficientem množství</t>
  </si>
  <si>
    <t>104</t>
  </si>
  <si>
    <t>953943211</t>
  </si>
  <si>
    <t>Osazování drobných kovových předmětů kotvených do stěny hasicího přístroje</t>
  </si>
  <si>
    <t>-1715137671</t>
  </si>
  <si>
    <t>https://podminky.urs.cz/item/CS_URS_2023_02/953943211</t>
  </si>
  <si>
    <t>105</t>
  </si>
  <si>
    <t>44932114</t>
  </si>
  <si>
    <t>přístroj hasicí ruční práškový PG 6 LE</t>
  </si>
  <si>
    <t>-396788520</t>
  </si>
  <si>
    <t>106</t>
  </si>
  <si>
    <t>953962113</t>
  </si>
  <si>
    <t>Kotvy chemické s vyvrtáním otvoru do zdiva z plných cihel tmel, hloubka 80 mm, velikost M 12</t>
  </si>
  <si>
    <t>-1007062179</t>
  </si>
  <si>
    <t>https://podminky.urs.cz/item/CS_URS_2023_02/953962113</t>
  </si>
  <si>
    <t>8"terasa</t>
  </si>
  <si>
    <t>32"2NP</t>
  </si>
  <si>
    <t>144"krov</t>
  </si>
  <si>
    <t>107</t>
  </si>
  <si>
    <t>953965124</t>
  </si>
  <si>
    <t>Kotvy chemické s vyvrtáním otvoru kotevní šrouby pro chemické kotvy, velikost M 12, délka 300 mm</t>
  </si>
  <si>
    <t>2075247978</t>
  </si>
  <si>
    <t>https://podminky.urs.cz/item/CS_URS_2023_02/953965124</t>
  </si>
  <si>
    <t>998</t>
  </si>
  <si>
    <t>Přesun hmot</t>
  </si>
  <si>
    <t>108</t>
  </si>
  <si>
    <t>998012102</t>
  </si>
  <si>
    <t>Přesun hmot pro budovy občanské výstavby, bydlení, výrobu a služby s nosnou svislou konstrukcí monolitickou betonovou tyčovou s vyzdívaným obvodovým pláštěm vodorovná dopravní vzdálenost do 100 m pro budovy výšky přes 6 do 12 m</t>
  </si>
  <si>
    <t>-1260383284</t>
  </si>
  <si>
    <t>https://podminky.urs.cz/item/CS_URS_2023_02/998012102</t>
  </si>
  <si>
    <t>PSV</t>
  </si>
  <si>
    <t>Práce a dodávky PSV</t>
  </si>
  <si>
    <t>711</t>
  </si>
  <si>
    <t>Izolace proti vodě, vlhkosti a plynům</t>
  </si>
  <si>
    <t>109</t>
  </si>
  <si>
    <t>711111001</t>
  </si>
  <si>
    <t>Provedení izolace proti zemní vlhkosti natěradly a tmely za studena na ploše vodorovné V nátěrem penetračním</t>
  </si>
  <si>
    <t>966048943</t>
  </si>
  <si>
    <t>https://podminky.urs.cz/item/CS_URS_2023_02/711111001</t>
  </si>
  <si>
    <t>482,9+102</t>
  </si>
  <si>
    <t>2,7*9,91"terasa</t>
  </si>
  <si>
    <t>110</t>
  </si>
  <si>
    <t>711112001</t>
  </si>
  <si>
    <t>Provedení izolace proti zemní vlhkosti natěradly a tmely za studena na ploše svislé S nátěrem penetračním</t>
  </si>
  <si>
    <t>1820822409</t>
  </si>
  <si>
    <t>https://podminky.urs.cz/item/CS_URS_2023_02/711112001</t>
  </si>
  <si>
    <t>0,95*(98,15+50,95)</t>
  </si>
  <si>
    <t>111</t>
  </si>
  <si>
    <t>11163150</t>
  </si>
  <si>
    <t>lak penetrační asfaltový</t>
  </si>
  <si>
    <t>1631148507</t>
  </si>
  <si>
    <t>753,302*0,00034 'Přepočtené koeficientem množství</t>
  </si>
  <si>
    <t>112</t>
  </si>
  <si>
    <t>711141559</t>
  </si>
  <si>
    <t>Provedení izolace proti zemní vlhkosti pásy přitavením NAIP na ploše vodorovné V</t>
  </si>
  <si>
    <t>-1096908004</t>
  </si>
  <si>
    <t>https://podminky.urs.cz/item/CS_URS_2023_02/711141559</t>
  </si>
  <si>
    <t>žb deska 2xpás</t>
  </si>
  <si>
    <t>(482,9+102)*2</t>
  </si>
  <si>
    <t>113</t>
  </si>
  <si>
    <t>711142559</t>
  </si>
  <si>
    <t>Provedení izolace proti zemní vlhkosti pásy přitavením NAIP na ploše svislé S</t>
  </si>
  <si>
    <t>-1630555483</t>
  </si>
  <si>
    <t>https://podminky.urs.cz/item/CS_URS_2023_02/711142559</t>
  </si>
  <si>
    <t>0,95*(98,15+50,95)*2"2 vrstvy</t>
  </si>
  <si>
    <t>114</t>
  </si>
  <si>
    <t>62855002</t>
  </si>
  <si>
    <t>pás asfaltový natavitelný modifikovaný SBS s vložkou z polyesterové rohože a spalitelnou PE fólií nebo jemnozrnným minerálním posypem na horním povrchu tl 5,0mm</t>
  </si>
  <si>
    <t>-1274841836</t>
  </si>
  <si>
    <t>1479,847*1,221 'Přepočtené koeficientem množství</t>
  </si>
  <si>
    <t>115</t>
  </si>
  <si>
    <t>711161273</t>
  </si>
  <si>
    <t>Provedení izolace proti zemní vlhkosti nopovou fólií na ploše svislé S z nopové fólie</t>
  </si>
  <si>
    <t>1263290733</t>
  </si>
  <si>
    <t>https://podminky.urs.cz/item/CS_URS_2023_02/711161273</t>
  </si>
  <si>
    <t xml:space="preserve">"sokl" </t>
  </si>
  <si>
    <t>1,3*(108,297)</t>
  </si>
  <si>
    <t>116</t>
  </si>
  <si>
    <t>28323005</t>
  </si>
  <si>
    <t>fólie profilovaná (nopová) drenážní HDPE s výškou nopů 8mm</t>
  </si>
  <si>
    <t>-831701719</t>
  </si>
  <si>
    <t>140,7861*1,221 'Přepočtené koeficientem množství</t>
  </si>
  <si>
    <t>117</t>
  </si>
  <si>
    <t>998711102</t>
  </si>
  <si>
    <t>Přesun hmot pro izolace proti vodě, vlhkosti a plynům stanovený z hmotnosti přesunovaného materiálu vodorovná dopravní vzdálenost do 50 m v objektech výšky přes 6 do 12 m</t>
  </si>
  <si>
    <t>1580842195</t>
  </si>
  <si>
    <t>https://podminky.urs.cz/item/CS_URS_2023_02/998711102</t>
  </si>
  <si>
    <t>713</t>
  </si>
  <si>
    <t>Izolace tepelné</t>
  </si>
  <si>
    <t>118</t>
  </si>
  <si>
    <t>713121111</t>
  </si>
  <si>
    <t>Montáž tepelné izolace podlah rohožemi, pásy, deskami, dílci, bloky (izolační materiál ve specifikaci) kladenými volně jednovrstvá</t>
  </si>
  <si>
    <t>293057030</t>
  </si>
  <si>
    <t>https://podminky.urs.cz/item/CS_URS_2023_02/713121111</t>
  </si>
  <si>
    <t>S01+ S02+S03+S04+0+39,32</t>
  </si>
  <si>
    <t>119</t>
  </si>
  <si>
    <t>28375915</t>
  </si>
  <si>
    <t>deska EPS 150 pro konstrukce s vysokým zatížením ?=0,035 tl 120mm</t>
  </si>
  <si>
    <t>741819262</t>
  </si>
  <si>
    <t>536,55*1,05 'Přepočtené koeficientem množství</t>
  </si>
  <si>
    <t>120</t>
  </si>
  <si>
    <t>713131141</t>
  </si>
  <si>
    <t>Montáž tepelné izolace stěn rohožemi, pásy, deskami, dílci, bloky (izolační materiál ve specifikaci) lepením celoplošně bez mechanického kotvení</t>
  </si>
  <si>
    <t>21278121</t>
  </si>
  <si>
    <t>https://podminky.urs.cz/item/CS_URS_2023_02/713131141</t>
  </si>
  <si>
    <t>121</t>
  </si>
  <si>
    <t>28376425</t>
  </si>
  <si>
    <t>deska XPS hrana polodrážková a hladký povrch 300kPA ?=0,035 tl 160mm</t>
  </si>
  <si>
    <t>-1938146395</t>
  </si>
  <si>
    <t>122</t>
  </si>
  <si>
    <t>713131172</t>
  </si>
  <si>
    <t>Montáž tepelné izolace stěn rohožemi, pásy, deskami, dílci, bloky (izolační materiál ve specifikaci) přichycením samolepícími trny vně objektu</t>
  </si>
  <si>
    <t>1354238707</t>
  </si>
  <si>
    <t>https://podminky.urs.cz/item/CS_URS_2023_02/713131172</t>
  </si>
  <si>
    <t>123</t>
  </si>
  <si>
    <t>63166864</t>
  </si>
  <si>
    <t>deska tepelně izolační z pěnového skla fasádní ?=0,033-0,035 tl 120mm</t>
  </si>
  <si>
    <t>272997008</t>
  </si>
  <si>
    <t>124</t>
  </si>
  <si>
    <t>713151165</t>
  </si>
  <si>
    <t>Montáž tepelné izolace střech šikmých rohožemi, pásy, deskami (izolační materiál ve specifikaci) přišroubovanými šrouby nad krokve, sklonu střechy přes 30° do 45° tloušťky izolace přes 140 do 160 mm</t>
  </si>
  <si>
    <t>-833115156</t>
  </si>
  <si>
    <t>https://podminky.urs.cz/item/CS_URS_2023_02/713151165</t>
  </si>
  <si>
    <t>125</t>
  </si>
  <si>
    <t>28376535</t>
  </si>
  <si>
    <t>deska izolační PIR s oboustrannou kompozitní fólií s hliníkovou vložkou pro šikmé střechy ?=0,022 tl 160mm</t>
  </si>
  <si>
    <t>-729327845</t>
  </si>
  <si>
    <t>707,3*1,05 'Přepočtené koeficientem množství</t>
  </si>
  <si>
    <t>126</t>
  </si>
  <si>
    <t>713191115</t>
  </si>
  <si>
    <t>Montáž tepelné izolace stavebních konstrukcí - doplňky a konstrukční součásti podlah, stropů vrchem nebo střech překrytím pásem asfaltovým samolepícím na sucho</t>
  </si>
  <si>
    <t>-1873319478</t>
  </si>
  <si>
    <t>https://podminky.urs.cz/item/CS_URS_2023_02/713191115</t>
  </si>
  <si>
    <t>127</t>
  </si>
  <si>
    <t>62853001</t>
  </si>
  <si>
    <t>pás asfaltový samolepicí modifikovaný SBS s vložkou ze skleněné tkaniny se spalitelnou fólií nebo jemnozrnným minerálním posypem nebo textilií na horním povrchu tl 4,0mm</t>
  </si>
  <si>
    <t>-724914690</t>
  </si>
  <si>
    <t>707,3*1,1655 'Přepočtené koeficientem množství</t>
  </si>
  <si>
    <t>128</t>
  </si>
  <si>
    <t>713191132</t>
  </si>
  <si>
    <t>Montáž tepelné izolace stavebních konstrukcí - doplňky a konstrukční součásti podlah, stropů vrchem nebo střech překrytím fólií separační z PE</t>
  </si>
  <si>
    <t>1332277132</t>
  </si>
  <si>
    <t>https://podminky.urs.cz/item/CS_URS_2023_02/713191132</t>
  </si>
  <si>
    <t>129</t>
  </si>
  <si>
    <t>28329234</t>
  </si>
  <si>
    <t>fólie PE homogenní pro parotěsnou vrstvu zejména plochých střech tl 0,2mm</t>
  </si>
  <si>
    <t>256350762</t>
  </si>
  <si>
    <t>536,55*1,1655 'Přepočtené koeficientem množství</t>
  </si>
  <si>
    <t>130</t>
  </si>
  <si>
    <t>998713102</t>
  </si>
  <si>
    <t>Přesun hmot pro izolace tepelné stanovený z hmotnosti přesunovaného materiálu vodorovná dopravní vzdálenost do 50 m v objektech výšky přes 6 m do 12 m</t>
  </si>
  <si>
    <t>821190418</t>
  </si>
  <si>
    <t>https://podminky.urs.cz/item/CS_URS_2023_02/998713102</t>
  </si>
  <si>
    <t>722</t>
  </si>
  <si>
    <t>Zdravotechnika - vnitřní vodovod</t>
  </si>
  <si>
    <t>131</t>
  </si>
  <si>
    <t>722254116</t>
  </si>
  <si>
    <t>Požární příslušenství a armatury hydrantové skříně vnitřní s výzbrojí C 52 (polyesterová hadice)</t>
  </si>
  <si>
    <t>soubor</t>
  </si>
  <si>
    <t>372415544</t>
  </si>
  <si>
    <t>https://podminky.urs.cz/item/CS_URS_2023_02/722254116</t>
  </si>
  <si>
    <t>Poznámka k položce:_x000d_
specifilace viz tabulka Ostatní výrobky</t>
  </si>
  <si>
    <t>2"O04</t>
  </si>
  <si>
    <t>725</t>
  </si>
  <si>
    <t>Zdravotechnika - zařizovací předměty</t>
  </si>
  <si>
    <t>132</t>
  </si>
  <si>
    <t>725291721.13</t>
  </si>
  <si>
    <t>D+M Držák na papírové utěrky - NEREZ</t>
  </si>
  <si>
    <t>1931605880</t>
  </si>
  <si>
    <t>133</t>
  </si>
  <si>
    <t>725291721.R</t>
  </si>
  <si>
    <t>D+M Madlo k umyvadlu - pevné, NEREZ, DL=550MM, max. výška 800mm</t>
  </si>
  <si>
    <t>1045959799</t>
  </si>
  <si>
    <t>134</t>
  </si>
  <si>
    <t>725291721.R10</t>
  </si>
  <si>
    <t>D+M Signalizační systém nouzového volání</t>
  </si>
  <si>
    <t>-681737105</t>
  </si>
  <si>
    <t>135</t>
  </si>
  <si>
    <t>725291721.R11</t>
  </si>
  <si>
    <t>D+M Háček na oděvy - NEREZ</t>
  </si>
  <si>
    <t>-959127420</t>
  </si>
  <si>
    <t>136</t>
  </si>
  <si>
    <t>725291721.R12</t>
  </si>
  <si>
    <t>D+M Dvojháček na oděvy - NEREZ</t>
  </si>
  <si>
    <t>-1309506162</t>
  </si>
  <si>
    <t>137</t>
  </si>
  <si>
    <t>725291721.R15</t>
  </si>
  <si>
    <t>D+M Zrcadlo 900x2350mm</t>
  </si>
  <si>
    <t>1944466242</t>
  </si>
  <si>
    <t>138</t>
  </si>
  <si>
    <t>725291721.R16</t>
  </si>
  <si>
    <t>D+M Zrcadlo 900x600mm</t>
  </si>
  <si>
    <t>1519930674</t>
  </si>
  <si>
    <t>139</t>
  </si>
  <si>
    <t>725291721.R17</t>
  </si>
  <si>
    <t>D+M Zrcadlo 900x2200mm</t>
  </si>
  <si>
    <t>-1950856548</t>
  </si>
  <si>
    <t>140</t>
  </si>
  <si>
    <t>725291721.R18</t>
  </si>
  <si>
    <t>D+M Odpadkový koš - NEREZ</t>
  </si>
  <si>
    <t>-79299394</t>
  </si>
  <si>
    <t>141</t>
  </si>
  <si>
    <t>725291721.R19</t>
  </si>
  <si>
    <t>D+M Sprchová rohová stěna - NEREZ, čiré sklo</t>
  </si>
  <si>
    <t>68425629</t>
  </si>
  <si>
    <t>142</t>
  </si>
  <si>
    <t>725291721.R2</t>
  </si>
  <si>
    <t>D+M Madlo k WC- sklopné, NEREZ, DL=813mm, připevněno na straně přístupu k WC, max. výška 800mm</t>
  </si>
  <si>
    <t>-1561362169</t>
  </si>
  <si>
    <t>143</t>
  </si>
  <si>
    <t>725291721.R20</t>
  </si>
  <si>
    <t>D+M Dveřní zarážka s gumou k našroubování do podlahy,NEREZ - kartáčovaný, V=35MM, O=35MM</t>
  </si>
  <si>
    <t>1732593870</t>
  </si>
  <si>
    <t>144</t>
  </si>
  <si>
    <t>725291721.R22</t>
  </si>
  <si>
    <t>D+M Držák na papír. utěrky - NEREZ</t>
  </si>
  <si>
    <t>-979259075</t>
  </si>
  <si>
    <t>145</t>
  </si>
  <si>
    <t>725291721.R3</t>
  </si>
  <si>
    <t>D+M Madlo k WC- pevné, NEREZ, DL=813mm, připevněno na straně u zdi, max. výška 800mm</t>
  </si>
  <si>
    <t>-1401015464</t>
  </si>
  <si>
    <t>146</t>
  </si>
  <si>
    <t>725291721.R4</t>
  </si>
  <si>
    <t>D+M Splachovadlo - 245x145MM, max. výška 1200MM, NEREZ</t>
  </si>
  <si>
    <t>-445167464</t>
  </si>
  <si>
    <t>147</t>
  </si>
  <si>
    <t>725291721.R5</t>
  </si>
  <si>
    <t>D+M Zrcadlo - výklopné, NEREZ, 400x600x120mm</t>
  </si>
  <si>
    <t>234059084</t>
  </si>
  <si>
    <t>148</t>
  </si>
  <si>
    <t>725291721.R6</t>
  </si>
  <si>
    <t>D+M Držák toaletního papíru - NEREZ</t>
  </si>
  <si>
    <t>1809665600</t>
  </si>
  <si>
    <t>149</t>
  </si>
  <si>
    <t>725291721.R7</t>
  </si>
  <si>
    <t>D+M Dávkovač mýdla - NEREZ</t>
  </si>
  <si>
    <t>434736239</t>
  </si>
  <si>
    <t>150</t>
  </si>
  <si>
    <t>725291721.R8</t>
  </si>
  <si>
    <t>D+M Držák a koš na jednorázové utěrky - NEREZ</t>
  </si>
  <si>
    <t>591199463</t>
  </si>
  <si>
    <t>151</t>
  </si>
  <si>
    <t>725291721.R9</t>
  </si>
  <si>
    <t>D+M Štětka na WC - NEREZ</t>
  </si>
  <si>
    <t>1623741715</t>
  </si>
  <si>
    <t>762</t>
  </si>
  <si>
    <t>Konstrukce tesařské</t>
  </si>
  <si>
    <t>152</t>
  </si>
  <si>
    <t>762083111</t>
  </si>
  <si>
    <t>Impregnace řeziva máčením proti dřevokaznému hmyzu a houbám, třída ohrožení 1 a 2 (dřevo v interiéru)</t>
  </si>
  <si>
    <t>826572264</t>
  </si>
  <si>
    <t>https://podminky.urs.cz/item/CS_URS_2023_02/762083111</t>
  </si>
  <si>
    <t>153</t>
  </si>
  <si>
    <t>762332141</t>
  </si>
  <si>
    <t>Montáž vázaných konstrukcí krovů střech pultových, sedlových, valbových, stanových čtvercového nebo obdélníkového půdorysu z řeziva hraněného s použitím ocelových spojek (spojky ve specifikaci) průřezové plochy přes 50 do 120 cm2</t>
  </si>
  <si>
    <t>379995349</t>
  </si>
  <si>
    <t>https://podminky.urs.cz/item/CS_URS_2023_02/762332141</t>
  </si>
  <si>
    <t>2,16/0,1/0,1"výpis řeziva terasa</t>
  </si>
  <si>
    <t>11,367/0,08/0,08"výpis řeziva krov</t>
  </si>
  <si>
    <t>154</t>
  </si>
  <si>
    <t>60512125</t>
  </si>
  <si>
    <t>hranol stavební řezivo průřezu do 120cm2 do dl 6m</t>
  </si>
  <si>
    <t>-1636892802</t>
  </si>
  <si>
    <t>155</t>
  </si>
  <si>
    <t>762341026</t>
  </si>
  <si>
    <t>Bednění střech střech rovných sklonu do 60° s vyřezáním otvorů z dřevoštěpkových desek OSB šroubovaných na krokve na pero a drážku, tloušťky desky 22 mm</t>
  </si>
  <si>
    <t>-1185071630</t>
  </si>
  <si>
    <t>https://podminky.urs.cz/item/CS_URS_2023_02/762341026</t>
  </si>
  <si>
    <t>156</t>
  </si>
  <si>
    <t>762342214</t>
  </si>
  <si>
    <t>Montáž laťování střech jednoduchých sklonu do 60° při osové vzdálenosti latí přes 150 do 360 mm</t>
  </si>
  <si>
    <t>302427114</t>
  </si>
  <si>
    <t>https://podminky.urs.cz/item/CS_URS_2023_02/762342214</t>
  </si>
  <si>
    <t>157</t>
  </si>
  <si>
    <t>60514114</t>
  </si>
  <si>
    <t>řezivo jehličnaté lať impregnovaná dl 4 m</t>
  </si>
  <si>
    <t>829415644</t>
  </si>
  <si>
    <t>707,3/0,33*0,04*0,06</t>
  </si>
  <si>
    <t>5,144*1,1 'Přepočtené koeficientem množství</t>
  </si>
  <si>
    <t>158</t>
  </si>
  <si>
    <t>762342523</t>
  </si>
  <si>
    <t>Montáž laťování montáž kontralatí přes tepelnou izolaci tloušťky přes 140 mm do 200 mm</t>
  </si>
  <si>
    <t>1657145238</t>
  </si>
  <si>
    <t>https://podminky.urs.cz/item/CS_URS_2023_02/762342523</t>
  </si>
  <si>
    <t>707,3/0,9</t>
  </si>
  <si>
    <t>159</t>
  </si>
  <si>
    <t>-294239979</t>
  </si>
  <si>
    <t>785,889*0,04*0,06</t>
  </si>
  <si>
    <t>1,8861336*1,1 'Přepočtené koeficientem množství</t>
  </si>
  <si>
    <t>160</t>
  </si>
  <si>
    <t>762395000</t>
  </si>
  <si>
    <t>Spojovací prostředky krovů, bednění a laťování, nadstřešních konstrukcí svory, prkna, hřebíky, pásová ocel, vruty</t>
  </si>
  <si>
    <t>1544472311</t>
  </si>
  <si>
    <t>https://podminky.urs.cz/item/CS_URS_2023_02/762395000</t>
  </si>
  <si>
    <t>13,527+5,658+2,075+707,3*0,022</t>
  </si>
  <si>
    <t>161</t>
  </si>
  <si>
    <t>762951015</t>
  </si>
  <si>
    <t>Montáž terasy podkladního roštu, z profilů dřevoplastových nebo hliníkových, osové vzdálenosti podpěr volně položených, osové vzdálenosti podpěr do 300 mm</t>
  </si>
  <si>
    <t>-726105598</t>
  </si>
  <si>
    <t>https://podminky.urs.cz/item/CS_URS_2023_02/762951015</t>
  </si>
  <si>
    <t>2,7*9,91"terasa S09</t>
  </si>
  <si>
    <t>162</t>
  </si>
  <si>
    <t>60791138</t>
  </si>
  <si>
    <t>profil podkladový dřevoplastový pro terasová dřevoplastová prkna 50x50mm</t>
  </si>
  <si>
    <t>16922247</t>
  </si>
  <si>
    <t>26,757*3,996 'Přepočtené koeficientem množství</t>
  </si>
  <si>
    <t>163</t>
  </si>
  <si>
    <t>762951103</t>
  </si>
  <si>
    <t>Montáž terasy Příplatek k cenám za výškové vyrovnání podkladního roštu pomocí vyrovnávacích terčů přes 100 do 145 mm</t>
  </si>
  <si>
    <t>1930876547</t>
  </si>
  <si>
    <t>https://podminky.urs.cz/item/CS_URS_2023_02/762951103</t>
  </si>
  <si>
    <t>164</t>
  </si>
  <si>
    <t>762952046</t>
  </si>
  <si>
    <t>Montáž terasy nášlapné vrstvy z prken z dřevoplastu spojovaných skrytými spojkami na podkladní rošt dřevoplastový, šířky do 140 mm se skrytou spárou</t>
  </si>
  <si>
    <t>527476320</t>
  </si>
  <si>
    <t>https://podminky.urs.cz/item/CS_URS_2023_02/762952046</t>
  </si>
  <si>
    <t>165</t>
  </si>
  <si>
    <t>60791113</t>
  </si>
  <si>
    <t>prkno terasové dřevoplastové s překrytými spárami š 140 mm tl 22mm</t>
  </si>
  <si>
    <t>-2087914484</t>
  </si>
  <si>
    <t>26,757*7,884 'Přepočtené koeficientem množství</t>
  </si>
  <si>
    <t>166</t>
  </si>
  <si>
    <t>762952111</t>
  </si>
  <si>
    <t>Montáž terasy nášlapné vrstvy z prken z dřevoplastu spojovaných skrytými spojkami na podkladní rošt ukončovací lišty připevněné šroubováním</t>
  </si>
  <si>
    <t>654710843</t>
  </si>
  <si>
    <t>https://podminky.urs.cz/item/CS_URS_2023_02/762952111</t>
  </si>
  <si>
    <t>(2,7+9,91)*2"terasa</t>
  </si>
  <si>
    <t>167</t>
  </si>
  <si>
    <t>60791131</t>
  </si>
  <si>
    <t>profil dokončovací krycí dřevoplastový v 90mm</t>
  </si>
  <si>
    <t>-713118761</t>
  </si>
  <si>
    <t>25,22*1,08 'Přepočtené koeficientem množství</t>
  </si>
  <si>
    <t>168</t>
  </si>
  <si>
    <t>998762102</t>
  </si>
  <si>
    <t>Přesun hmot pro konstrukce tesařské stanovený z hmotnosti přesunovaného materiálu vodorovná dopravní vzdálenost do 50 m v objektech výšky přes 6 do 12 m</t>
  </si>
  <si>
    <t>-2085637268</t>
  </si>
  <si>
    <t>https://podminky.urs.cz/item/CS_URS_2023_02/998762102</t>
  </si>
  <si>
    <t>763</t>
  </si>
  <si>
    <t>Konstrukce suché výstavby</t>
  </si>
  <si>
    <t>169</t>
  </si>
  <si>
    <t>763131414</t>
  </si>
  <si>
    <t>Podhled ze sádrokartonových desek dvouvrstvá zavěšená spodní konstrukce z ocelových profilů CD, UD jednoduše opláštěná deskou standardní A, tl. 15 mm, bez izolace</t>
  </si>
  <si>
    <t>1553350328</t>
  </si>
  <si>
    <t>https://podminky.urs.cz/item/CS_URS_2023_02/763131414</t>
  </si>
  <si>
    <t>65,46+18,76+4,41+4,23+1,82+1,75+1,62+15,73+4,8+15,82"1NP</t>
  </si>
  <si>
    <t>170</t>
  </si>
  <si>
    <t>763131432</t>
  </si>
  <si>
    <t>Podhled ze sádrokartonových desek dvouvrstvá zavěšená spodní konstrukce z ocelových profilů CD, UD jednoduše opláštěná deskou protipožární DF, tl. 15 mm, bez izolace, REI do 90</t>
  </si>
  <si>
    <t>1335036145</t>
  </si>
  <si>
    <t>https://podminky.urs.cz/item/CS_URS_2023_02/763131432</t>
  </si>
  <si>
    <t>78,85+118,32+47,61+3,24"1NP</t>
  </si>
  <si>
    <t>3,94*8,1+8,1*1,46+16,54+20,98+1,8+87,89+77,65"2NP</t>
  </si>
  <si>
    <t>10,2*2*9,6+5,8*5,7*2+5,1*5,7*2"otevřený krov</t>
  </si>
  <si>
    <t>267,25*2"ST3</t>
  </si>
  <si>
    <t>171</t>
  </si>
  <si>
    <t>763131451</t>
  </si>
  <si>
    <t>Podhled ze sádrokartonových desek dvouvrstvá zavěšená spodní konstrukce z ocelových profilů CD, UD jednoduše opláštěná deskou impregnovanou H2, tl. 12,5 mm, bez izolace</t>
  </si>
  <si>
    <t>1447598024</t>
  </si>
  <si>
    <t>https://podminky.urs.cz/item/CS_URS_2023_02/763131451</t>
  </si>
  <si>
    <t>4,8+2,42+1,89+3,85+1,8+5,32+6,1+3,24+4,23+1,96+5,13+6,02+4,5+4,23"1NP</t>
  </si>
  <si>
    <t>172</t>
  </si>
  <si>
    <t>763131714</t>
  </si>
  <si>
    <t>Podhled ze sádrokartonových desek ostatní práce a konstrukce na podhledech ze sádrokartonových desek základní penetrační nátěr</t>
  </si>
  <si>
    <t>-1272413949</t>
  </si>
  <si>
    <t>https://podminky.urs.cz/item/CS_URS_2023_02/763131714</t>
  </si>
  <si>
    <t>134,4+1351,22+55,49+27,285</t>
  </si>
  <si>
    <t>173</t>
  </si>
  <si>
    <t>763131722</t>
  </si>
  <si>
    <t>Podhled ze sádrokartonových desek ostatní práce a konstrukce na podhledech ze sádrokartonových desek skokové změny výšky podhledu přes 0,5 m</t>
  </si>
  <si>
    <t>-2106624607</t>
  </si>
  <si>
    <t>https://podminky.urs.cz/item/CS_URS_2023_02/763131722</t>
  </si>
  <si>
    <t>5,2+6,5+1,7+6+42+6+1,7+9,5+8,4+9,5+0,6*2+6,6+2"1NP</t>
  </si>
  <si>
    <t>8,1*2"2NP</t>
  </si>
  <si>
    <t>174</t>
  </si>
  <si>
    <t>763164556</t>
  </si>
  <si>
    <t>Obklad konstrukcí sádrokartonovými deskami včetně ochranných úhelníků ve tvaru L rozvinuté šíře přes 0,8 m, opláštěný deskou protipožární DF, tl. 15 mm</t>
  </si>
  <si>
    <t>2046054455</t>
  </si>
  <si>
    <t>https://podminky.urs.cz/item/CS_URS_2023_02/763164556</t>
  </si>
  <si>
    <t>0,85*(1,8*2+6+6,2*2+6,6+1,5+2)"galerie, obložení stropní konstrukce</t>
  </si>
  <si>
    <t>175</t>
  </si>
  <si>
    <t>998763302</t>
  </si>
  <si>
    <t>Přesun hmot pro konstrukce montované z desek sádrokartonových, sádrovláknitých, cementovláknitých nebo cementových stanovený z hmotnosti přesunovaného materiálu vodorovná dopravní vzdálenost do 50 m v objektech výšky přes 6 do 12 m</t>
  </si>
  <si>
    <t>-1332195338</t>
  </si>
  <si>
    <t>https://podminky.urs.cz/item/CS_URS_2023_02/998763302</t>
  </si>
  <si>
    <t>764</t>
  </si>
  <si>
    <t>Konstrukce klempířské</t>
  </si>
  <si>
    <t>176</t>
  </si>
  <si>
    <t>764011613</t>
  </si>
  <si>
    <t>Podkladní plech z pozinkovaného plechu s povrchovou úpravou rš 250 mm</t>
  </si>
  <si>
    <t>-512895858</t>
  </si>
  <si>
    <t>https://podminky.urs.cz/item/CS_URS_2023_02/764011613</t>
  </si>
  <si>
    <t>Poznámka k položce:_x000d_
specifikace viz Tabulka klempířských výrobků</t>
  </si>
  <si>
    <t>55,5"K08</t>
  </si>
  <si>
    <t>177</t>
  </si>
  <si>
    <t>764211623</t>
  </si>
  <si>
    <t>Oplechování střešních prvků z pozinkovaného plechu s povrchovou úpravou hřebene větraného s použitím hřebenového plechu s větracím pásem rš 250 mm</t>
  </si>
  <si>
    <t>-1331293535</t>
  </si>
  <si>
    <t>https://podminky.urs.cz/item/CS_URS_2023_02/764211623</t>
  </si>
  <si>
    <t>50,6"K11</t>
  </si>
  <si>
    <t>178</t>
  </si>
  <si>
    <t>764212606</t>
  </si>
  <si>
    <t>Oplechování střešních prvků z pozinkovaného plechu s povrchovou úpravou úžlabí rš 500 mm</t>
  </si>
  <si>
    <t>-504933805</t>
  </si>
  <si>
    <t>https://podminky.urs.cz/item/CS_URS_2023_02/764212606</t>
  </si>
  <si>
    <t>9,35*4"K12</t>
  </si>
  <si>
    <t>179</t>
  </si>
  <si>
    <t>764212649</t>
  </si>
  <si>
    <t>Oplechování střešních prvků z pozinkovaného plechu s povrchovou úpravou štítu závětrnou lištou rš 800 mm</t>
  </si>
  <si>
    <t>-519508148</t>
  </si>
  <si>
    <t>https://podminky.urs.cz/item/CS_URS_2023_02/764212649</t>
  </si>
  <si>
    <t>78,25"K7</t>
  </si>
  <si>
    <t>180</t>
  </si>
  <si>
    <t>764216603</t>
  </si>
  <si>
    <t>Oplechování parapetů z pozinkovaného plechu s povrchovou úpravou rovných mechanicky kotvené, bez rohů rš 250 mm</t>
  </si>
  <si>
    <t>552618377</t>
  </si>
  <si>
    <t>https://podminky.urs.cz/item/CS_URS_2023_02/764216603</t>
  </si>
  <si>
    <t>5*1,2"K01</t>
  </si>
  <si>
    <t>2*4"K02</t>
  </si>
  <si>
    <t>1*1,8"K03</t>
  </si>
  <si>
    <t>1*2,5"K04</t>
  </si>
  <si>
    <t>1*16,9"K05</t>
  </si>
  <si>
    <t>2*8,1"K06</t>
  </si>
  <si>
    <t>181</t>
  </si>
  <si>
    <t>764218611</t>
  </si>
  <si>
    <t>Oplechování říms a ozdobných prvků z pozinkovaného plechu s povrchovou úpravou rovných, bez rohů mechanicky kotvené přes rš 670 mm</t>
  </si>
  <si>
    <t>-1918015264</t>
  </si>
  <si>
    <t>https://podminky.urs.cz/item/CS_URS_2023_02/764218611</t>
  </si>
  <si>
    <t>133,7*0,85"K14</t>
  </si>
  <si>
    <t>182</t>
  </si>
  <si>
    <t>764311613</t>
  </si>
  <si>
    <t>Lemování zdí z pozinkovaného plechu s povrchovou úpravou boční nebo horní rovné, střech s krytinou skládanou mimo prejzovou rš 250 mm</t>
  </si>
  <si>
    <t>-403323960</t>
  </si>
  <si>
    <t>https://podminky.urs.cz/item/CS_URS_2023_02/764311613</t>
  </si>
  <si>
    <t>14,65"K13</t>
  </si>
  <si>
    <t>183</t>
  </si>
  <si>
    <t>764511603</t>
  </si>
  <si>
    <t>Žlab podokapní z pozinkovaného plechu s povrchovou úpravou včetně háků a čel půlkruhový rš 400 mm</t>
  </si>
  <si>
    <t>-768167385</t>
  </si>
  <si>
    <t>https://podminky.urs.cz/item/CS_URS_2023_02/764511603</t>
  </si>
  <si>
    <t>55,5"K09</t>
  </si>
  <si>
    <t>184</t>
  </si>
  <si>
    <t>764518622</t>
  </si>
  <si>
    <t>Svod z pozinkovaného plechu s upraveným povrchem včetně objímek, kolen a odskoků kruhový, průměru 100 mm</t>
  </si>
  <si>
    <t>14145897</t>
  </si>
  <si>
    <t>https://podminky.urs.cz/item/CS_URS_2023_02/764518622</t>
  </si>
  <si>
    <t>4*6,6"K10</t>
  </si>
  <si>
    <t>185</t>
  </si>
  <si>
    <t>998764102</t>
  </si>
  <si>
    <t>Přesun hmot pro konstrukce klempířské stanovený z hmotnosti přesunovaného materiálu vodorovná dopravní vzdálenost do 50 m v objektech výšky přes 6 do 12 m</t>
  </si>
  <si>
    <t>1877917183</t>
  </si>
  <si>
    <t>https://podminky.urs.cz/item/CS_URS_2023_02/998764102</t>
  </si>
  <si>
    <t>765</t>
  </si>
  <si>
    <t>Krytina skládaná</t>
  </si>
  <si>
    <t>186</t>
  </si>
  <si>
    <t>765123013</t>
  </si>
  <si>
    <t>Krytina betonová drážková skládaná na sucho sklonu střechy do 30° z tašek s povrchovou úpravou se zvýšenou ochranou</t>
  </si>
  <si>
    <t>2146209190</t>
  </si>
  <si>
    <t>https://podminky.urs.cz/item/CS_URS_2023_02/765123013</t>
  </si>
  <si>
    <t>"ST1, ST2"</t>
  </si>
  <si>
    <t>484,3+223</t>
  </si>
  <si>
    <t>187</t>
  </si>
  <si>
    <t>765123911</t>
  </si>
  <si>
    <t>Krytina betonová drážková skládaná na sucho sklonu střechy do 30° Příplatek cenám za sklon přes 30° do 40°</t>
  </si>
  <si>
    <t>-367030321</t>
  </si>
  <si>
    <t>https://podminky.urs.cz/item/CS_URS_2023_02/765123911</t>
  </si>
  <si>
    <t>188</t>
  </si>
  <si>
    <t>765125302</t>
  </si>
  <si>
    <t>Montáž střešních doplňků krytiny betonové střešního výlezu plochy jednotlivě přes 0,25 m2</t>
  </si>
  <si>
    <t>56769098</t>
  </si>
  <si>
    <t>https://podminky.urs.cz/item/CS_URS_2023_02/765125302</t>
  </si>
  <si>
    <t>189</t>
  </si>
  <si>
    <t>59244318</t>
  </si>
  <si>
    <t>okno střešní výstupní pro krytinu betonovou 460x510mm</t>
  </si>
  <si>
    <t>-312966873</t>
  </si>
  <si>
    <t>190</t>
  </si>
  <si>
    <t>765191023</t>
  </si>
  <si>
    <t>Montáž pojistné hydroizolační nebo parotěsné fólie kladené ve sklonu přes 20° s lepenými přesahy na bednění nebo tepelnou izolaci</t>
  </si>
  <si>
    <t>1130542879</t>
  </si>
  <si>
    <t>https://podminky.urs.cz/item/CS_URS_2023_02/765191023</t>
  </si>
  <si>
    <t>191</t>
  </si>
  <si>
    <t>28329033</t>
  </si>
  <si>
    <t>fólie kontaktní difuzně propustná pro doplňkovou hydroizolační vrstvu, třívrstvá mikroporézní PP 95g/m2 s integrovanou samolepící páskou</t>
  </si>
  <si>
    <t>-7832592</t>
  </si>
  <si>
    <t>707,3*1,1 'Přepočtené koeficientem množství</t>
  </si>
  <si>
    <t>192</t>
  </si>
  <si>
    <t>998765102</t>
  </si>
  <si>
    <t>Přesun hmot pro krytiny skládané stanovený z hmotnosti přesunovaného materiálu vodorovná dopravní vzdálenost do 50 m na objektech výšky přes 6 do 12 m</t>
  </si>
  <si>
    <t>-435302567</t>
  </si>
  <si>
    <t>https://podminky.urs.cz/item/CS_URS_2023_02/998765102</t>
  </si>
  <si>
    <t>766</t>
  </si>
  <si>
    <t>Konstrukce truhlářské</t>
  </si>
  <si>
    <t>193</t>
  </si>
  <si>
    <t>766438111.T05</t>
  </si>
  <si>
    <t>Dřevěný parapet - DUB, DL=16900MM, Š=220MM,TL=20MM, bez nosu, na PU pěnu - ozn T05</t>
  </si>
  <si>
    <t>-586032845</t>
  </si>
  <si>
    <t>Poznámka k položce:_x000d_
VČ KOTVENÍ, SPOJOVACÍHO MATERIÁLU A MONTÁŽE, ZHOTOVITEL ZPRACUJE VÝROBNÍ DOKUMENTACI PO PŘESNÉM DOMĚŘENÍ NA MÍSTĚ</t>
  </si>
  <si>
    <t>16,9</t>
  </si>
  <si>
    <t>194</t>
  </si>
  <si>
    <t>766438111.T06</t>
  </si>
  <si>
    <t>DŘEVĚNÝ NÁŠLAP - DUB, DL=1500mm, Š=310mm, TL=20mm, s PROTISKLUZOVOU ÚPRAVOU, lepeno k podkladu - ozn T06</t>
  </si>
  <si>
    <t>ks</t>
  </si>
  <si>
    <t>920005742</t>
  </si>
  <si>
    <t>Poznámka k položce:_x000d_
VČ KOTVENÍ, LEPENÍ A MONTÁŽE</t>
  </si>
  <si>
    <t>195</t>
  </si>
  <si>
    <t>766438111.T07</t>
  </si>
  <si>
    <t>DŘEVĚNÁ NÁŠLAPNÁ VRSTVA - PODESTA -DUB, TL=20mm, Š=1645mm, DL=3100mm, s PROTISKLUZOVOU ÚPRAVOU, lepeno k podkladu - ozn T07</t>
  </si>
  <si>
    <t>-180595739</t>
  </si>
  <si>
    <t>196</t>
  </si>
  <si>
    <t>766622116</t>
  </si>
  <si>
    <t>Montáž oken plastových včetně montáže rámu plochy přes 1 m2 pevných do zdiva, výšky přes 1,5 do 2,5 m</t>
  </si>
  <si>
    <t>1958655345</t>
  </si>
  <si>
    <t>https://podminky.urs.cz/item/CS_URS_2023_02/766622116</t>
  </si>
  <si>
    <t>4*2,1*2"03</t>
  </si>
  <si>
    <t>197</t>
  </si>
  <si>
    <t>61140046</t>
  </si>
  <si>
    <t>okno plastové s fixním zasklením trojsklo přes plochu 1m2 v 1,5-2,5m</t>
  </si>
  <si>
    <t>-2097732067</t>
  </si>
  <si>
    <t>198</t>
  </si>
  <si>
    <t>766622131</t>
  </si>
  <si>
    <t>Montáž oken plastových včetně montáže rámu plochy přes 1 m2 otevíravých do zdiva, výšky do 1,5 m</t>
  </si>
  <si>
    <t>-190920012</t>
  </si>
  <si>
    <t>https://podminky.urs.cz/item/CS_URS_2023_02/766622131</t>
  </si>
  <si>
    <t>1,2*1,4*2"01</t>
  </si>
  <si>
    <t>1,2*0,9*1"05</t>
  </si>
  <si>
    <t>2,5*0,9*1"06</t>
  </si>
  <si>
    <t>199</t>
  </si>
  <si>
    <t>61140052</t>
  </si>
  <si>
    <t>okno plastové otevíravé/sklopné trojsklo přes plochu 1m2 do v 1,5m</t>
  </si>
  <si>
    <t>-882870759</t>
  </si>
  <si>
    <t>200</t>
  </si>
  <si>
    <t>766622132</t>
  </si>
  <si>
    <t>Montáž oken plastových včetně montáže rámu plochy přes 1 m2 otevíravých do zdiva, výšky přes 1,5 do 2,5 m</t>
  </si>
  <si>
    <t>200419242</t>
  </si>
  <si>
    <t>https://podminky.urs.cz/item/CS_URS_2023_02/766622132</t>
  </si>
  <si>
    <t>1,2*1,7*2"02</t>
  </si>
  <si>
    <t>1,8*2,1*1"04</t>
  </si>
  <si>
    <t>201</t>
  </si>
  <si>
    <t>61140054</t>
  </si>
  <si>
    <t>okno plastové otevíravé/sklopné trojsklo přes plochu 1m2 v 1,5-2,5m</t>
  </si>
  <si>
    <t>-808309655</t>
  </si>
  <si>
    <t>202</t>
  </si>
  <si>
    <t>766660171</t>
  </si>
  <si>
    <t>Montáž dveřních křídel dřevěných nebo plastových otevíravých do obložkové zárubně povrchově upravených jednokřídlových, šířky do 800 mm</t>
  </si>
  <si>
    <t>-491631653</t>
  </si>
  <si>
    <t>https://podminky.urs.cz/item/CS_URS_2023_02/766660171</t>
  </si>
  <si>
    <t>203</t>
  </si>
  <si>
    <t>61162085.101</t>
  </si>
  <si>
    <t>dveře jednokřídlé dřevotřískové povrch laminátový plné 700x2100mm, hladké, CPL, klika/klika - rozetová - nerez, rozetové, zámek vložkový včetně vložky</t>
  </si>
  <si>
    <t>716856607</t>
  </si>
  <si>
    <t>Poznámka k položce:_x000d_
viz výpis dveří_x000d_
RAL 7016</t>
  </si>
  <si>
    <t>"1.01"3+4</t>
  </si>
  <si>
    <t>204</t>
  </si>
  <si>
    <t>61162085.204</t>
  </si>
  <si>
    <t>dveře jednokřídlé dřevotřískové povrch laminátový plné 700x2050mm, hladké, CPL, klika/klika - rozetová - nerez, rozetové, zámek vložkový včetně vložky</t>
  </si>
  <si>
    <t>-970774123</t>
  </si>
  <si>
    <t>"2.04"1</t>
  </si>
  <si>
    <t>205</t>
  </si>
  <si>
    <t>61162085.105</t>
  </si>
  <si>
    <t xml:space="preserve">dveře jednokřídlé dřevotřískové povrch laminátový plné 700x2100mm, hladké, HPL, klika/klika - rozetová - nerez, rozetové, zámek WC </t>
  </si>
  <si>
    <t>1814916664</t>
  </si>
  <si>
    <t>"1.05"5+1</t>
  </si>
  <si>
    <t>206</t>
  </si>
  <si>
    <t>61162085.108</t>
  </si>
  <si>
    <t>dveře jednokřídlé dřevotřískové povrch laminátový plné 700x2100mm, hladké, HPL, klika/klika - rozetová - nerez, rozetové, zámek WC</t>
  </si>
  <si>
    <t>789645610</t>
  </si>
  <si>
    <t>"1.08"1</t>
  </si>
  <si>
    <t>207</t>
  </si>
  <si>
    <t>61162086.102</t>
  </si>
  <si>
    <t>dveře jednokřídlé dřevotřískové povrch laminátový plné 800x2100mm, hladké, CPL, klika/klika - rozetová - nerez, rozetové, zámek vložkový včetně vložky</t>
  </si>
  <si>
    <t>-917906316</t>
  </si>
  <si>
    <t>"1.02"1+3</t>
  </si>
  <si>
    <t>208</t>
  </si>
  <si>
    <t>61162086.203</t>
  </si>
  <si>
    <t>dveře jednokřídlé dřevotřískové povrch laminátový plné 800x2050mm, hladké, CPL, klika/klika - rozetová - nerez, rozetové, zámek vložkový včetně vložky</t>
  </si>
  <si>
    <t>1020357903</t>
  </si>
  <si>
    <t>"2.03"1</t>
  </si>
  <si>
    <t>209</t>
  </si>
  <si>
    <t>61162086.109</t>
  </si>
  <si>
    <t>dveře jednokřídlé dřevotřískové povrch laminátový plné 800x2100mm, hladké, HPL, klika/klika - rozetová - nerez, rozetové, zámek vložkový vč vložky</t>
  </si>
  <si>
    <t>-1257132951</t>
  </si>
  <si>
    <t>"1.09"1+1</t>
  </si>
  <si>
    <t>210</t>
  </si>
  <si>
    <t>766660172</t>
  </si>
  <si>
    <t>Montáž dveřních křídel dřevěných nebo plastových otevíravých do obložkové zárubně povrchově upravených jednokřídlových, šířky přes 800 mm</t>
  </si>
  <si>
    <t>1555962851</t>
  </si>
  <si>
    <t>https://podminky.urs.cz/item/CS_URS_2023_02/766660172</t>
  </si>
  <si>
    <t>211</t>
  </si>
  <si>
    <t>61162087.103</t>
  </si>
  <si>
    <t>dveře jednokřídlé dřevotřískové povrch laminátový plné 900x2100mm, hladké, CPL, klika/klika - rozetová - nerez, rozetové, zámek vložkový včetně vložky</t>
  </si>
  <si>
    <t>-1545927635</t>
  </si>
  <si>
    <t>"1.03"1+1</t>
  </si>
  <si>
    <t>212</t>
  </si>
  <si>
    <t>61162087.201</t>
  </si>
  <si>
    <t>dveře jednokřídlé dřevotřískové povrch laminátový plné 900x2050mm, hladké, CPL, klika/klika - rozetová - nerez, rozetové, zámek vložkový včetně vložky</t>
  </si>
  <si>
    <t>2099793965</t>
  </si>
  <si>
    <t>"2.01" 3</t>
  </si>
  <si>
    <t>"2.02" 2</t>
  </si>
  <si>
    <t>213</t>
  </si>
  <si>
    <t>61162087.106</t>
  </si>
  <si>
    <t>dveře jednokřídlé dřevotřískové povrch laminátový plné 900x2100mm, hladké, HPL, klika/klika - rozetová - nerez, rozetové, zámek WC</t>
  </si>
  <si>
    <t>297247824</t>
  </si>
  <si>
    <t>"1.06"2+2</t>
  </si>
  <si>
    <t>214</t>
  </si>
  <si>
    <t>61162087.110</t>
  </si>
  <si>
    <t>-1509701511</t>
  </si>
  <si>
    <t>Poznámka k položce:_x000d_
viz tabulka výrobků_x000d_
z vnitřní strany dveří vodorovné madlo ve výšce 850mm</t>
  </si>
  <si>
    <t>"1.10"1</t>
  </si>
  <si>
    <t>215</t>
  </si>
  <si>
    <t>766660174</t>
  </si>
  <si>
    <t>Montáž dveřních křídel dřevěných nebo plastových otevíravých do obložkové zárubně povrchově upravených dvoukřídlových, šířky přes 1450 mm</t>
  </si>
  <si>
    <t>-1696239488</t>
  </si>
  <si>
    <t>https://podminky.urs.cz/item/CS_URS_2023_02/766660174</t>
  </si>
  <si>
    <t>216</t>
  </si>
  <si>
    <t>RMAT0001.104</t>
  </si>
  <si>
    <t>dveře dvoukřídlé, symetrické se světlíky otočné, hladké ze 2/3 prosklené bezpečnostím sklem 2750x2135mm, dveře 1600/2100mm</t>
  </si>
  <si>
    <t>-1054994237</t>
  </si>
  <si>
    <t>Poznámka k položce:_x000d_
jádro DTD, povrch CPL, RAL 7016_x000d_
viz výpis dveří</t>
  </si>
  <si>
    <t>"1.04"1+1</t>
  </si>
  <si>
    <t>217</t>
  </si>
  <si>
    <t>766671029</t>
  </si>
  <si>
    <t>Montáž střešních oken dřevěných nebo plastových kyvných, výklopných/kyvných s okenním rámem a lemováním, s plisovaným límcem, s napojením na krytinu do krytiny tvarované, rozměru 94 x 140 cm</t>
  </si>
  <si>
    <t>1082198942</t>
  </si>
  <si>
    <t>https://podminky.urs.cz/item/CS_URS_2023_02/766671029</t>
  </si>
  <si>
    <t>218</t>
  </si>
  <si>
    <t>61124159</t>
  </si>
  <si>
    <t>lemování střešních oken dřevěné 94x160cm</t>
  </si>
  <si>
    <t>1830736868</t>
  </si>
  <si>
    <t>219</t>
  </si>
  <si>
    <t>61124731</t>
  </si>
  <si>
    <t>okno střešní dřevěné kyvné, izolační trojsklo 94x160cm, Uw=1,0W/m2K Al oplechování</t>
  </si>
  <si>
    <t>-783768880</t>
  </si>
  <si>
    <t>Poznámka k položce:_x000d_
specifikace viz Výpis oken</t>
  </si>
  <si>
    <t>8"07</t>
  </si>
  <si>
    <t>220</t>
  </si>
  <si>
    <t>766682111</t>
  </si>
  <si>
    <t>Montáž zárubní dřevěných, plastových nebo z lamina obložkových, pro dveře jednokřídlové, tloušťky stěny do 170 mm</t>
  </si>
  <si>
    <t>287277632</t>
  </si>
  <si>
    <t>https://podminky.urs.cz/item/CS_URS_2023_02/766682111</t>
  </si>
  <si>
    <t>221</t>
  </si>
  <si>
    <t>61182307</t>
  </si>
  <si>
    <t>zárubeň jednokřídlá obložková s laminátovým povrchem tl stěny 60-150mm rozměru 600-1100/1970, 2100mm</t>
  </si>
  <si>
    <t>-1795899662</t>
  </si>
  <si>
    <t>222</t>
  </si>
  <si>
    <t>766682112</t>
  </si>
  <si>
    <t>Montáž zárubní dřevěných, plastových nebo z lamina obložkových, pro dveře jednokřídlové, tloušťky stěny přes 170 do 350 mm</t>
  </si>
  <si>
    <t>1656465280</t>
  </si>
  <si>
    <t>https://podminky.urs.cz/item/CS_URS_2023_02/766682112</t>
  </si>
  <si>
    <t>223</t>
  </si>
  <si>
    <t>61182309</t>
  </si>
  <si>
    <t>zárubeň jednokřídlá obložková s laminátovým povrchem tl stěny 260-350mm rozměru 600-1100/1970, 2100mm</t>
  </si>
  <si>
    <t>-1427295846</t>
  </si>
  <si>
    <t>6+7</t>
  </si>
  <si>
    <t>224</t>
  </si>
  <si>
    <t>766682122</t>
  </si>
  <si>
    <t>Montáž zárubní dřevěných, plastových nebo z lamina obložkových, pro dveře dvoukřídlové, tloušťky stěny přes 170 do 350 mm</t>
  </si>
  <si>
    <t>2093653149</t>
  </si>
  <si>
    <t>https://podminky.urs.cz/item/CS_URS_2023_02/766682122</t>
  </si>
  <si>
    <t>225</t>
  </si>
  <si>
    <t>61182331.R</t>
  </si>
  <si>
    <t>zárubeň dvoukřídlá obložková s laminátovým povrchem tl stěny 260-350mm rozměru 2570/2135mm</t>
  </si>
  <si>
    <t>1391373098</t>
  </si>
  <si>
    <t>226</t>
  </si>
  <si>
    <t>766694116</t>
  </si>
  <si>
    <t>Montáž ostatních truhlářských konstrukcí parapetních desek dřevěných nebo plastových šířky do 300 mm</t>
  </si>
  <si>
    <t>1570954833</t>
  </si>
  <si>
    <t>https://podminky.urs.cz/item/CS_URS_2023_02/766694116</t>
  </si>
  <si>
    <t>1,2*5"T01</t>
  </si>
  <si>
    <t>2*4"T02</t>
  </si>
  <si>
    <t>1*1,8"T03</t>
  </si>
  <si>
    <t>1*2,5"T04</t>
  </si>
  <si>
    <t>227</t>
  </si>
  <si>
    <t>60794103</t>
  </si>
  <si>
    <t>parapet dřevotřískový vnitřní povrch laminátový š 300mm</t>
  </si>
  <si>
    <t>-1006594213</t>
  </si>
  <si>
    <t>Poznámka k položce:_x000d_
viz tabulka Truhlářských prvků</t>
  </si>
  <si>
    <t>228</t>
  </si>
  <si>
    <t>60794121</t>
  </si>
  <si>
    <t>koncovka PVC k parapetním dřevotřískovým deskám 600mm</t>
  </si>
  <si>
    <t>-1675356703</t>
  </si>
  <si>
    <t>(5+2+1+1)*2</t>
  </si>
  <si>
    <t>229</t>
  </si>
  <si>
    <t>998766102</t>
  </si>
  <si>
    <t>Přesun hmot pro konstrukce truhlářské stanovený z hmotnosti přesunovaného materiálu vodorovná dopravní vzdálenost do 50 m v objektech výšky přes 6 do 12 m</t>
  </si>
  <si>
    <t>1378275884</t>
  </si>
  <si>
    <t>https://podminky.urs.cz/item/CS_URS_2023_02/998766102</t>
  </si>
  <si>
    <t>767</t>
  </si>
  <si>
    <t>Konstrukce zámečnické</t>
  </si>
  <si>
    <t>230</t>
  </si>
  <si>
    <t>767114131</t>
  </si>
  <si>
    <t>Montáž stěn a příček rámových zasklených z hliníkových nebo ocelových profilů vnitřních do zdiva bez požární odolnosti, plochy do 6 m2</t>
  </si>
  <si>
    <t>971065743</t>
  </si>
  <si>
    <t>https://podminky.urs.cz/item/CS_URS_2023_02/767114131</t>
  </si>
  <si>
    <t>"1.07" 1,55*2,155</t>
  </si>
  <si>
    <t>231</t>
  </si>
  <si>
    <t>55341364.R</t>
  </si>
  <si>
    <t>stěna interiérová prosklená 1500x2155mm včetně dveří 700x2000mm, sklo tvrzené, klika/klika - falcová nerez, cilindrická vložka, rohové závěsy - nerez</t>
  </si>
  <si>
    <t>1124765296</t>
  </si>
  <si>
    <t>Poznámka k položce:_x000d_
ukončující lišty jsou součástí dodávky_x000d_
viz výpis dveří v interiéru</t>
  </si>
  <si>
    <t>232</t>
  </si>
  <si>
    <t>767114232</t>
  </si>
  <si>
    <t>Montáž stěn a příček rámových zasklených z hliníkových nebo ocelových profilů vnějších do zdiva bez požární odolnosti, plochy přes 6 do 9 m2</t>
  </si>
  <si>
    <t>-867293335</t>
  </si>
  <si>
    <t>https://podminky.urs.cz/item/CS_URS_2023_02/767114232</t>
  </si>
  <si>
    <t>Poznámka k položce:_x000d_
vcetně purenit bloku250x300mm - viz detail parapetu, napojení terasy</t>
  </si>
  <si>
    <t>3*2,6*3"OS2</t>
  </si>
  <si>
    <t>233</t>
  </si>
  <si>
    <t>55341360.OS2</t>
  </si>
  <si>
    <t>sestava fixního a posuvného okna Al 3000x2600mm - ozn OS2</t>
  </si>
  <si>
    <t>-1519471975</t>
  </si>
  <si>
    <t xml:space="preserve">Poznámka k položce:_x000d_
viz specifikace Výpis oken_x000d_
</t>
  </si>
  <si>
    <t>234</t>
  </si>
  <si>
    <t>767114235</t>
  </si>
  <si>
    <t>Montáž stěn a příček rámových zasklených z hliníkových nebo ocelových profilů vnějších do zdiva bez požární odolnosti, plochy přes 15 m2</t>
  </si>
  <si>
    <t>-1562630056</t>
  </si>
  <si>
    <t>https://podminky.urs.cz/item/CS_URS_2023_02/767114235</t>
  </si>
  <si>
    <t>8,1*3,35"OS1</t>
  </si>
  <si>
    <t>235</t>
  </si>
  <si>
    <t>55341360.OS1</t>
  </si>
  <si>
    <t>sestava fixních oken Al a vhodových asymetrických dveří 8100x3350mm - ozn OS1</t>
  </si>
  <si>
    <t>-392172726</t>
  </si>
  <si>
    <t>Poznámka k položce:_x000d_
viz Výpis oken</t>
  </si>
  <si>
    <t>236</t>
  </si>
  <si>
    <t>-1829958432</t>
  </si>
  <si>
    <t>7,8*2,6"OS3</t>
  </si>
  <si>
    <t>237</t>
  </si>
  <si>
    <t>55341360.OS3</t>
  </si>
  <si>
    <t>sestava dveří dvoukřídlých Al 7800x2600mm - ozn OS3</t>
  </si>
  <si>
    <t>2126731830</t>
  </si>
  <si>
    <t>Poznámka k položce:_x000d_
viz specifikace Výpis oken</t>
  </si>
  <si>
    <t>238</t>
  </si>
  <si>
    <t>-1934344790</t>
  </si>
  <si>
    <t>239</t>
  </si>
  <si>
    <t>55341360.OS4-6</t>
  </si>
  <si>
    <t>sestava fixních oken Al - ozn OS4-OS6</t>
  </si>
  <si>
    <t>1206688784</t>
  </si>
  <si>
    <t>240</t>
  </si>
  <si>
    <t>767531111</t>
  </si>
  <si>
    <t>Montáž vstupních čisticích zón z rohoží kovových nebo plastových</t>
  </si>
  <si>
    <t>-139309909</t>
  </si>
  <si>
    <t>https://podminky.urs.cz/item/CS_URS_2023_02/767531111</t>
  </si>
  <si>
    <t>1,6*0,5*3"O01</t>
  </si>
  <si>
    <t>1,04*0,5"O2</t>
  </si>
  <si>
    <t>1,3*0,5"O03</t>
  </si>
  <si>
    <t>241</t>
  </si>
  <si>
    <t>69752006</t>
  </si>
  <si>
    <t>rohož vstupní provedení hliník super 17 mm</t>
  </si>
  <si>
    <t>-1079447779</t>
  </si>
  <si>
    <t>3,57*1,1 'Přepočtené koeficientem množství</t>
  </si>
  <si>
    <t>242</t>
  </si>
  <si>
    <t>767531121</t>
  </si>
  <si>
    <t>Montáž vstupních čisticích zón z rohoží osazení rámu mosazného nebo hliníkového zapuštěného z L profilů</t>
  </si>
  <si>
    <t>-1958382454</t>
  </si>
  <si>
    <t>https://podminky.urs.cz/item/CS_URS_2023_02/767531121</t>
  </si>
  <si>
    <t>3*(1,6+0,5)*2+(1,04+0,5)*2+(1,3+0,5)*2</t>
  </si>
  <si>
    <t>243</t>
  </si>
  <si>
    <t>69752160</t>
  </si>
  <si>
    <t>rám pro zapuštění profil L-30/30 25/25 20/30 15/30-Al</t>
  </si>
  <si>
    <t>-2007167769</t>
  </si>
  <si>
    <t>19,28*1,1 'Přepočtené koeficientem množství</t>
  </si>
  <si>
    <t>244</t>
  </si>
  <si>
    <t>767640111</t>
  </si>
  <si>
    <t>Montáž dveří ocelových nebo hliníkových vchodových jednokřídlových bez nadsvětlíku</t>
  </si>
  <si>
    <t>-1159433666</t>
  </si>
  <si>
    <t>https://podminky.urs.cz/item/CS_URS_2023_02/767640111</t>
  </si>
  <si>
    <t>1"1.08</t>
  </si>
  <si>
    <t>245</t>
  </si>
  <si>
    <t>55341331</t>
  </si>
  <si>
    <t>dveře jednokřídlé Al prosklené max rozměru otvoru 2,42m2</t>
  </si>
  <si>
    <t>944262352</t>
  </si>
  <si>
    <t>Poznámka k položce:_x000d_
specifikace viz Výpis dveří</t>
  </si>
  <si>
    <t>0,8*2,1</t>
  </si>
  <si>
    <t>246</t>
  </si>
  <si>
    <t>-1383047475</t>
  </si>
  <si>
    <t>247</t>
  </si>
  <si>
    <t>-1816836140</t>
  </si>
  <si>
    <t>0,9*2,1"1.10</t>
  </si>
  <si>
    <t>248</t>
  </si>
  <si>
    <t>767640221</t>
  </si>
  <si>
    <t>Montáž dveří ocelových nebo hliníkových vchodových dvoukřídlové bez nadsvětlíku</t>
  </si>
  <si>
    <t>-983659985</t>
  </si>
  <si>
    <t>https://podminky.urs.cz/item/CS_URS_2023_02/767640221</t>
  </si>
  <si>
    <t>1"1.07</t>
  </si>
  <si>
    <t>249</t>
  </si>
  <si>
    <t>55341334</t>
  </si>
  <si>
    <t>dveře dvoukřídlé Al prosklené max rozměru otvoru 4,84m2</t>
  </si>
  <si>
    <t>106888237</t>
  </si>
  <si>
    <t>Poznámka k položce:_x000d_
viz specifikace Výpis dveří</t>
  </si>
  <si>
    <t>1,55*2,1</t>
  </si>
  <si>
    <t>250</t>
  </si>
  <si>
    <t>-59265999</t>
  </si>
  <si>
    <t>251</t>
  </si>
  <si>
    <t>-1443018618</t>
  </si>
  <si>
    <t>1,6*2,1"1.09</t>
  </si>
  <si>
    <t>252</t>
  </si>
  <si>
    <t>767995111</t>
  </si>
  <si>
    <t>Montáž ostatních atypických zámečnických konstrukcí hmotnosti do 5 kg</t>
  </si>
  <si>
    <t>kg</t>
  </si>
  <si>
    <t>-619397666</t>
  </si>
  <si>
    <t>https://podminky.urs.cz/item/CS_URS_2023_02/767995111</t>
  </si>
  <si>
    <t>4*0,82"P10 terasa</t>
  </si>
  <si>
    <t>6,56"2NP</t>
  </si>
  <si>
    <t>253</t>
  </si>
  <si>
    <t>13611228</t>
  </si>
  <si>
    <t>plech ocelový hladký jakost S235JR tl 10mm tabule</t>
  </si>
  <si>
    <t>1654521668</t>
  </si>
  <si>
    <t>9,84*0,001 'Přepočtené koeficientem množství</t>
  </si>
  <si>
    <t>254</t>
  </si>
  <si>
    <t>767995117</t>
  </si>
  <si>
    <t>Montáž ostatních atypických zámečnických konstrukcí hmotnosti přes 250 do 500 kg</t>
  </si>
  <si>
    <t>-1948222084</t>
  </si>
  <si>
    <t>https://podminky.urs.cz/item/CS_URS_2023_02/767995117</t>
  </si>
  <si>
    <t>ocelový sloup s patkou HEA220 dl 3,67mm, patka P10 300x300mm, pozink</t>
  </si>
  <si>
    <t>"HEA 220" 2*213</t>
  </si>
  <si>
    <t>"plech"0,3*0,3*2*80</t>
  </si>
  <si>
    <t>255</t>
  </si>
  <si>
    <t>-1636070125</t>
  </si>
  <si>
    <t>482/1000"viz HEA 3</t>
  </si>
  <si>
    <t>256</t>
  </si>
  <si>
    <t>-1634282123</t>
  </si>
  <si>
    <t>0,3*0,3*2*80/1000</t>
  </si>
  <si>
    <t>257</t>
  </si>
  <si>
    <t>R.Z01</t>
  </si>
  <si>
    <t>VNĚJŠÍ OCELOVÉ SCHODIŠTĚ + ZÁBRADLÍ - ozn Z01</t>
  </si>
  <si>
    <t>1298784353</t>
  </si>
  <si>
    <t xml:space="preserve">Poznámka k položce:_x000d_
VČ. KOTVENÍ , CHEMICKÝCH KOTEV, ZPRACOVAT VÝROBNÍ DODAVATELSKOU DOKUMENTACI PO PŘESNÉM DOMĚŘENÍ NA MÍSTĚ_x000d_
podrobný popis viz Tabulka zámečnických výrobků_x000d_
</t>
  </si>
  <si>
    <t>258</t>
  </si>
  <si>
    <t>R.Z02</t>
  </si>
  <si>
    <t>INTERIÉROVÉ OCELOVÉ SCHODIŠTĚ - ozn Z02</t>
  </si>
  <si>
    <t>270526818</t>
  </si>
  <si>
    <t>259</t>
  </si>
  <si>
    <t>R.Z03</t>
  </si>
  <si>
    <t>INTERIÉROVÉ OCELOVÉ ZÁBRADLÍ - ozn Z03</t>
  </si>
  <si>
    <t>635831346</t>
  </si>
  <si>
    <t>260</t>
  </si>
  <si>
    <t>R.Z04</t>
  </si>
  <si>
    <t>INTERIÉROVÉ OCELOVÉ ZÁBRADLÍ - ozn Z04</t>
  </si>
  <si>
    <t>1938594124</t>
  </si>
  <si>
    <t>261</t>
  </si>
  <si>
    <t>R.Z05</t>
  </si>
  <si>
    <t>ZÁBRADLÍ K PÓDIU- ozn Z05</t>
  </si>
  <si>
    <t>1467753016</t>
  </si>
  <si>
    <t>262</t>
  </si>
  <si>
    <t>R.Z06</t>
  </si>
  <si>
    <t>ZALOMENÝ OCELOVÝ POZINKOVANÝ PLECH P8 160x250x8100mm UCHYCEN DO ŽB KONSTRUKCE NA CHEM. KOTVY M10 a 400mm - ozn Z06</t>
  </si>
  <si>
    <t>-1402467438</t>
  </si>
  <si>
    <t xml:space="preserve">Poznámka k položce:_x000d_
VČ. KOTVENÍ , CHEMICKÝCH KOTEV_x000d_
podrobný popis viz Tabulka zámečnických výrobků_x000d_
</t>
  </si>
  <si>
    <t>263</t>
  </si>
  <si>
    <t>R.Z07</t>
  </si>
  <si>
    <t>ZÁBRADLÍ PRO ZABEZPEČENÍ PROSTORU POD SCHODIŠTĚM - ozn Z07</t>
  </si>
  <si>
    <t>-475441113</t>
  </si>
  <si>
    <t>264</t>
  </si>
  <si>
    <t>R.Z08</t>
  </si>
  <si>
    <t>ZÁBRADLÍ PRO ZABEZPEČENÍ PROSTORU POD ÚROVNÍ TERÉNU - ozn Z08</t>
  </si>
  <si>
    <t>1439718035</t>
  </si>
  <si>
    <t>265</t>
  </si>
  <si>
    <t>R.Z09</t>
  </si>
  <si>
    <t>MADLO U RAMPY- ozn Z09</t>
  </si>
  <si>
    <t>-884123795</t>
  </si>
  <si>
    <t>266</t>
  </si>
  <si>
    <t>998767102</t>
  </si>
  <si>
    <t>Přesun hmot pro zámečnické konstrukce stanovený z hmotnosti přesunovaného materiálu vodorovná dopravní vzdálenost do 50 m v objektech výšky přes 6 do 12 m</t>
  </si>
  <si>
    <t>-1649037233</t>
  </si>
  <si>
    <t>https://podminky.urs.cz/item/CS_URS_2023_02/998767102</t>
  </si>
  <si>
    <t>771</t>
  </si>
  <si>
    <t>Podlahy z dlaždic</t>
  </si>
  <si>
    <t>267</t>
  </si>
  <si>
    <t>771111011</t>
  </si>
  <si>
    <t>Příprava podkladu před provedením dlažby vysátí podlah</t>
  </si>
  <si>
    <t>-743254464</t>
  </si>
  <si>
    <t>https://podminky.urs.cz/item/CS_URS_2023_02/771111011</t>
  </si>
  <si>
    <t>78,85+65,45+18,76</t>
  </si>
  <si>
    <t>11,56+13,18+4,73+6,65+8,1+4,41+4,8+2,42+1,89+4,23+1,82+3,85+1,8+8,28+6,82+1,75+5,32+6,1+3,24+4,23+1,96+5,13+6,02+4,5+1,62+15,73+4,8+4,23+15,82</t>
  </si>
  <si>
    <t>3,55*1,65</t>
  </si>
  <si>
    <t>S08</t>
  </si>
  <si>
    <t>16,54+20,98+1,8</t>
  </si>
  <si>
    <t>268</t>
  </si>
  <si>
    <t>771121011</t>
  </si>
  <si>
    <t>Příprava podkladu před provedením dlažby nátěr penetrační na podlahu</t>
  </si>
  <si>
    <t>-465751341</t>
  </si>
  <si>
    <t>https://podminky.urs.cz/item/CS_URS_2023_02/771121011</t>
  </si>
  <si>
    <t>269</t>
  </si>
  <si>
    <t>771474112</t>
  </si>
  <si>
    <t>Montáž soklů z dlaždic keramických lepených cementovým flexibilním lepidlem rovných, výšky přes 65 do 90 mm</t>
  </si>
  <si>
    <t>-1726328132</t>
  </si>
  <si>
    <t>https://podminky.urs.cz/item/CS_URS_2023_02/771474112</t>
  </si>
  <si>
    <t>36,16+33,86+18,6"S01</t>
  </si>
  <si>
    <t>13,6+19,85+9,05+10,1+11,7+8,5+9,2+6,6+5,8+8,3+5,7+8,3+5,6+11,7+11,2+5,5+9,8+9,99+7,2+8,4+5,9+9,5+10,1+8,7+5,4+16,36+8,89+8,39+16,16"S02</t>
  </si>
  <si>
    <t>18,4+19,5+5,6</t>
  </si>
  <si>
    <t>1,7+3,55</t>
  </si>
  <si>
    <t>-obklad/2</t>
  </si>
  <si>
    <t>270</t>
  </si>
  <si>
    <t>59761184</t>
  </si>
  <si>
    <t>sokl keramický mrazuvzdorný povrch hladký/matný tl do 10mm výšky přes 65 do 90mm</t>
  </si>
  <si>
    <t>-2123055697</t>
  </si>
  <si>
    <t>270,645*1,1 'Přepočtené koeficientem množství</t>
  </si>
  <si>
    <t>271</t>
  </si>
  <si>
    <t>771574412</t>
  </si>
  <si>
    <t>Montáž podlah z dlaždic keramických lepených cementovým flexibilním lepidlem hladkých, tloušťky do 10 mm přes 0,5 do 2 ks/m2</t>
  </si>
  <si>
    <t>260485562</t>
  </si>
  <si>
    <t>https://podminky.urs.cz/item/CS_URS_2023_02/771574412</t>
  </si>
  <si>
    <t>272</t>
  </si>
  <si>
    <t>59761147</t>
  </si>
  <si>
    <t>dlažba keramická slinutá mrazuvzdorná do interiéru i exteriéru R9/A povrch hladký/matný s jedním rozměrem přes 800 do 1200mm tl do 10mm přes 0,5 do 2ks/m2</t>
  </si>
  <si>
    <t>1002742823</t>
  </si>
  <si>
    <t xml:space="preserve">Poznámka k položce:_x000d_
_x000d_
•	vstupní hala, restaurace, výčep: keramická dlažba formátu 80/80 cm do lepidla C2T, dlažby hutné, nebo slinuté min. PEI4, neglazované (event. glazovaná při splnění protiskluznosti), protiskluzové vlastnosti takto: µ ? 0,5 (ČSN 74 4505, vyhl. 268/2009 Sb. a vyhl. 398/2009 Sb.), hydroizolační stěrka, keram. sokl v. 80 mm_x000d_
</t>
  </si>
  <si>
    <t>163,06*1,15 'Přepočtené koeficientem množství</t>
  </si>
  <si>
    <t>273</t>
  </si>
  <si>
    <t>771574413</t>
  </si>
  <si>
    <t>Montáž podlah z dlaždic keramických lepených cementovým flexibilním lepidlem hladkých, tloušťky do 10 mm přes 2 do 4 ks/m2</t>
  </si>
  <si>
    <t>708874369</t>
  </si>
  <si>
    <t>https://podminky.urs.cz/item/CS_URS_2023_02/771574413</t>
  </si>
  <si>
    <t>S02+39,32+5,858</t>
  </si>
  <si>
    <t>274</t>
  </si>
  <si>
    <t>59761154</t>
  </si>
  <si>
    <t>dlažba keramická slinutá mrazuvzdorná do interiéru i exteriéru R9 povrch hladký/lapovaný tl do 10mm přes 2 do 4ks/m2</t>
  </si>
  <si>
    <t>530882416</t>
  </si>
  <si>
    <t xml:space="preserve">Poznámka k položce:_x000d_
_x000d_
•	sklady, sociální zařízení: keramická dlažba formátu 60/60 cm do lepidla C2T, dlažby hutné, nebo slinuté min. PEI4, neglazované (event. glazovaná při splnění protiskluznosti), protiskluzové vlastnosti takto: µ ? 0,5 (ČSN 74 4505, vyhl. 268/2009 Sb. a vyhl. 398/2009 Sb.), hydroizolační stěrka, keram. sokl v. 80 mm_x000d_
</t>
  </si>
  <si>
    <t>210,168*1,15 'Přepočtené koeficientem množství</t>
  </si>
  <si>
    <t>275</t>
  </si>
  <si>
    <t>771591112</t>
  </si>
  <si>
    <t>Izolace podlahy pod dlažbu nátěrem nebo stěrkou ve dvou vrstvách</t>
  </si>
  <si>
    <t>-1946958703</t>
  </si>
  <si>
    <t>https://podminky.urs.cz/item/CS_URS_2023_02/771591112</t>
  </si>
  <si>
    <t>276</t>
  </si>
  <si>
    <t>771591115</t>
  </si>
  <si>
    <t>Podlahy - dokončovací práce spárování silikonem</t>
  </si>
  <si>
    <t>-737322479</t>
  </si>
  <si>
    <t>https://podminky.urs.cz/item/CS_URS_2023_02/771591115</t>
  </si>
  <si>
    <t>277</t>
  </si>
  <si>
    <t>771591117</t>
  </si>
  <si>
    <t>Podlahy - dokončovací práce spárování akrylem</t>
  </si>
  <si>
    <t>1417459630</t>
  </si>
  <si>
    <t>https://podminky.urs.cz/item/CS_URS_2023_02/771591117</t>
  </si>
  <si>
    <t>278</t>
  </si>
  <si>
    <t>998771102</t>
  </si>
  <si>
    <t>Přesun hmot pro podlahy z dlaždic stanovený z hmotnosti přesunovaného materiálu vodorovná dopravní vzdálenost do 50 m v objektech výšky přes 6 do 12 m</t>
  </si>
  <si>
    <t>-239368207</t>
  </si>
  <si>
    <t>https://podminky.urs.cz/item/CS_URS_2023_02/998771102</t>
  </si>
  <si>
    <t>775</t>
  </si>
  <si>
    <t>Podlahy skládané</t>
  </si>
  <si>
    <t>279</t>
  </si>
  <si>
    <t>775111311</t>
  </si>
  <si>
    <t>Příprava podkladu skládaných podlah vysátí podlah</t>
  </si>
  <si>
    <t>705351191</t>
  </si>
  <si>
    <t>https://podminky.urs.cz/item/CS_URS_2023_02/775111311</t>
  </si>
  <si>
    <t>118,32+47,62</t>
  </si>
  <si>
    <t>S07</t>
  </si>
  <si>
    <t>25,21+87,89+77,65+52,48+60,03</t>
  </si>
  <si>
    <t>280</t>
  </si>
  <si>
    <t>775121321</t>
  </si>
  <si>
    <t>Příprava podkladu skládaných podlah penetrace neředěná podlah</t>
  </si>
  <si>
    <t>885614785</t>
  </si>
  <si>
    <t>https://podminky.urs.cz/item/CS_URS_2023_02/775121321</t>
  </si>
  <si>
    <t>281</t>
  </si>
  <si>
    <t>775141122</t>
  </si>
  <si>
    <t>Příprava podkladu skládaných podlah vyrovnání samonivelační stěrkou podlah min.pevnosti 30 MPa, tloušťky přes 3 do 5 mm</t>
  </si>
  <si>
    <t>1057009854</t>
  </si>
  <si>
    <t>https://podminky.urs.cz/item/CS_URS_2023_02/775141122</t>
  </si>
  <si>
    <t>282</t>
  </si>
  <si>
    <t>775413320</t>
  </si>
  <si>
    <t>Montáž podlahového soklíku nebo lišty obvodové (soklové) dřevěné bez základního nátěru soklíku ze dřeva tvrdého nebo měkkého, v přírodní barvě připevněného vruty, s přetmelením</t>
  </si>
  <si>
    <t>-1124595371</t>
  </si>
  <si>
    <t>https://podminky.urs.cz/item/CS_URS_2023_02/775413320</t>
  </si>
  <si>
    <t>44,46+30,2"S03</t>
  </si>
  <si>
    <t>27,64+38,1+35,94+29,16+52"S08</t>
  </si>
  <si>
    <t>283</t>
  </si>
  <si>
    <t>61418155</t>
  </si>
  <si>
    <t>lišta soklová dřevěná š 15.0 mm, h 60.0 mm</t>
  </si>
  <si>
    <t>981531336</t>
  </si>
  <si>
    <t>257,5*1,08 'Přepočtené koeficientem množství</t>
  </si>
  <si>
    <t>284</t>
  </si>
  <si>
    <t>775429121</t>
  </si>
  <si>
    <t>Montáž lišty přechodové (vyrovnávací) připevněné vruty</t>
  </si>
  <si>
    <t>-1622123408</t>
  </si>
  <si>
    <t>https://podminky.urs.cz/item/CS_URS_2023_02/775429121</t>
  </si>
  <si>
    <t>1+2,6</t>
  </si>
  <si>
    <t>4*1</t>
  </si>
  <si>
    <t>285</t>
  </si>
  <si>
    <t>55343119</t>
  </si>
  <si>
    <t>profil přechodový Al narážecí 40mm dub, buk, javor, třešeň</t>
  </si>
  <si>
    <t>585976202</t>
  </si>
  <si>
    <t>7,6*1,08 'Přepočtené koeficientem množství</t>
  </si>
  <si>
    <t>286</t>
  </si>
  <si>
    <t>775449121</t>
  </si>
  <si>
    <t>Montáž lišty ukončovací připevněné vruty</t>
  </si>
  <si>
    <t>815243896</t>
  </si>
  <si>
    <t>https://podminky.urs.cz/item/CS_URS_2023_02/775449121</t>
  </si>
  <si>
    <t>8,6+7,85</t>
  </si>
  <si>
    <t>287</t>
  </si>
  <si>
    <t>19416006</t>
  </si>
  <si>
    <t>lišta ukončovací z eloxovaného hliníku 12,5mm</t>
  </si>
  <si>
    <t>-1240463347</t>
  </si>
  <si>
    <t>16,45*1,08 'Přepočtené koeficientem množství</t>
  </si>
  <si>
    <t>288</t>
  </si>
  <si>
    <t>775469112</t>
  </si>
  <si>
    <t>Montáž lišty schodové připevněné vruty</t>
  </si>
  <si>
    <t>-2123844924</t>
  </si>
  <si>
    <t>https://podminky.urs.cz/item/CS_URS_2023_02/775469112</t>
  </si>
  <si>
    <t>289</t>
  </si>
  <si>
    <t>19416017</t>
  </si>
  <si>
    <t>lišta schodová šroubovací eloxovaný hliník 35x35mm</t>
  </si>
  <si>
    <t>-876687075</t>
  </si>
  <si>
    <t>4*1,08 'Přepočtené koeficientem množství</t>
  </si>
  <si>
    <t>290</t>
  </si>
  <si>
    <t>775511571</t>
  </si>
  <si>
    <t>Podlahy vlysové masivní lepené rybinový, řemenový, průpletový vzor s tmelením a broušením, bez povrchové úpravy a olištování z vlysů tl. do 22 mm šířky přes 60 do 70 mm, délky přes 350 do 400 mm dub, třída I</t>
  </si>
  <si>
    <t>-1046585431</t>
  </si>
  <si>
    <t>https://podminky.urs.cz/item/CS_URS_2023_02/775511571</t>
  </si>
  <si>
    <t>Poznámka k položce:_x000d_
•	kulturní sál, pódium, galerie: dřevěná – rovná hrana, spoj na pero-drážku, tvrdé dřevo (dub/buk), matný lak</t>
  </si>
  <si>
    <t>291</t>
  </si>
  <si>
    <t>775591311</t>
  </si>
  <si>
    <t>Skládané podlahy - ostatní práce lakování jednotlivé operace základní lak</t>
  </si>
  <si>
    <t>-325557577</t>
  </si>
  <si>
    <t>https://podminky.urs.cz/item/CS_URS_2023_02/775591311</t>
  </si>
  <si>
    <t>292</t>
  </si>
  <si>
    <t>775591314</t>
  </si>
  <si>
    <t>Skládané podlahy - ostatní práce lakování jednotlivé operace vrchní lak pro velmi vysokou zátěž (schodiště, taneční sály, restaurace apod.)</t>
  </si>
  <si>
    <t>121945812</t>
  </si>
  <si>
    <t>https://podminky.urs.cz/item/CS_URS_2023_02/775591314</t>
  </si>
  <si>
    <t>293</t>
  </si>
  <si>
    <t>775591316</t>
  </si>
  <si>
    <t>Skládané podlahy - ostatní práce lakování jednotlivé operace mezibroušení mezi vrstvami laku</t>
  </si>
  <si>
    <t>1439997909</t>
  </si>
  <si>
    <t>https://podminky.urs.cz/item/CS_URS_2023_02/775591316</t>
  </si>
  <si>
    <t>469,2*2 'Přepočtené koeficientem množství</t>
  </si>
  <si>
    <t>294</t>
  </si>
  <si>
    <t>775591411</t>
  </si>
  <si>
    <t>Skládané podlahy - ostatní práce dokončovací nátěr olejem a voskování</t>
  </si>
  <si>
    <t>-1983904589</t>
  </si>
  <si>
    <t>https://podminky.urs.cz/item/CS_URS_2023_02/775591411</t>
  </si>
  <si>
    <t>295</t>
  </si>
  <si>
    <t>998775102</t>
  </si>
  <si>
    <t>Přesun hmot pro podlahy skládané stanovený z hmotnosti přesunovaného materiálu vodorovná dopravní vzdálenost do 50 m v objektech výšky přes 6 do 12 m</t>
  </si>
  <si>
    <t>-735272888</t>
  </si>
  <si>
    <t>https://podminky.urs.cz/item/CS_URS_2023_02/998775102</t>
  </si>
  <si>
    <t>781</t>
  </si>
  <si>
    <t>Dokončovací práce - obklady</t>
  </si>
  <si>
    <t>296</t>
  </si>
  <si>
    <t>781121011</t>
  </si>
  <si>
    <t>Příprava podkladu před provedením obkladu nátěr penetrační na stěnu</t>
  </si>
  <si>
    <t>-91145659</t>
  </si>
  <si>
    <t>https://podminky.urs.cz/item/CS_URS_2023_02/781121011</t>
  </si>
  <si>
    <t>keramický obklad 60x120cm</t>
  </si>
  <si>
    <t>2*(0,3+0,7+2,95+5,8+3,2)+0,25*0,6*4-(0,8*2)"1,03</t>
  </si>
  <si>
    <t>2*(3,35*2+3,45*2)-(0,8*2*2)"1.04</t>
  </si>
  <si>
    <t>1,6*(1,8*2+2,5*2)-(0,7*2+0,8*2)"1.06</t>
  </si>
  <si>
    <t>2*(2,3*2+2*2)-0,7*2*2"1.10</t>
  </si>
  <si>
    <t>2*(1,2*2+1,9)+0,2*1,2-0,7*2*2"1.11</t>
  </si>
  <si>
    <t>2*(1*2+1,9*2)+0,2*1-0,7*2"1.12</t>
  </si>
  <si>
    <t>2*(1*2+1,75*2)-0,7*2"1.14</t>
  </si>
  <si>
    <t>2*(2*2+1,8*2)-0,7*2*2"1.15</t>
  </si>
  <si>
    <t>2*(1,8*2+1*2)+0,2*1-0,7*2"1.16</t>
  </si>
  <si>
    <t>2*(1,75*2+1*2)-0,7*2"1.19</t>
  </si>
  <si>
    <t>2*(2,1*2+2,35*2)-0,9*2*2"1.20</t>
  </si>
  <si>
    <t>2*(2,1*2+2,9*2)-(0,7*2+0,9*2*2)"1.21</t>
  </si>
  <si>
    <t>2*(1,8*4)-0,7*2+0,2*1,8"1.22</t>
  </si>
  <si>
    <t>2*(2,3*2+1,8*2)-0,9*2+0,2*1,8"1.23</t>
  </si>
  <si>
    <t>2*(1,05*2+1,8*2)-0,7*2+0,2*1,05"1,24</t>
  </si>
  <si>
    <t>2*(2,05*2+2,35*2)-(0,9*2*2)"1,25</t>
  </si>
  <si>
    <t>2*(2,05*2+2,9*2)-(0,7*2+0,9*2*2)"1.26</t>
  </si>
  <si>
    <t>2*(1,8*2+2,45*2)+0,2*1,8-0,9*2"1.27</t>
  </si>
  <si>
    <t>2*(0,9*2+1,8*2)-0,7*2+0,2*0,9"1.28</t>
  </si>
  <si>
    <t>2*(1,8*2+2,3*2)+0,2*1,8-0,9*2"1.32</t>
  </si>
  <si>
    <t>2*(1*2+1,85*2)-0,7*2"2,07</t>
  </si>
  <si>
    <t>keramický obklad pódia 60x60cm</t>
  </si>
  <si>
    <t>(0,9+8,6)*0,6</t>
  </si>
  <si>
    <t>297</t>
  </si>
  <si>
    <t>781121015</t>
  </si>
  <si>
    <t>Příprava podkladu před provedením obkladu nátěr kontaktní pro nesavé podklady na stěnu</t>
  </si>
  <si>
    <t>215813179</t>
  </si>
  <si>
    <t>https://podminky.urs.cz/item/CS_URS_2023_02/781121015</t>
  </si>
  <si>
    <t>298</t>
  </si>
  <si>
    <t>781474152</t>
  </si>
  <si>
    <t>Montáž obkladů vnitřních stěn z dlaždic keramických lepených flexibilním lepidlem velkoformátových hladkých přes 0,5 do 2 ks/m2</t>
  </si>
  <si>
    <t>1418591723</t>
  </si>
  <si>
    <t>https://podminky.urs.cz/item/CS_URS_2023_02/781474152</t>
  </si>
  <si>
    <t>299</t>
  </si>
  <si>
    <t>59761634</t>
  </si>
  <si>
    <t>obklad velkoformátový keramický hladký přes 0,5 do 2ks/m2</t>
  </si>
  <si>
    <t>1006266416</t>
  </si>
  <si>
    <t>278,73*1,15 'Přepočtené koeficientem množství</t>
  </si>
  <si>
    <t>300</t>
  </si>
  <si>
    <t>781474153</t>
  </si>
  <si>
    <t>Montáž obkladů vnitřních stěn z dlaždic keramických lepených flexibilním lepidlem velkoformátových hladkých přes 2 do 4 ks/m2</t>
  </si>
  <si>
    <t>-1084143996</t>
  </si>
  <si>
    <t>https://podminky.urs.cz/item/CS_URS_2023_02/781474153</t>
  </si>
  <si>
    <t>301</t>
  </si>
  <si>
    <t>59761002</t>
  </si>
  <si>
    <t>obklad velkoformátový keramický hladký přes 2 do 4ks/m2</t>
  </si>
  <si>
    <t>134562819</t>
  </si>
  <si>
    <t>5,7*1,15 'Přepočtené koeficientem množství</t>
  </si>
  <si>
    <t>302</t>
  </si>
  <si>
    <t>781495115</t>
  </si>
  <si>
    <t>Obklad - dokončující práce ostatní práce spárování silikonem</t>
  </si>
  <si>
    <t>-1947641674</t>
  </si>
  <si>
    <t>https://podminky.urs.cz/item/CS_URS_2023_02/781495115</t>
  </si>
  <si>
    <t>20*4*2</t>
  </si>
  <si>
    <t>303</t>
  </si>
  <si>
    <t>781495117</t>
  </si>
  <si>
    <t>Obklad - dokončující práce ostatní práce spárování akrylem</t>
  </si>
  <si>
    <t>-1856630441</t>
  </si>
  <si>
    <t>https://podminky.urs.cz/item/CS_URS_2023_02/781495117</t>
  </si>
  <si>
    <t>obklad/2</t>
  </si>
  <si>
    <t>304</t>
  </si>
  <si>
    <t>781734112</t>
  </si>
  <si>
    <t>Montáž obkladů vnějších stěn z obkladaček nebo obkladových pásků cihelných lepených flexibilním lepidlem přes 50 do 85 ks/m2</t>
  </si>
  <si>
    <t>-438265560</t>
  </si>
  <si>
    <t>https://podminky.urs.cz/item/CS_URS_2023_02/781734112</t>
  </si>
  <si>
    <t>305</t>
  </si>
  <si>
    <t>59623113</t>
  </si>
  <si>
    <t>pásek obkladový cihlový hladký 240x71x14mm červený</t>
  </si>
  <si>
    <t>1397446311</t>
  </si>
  <si>
    <t>183,33/0,24/0,071</t>
  </si>
  <si>
    <t>10758,8028169014*1,15 'Přepočtené koeficientem množství</t>
  </si>
  <si>
    <t>306</t>
  </si>
  <si>
    <t>59623117</t>
  </si>
  <si>
    <t>pásek obkladový cihlový rohová tvarovka 240x71x14x115mm červený</t>
  </si>
  <si>
    <t>199011530</t>
  </si>
  <si>
    <t>307</t>
  </si>
  <si>
    <t>998781102</t>
  </si>
  <si>
    <t>Přesun hmot pro obklady keramické stanovený z hmotnosti přesunovaného materiálu vodorovná dopravní vzdálenost do 50 m v objektech výšky přes 6 do 12 m</t>
  </si>
  <si>
    <t>-1857192242</t>
  </si>
  <si>
    <t>https://podminky.urs.cz/item/CS_URS_2023_02/998781102</t>
  </si>
  <si>
    <t>784</t>
  </si>
  <si>
    <t>Dokončovací práce - malby a tapety</t>
  </si>
  <si>
    <t>308</t>
  </si>
  <si>
    <t>784181121</t>
  </si>
  <si>
    <t>Penetrace podkladu jednonásobná hloubková akrylátová bezbarvá v místnostech výšky do 3,80 m</t>
  </si>
  <si>
    <t>2064899423</t>
  </si>
  <si>
    <t>https://podminky.urs.cz/item/CS_URS_2023_02/784181121</t>
  </si>
  <si>
    <t>134,4+1027,26+55,49+27,285"sdk</t>
  </si>
  <si>
    <t>11,56+13,18+4,73+6,65+8,1+8,28+6,82"štuk omítka</t>
  </si>
  <si>
    <t>-"výška přes 5m" 701,065</t>
  </si>
  <si>
    <t>309</t>
  </si>
  <si>
    <t>784181125</t>
  </si>
  <si>
    <t>Penetrace podkladu jednonásobná hloubková akrylátová bezbarvá v místnostech výšky přes 5,00 m</t>
  </si>
  <si>
    <t>1666074706</t>
  </si>
  <si>
    <t>https://podminky.urs.cz/item/CS_URS_2023_02/784181125</t>
  </si>
  <si>
    <t>310</t>
  </si>
  <si>
    <t>784211101</t>
  </si>
  <si>
    <t>Malby z malířských směsí oděruvzdorných za mokra dvojnásobné, bílé za mokra oděruvzdorné výborně v místnostech výšky do 3,80 m</t>
  </si>
  <si>
    <t>-1154273484</t>
  </si>
  <si>
    <t>https://podminky.urs.cz/item/CS_URS_2023_02/784211101</t>
  </si>
  <si>
    <t>311</t>
  </si>
  <si>
    <t>784211105</t>
  </si>
  <si>
    <t>Malby z malířských směsí oděruvzdorných za mokra dvojnásobné, bílé za mokra oděruvzdorné výborně v místnostech výšky přes 5,00 m</t>
  </si>
  <si>
    <t>1293267388</t>
  </si>
  <si>
    <t>https://podminky.urs.cz/item/CS_URS_2023_02/784211105</t>
  </si>
  <si>
    <t>789</t>
  </si>
  <si>
    <t>Povrchové úpravy ocelových konstrukcí a technologických zařízení</t>
  </si>
  <si>
    <t>312</t>
  </si>
  <si>
    <t>789325210</t>
  </si>
  <si>
    <t>Nátěr ocelových konstrukcí třídy I dvousložkový epoxidový základní, tloušťky do 40 µm</t>
  </si>
  <si>
    <t>1393145413</t>
  </si>
  <si>
    <t>https://podminky.urs.cz/item/CS_URS_2023_02/789325210</t>
  </si>
  <si>
    <t>0,027907*(39032,87+2803,28+1272,56)</t>
  </si>
  <si>
    <t>313</t>
  </si>
  <si>
    <t>789325220</t>
  </si>
  <si>
    <t>Nátěr ocelových konstrukcí třídy I dvousložkový epoxidový krycí (vrchní), tloušťky do 40 µm</t>
  </si>
  <si>
    <t>626348186</t>
  </si>
  <si>
    <t>https://podminky.urs.cz/item/CS_URS_2023_02/789325220</t>
  </si>
  <si>
    <t>OST</t>
  </si>
  <si>
    <t>Ostatní</t>
  </si>
  <si>
    <t>314</t>
  </si>
  <si>
    <t>R101</t>
  </si>
  <si>
    <t>Dodávka + montáž vertikální plošiny</t>
  </si>
  <si>
    <t>512</t>
  </si>
  <si>
    <t>1417728036</t>
  </si>
  <si>
    <t xml:space="preserve">Poznámka k položce:_x000d_
Prostředí instalace	vnitřní_x000d_
Velikost plošiny	1100 x 1400 mm_x000d_
Velikost šachty          1500 x 1500 mm_x000d_
Rychlost jízdy	9 m/min_x000d_
Počet stanic	až 7_x000d_
Nosnost	400 / 500 kg_x000d_
Příkon	2,2 kW_x000d_
Možné doplňkové vybavení	Sklopné sedátko na plošině. Obousměrné nouzové dorozumívací zařízení na plošině. Indikace polohy plošiny ve stanicích a na plošině. Automatická signalizace stavu plošiny. Automatické osvětlení v šachtě. Napojení na požární systém budovy. Zabezpečení ovládačů pomocí programovacích čipových karet.</t>
  </si>
  <si>
    <t>02 - Zdravotní instalace</t>
  </si>
  <si>
    <t xml:space="preserve">    721 - Zdravotechnika - vnitřní kanalizace</t>
  </si>
  <si>
    <t xml:space="preserve">    726 - Zdravotechnika - předstěnové instalace</t>
  </si>
  <si>
    <t>HZS - Hodinové zúčtovací sazby</t>
  </si>
  <si>
    <t>132251102</t>
  </si>
  <si>
    <t>Hloubení nezapažených rýh šířky do 800 mm strojně s urovnáním dna do předepsaného profilu a spádu v hornině třídy těžitelnosti I skupiny 3 přes 20 do 50 m3</t>
  </si>
  <si>
    <t>1058148405</t>
  </si>
  <si>
    <t>https://podminky.urs.cz/item/CS_URS_2023_02/132251102</t>
  </si>
  <si>
    <t>pro ležatou kanalizaci</t>
  </si>
  <si>
    <t>"řez 1"25,70*0,60*(0,70+1,20)/2</t>
  </si>
  <si>
    <t>"řez 2"6,50*0,60*(0,65+1,10)/2+1,80*0,60*(0,85+1,10)/2+4,10*0,60*(0,80+1,05)/2</t>
  </si>
  <si>
    <t>"řez 3"2,50*0,60*(0,80+1,00)/2</t>
  </si>
  <si>
    <t>"žez 4"1,35*0,60*(0,80+1,00)/2</t>
  </si>
  <si>
    <t>"řez 5"2,80*0,60*(0,80+0,90)/2+1,30*0,60*(0,80+0,85)/2+2,80*0,60*(0,70+0,80)/2</t>
  </si>
  <si>
    <t>162251102</t>
  </si>
  <si>
    <t>Vodorovné přemístění výkopku nebo sypaniny po suchu na obvyklém dopravním prostředku, bez naložení výkopku, avšak se složením bez rozhrnutí z horniny třídy těžitelnosti I skupiny 1 až 3 na vzdálenost přes 20 do 50 m</t>
  </si>
  <si>
    <t>1977617009</t>
  </si>
  <si>
    <t>https://podminky.urs.cz/item/CS_URS_2023_02/162251102</t>
  </si>
  <si>
    <t>26,80</t>
  </si>
  <si>
    <t>"zpět na zásyp"11,41</t>
  </si>
  <si>
    <t>167151101</t>
  </si>
  <si>
    <t>Nakládání, skládání a překládání neulehlého výkopku nebo sypaniny strojně nakládání, množství do 100 m3, z horniny třídy těžitelnosti I, skupiny 1 až 3</t>
  </si>
  <si>
    <t>-2042365493</t>
  </si>
  <si>
    <t>https://podminky.urs.cz/item/CS_URS_2023_02/167151101</t>
  </si>
  <si>
    <t>"zásyp"11,41</t>
  </si>
  <si>
    <t>-936679837</t>
  </si>
  <si>
    <t>"odpočet obypu"-11,73</t>
  </si>
  <si>
    <t>"opočet podloží"-3,66</t>
  </si>
  <si>
    <t>175151101</t>
  </si>
  <si>
    <t>Obsypání potrubí strojně sypaninou z vhodných třídy těžitelnosti I a II, skupiny 1 až 4 nebo materiálem připraveným podél výkopu ve vzdálenosti do 3 m od jeho kraje, pro jakoukoliv hloubku výkopu a míru zhutnění bez prohození sypaniny</t>
  </si>
  <si>
    <t>694203444</t>
  </si>
  <si>
    <t>https://podminky.urs.cz/item/CS_URS_2023_02/175151101</t>
  </si>
  <si>
    <t>"řez 1"25,70*0,60*0,40</t>
  </si>
  <si>
    <t>"řez 2"6,50*0,60*0,40+1,80*0,60*0,40+4,10*0,60*0,40</t>
  </si>
  <si>
    <t>"řez 3"2,50*0,60*0,40</t>
  </si>
  <si>
    <t>"řez 4"1,35*0,60*0,40</t>
  </si>
  <si>
    <t>"řez 5"2,80*0,60*0,40+1,30*0,60*0,40+2,80*0,60*0,40</t>
  </si>
  <si>
    <t>58337308</t>
  </si>
  <si>
    <t>štěrkopísek frakce 0/2</t>
  </si>
  <si>
    <t>-259480984</t>
  </si>
  <si>
    <t>11,73*2 "Přepočtené koeficientem množství</t>
  </si>
  <si>
    <t>451572111</t>
  </si>
  <si>
    <t>Lože pod potrubí, stoky a drobné objekty v otevřeném výkopu z kameniva drobného těženého 0 až 4 mm</t>
  </si>
  <si>
    <t>332465662</t>
  </si>
  <si>
    <t>https://podminky.urs.cz/item/CS_URS_2023_02/451572111</t>
  </si>
  <si>
    <t>"řez 1"25,70*0,60*0,10</t>
  </si>
  <si>
    <t>"řez 2"6,50*0,60*0,10+1,80*0,60*0,10+4,10*0,60*0,40</t>
  </si>
  <si>
    <t>"řez 3"2,50*0,60*0,10</t>
  </si>
  <si>
    <t>"žez 4"1,35*0,60*0,10</t>
  </si>
  <si>
    <t>"řez 5"2,80*0,60*0,10+1,30*0,60*0,10+2,80*0,60*0,10</t>
  </si>
  <si>
    <t>998011002</t>
  </si>
  <si>
    <t>Přesun hmot pro budovy občanské výstavby, bydlení, výrobu a služby s nosnou svislou konstrukcí zděnou z cihel, tvárnic nebo kamene vodorovná dopravní vzdálenost do 100 m pro budovy výšky přes 6 do 12 m</t>
  </si>
  <si>
    <t>614709046</t>
  </si>
  <si>
    <t>https://podminky.urs.cz/item/CS_URS_2023_02/998011002</t>
  </si>
  <si>
    <t>721</t>
  </si>
  <si>
    <t>Zdravotechnika - vnitřní kanalizace</t>
  </si>
  <si>
    <t>721173402</t>
  </si>
  <si>
    <t>Potrubí z trub PVC SN4 svodné (ležaté) DN 125</t>
  </si>
  <si>
    <t>-807913931</t>
  </si>
  <si>
    <t>https://podminky.urs.cz/item/CS_URS_2023_02/721173402</t>
  </si>
  <si>
    <t>721173403</t>
  </si>
  <si>
    <t>Potrubí z trub PVC SN4 svodné (ležaté) DN 160</t>
  </si>
  <si>
    <t>1219341011</t>
  </si>
  <si>
    <t>https://podminky.urs.cz/item/CS_URS_2023_02/721173403</t>
  </si>
  <si>
    <t>721173404</t>
  </si>
  <si>
    <t>Potrubí z trub PVC SN4 svodné (ležaté) DN 200</t>
  </si>
  <si>
    <t>1063977218</t>
  </si>
  <si>
    <t>https://podminky.urs.cz/item/CS_URS_2023_02/721173404</t>
  </si>
  <si>
    <t>721174004</t>
  </si>
  <si>
    <t>Potrubí z trub polypropylenových svodné (ležaté) DN 75</t>
  </si>
  <si>
    <t>1994645926</t>
  </si>
  <si>
    <t>https://podminky.urs.cz/item/CS_URS_2023_02/721174004</t>
  </si>
  <si>
    <t>721174005</t>
  </si>
  <si>
    <t>Potrubí z trub polypropylenových svodné (ležaté) DN 110</t>
  </si>
  <si>
    <t>559267074</t>
  </si>
  <si>
    <t>https://podminky.urs.cz/item/CS_URS_2023_02/721174005</t>
  </si>
  <si>
    <t>721174042</t>
  </si>
  <si>
    <t>Potrubí z trub polypropylenových připojovací DN 40</t>
  </si>
  <si>
    <t>-298905292</t>
  </si>
  <si>
    <t>https://podminky.urs.cz/item/CS_URS_2023_02/721174042</t>
  </si>
  <si>
    <t>1+17,9</t>
  </si>
  <si>
    <t>721174043</t>
  </si>
  <si>
    <t>Potrubí z trub polypropylenových připojovací DN 50</t>
  </si>
  <si>
    <t>-115957437</t>
  </si>
  <si>
    <t>https://podminky.urs.cz/item/CS_URS_2023_02/721174043</t>
  </si>
  <si>
    <t>28615610</t>
  </si>
  <si>
    <t>koleno odpadní pro vysoké teploty HTB úhel 45° DN 50</t>
  </si>
  <si>
    <t>-362538858</t>
  </si>
  <si>
    <t>28615611</t>
  </si>
  <si>
    <t>koleno odpadní pro vysoké teploty HTB úhel 45° DN 75</t>
  </si>
  <si>
    <t>1652839817</t>
  </si>
  <si>
    <t>28615612</t>
  </si>
  <si>
    <t>koleno odpadní pro vysoké teploty HTB úhel 45° DN 110</t>
  </si>
  <si>
    <t>-1632867583</t>
  </si>
  <si>
    <t>28611353</t>
  </si>
  <si>
    <t>koleno kanalizační PVC KG 110x87°</t>
  </si>
  <si>
    <t>82819290</t>
  </si>
  <si>
    <t>28611356</t>
  </si>
  <si>
    <t>koleno kanalizační PVC KG 125x45°</t>
  </si>
  <si>
    <t>1597196587</t>
  </si>
  <si>
    <t>28611361</t>
  </si>
  <si>
    <t>koleno kanalizační PVC KG 160x45°</t>
  </si>
  <si>
    <t>-777520914</t>
  </si>
  <si>
    <t>28615623</t>
  </si>
  <si>
    <t>odbočka HTEA úhel 45° DN 50/50</t>
  </si>
  <si>
    <t>128842291</t>
  </si>
  <si>
    <t>28615624</t>
  </si>
  <si>
    <t>odbočka HTEA úhel 45° DN 75/75</t>
  </si>
  <si>
    <t>-290291563</t>
  </si>
  <si>
    <t>28615552</t>
  </si>
  <si>
    <t>odbočka HTEA úhel 45° DN 110/50</t>
  </si>
  <si>
    <t>-2051855394</t>
  </si>
  <si>
    <t>28615571</t>
  </si>
  <si>
    <t>odbočka HTEA úhel 87° DN 75/50</t>
  </si>
  <si>
    <t>2048199924</t>
  </si>
  <si>
    <t>28615631</t>
  </si>
  <si>
    <t>odbočka HTEA úhel 87° DN 75/75</t>
  </si>
  <si>
    <t>834098036</t>
  </si>
  <si>
    <t>28615572</t>
  </si>
  <si>
    <t>odbočka HTEA úhel 87° DN 110/50</t>
  </si>
  <si>
    <t>717269191</t>
  </si>
  <si>
    <t>28615573</t>
  </si>
  <si>
    <t>odbočka HTEA úhel 87° DN 110/75</t>
  </si>
  <si>
    <t>-523320830</t>
  </si>
  <si>
    <t>28615574</t>
  </si>
  <si>
    <t>odbočka HTEA úhel 87° DN 110/110</t>
  </si>
  <si>
    <t>1144702473</t>
  </si>
  <si>
    <t>PPL.HTEA12512545</t>
  </si>
  <si>
    <t>Tvarovka PIPELIFE HT PP odbočka 125x125x45° pro vnitřní běžné odpadní systémy</t>
  </si>
  <si>
    <t>763049560</t>
  </si>
  <si>
    <t>28614704</t>
  </si>
  <si>
    <t>redukce kanalizační PP třívrstvá zvukově izolovaná 75/50</t>
  </si>
  <si>
    <t>661000264</t>
  </si>
  <si>
    <t>28614706</t>
  </si>
  <si>
    <t>redukce kanalizační PP třívrstvá zvukově izolovaná 110/75</t>
  </si>
  <si>
    <t>-499133935</t>
  </si>
  <si>
    <t>28614455</t>
  </si>
  <si>
    <t>redukce kanalizační PP třívrstvá vysoká zvuková izolace 160/125</t>
  </si>
  <si>
    <t>282889834</t>
  </si>
  <si>
    <t>28614453</t>
  </si>
  <si>
    <t>redukce kanalizační PP třívrstvá vysoká zvuková izolace 125/110</t>
  </si>
  <si>
    <t>365806940</t>
  </si>
  <si>
    <t>28611096</t>
  </si>
  <si>
    <t>redukce pro odpadní systém tlumící zvuk DN 125/100</t>
  </si>
  <si>
    <t>-370946070</t>
  </si>
  <si>
    <t>28619390</t>
  </si>
  <si>
    <t>redukce kanalizační PE-HD excentrická dlouhá D 200/160mm</t>
  </si>
  <si>
    <t>455023924</t>
  </si>
  <si>
    <t>721194105</t>
  </si>
  <si>
    <t>Vyměření přípojek na potrubí vyvedení a upevnění odpadních výpustek DN 50</t>
  </si>
  <si>
    <t>282542832</t>
  </si>
  <si>
    <t>https://podminky.urs.cz/item/CS_URS_2023_02/721194105</t>
  </si>
  <si>
    <t>10+2+1+1+1+3+3</t>
  </si>
  <si>
    <t>721194109</t>
  </si>
  <si>
    <t>Vyměření přípojek na potrubí vyvedení a upevnění odpadních výpustek DN 110</t>
  </si>
  <si>
    <t>880613375</t>
  </si>
  <si>
    <t>https://podminky.urs.cz/item/CS_URS_2023_02/721194109</t>
  </si>
  <si>
    <t>7+4+1</t>
  </si>
  <si>
    <t>721211403</t>
  </si>
  <si>
    <t>Podlahové vpusti s vodorovným odtokem DN 50/75 s kulovým kloubem, mřížka nerez 115x115</t>
  </si>
  <si>
    <t>136570399</t>
  </si>
  <si>
    <t>https://podminky.urs.cz/item/CS_URS_2023_02/721211403</t>
  </si>
  <si>
    <t>721226521</t>
  </si>
  <si>
    <t>Zápachové uzávěrky nástěnné (PP) pro pračku a myčku DN 40</t>
  </si>
  <si>
    <t>-407715797</t>
  </si>
  <si>
    <t>https://podminky.urs.cz/item/CS_URS_2023_02/721226521</t>
  </si>
  <si>
    <t>721273153</t>
  </si>
  <si>
    <t>Ventilační hlavice z polypropylenu (PP) DN 110</t>
  </si>
  <si>
    <t>1710017705</t>
  </si>
  <si>
    <t>https://podminky.urs.cz/item/CS_URS_2023_02/721273153</t>
  </si>
  <si>
    <t>721274126</t>
  </si>
  <si>
    <t>Ventily přivzdušňovací odpadních potrubí vnitřní DN 110</t>
  </si>
  <si>
    <t>-781819785</t>
  </si>
  <si>
    <t>https://podminky.urs.cz/item/CS_URS_2023_02/721274126</t>
  </si>
  <si>
    <t>721290111</t>
  </si>
  <si>
    <t>Zkouška těsnosti kanalizace v objektech vodou do DN 125</t>
  </si>
  <si>
    <t>-1781604804</t>
  </si>
  <si>
    <t>https://podminky.urs.cz/item/CS_URS_2023_02/721290111</t>
  </si>
  <si>
    <t>71,5+4+7,2+21,2+18,</t>
  </si>
  <si>
    <t>721290112</t>
  </si>
  <si>
    <t>Zkouška těsnosti kanalizace v objektech vodou DN 150 nebo DN 200</t>
  </si>
  <si>
    <t>1146158034</t>
  </si>
  <si>
    <t>https://podminky.urs.cz/item/CS_URS_2023_02/721290112</t>
  </si>
  <si>
    <t>75,5+3,70</t>
  </si>
  <si>
    <t>998721202</t>
  </si>
  <si>
    <t>Přesun hmot pro vnitřní kanalizace stanovený procentní sazbou (%) z ceny vodorovná dopravní vzdálenost do 50 m v objektech výšky přes 6 do 12 m</t>
  </si>
  <si>
    <t>%</t>
  </si>
  <si>
    <t>1557341715</t>
  </si>
  <si>
    <t>https://podminky.urs.cz/item/CS_URS_2023_02/998721202</t>
  </si>
  <si>
    <t>722130234</t>
  </si>
  <si>
    <t>Potrubí z ocelových trubek pozinkovaných závitových svařovaných běžných DN 32</t>
  </si>
  <si>
    <t>621196603</t>
  </si>
  <si>
    <t>https://podminky.urs.cz/item/CS_URS_2023_02/722130234</t>
  </si>
  <si>
    <t>28654002</t>
  </si>
  <si>
    <t>koleno 90° PPR pro rozvod pitné a teplé užitkové vody D 20mm</t>
  </si>
  <si>
    <t>489417764</t>
  </si>
  <si>
    <t>28654072</t>
  </si>
  <si>
    <t>T-kus jednoznačný PPR D 20mm</t>
  </si>
  <si>
    <t>1617955608</t>
  </si>
  <si>
    <t>28654078</t>
  </si>
  <si>
    <t>T-kus jednoznačný PPR D 40mm</t>
  </si>
  <si>
    <t>936286656</t>
  </si>
  <si>
    <t>28654080</t>
  </si>
  <si>
    <t>T-kus jednoznačný PPR D 50mm</t>
  </si>
  <si>
    <t>-548021601</t>
  </si>
  <si>
    <t>28654102</t>
  </si>
  <si>
    <t>T-kus redukovaný PPR D 25x20x25mm</t>
  </si>
  <si>
    <t>14521984</t>
  </si>
  <si>
    <t>28654104</t>
  </si>
  <si>
    <t>T-kus redukovaný PPR D 32x20x32mm</t>
  </si>
  <si>
    <t>-1733954138</t>
  </si>
  <si>
    <t>28654108</t>
  </si>
  <si>
    <t>T-kus redukovaný PPR D 40x20x40mm</t>
  </si>
  <si>
    <t>671034938</t>
  </si>
  <si>
    <t>28654114</t>
  </si>
  <si>
    <t>T-kus redukovaný PPR D 50x32x50mm</t>
  </si>
  <si>
    <t>1043938577</t>
  </si>
  <si>
    <t>28654116</t>
  </si>
  <si>
    <t>T-kus redukovaný PPR D 50x40x50mm</t>
  </si>
  <si>
    <t>-1642603866</t>
  </si>
  <si>
    <t>28654004</t>
  </si>
  <si>
    <t>koleno 90° PPR pro rozvod pitné a teplé užitkové vody D 25mm</t>
  </si>
  <si>
    <t>-2085606642</t>
  </si>
  <si>
    <t>28654006</t>
  </si>
  <si>
    <t>koleno 90° PPR pro rozvod pitné a teplé užitkové vody D 32mm</t>
  </si>
  <si>
    <t>-1359451052</t>
  </si>
  <si>
    <t>28654008</t>
  </si>
  <si>
    <t>koleno 90° PPR pro rozvod pitné a teplé užitkové vody D 40mm</t>
  </si>
  <si>
    <t>-1805750658</t>
  </si>
  <si>
    <t>28654010</t>
  </si>
  <si>
    <t>koleno 90° PPR pro rozvod pitné a teplé užitkové vody D 50mm</t>
  </si>
  <si>
    <t>-1010879599</t>
  </si>
  <si>
    <t>722174002</t>
  </si>
  <si>
    <t>Potrubí z plastových trubek z polypropylenu PPR svařovaných polyfúzně PN 16 (SDR 7,4) D 20 x 2,8</t>
  </si>
  <si>
    <t>383816092</t>
  </si>
  <si>
    <t>https://podminky.urs.cz/item/CS_URS_2023_02/722174002</t>
  </si>
  <si>
    <t>722174003</t>
  </si>
  <si>
    <t>Potrubí z plastových trubek z polypropylenu PPR svařovaných polyfúzně PN 16 (SDR 7,4) D 25 x 3,5</t>
  </si>
  <si>
    <t>967647453</t>
  </si>
  <si>
    <t>https://podminky.urs.cz/item/CS_URS_2023_02/722174003</t>
  </si>
  <si>
    <t>31943667</t>
  </si>
  <si>
    <t>oblouk jednoznačný 90° s vnitřním závitem zinkovaný DN 5/4"</t>
  </si>
  <si>
    <t>637378821</t>
  </si>
  <si>
    <t>31943837</t>
  </si>
  <si>
    <t>T-kus jednoznačný 90° s vnitřním závitem zinkovaná DN 5/4"</t>
  </si>
  <si>
    <t>-1016186892</t>
  </si>
  <si>
    <t>722174004</t>
  </si>
  <si>
    <t>Potrubí z plastových trubek z polypropylenu PPR svařovaných polyfúzně PN 16 (SDR 7,4) D 32 x 4,4</t>
  </si>
  <si>
    <t>1754918832</t>
  </si>
  <si>
    <t>https://podminky.urs.cz/item/CS_URS_2023_02/722174004</t>
  </si>
  <si>
    <t>722174005</t>
  </si>
  <si>
    <t>Potrubí z plastových trubek z polypropylenu PPR svařovaných polyfúzně PN 16 (SDR 7,4) D 40 x 5,5</t>
  </si>
  <si>
    <t>411701687</t>
  </si>
  <si>
    <t>https://podminky.urs.cz/item/CS_URS_2023_02/722174005</t>
  </si>
  <si>
    <t>722174006</t>
  </si>
  <si>
    <t>Potrubí z plastových trubek z polypropylenu PPR svařovaných polyfúzně PN 16 (SDR 7,4) D 50 x 6,9</t>
  </si>
  <si>
    <t>-401222445</t>
  </si>
  <si>
    <t>https://podminky.urs.cz/item/CS_URS_2023_02/722174006</t>
  </si>
  <si>
    <t>722181221</t>
  </si>
  <si>
    <t>Ochrana potrubí termoizolačními trubicemi z pěnového polyetylenu PE přilepenými v příčných a podélných spojích, tloušťky izolace přes 6 do 9 mm, vnitřního průměru izolace DN do 22 mm</t>
  </si>
  <si>
    <t>484701790</t>
  </si>
  <si>
    <t>https://podminky.urs.cz/item/CS_URS_2023_02/722181221</t>
  </si>
  <si>
    <t>151,2</t>
  </si>
  <si>
    <t>722181222</t>
  </si>
  <si>
    <t>Ochrana potrubí termoizolačními trubicemi z pěnového polyetylenu PE přilepenými v příčných a podélných spojích, tloušťky izolace přes 6 do 9 mm, vnitřního průměru izolace DN přes 22 do 45 mm</t>
  </si>
  <si>
    <t>-886850939</t>
  </si>
  <si>
    <t>https://podminky.urs.cz/item/CS_URS_2023_02/722181222</t>
  </si>
  <si>
    <t>13,4+9,9+38,2</t>
  </si>
  <si>
    <t>722181223</t>
  </si>
  <si>
    <t>Ochrana potrubí termoizolačními trubicemi z pěnového polyetylenu PE přilepenými v příčných a podélných spojích, tloušťky izolace přes 6 do 9 mm, vnitřního průměru izolace DN přes 45 do 63 mm</t>
  </si>
  <si>
    <t>-1181319236</t>
  </si>
  <si>
    <t>https://podminky.urs.cz/item/CS_URS_2023_02/722181223</t>
  </si>
  <si>
    <t>30,9</t>
  </si>
  <si>
    <t>722190401</t>
  </si>
  <si>
    <t>Zřízení přípojek na potrubí vyvedení a upevnění výpustek do DN 25</t>
  </si>
  <si>
    <t>1371210856</t>
  </si>
  <si>
    <t>https://podminky.urs.cz/item/CS_URS_2023_02/722190401</t>
  </si>
  <si>
    <t>20+7+8+4+1+2+2+3+6+2</t>
  </si>
  <si>
    <t>722250133</t>
  </si>
  <si>
    <t>Požární příslušenství a armatury hydrantový systém s tvarově stálou hadicí celoplechový D 25 x 30 m</t>
  </si>
  <si>
    <t>1732831647</t>
  </si>
  <si>
    <t>https://podminky.urs.cz/item/CS_URS_2023_02/722250133</t>
  </si>
  <si>
    <t>722290226</t>
  </si>
  <si>
    <t>Zkoušky, proplach a desinfekce vodovodního potrubí zkoušky těsnosti vodovodního potrubí závitového do DN 50</t>
  </si>
  <si>
    <t>1722014524</t>
  </si>
  <si>
    <t>https://podminky.urs.cz/item/CS_URS_2023_02/722290226</t>
  </si>
  <si>
    <t>28,20+151,20+13,40+10,0+38,20+30,90</t>
  </si>
  <si>
    <t>722290234</t>
  </si>
  <si>
    <t>Zkoušky, proplach a desinfekce vodovodního potrubí proplach a desinfekce vodovodního potrubí do DN 80</t>
  </si>
  <si>
    <t>1473229643</t>
  </si>
  <si>
    <t>https://podminky.urs.cz/item/CS_URS_2023_02/722290234</t>
  </si>
  <si>
    <t>998722202</t>
  </si>
  <si>
    <t>Přesun hmot pro vnitřní vodovod stanovený procentní sazbou (%) z ceny vodorovná dopravní vzdálenost do 50 m v objektech výšky přes 6 do 12 m</t>
  </si>
  <si>
    <t>-1967464131</t>
  </si>
  <si>
    <t>https://podminky.urs.cz/item/CS_URS_2023_02/998722202</t>
  </si>
  <si>
    <t>28654298</t>
  </si>
  <si>
    <t>přechodka PPR s vnějším kovovým závitem D 25x3/4"</t>
  </si>
  <si>
    <t>-556271309</t>
  </si>
  <si>
    <t>28654301</t>
  </si>
  <si>
    <t>přechodka PPR s vnějším kovovým závitem D 50x6/4"</t>
  </si>
  <si>
    <t>35337516</t>
  </si>
  <si>
    <t>28654300</t>
  </si>
  <si>
    <t>přechodka PPR s vnějším kovovým závitem D 40x5/4"</t>
  </si>
  <si>
    <t>2145847115</t>
  </si>
  <si>
    <t>725112022</t>
  </si>
  <si>
    <t>Zařízení záchodů klozety keramické závěsné na nosné stěny s hlubokým splachováním odpad vodorovný</t>
  </si>
  <si>
    <t>1697388061</t>
  </si>
  <si>
    <t>https://podminky.urs.cz/item/CS_URS_2023_02/725112022</t>
  </si>
  <si>
    <t>725121023</t>
  </si>
  <si>
    <t>Pisoárové záchodky splachovače automatické s napájecím zdrojem skupinové</t>
  </si>
  <si>
    <t>157338758</t>
  </si>
  <si>
    <t>https://podminky.urs.cz/item/CS_URS_2023_02/725121023</t>
  </si>
  <si>
    <t>725211601</t>
  </si>
  <si>
    <t>Umyvadla keramická bílá bez výtokových armatur připevněná na stěnu šrouby bez sloupu nebo krytu na sifon, šířka umyvadla 500 mm</t>
  </si>
  <si>
    <t>1351869695</t>
  </si>
  <si>
    <t>https://podminky.urs.cz/item/CS_URS_2023_02/725211601</t>
  </si>
  <si>
    <t>725211641</t>
  </si>
  <si>
    <t>Umyvadla keramická bílá bez výtokových armatur připevněná na stěnu šrouby do nábytku, šířka umyvadla 600 mm</t>
  </si>
  <si>
    <t>965347190</t>
  </si>
  <si>
    <t>https://podminky.urs.cz/item/CS_URS_2023_02/725211641</t>
  </si>
  <si>
    <t>725211681</t>
  </si>
  <si>
    <t>Umyvadla keramická bílá bez výtokových armatur připevněná na stěnu šrouby zdravotní, šířka umyvadla 640 mm</t>
  </si>
  <si>
    <t>-427115325</t>
  </si>
  <si>
    <t>https://podminky.urs.cz/item/CS_URS_2023_02/725211681</t>
  </si>
  <si>
    <t>725231201</t>
  </si>
  <si>
    <t>Bidety bez výtokových armatur se zápachovou uzávěrkou keramické klasické</t>
  </si>
  <si>
    <t>792182871</t>
  </si>
  <si>
    <t>https://podminky.urs.cz/item/CS_URS_2023_02/725231201</t>
  </si>
  <si>
    <t>725241112</t>
  </si>
  <si>
    <t>Sprchové vaničky akrylátové čtvercové 900x900 mm</t>
  </si>
  <si>
    <t>-1333034853</t>
  </si>
  <si>
    <t>https://podminky.urs.cz/item/CS_URS_2023_02/725241112</t>
  </si>
  <si>
    <t>725244123</t>
  </si>
  <si>
    <t>Sprchové dveře a zástěny dveře sprchové do niky rámové se skleněnou výplní tl. 5 mm otvíravé dvoukřídlové, na vaničku šířky 900 mm</t>
  </si>
  <si>
    <t>648090144</t>
  </si>
  <si>
    <t>https://podminky.urs.cz/item/CS_URS_2023_02/725244123</t>
  </si>
  <si>
    <t>725319111</t>
  </si>
  <si>
    <t>Dřezy bez výtokových armatur montáž dřezů ostatních typů</t>
  </si>
  <si>
    <t>-1710767055</t>
  </si>
  <si>
    <t>https://podminky.urs.cz/item/CS_URS_2023_02/725319111</t>
  </si>
  <si>
    <t>725331111</t>
  </si>
  <si>
    <t>Výlevky bez výtokových armatur a splachovací nádrže keramické se sklopnou plastovou mřížkou 425 mm</t>
  </si>
  <si>
    <t>-1147234848</t>
  </si>
  <si>
    <t>https://podminky.urs.cz/item/CS_URS_2023_02/725331111</t>
  </si>
  <si>
    <t>725813111</t>
  </si>
  <si>
    <t>Ventily rohové bez připojovací trubičky nebo flexi hadičky G 1/2"</t>
  </si>
  <si>
    <t>1490849551</t>
  </si>
  <si>
    <t>https://podminky.urs.cz/item/CS_URS_2023_02/725813111</t>
  </si>
  <si>
    <t>26+7+2</t>
  </si>
  <si>
    <t>725813112</t>
  </si>
  <si>
    <t>Ventily rohové bez připojovací trubičky nebo flexi hadičky pračkové G 3/4"</t>
  </si>
  <si>
    <t>1633660184</t>
  </si>
  <si>
    <t>https://podminky.urs.cz/item/CS_URS_2023_02/725813112</t>
  </si>
  <si>
    <t>725821312</t>
  </si>
  <si>
    <t>Baterie dřezové nástěnné pákové s otáčivým kulatým ústím a délkou ramínka 300 mm</t>
  </si>
  <si>
    <t>917669929</t>
  </si>
  <si>
    <t>https://podminky.urs.cz/item/CS_URS_2023_02/725821312</t>
  </si>
  <si>
    <t>725822611</t>
  </si>
  <si>
    <t>Baterie umyvadlové stojánkové pákové bez výpusti</t>
  </si>
  <si>
    <t>1086516876</t>
  </si>
  <si>
    <t>https://podminky.urs.cz/item/CS_URS_2023_02/725822611</t>
  </si>
  <si>
    <t>725823121</t>
  </si>
  <si>
    <t>Baterie bidetové stojánkové klasické bez výpusti</t>
  </si>
  <si>
    <t>44607546</t>
  </si>
  <si>
    <t>https://podminky.urs.cz/item/CS_URS_2023_02/725823121</t>
  </si>
  <si>
    <t>725829121</t>
  </si>
  <si>
    <t>Baterie umyvadlové montáž ostatních typů nástěnných pákových nebo klasických</t>
  </si>
  <si>
    <t>1798133836</t>
  </si>
  <si>
    <t>https://podminky.urs.cz/item/CS_URS_2023_02/725829121</t>
  </si>
  <si>
    <t>55145615</t>
  </si>
  <si>
    <t>baterie umyvadlová nástěnná páková 150mm chrom</t>
  </si>
  <si>
    <t>-154935806</t>
  </si>
  <si>
    <t>725841332</t>
  </si>
  <si>
    <t>Baterie sprchové podomítkové (zápustné) s přepínačem a pohyblivým držákem</t>
  </si>
  <si>
    <t>-1470341114</t>
  </si>
  <si>
    <t>https://podminky.urs.cz/item/CS_URS_2023_02/725841332</t>
  </si>
  <si>
    <t>998725201</t>
  </si>
  <si>
    <t>Přesun hmot pro zařizovací předměty stanovený procentní sazbou (%) z ceny vodorovná dopravní vzdálenost do 50 m v objektech výšky do 6 m</t>
  </si>
  <si>
    <t>810001452</t>
  </si>
  <si>
    <t>https://podminky.urs.cz/item/CS_URS_2023_02/998725201</t>
  </si>
  <si>
    <t>726</t>
  </si>
  <si>
    <t>Zdravotechnika - předstěnové instalace</t>
  </si>
  <si>
    <t>726111011</t>
  </si>
  <si>
    <t>Předstěnové instalační systémy pro zazdění do masivních zděných konstrukcí pro bidety, s nastavitelnou hloubkou 120 až 160 mm</t>
  </si>
  <si>
    <t>271943423</t>
  </si>
  <si>
    <t>https://podminky.urs.cz/item/CS_URS_2023_02/726111011</t>
  </si>
  <si>
    <t>726111031</t>
  </si>
  <si>
    <t>Předstěnové instalační systémy pro zazdění do masivních zděných konstrukcí pro závěsné klozety ovládání zepředu, stavební výška 1080 mm</t>
  </si>
  <si>
    <t>-903168635</t>
  </si>
  <si>
    <t>https://podminky.urs.cz/item/CS_URS_2023_02/726111031</t>
  </si>
  <si>
    <t>998726212</t>
  </si>
  <si>
    <t>Přesun hmot pro instalační prefabrikáty stanovený procentní sazbou (%) z ceny vodorovná dopravní vzdálenost do 50 m v objektech výšky přes 6 do 12 m</t>
  </si>
  <si>
    <t>1409527583</t>
  </si>
  <si>
    <t>https://podminky.urs.cz/item/CS_URS_2023_02/998726212</t>
  </si>
  <si>
    <t>HZS</t>
  </si>
  <si>
    <t>Hodinové zúčtovací sazby</t>
  </si>
  <si>
    <t>HZS2491</t>
  </si>
  <si>
    <t>Hodinové zúčtovací sazby profesí PSV zednické výpomoci a pomocné práce PSV dělník zednických výpomocí</t>
  </si>
  <si>
    <t>hod</t>
  </si>
  <si>
    <t>-738704917</t>
  </si>
  <si>
    <t>https://podminky.urs.cz/item/CS_URS_2023_02/HZS2491</t>
  </si>
  <si>
    <t>110,00</t>
  </si>
  <si>
    <t>03 - Vytápění</t>
  </si>
  <si>
    <t>Pol77</t>
  </si>
  <si>
    <t>Závěsný plynový kotel kondenzační , výkon : 8,5 – 46,6 kW , včetně koaxiálního odkouření DN 80/125 nad střechu objektu</t>
  </si>
  <si>
    <t>Pol78</t>
  </si>
  <si>
    <t>Rozdělovač a sběrač topné vody – DN 65 , L = 0,8 m</t>
  </si>
  <si>
    <t>Pol79</t>
  </si>
  <si>
    <t>Hydraulický vyrovnávač tlaku – anuloid – Q = 2,6 m3/hod</t>
  </si>
  <si>
    <t>Pol80</t>
  </si>
  <si>
    <t>Tlaková expanzní nádoba – obsah : 80 l</t>
  </si>
  <si>
    <t>Pol81</t>
  </si>
  <si>
    <t>Nepřímotopný ohřívač teplé užitkové vody – obsah : 200 l včetně tepelné izolace</t>
  </si>
  <si>
    <t>Pol82</t>
  </si>
  <si>
    <t>Č 1 - Čerpadlo oběhové teplovodní Q = 1,7 m3/hod , 40 kPa</t>
  </si>
  <si>
    <t>Pol83</t>
  </si>
  <si>
    <t>Č 2 - Čerpadlo oběhové teplovodní Q = 0,7 m3/hod , 37 kPa</t>
  </si>
  <si>
    <t>Pol84</t>
  </si>
  <si>
    <t>Č 3 - Čerpadlo oběhové teplovodní Q = 1,5 m3/hod , 25 kPa</t>
  </si>
  <si>
    <t>Pol85</t>
  </si>
  <si>
    <t>TRV 1 - Trojcestný směšovací ventil včetně ektropohonu – DN 25, Kv = 4 , 0-10 V</t>
  </si>
  <si>
    <t>Pol86</t>
  </si>
  <si>
    <t>TRV 2 - Trojcestný směšovací ventil včetně ektropohonu – DN 25, Kv = 2,5 , 0-10 V</t>
  </si>
  <si>
    <t>Pol87</t>
  </si>
  <si>
    <t>Magnetický filtr – odstaňovač nečistot – DN 32</t>
  </si>
  <si>
    <t>Pol88</t>
  </si>
  <si>
    <t>Termostatický směšovací ventil 30-65°C, DN 25</t>
  </si>
  <si>
    <t>Pol89</t>
  </si>
  <si>
    <t>Pojistný ventil závitový otevírací přetlak 2,5 bar</t>
  </si>
  <si>
    <t>Pol90</t>
  </si>
  <si>
    <t>Kulový kohout uzavírací – PN 16 , DN 25</t>
  </si>
  <si>
    <t>Pol91</t>
  </si>
  <si>
    <t>Kulový kohout uzavírací – PN 16 , DN 32</t>
  </si>
  <si>
    <t>Pol92</t>
  </si>
  <si>
    <t>Kulový kohout uzavírací – PN 16 , DN 40</t>
  </si>
  <si>
    <t>Pol93</t>
  </si>
  <si>
    <t>Kulový kohout uzavírací – PN 16 , DN 50</t>
  </si>
  <si>
    <t>Pol94</t>
  </si>
  <si>
    <t>Zpětný ventil závitový - PN 16 – DN 25</t>
  </si>
  <si>
    <t>Pol95</t>
  </si>
  <si>
    <t>Zpětný ventil závitový - PN 16 – DN 32</t>
  </si>
  <si>
    <t>Pol96</t>
  </si>
  <si>
    <t>Zpětný ventil závitový - PN 16 – DN 40</t>
  </si>
  <si>
    <t>Pol97</t>
  </si>
  <si>
    <t>Filtr závitový - PN 16 - DN 25</t>
  </si>
  <si>
    <t>Pol98</t>
  </si>
  <si>
    <t>Filtr závitový - PN 16 - DN 32</t>
  </si>
  <si>
    <t>Pol99</t>
  </si>
  <si>
    <t>Filtr závitový - PN 16 - DN 40</t>
  </si>
  <si>
    <t>Pol100</t>
  </si>
  <si>
    <t>Kulový kohout s filtrem - PN 16 – DN 50</t>
  </si>
  <si>
    <t>Pol101</t>
  </si>
  <si>
    <t>Vypouštěcí kohout kulový DN 10</t>
  </si>
  <si>
    <t>Pol102</t>
  </si>
  <si>
    <t>Vypouštěcí kohout kulový DN 15</t>
  </si>
  <si>
    <t>Pol103</t>
  </si>
  <si>
    <t>Automatický odvzdušňovací ventil do potrubí se zpětným ventilem – 1/2“</t>
  </si>
  <si>
    <t>Pol104</t>
  </si>
  <si>
    <t>Teploměr bimetalový – rozsah : 0-120°C</t>
  </si>
  <si>
    <t>Pol105</t>
  </si>
  <si>
    <t>Tlakoměr s pružnou trubkou včetně příslušenství – rozsah : 0 – 600 kPa</t>
  </si>
  <si>
    <t>Pol106</t>
  </si>
  <si>
    <t>Potrubí – např. V kvalitě materiál Cu včetně tvarovek 18x1</t>
  </si>
  <si>
    <t>Pol107</t>
  </si>
  <si>
    <t>Potrubí – např. V kvalitě materiál Cu včetně tvarovek 22x1</t>
  </si>
  <si>
    <t>Pol108</t>
  </si>
  <si>
    <t>Potrubí – např. V kvalitě materiál Cu včetně tvarovek 28x1</t>
  </si>
  <si>
    <t>Pol109</t>
  </si>
  <si>
    <t>Potrubí – např. V kvalitě materiál Cu včetně tvarovek 35x1,5</t>
  </si>
  <si>
    <t>Pol110</t>
  </si>
  <si>
    <t>Potrubí – např. V kvalitě materiál Cu včetně tvarovek 42x1,5</t>
  </si>
  <si>
    <t>Pol111</t>
  </si>
  <si>
    <t>Potrubí – např. V kvalitě materiál Cu včetně tvarovek 54x1,5</t>
  </si>
  <si>
    <t>Pol112</t>
  </si>
  <si>
    <t>Čištění potrubí</t>
  </si>
  <si>
    <t>Pol113</t>
  </si>
  <si>
    <t>Tepelná izolace návleková tl. 20 mm 18 /20 HS</t>
  </si>
  <si>
    <t>Pol114</t>
  </si>
  <si>
    <t>Tepelná izolace návleková tl. 20 mm 22 /20 HS</t>
  </si>
  <si>
    <t>Pol115</t>
  </si>
  <si>
    <t>Tepelná izolace návleková tl. 20 mm 28 /20 HS</t>
  </si>
  <si>
    <t>Pol116</t>
  </si>
  <si>
    <t>Tepelná izolace návleková tl. 20 mm 35 /20 HS</t>
  </si>
  <si>
    <t>Pol117</t>
  </si>
  <si>
    <t>Tepelná izolace návleková tl. 20 mm 42 /20 HS</t>
  </si>
  <si>
    <t>Pol118</t>
  </si>
  <si>
    <t>Tepelná izolace návleková tl. 20 mm 54 /20 HS</t>
  </si>
  <si>
    <t>Pol119</t>
  </si>
  <si>
    <t>Tepelná izolace rozdělovače a sběrače, tl. 2X 5 cm včetně povrchové úpravy obalením lfolií</t>
  </si>
  <si>
    <t>Pol120</t>
  </si>
  <si>
    <t>Doplňková konstrukce z profilového materiálu</t>
  </si>
  <si>
    <t>Pol121</t>
  </si>
  <si>
    <t>Nátěr doplňkové konstrukce syntetický dvojnásobný s 1x emailováním se základním nátěrem</t>
  </si>
  <si>
    <t>Pol122</t>
  </si>
  <si>
    <t>Nátěr rozdělovače a sběrače syntetický dvojnásobný s 1x emailováním se základním nátěrem</t>
  </si>
  <si>
    <t>Pol123</t>
  </si>
  <si>
    <t>Potrubí pro podl. Vytápění 16x2 mm</t>
  </si>
  <si>
    <t>Pol124</t>
  </si>
  <si>
    <t>Šroubení svěrné pro 16X2</t>
  </si>
  <si>
    <t>Pol125</t>
  </si>
  <si>
    <t>Sestava směšovaného rozdělovače el. pohon 24 V , ovládání 0 – 10 V , havarijní termostat - 7cestný včetně skříně rozdělovače pod omítku</t>
  </si>
  <si>
    <t>Pol126</t>
  </si>
  <si>
    <t>Sestava směšovaného rozdělovače el. pohon 24 V , ovládání 0 – 10 V , havarijní termostat - 9cestný včetně skříně rozdělovače pod omítku</t>
  </si>
  <si>
    <t>Pol127</t>
  </si>
  <si>
    <t>Sestava směšovaného rozdělovače el. pohon 24 V , ovládání 0 – 10 V , havarijní termostat - 10cestný včetně skříně rozdělovače pod omítku</t>
  </si>
  <si>
    <t>Pol128</t>
  </si>
  <si>
    <t>Sestava směšovaného rozdělovače el. pohon 24 V , ovládání 0 – 10 V , havarijní termostat - 12cestný včetně skříně rozdělovače pod omítku</t>
  </si>
  <si>
    <t>Pol129</t>
  </si>
  <si>
    <t>Elektrotermická hlavice, 230 V, bez proudu zavřeno</t>
  </si>
  <si>
    <t>Pol130</t>
  </si>
  <si>
    <t>Prostorový termostat 6-30°C</t>
  </si>
  <si>
    <t>Pol131</t>
  </si>
  <si>
    <t>Systémová izolační deska deska podlahového vytápění</t>
  </si>
  <si>
    <t>Pol132</t>
  </si>
  <si>
    <t>Obvodový dilatační pás</t>
  </si>
  <si>
    <t>Pol133</t>
  </si>
  <si>
    <t>Plastifikátor IVAR.PL 10</t>
  </si>
  <si>
    <t>Pol134</t>
  </si>
  <si>
    <t>Ekvitermní regulace – 2x topná větev, ohřev TUV</t>
  </si>
  <si>
    <t>Pol135</t>
  </si>
  <si>
    <t>Topná a tlaková zkouška , vyregulování systému , oživení regulace , zkušební provoz HZ Sazba</t>
  </si>
  <si>
    <t>Pol136</t>
  </si>
  <si>
    <t>Montážní práce</t>
  </si>
  <si>
    <t>04 - Vzduchotechnika</t>
  </si>
  <si>
    <t>1 - Sál</t>
  </si>
  <si>
    <t>2 - Restaurace</t>
  </si>
  <si>
    <t xml:space="preserve">3 - Sociální zařízení </t>
  </si>
  <si>
    <t>4 - Zázemí účinkujících</t>
  </si>
  <si>
    <t>5 - Sklad 1.17</t>
  </si>
  <si>
    <t>6 - Strojovna VZT</t>
  </si>
  <si>
    <t>7 - Kuchyňka 2.05</t>
  </si>
  <si>
    <t>8 - Úklid 2.07</t>
  </si>
  <si>
    <t>9 - Odpadky1.06</t>
  </si>
  <si>
    <t>10 - Montážní materiál</t>
  </si>
  <si>
    <t>11 - Nátěry</t>
  </si>
  <si>
    <t>12 - Izolace</t>
  </si>
  <si>
    <t xml:space="preserve">13 - Přesuny strojů, zařízení a potrubí, přidružené výkony </t>
  </si>
  <si>
    <t xml:space="preserve">14 - Komplexní zkoušky, zaregulování a obsluha </t>
  </si>
  <si>
    <t>Sál</t>
  </si>
  <si>
    <t>1.1</t>
  </si>
  <si>
    <t>Bloková větrací jednotka vnitřní srojaté provedení s rekuperací tepla, filtrací, reversibilním chlazením a EC motory, ve shodě s nařízením EU1253/2014; vč. typového systému MaR s nezbytnou kabeláží a ovladačem, rozvaděč osazen do 3 bm od jednotky na zdi</t>
  </si>
  <si>
    <t xml:space="preserve">Poznámka k položce:_x000d_
(složení a parametry dle techniky  v příloze č.6 TPZ a tab.č.2  a 3 v TZ)</t>
  </si>
  <si>
    <t>1.1a</t>
  </si>
  <si>
    <t>Pružná manžeta d= 450 mm</t>
  </si>
  <si>
    <t>1.1b</t>
  </si>
  <si>
    <t>Sifon s podtlak. uzávěrem</t>
  </si>
  <si>
    <t>1.1c</t>
  </si>
  <si>
    <t>Sifon s přetlak</t>
  </si>
  <si>
    <t>1.1d</t>
  </si>
  <si>
    <t>Zapojení rozvaděče</t>
  </si>
  <si>
    <t>1.1e</t>
  </si>
  <si>
    <t>Startpack - zprovoznění s garancí výrobce</t>
  </si>
  <si>
    <t>1.1f</t>
  </si>
  <si>
    <t>Kouřové čidlo do vzduch. potrubí</t>
  </si>
  <si>
    <t>1.1g</t>
  </si>
  <si>
    <t>Transformátor pro kouřové čidlo</t>
  </si>
  <si>
    <t>1.2</t>
  </si>
  <si>
    <t>Kondenzační jednotka Qch=13,4 kW, Qt=15,8 kW, šxhxv=960x330x1380mm, U=400V; chladivo R32</t>
  </si>
  <si>
    <t xml:space="preserve">Poznámka k položce:_x000d_
(složení a parametry dle techniky  v příloze č.6 TPZ a tab.č.2 a 3 v TZ)</t>
  </si>
  <si>
    <t>1.2a</t>
  </si>
  <si>
    <t>Řídíci box plyn.regulace a Modbus komunikační modul 0-10 V</t>
  </si>
  <si>
    <t>1.2b</t>
  </si>
  <si>
    <t>Modul omezení výkonu</t>
  </si>
  <si>
    <t>1.3</t>
  </si>
  <si>
    <t>Potrubí chladiva (svazek)+ sdělovací kabel</t>
  </si>
  <si>
    <t>bm</t>
  </si>
  <si>
    <t>1.4</t>
  </si>
  <si>
    <t>Tlumič hluku d=500 mm l=900 mm</t>
  </si>
  <si>
    <t>1.5</t>
  </si>
  <si>
    <t>Výústka přívodní na hran.potrubí dvouřadá s regulací-R.1 800x150 mm</t>
  </si>
  <si>
    <t>1.6</t>
  </si>
  <si>
    <t>Výústka odvodní na kruh.potrubí jednořadá s regulací R.1 600x200 mm</t>
  </si>
  <si>
    <t>1.7</t>
  </si>
  <si>
    <t>Výhukový/nasávací kus 630x500 úhel 45° s pletivem</t>
  </si>
  <si>
    <t>1.30</t>
  </si>
  <si>
    <t>Potrubí SPIRO do průměru 450 mm/40% tvar.</t>
  </si>
  <si>
    <t>1.50</t>
  </si>
  <si>
    <t>Čtyřhranné ocelové potrubí do obvodu 1500mm/ 20% tvar. sk.I pozink ON 12 0403</t>
  </si>
  <si>
    <t>Pol61</t>
  </si>
  <si>
    <t>Čtyřhranné ocelové potrubí do obvodu 2630mm/ 60% tvar. sk.I pozink ON 12 0403</t>
  </si>
  <si>
    <t>Restaurace</t>
  </si>
  <si>
    <t>2.1</t>
  </si>
  <si>
    <t>Bloková větrací jednotka vnitřní srojaté provedení, s rekuperací tepla, filtrací, el.ohřívačem a EC motory, ve shodě s nařízením EU1253/2014; vč. typového systému MaR s nezbytnou kabeláží a ovladačem, rozvaděč osazen do 3 bm od jednotky na zdi</t>
  </si>
  <si>
    <t xml:space="preserve">Poznámka k položce:_x000d_
(složení a parametry dle techniky  v příloze č.6 TPZ a tab.č.2  v TZ)</t>
  </si>
  <si>
    <t>2.1a</t>
  </si>
  <si>
    <t>Pružná manžeta d=400 mm</t>
  </si>
  <si>
    <t>2.1b</t>
  </si>
  <si>
    <t>Sifon s přetlak.</t>
  </si>
  <si>
    <t>2.1c</t>
  </si>
  <si>
    <t>2.1d</t>
  </si>
  <si>
    <t>2.1e</t>
  </si>
  <si>
    <t>2.1f</t>
  </si>
  <si>
    <t>2.2</t>
  </si>
  <si>
    <t>Výhukový/nasávací kus 500x500 úhel 45° s pletivem</t>
  </si>
  <si>
    <t>2.3</t>
  </si>
  <si>
    <t>Tlumič hluku d= 315 mm l=900 mm</t>
  </si>
  <si>
    <t>2.4</t>
  </si>
  <si>
    <t>Výústka přívodní na hran.potrubí dvouřadá s regulací -R.1 800x100 mm</t>
  </si>
  <si>
    <t>2.5</t>
  </si>
  <si>
    <t>Textilní výústka přívodní d=250 mm, l=2500 mm</t>
  </si>
  <si>
    <t xml:space="preserve">Poznámka k položce:_x000d_
(složení a parametry dle techniky  v příloze č.6 TPZ )</t>
  </si>
  <si>
    <t>2.6</t>
  </si>
  <si>
    <t>Tukový filtr v kazetě do potrubí d=355 mm</t>
  </si>
  <si>
    <t>2.7</t>
  </si>
  <si>
    <t>Nerezová digestoř nástěnná typu NOP-1 1000x800x450 mm vč lapačů tuku a osvětlení</t>
  </si>
  <si>
    <t>2.8</t>
  </si>
  <si>
    <t>Výústka odvodní na hran.potrubí jednořadá s regulací R.1 400x100 mm</t>
  </si>
  <si>
    <t>2.9</t>
  </si>
  <si>
    <t>Talířový ventil odvodní kovový D=160mm + montážní kroužek</t>
  </si>
  <si>
    <t>2.10</t>
  </si>
  <si>
    <t>Regulační klapka 315x250 mm ruční ovládání</t>
  </si>
  <si>
    <t>2.30</t>
  </si>
  <si>
    <t>Potrubí SPIRO do průměru 160 mm/100% tvar.</t>
  </si>
  <si>
    <t>Pol62</t>
  </si>
  <si>
    <t>Potrubí SPIRO do průměru 315 mm/50% tvar.</t>
  </si>
  <si>
    <t>Pol63</t>
  </si>
  <si>
    <t>Potrubí SPIRO do průměru 400 mm/40% tvar.</t>
  </si>
  <si>
    <t>2.50</t>
  </si>
  <si>
    <t>Čtyřhranné ocelové potrubí do obvodu 1050mm/ 30% tvar. sk.I pozink ON 12 0403</t>
  </si>
  <si>
    <t>Pol64</t>
  </si>
  <si>
    <t>Čtyřhranné ocelové potrubí do obvodu 1500mm/ 40% tvar. sk.I pozink ON 12 0403</t>
  </si>
  <si>
    <t>2.60</t>
  </si>
  <si>
    <t>Čtyřhranné ocelové potrubí do obvodu 1050mm/ 30% tvar. sk.I pozink ON 12 0403vodotěsné</t>
  </si>
  <si>
    <t xml:space="preserve">Sociální zařízení </t>
  </si>
  <si>
    <t>3.1</t>
  </si>
  <si>
    <t>Potrubní diagonální ventilátor s EC motorem d=160 mm, Ekowatt</t>
  </si>
  <si>
    <t xml:space="preserve">Poznámka k položce:_x000d_
(parametry dle tab.č.2  v TZ)</t>
  </si>
  <si>
    <t>3.1a</t>
  </si>
  <si>
    <t>Spojovací manžeta d = 160 mm</t>
  </si>
  <si>
    <t>3.2</t>
  </si>
  <si>
    <t>Zpětná klapka těsná d= 160 mm</t>
  </si>
  <si>
    <t>3.3</t>
  </si>
  <si>
    <t>Ohebná hadice tlumící d=160 mm, 5 bm v balení .zvuk.izol.</t>
  </si>
  <si>
    <t>3.4</t>
  </si>
  <si>
    <t>Tlumič hluku d=160 mm l= 600 mm</t>
  </si>
  <si>
    <t>3.5</t>
  </si>
  <si>
    <t>Ohebná hadice tlumící d=127 mm, 5 bm v balení .zvuk.izol.</t>
  </si>
  <si>
    <t>3.6</t>
  </si>
  <si>
    <t>Ohebná hadice tlumící d=102 mm, 5 bm v balení .zvuk.izol.</t>
  </si>
  <si>
    <t>3.7</t>
  </si>
  <si>
    <t>Talířový ventil odvodní kovový D=125mm + montážní kroužek</t>
  </si>
  <si>
    <t>3.8</t>
  </si>
  <si>
    <t>Talířový ventil odvodní kovový D=100mm + montážní kroužek</t>
  </si>
  <si>
    <t>3.9</t>
  </si>
  <si>
    <t>3.10</t>
  </si>
  <si>
    <t>Stěnová mřížka uzavřená SMU 600x150 mm</t>
  </si>
  <si>
    <t>3.11</t>
  </si>
  <si>
    <t>Výhukový/nasávací kus 400x500 úhel 45° s pletivem</t>
  </si>
  <si>
    <t>3.30</t>
  </si>
  <si>
    <t>Potrubí SPIRO do průměru 160 mm/30% tvar.</t>
  </si>
  <si>
    <t>3.50</t>
  </si>
  <si>
    <t>Pol65</t>
  </si>
  <si>
    <t>Čtyřhranné ocelové potrubí do obvodu 1890mm/ 100% tvar. sk.I pozink ON 12 0403</t>
  </si>
  <si>
    <t>Zázemí účinkujících</t>
  </si>
  <si>
    <t>4.1</t>
  </si>
  <si>
    <t>4.1a</t>
  </si>
  <si>
    <t>4.2</t>
  </si>
  <si>
    <t>4.3</t>
  </si>
  <si>
    <t>4.4</t>
  </si>
  <si>
    <t>4.5</t>
  </si>
  <si>
    <t>4.6</t>
  </si>
  <si>
    <t>4.30</t>
  </si>
  <si>
    <t>Sklad 1.17</t>
  </si>
  <si>
    <t>5.1</t>
  </si>
  <si>
    <t>5.1a</t>
  </si>
  <si>
    <t>5.2</t>
  </si>
  <si>
    <t>5.3</t>
  </si>
  <si>
    <t>5.4</t>
  </si>
  <si>
    <t>5.5</t>
  </si>
  <si>
    <t>Výústka odvodní na kruh.potrubí jednořadá s regulací R.1 825x75 mm</t>
  </si>
  <si>
    <t>5.6</t>
  </si>
  <si>
    <t>5.30</t>
  </si>
  <si>
    <t>Potrubí SPIRO do průměru 160 mm/20% tvar.</t>
  </si>
  <si>
    <t>Strojovna VZT</t>
  </si>
  <si>
    <t>6.1</t>
  </si>
  <si>
    <t>Potrubní diagonální ventilátor s EC motorem TD 500/160 Ekowatt</t>
  </si>
  <si>
    <t>6.1a</t>
  </si>
  <si>
    <t>Spojovací manžeta VBM 160</t>
  </si>
  <si>
    <t>6.2</t>
  </si>
  <si>
    <t>Zpětná klapka těsná MCA 500/160</t>
  </si>
  <si>
    <t>6.3</t>
  </si>
  <si>
    <t>Ohebná hadice tlumící Sonoflex MO d=160 mm, 5 bm v balení .zvuk.izol.</t>
  </si>
  <si>
    <t>6.4</t>
  </si>
  <si>
    <t>Tlumič hluku MAA 160/600</t>
  </si>
  <si>
    <t>6.5</t>
  </si>
  <si>
    <t>Ochranná mřížka MRJ 160</t>
  </si>
  <si>
    <t>6.6</t>
  </si>
  <si>
    <t>Talířový ventil odvodní kovový D=160mm + montážní kroužek (např. KK 160 + kroužek)</t>
  </si>
  <si>
    <t>6.30</t>
  </si>
  <si>
    <t>Kuchyňka 2.05</t>
  </si>
  <si>
    <t>7.1</t>
  </si>
  <si>
    <t>7.1a</t>
  </si>
  <si>
    <t>7.2</t>
  </si>
  <si>
    <t>7.3</t>
  </si>
  <si>
    <t>7.4</t>
  </si>
  <si>
    <t>7.5</t>
  </si>
  <si>
    <t>6.30.1</t>
  </si>
  <si>
    <t>Potrubí SPIRO do průměru 160 mm/40% tvar.</t>
  </si>
  <si>
    <t>Úklid 2.07</t>
  </si>
  <si>
    <t>8.1</t>
  </si>
  <si>
    <t>Potrubní diagonální ventilátor s EC motorem d=125 mm, Ekowatt</t>
  </si>
  <si>
    <t>8.1a</t>
  </si>
  <si>
    <t>Spojovací manžeta d = 125 mm</t>
  </si>
  <si>
    <t>8.2</t>
  </si>
  <si>
    <t>Zpětná klapka těsná d= 125 mm</t>
  </si>
  <si>
    <t>8.3</t>
  </si>
  <si>
    <t>8.30</t>
  </si>
  <si>
    <t>Odpadky1.06</t>
  </si>
  <si>
    <t>9.1</t>
  </si>
  <si>
    <t>9.1a</t>
  </si>
  <si>
    <t>9.2</t>
  </si>
  <si>
    <t>Výfuková hlavice RH 125</t>
  </si>
  <si>
    <t>9.3</t>
  </si>
  <si>
    <t>9.30</t>
  </si>
  <si>
    <t>Montážní materiál</t>
  </si>
  <si>
    <t>Pol66</t>
  </si>
  <si>
    <t>Montážní, těsnící a spojovací material</t>
  </si>
  <si>
    <t>Nátěry</t>
  </si>
  <si>
    <t>Pol67</t>
  </si>
  <si>
    <t>Nátěr potrubí, oplechování a konzol - základ + 1x vrchní na montáži (odstín určí architekt)</t>
  </si>
  <si>
    <t>Izolace</t>
  </si>
  <si>
    <t>Pol68</t>
  </si>
  <si>
    <t>Tepelná izolace z miner.vlny v Al-fólii 8 cm (požadovaný tepelný odpor R=2,5 m2K/W) na potrubí vedené po střeše + oplechování</t>
  </si>
  <si>
    <t>Pol69</t>
  </si>
  <si>
    <t>Tepelná izolace z miner.vlny v Al-fólii 8 cm (požadovaný tepelný odpor R=1,1 m2K/W)</t>
  </si>
  <si>
    <t>Pol70</t>
  </si>
  <si>
    <t>Tepelná izolace z miner.vlny v Al-fólii 4 cm (požadovaný tepelný odpor R=1,1 m2K/W)</t>
  </si>
  <si>
    <t xml:space="preserve">Přesuny strojů, zařízení a potrubí, přidružené výkony </t>
  </si>
  <si>
    <t>Pol71</t>
  </si>
  <si>
    <t>Přesuny strojů, zařízení , potrubí(1,00 Kč/kg)</t>
  </si>
  <si>
    <t>Pol72</t>
  </si>
  <si>
    <t>Podíl přidružených výkonů (1,6 % z ceny montáže)</t>
  </si>
  <si>
    <t>kpl</t>
  </si>
  <si>
    <t>Pol73</t>
  </si>
  <si>
    <t>Doprava (3,6 % z ceny dodávky)</t>
  </si>
  <si>
    <t xml:space="preserve">Komplexní zkoušky, zaregulování a obsluha </t>
  </si>
  <si>
    <t>Pol74</t>
  </si>
  <si>
    <t>Komplexní vyzkoušení</t>
  </si>
  <si>
    <t>Pol75</t>
  </si>
  <si>
    <t>Zaregulování zařízení</t>
  </si>
  <si>
    <t>Pol76</t>
  </si>
  <si>
    <t>Zaškolení obsluhy</t>
  </si>
  <si>
    <t>05 - Elektroinstalace</t>
  </si>
  <si>
    <t>D1 - Dodávky</t>
  </si>
  <si>
    <t xml:space="preserve">    D2 - Svítidla - specifikace dle knihy svítidel</t>
  </si>
  <si>
    <t xml:space="preserve">    D3 - LED nouzová svítidla</t>
  </si>
  <si>
    <t>D5 - Elektromontáže</t>
  </si>
  <si>
    <t xml:space="preserve">    D6 - Montáž svítidel LED / žárovkových se zapojením vodičů bytových nebo do spol.místností stropních přis</t>
  </si>
  <si>
    <t xml:space="preserve">    D7 - KABEL SILOVÝ,IZOLACE PVC</t>
  </si>
  <si>
    <t xml:space="preserve">    D8 - KABEL SE SNÍŽENOU HOŘLAVOSTÍ, S FUNKČNÍ SCHOPNOSTÍ PŘI POŽÁRU, TŘÍDA REAKCE NA OHEŇ - B2 ca, s1, d0</t>
  </si>
  <si>
    <t xml:space="preserve">    D9 - VODIČ PRO POSPOJOVÁNÍ</t>
  </si>
  <si>
    <t xml:space="preserve">    D10 - TLAČÍTKO, REFLEX SI (nouzový signalizační systém)</t>
  </si>
  <si>
    <t xml:space="preserve">    D11 - MODUL KONTROLNÍ, REFLEX SI (nouzový signalizační systém)</t>
  </si>
  <si>
    <t xml:space="preserve">    D12 - ALARM, REFLEX SI (nouzový signalizační systém)</t>
  </si>
  <si>
    <t xml:space="preserve">    D13 - TRANSFORMÁTOR, REFLEX SI (nouzový signalizační systém)</t>
  </si>
  <si>
    <t xml:space="preserve">    D14 - VÝVOD PRO OHEBNÝ VODIČ Z KRABICE POD OMÍTKOU TANGO (ABB)</t>
  </si>
  <si>
    <t xml:space="preserve">    D15 - POHYBOVÝ SPÍNAČ AUTOMATICKÝ, KOMPLETNÍ, BÍLÝ, IP20,</t>
  </si>
  <si>
    <t xml:space="preserve">    D17 - PROSTOROVÝ REGULÁTOR TEPLOTY kontakt 1/1-6A 230V AC, IP54</t>
  </si>
  <si>
    <t xml:space="preserve">    D16 - Tlačítko TOTAL STOP kompletní</t>
  </si>
  <si>
    <t xml:space="preserve">    D18 - STROJEK SPÍNAČE "TANGO"</t>
  </si>
  <si>
    <t xml:space="preserve">    D19 - KRYT SPÍNAČE "TANGO" BARVA BÍLÁ</t>
  </si>
  <si>
    <t xml:space="preserve">    D20 - RÁMEČEK PRO PŘÍSTROJE "TANGO" BARVA BÍLÁ</t>
  </si>
  <si>
    <t xml:space="preserve">    D21 - ZÁSUVKA DOMOVNÍ "TANGO", BARVA BÍLÁ, KOMPLETNÍ</t>
  </si>
  <si>
    <t xml:space="preserve">    D22 - ZÁSUVKA PRŮMYSLOVÁ NÁSTĚNNÁ, IP67</t>
  </si>
  <si>
    <t xml:space="preserve">    D23 - SVORKOVNICE HLAVNIHO</t>
  </si>
  <si>
    <t xml:space="preserve">    D24 - SVORKOVNICE KABICOVÁ</t>
  </si>
  <si>
    <t xml:space="preserve">    D25 - KABELOVÝ ŽLAB VČ. DÍLŮ A PŘÍSLUŠENSTVÍ, ŽÁROVÝ ZINEK</t>
  </si>
  <si>
    <t xml:space="preserve">    D26 - TRUBKA OHEBNÁ STŘEDNÍ MECHANICKÁ ODOLNOST</t>
  </si>
  <si>
    <t xml:space="preserve">    D27 - KRABICE ODBOČNÁ POD OMÍTKU BEZ SVORKOVNICE</t>
  </si>
  <si>
    <t xml:space="preserve">    D28 - Rozvaděč RH</t>
  </si>
  <si>
    <t xml:space="preserve">    D30 - Elektroměrové rozvaděče typu PER</t>
  </si>
  <si>
    <t xml:space="preserve">    D32 - OCELOVÝ DRÁT POZINKOVANÝ</t>
  </si>
  <si>
    <t xml:space="preserve">    D33 - OCELOVÝ PÁSEK POZINKOVANÝ</t>
  </si>
  <si>
    <t xml:space="preserve">    D35 -  DRÁT nerezové provedení</t>
  </si>
  <si>
    <t xml:space="preserve">    D36 - PODPĚRA VEDENÍ</t>
  </si>
  <si>
    <t xml:space="preserve">    D37 - SVORKA FeZn</t>
  </si>
  <si>
    <t xml:space="preserve">    D38 - OCHRANNÝ ÚHELNÍK A DRŽÁK</t>
  </si>
  <si>
    <t xml:space="preserve">    D39 - Zkoušky a prohlídky elektrických rozvodů a zařízení celková prohlídka a vyhotovení revizní zprávy pr</t>
  </si>
  <si>
    <t xml:space="preserve">    D40 - Zkoušky a prohlídky elektrických rozvodů a zařízení celková prohlídka a vyhotovení revizní zprávy, p</t>
  </si>
  <si>
    <t>D1</t>
  </si>
  <si>
    <t>Dodávky</t>
  </si>
  <si>
    <t>D2</t>
  </si>
  <si>
    <t>Svítidla - specifikace dle knihy svítidel</t>
  </si>
  <si>
    <t>Pol1</t>
  </si>
  <si>
    <t>LH1</t>
  </si>
  <si>
    <t>Pol2</t>
  </si>
  <si>
    <t>LH2</t>
  </si>
  <si>
    <t>Pol3</t>
  </si>
  <si>
    <t>LH2 + DALI</t>
  </si>
  <si>
    <t>Pol4</t>
  </si>
  <si>
    <t>LH3</t>
  </si>
  <si>
    <t>Pol5</t>
  </si>
  <si>
    <t>LH4</t>
  </si>
  <si>
    <t>Pol6</t>
  </si>
  <si>
    <t>LH4 + DALI</t>
  </si>
  <si>
    <t>Pol7</t>
  </si>
  <si>
    <t>LH5</t>
  </si>
  <si>
    <t>Pol8</t>
  </si>
  <si>
    <t>LH6</t>
  </si>
  <si>
    <t>Pol9</t>
  </si>
  <si>
    <t>LH8</t>
  </si>
  <si>
    <t>Pol10</t>
  </si>
  <si>
    <t>LH9</t>
  </si>
  <si>
    <t>Pol11</t>
  </si>
  <si>
    <t>LH10</t>
  </si>
  <si>
    <t>Pol12</t>
  </si>
  <si>
    <t>řídící systém DALI</t>
  </si>
  <si>
    <t>D3</t>
  </si>
  <si>
    <t>LED nouzová svítidla</t>
  </si>
  <si>
    <t>Pol13</t>
  </si>
  <si>
    <t>N1</t>
  </si>
  <si>
    <t>Poznámka k položce:_x000d_
LED nouzové svítidlo 1W/210lm, samostatnost 1hod., 230V,_x000d_
IP44, IK07, korpus bílé ABS, světelný kryt opálový polykarbo_x000d_
nás, selftest, piktogram</t>
  </si>
  <si>
    <t>Pol14</t>
  </si>
  <si>
    <t>N2</t>
  </si>
  <si>
    <t>Poznámka k položce:_x000d_
LED nouzové svítidlo 2W/195lm, samostatnost 1hod., 230V_x000d_
IP40, korpus bílé ABS, PC open area optika</t>
  </si>
  <si>
    <t>Pol15</t>
  </si>
  <si>
    <t>N3</t>
  </si>
  <si>
    <t>Poznámka k položce:_x000d_
LED nouzové svítidlo 1W/210lm, samostatnost 1hod., 230V,_x000d_
IP44, IK07, korpus bílé ABS, světelný kryt opálový polykarbo, nás., selftest, piktogram</t>
  </si>
  <si>
    <t>D5</t>
  </si>
  <si>
    <t>Elektromontáže</t>
  </si>
  <si>
    <t>D6</t>
  </si>
  <si>
    <t>Montáž svítidel LED / žárovkových se zapojením vodičů bytových nebo do spol.místností stropních přis</t>
  </si>
  <si>
    <t>Pol16</t>
  </si>
  <si>
    <t>1 zdroj se sklem</t>
  </si>
  <si>
    <t>Pol17</t>
  </si>
  <si>
    <t>1 zdroj s krytem - NO</t>
  </si>
  <si>
    <t>D7</t>
  </si>
  <si>
    <t>KABEL SILOVÝ,IZOLACE PVC</t>
  </si>
  <si>
    <t>Pol18</t>
  </si>
  <si>
    <t>CYKY-O 2x1.5 , pevně</t>
  </si>
  <si>
    <t>Pol19</t>
  </si>
  <si>
    <t>CYKY-J 3x1.5 , pevně</t>
  </si>
  <si>
    <t>Pol20</t>
  </si>
  <si>
    <t>CYKY-J 3x2.5 , pevně</t>
  </si>
  <si>
    <t>Pol21</t>
  </si>
  <si>
    <t>CYKY-J 5x1.5 , pevně</t>
  </si>
  <si>
    <t>Pol22</t>
  </si>
  <si>
    <t>CYKY-J 5x2.5 , pevně</t>
  </si>
  <si>
    <t>Pol23</t>
  </si>
  <si>
    <t>CYKY-J 5x4 , pevně</t>
  </si>
  <si>
    <t>Pol24</t>
  </si>
  <si>
    <t>CYKY-J 5x25 , pevně</t>
  </si>
  <si>
    <t>D8</t>
  </si>
  <si>
    <t>KABEL SE SNÍŽENOU HOŘLAVOSTÍ, S FUNKČNÍ SCHOPNOSTÍ PŘI POŽÁRU, TŘÍDA REAKCE NA OHEŇ - B2 ca, s1, d0</t>
  </si>
  <si>
    <t>Pol25</t>
  </si>
  <si>
    <t>1-CXKH-V-O 4x1.5 mm2 , pevně</t>
  </si>
  <si>
    <t>D9</t>
  </si>
  <si>
    <t>VODIČ PRO POSPOJOVÁNÍ</t>
  </si>
  <si>
    <t>Pol26</t>
  </si>
  <si>
    <t>H07V-U 6 mm2 , pevně</t>
  </si>
  <si>
    <t>Pol27</t>
  </si>
  <si>
    <t>CY4 Žlutozelený, pevně</t>
  </si>
  <si>
    <t>D10</t>
  </si>
  <si>
    <t>TLAČÍTKO, REFLEX SI (nouzový signalizační systém)</t>
  </si>
  <si>
    <t>Pol28</t>
  </si>
  <si>
    <t>FAP 3002 Tlačítko signální, tahové; d. Reflex SI; b. alpská bílá</t>
  </si>
  <si>
    <t>D11</t>
  </si>
  <si>
    <t>MODUL KONTROLNÍ, REFLEX SI (nouzový signalizační systém)</t>
  </si>
  <si>
    <t>Pol29</t>
  </si>
  <si>
    <t>FEH 1001 Modul kontrolní, s tlačítkem; d. Reflex SI; b. alpská bílá</t>
  </si>
  <si>
    <t>D12</t>
  </si>
  <si>
    <t>ALARM, REFLEX SI (nouzový signalizační systém)</t>
  </si>
  <si>
    <t>Pol30</t>
  </si>
  <si>
    <t>FIM 1200 Alarm; d. Reflex SI; b. alpská bílá</t>
  </si>
  <si>
    <t>D13</t>
  </si>
  <si>
    <t>TRANSFORMÁTOR, REFLEX SI (nouzový signalizační systém)</t>
  </si>
  <si>
    <t>Pol31</t>
  </si>
  <si>
    <t>FLM 1000 Transformátor; d. Reflex SI; b. alpská bílá</t>
  </si>
  <si>
    <t>D14</t>
  </si>
  <si>
    <t>VÝVOD PRO OHEBNÝ VODIČ Z KRABICE POD OMÍTKOU TANGO (ABB)</t>
  </si>
  <si>
    <t>Pol32</t>
  </si>
  <si>
    <t>3938A-A106B do 5x2.5 bílý</t>
  </si>
  <si>
    <t>D15</t>
  </si>
  <si>
    <t>POHYBOVÝ SPÍNAČ AUTOMATICKÝ, KOMPLETNÍ, BÍLÝ, IP20,</t>
  </si>
  <si>
    <t>Pol33</t>
  </si>
  <si>
    <t>spínací prvek relé</t>
  </si>
  <si>
    <t>D17</t>
  </si>
  <si>
    <t>PROSTOROVÝ REGULÁTOR TEPLOTY kontakt 1/1-6A 230V AC, IP54</t>
  </si>
  <si>
    <t>Pol34</t>
  </si>
  <si>
    <t>Rozsah 0 až +40 -C</t>
  </si>
  <si>
    <t>D16</t>
  </si>
  <si>
    <t>Tlačítko TOTAL STOP kompletní</t>
  </si>
  <si>
    <t>Pol 101</t>
  </si>
  <si>
    <t>GW 42201 alarm</t>
  </si>
  <si>
    <t>-812397343</t>
  </si>
  <si>
    <t>D18</t>
  </si>
  <si>
    <t>STROJEK SPÍNAČE "TANGO"</t>
  </si>
  <si>
    <t>Pol35</t>
  </si>
  <si>
    <t>3558-A01340 1-pól.vyp.(1)</t>
  </si>
  <si>
    <t>Pol36</t>
  </si>
  <si>
    <t>3558-A05340 sériov.přep.(5)</t>
  </si>
  <si>
    <t>Pol37</t>
  </si>
  <si>
    <t>3558-A06340 střídav.přep.(6)</t>
  </si>
  <si>
    <t>Pol38</t>
  </si>
  <si>
    <t>3558-A07340 kříž.přep.(7)</t>
  </si>
  <si>
    <t>Pol39</t>
  </si>
  <si>
    <t>3558-A52340 dvojitý střídavý(6+6)</t>
  </si>
  <si>
    <t>Pol40</t>
  </si>
  <si>
    <t>3558-A91342 tlačítko(1/0)</t>
  </si>
  <si>
    <t>D19</t>
  </si>
  <si>
    <t>KRYT SPÍNAČE "TANGO" BARVA BÍLÁ</t>
  </si>
  <si>
    <t>Pol41</t>
  </si>
  <si>
    <t>3558A-A651 B 1 páčka</t>
  </si>
  <si>
    <t>Pol42</t>
  </si>
  <si>
    <t>3558A-A652 B 2 páčky</t>
  </si>
  <si>
    <t>D20</t>
  </si>
  <si>
    <t>RÁMEČEK PRO PŘÍSTROJE "TANGO" BARVA BÍLÁ</t>
  </si>
  <si>
    <t>Pol43</t>
  </si>
  <si>
    <t>3901A-B10 B jednoduchý</t>
  </si>
  <si>
    <t>Pol44</t>
  </si>
  <si>
    <t>3901A-B20 B 2x,vodorovný</t>
  </si>
  <si>
    <t>D21</t>
  </si>
  <si>
    <t>ZÁSUVKA DOMOVNÍ "TANGO", BARVA BÍLÁ, KOMPLETNÍ</t>
  </si>
  <si>
    <t>Pol45</t>
  </si>
  <si>
    <t>5519A-A02357 B 2p+PE</t>
  </si>
  <si>
    <t>D22</t>
  </si>
  <si>
    <t>ZÁSUVKA PRŮMYSLOVÁ NÁSTĚNNÁ, IP67</t>
  </si>
  <si>
    <t>Pol46</t>
  </si>
  <si>
    <t>416RS6W 16A,400V,3p+N+PE</t>
  </si>
  <si>
    <t>D23</t>
  </si>
  <si>
    <t>SVORKOVNICE HLAVNIHO</t>
  </si>
  <si>
    <t>Pol47</t>
  </si>
  <si>
    <t>Pospojování</t>
  </si>
  <si>
    <t>D24</t>
  </si>
  <si>
    <t>SVORKOVNICE KABICOVÁ</t>
  </si>
  <si>
    <t>Pol48</t>
  </si>
  <si>
    <t>2x1-2,5mm2</t>
  </si>
  <si>
    <t>Pol49</t>
  </si>
  <si>
    <t>3x1-2,5mm2</t>
  </si>
  <si>
    <t>D25</t>
  </si>
  <si>
    <t>KABELOVÝ ŽLAB VČ. DÍLŮ A PŘÍSLUŠENSTVÍ, ŽÁROVÝ ZINEK</t>
  </si>
  <si>
    <t>Pol50</t>
  </si>
  <si>
    <t>100/50</t>
  </si>
  <si>
    <t>Pol51</t>
  </si>
  <si>
    <t>50/50</t>
  </si>
  <si>
    <t>D26</t>
  </si>
  <si>
    <t>TRUBKA OHEBNÁ STŘEDNÍ MECHANICKÁ ODOLNOST</t>
  </si>
  <si>
    <t>Pol52</t>
  </si>
  <si>
    <t>d 32 mm, pevně</t>
  </si>
  <si>
    <t>Pol53</t>
  </si>
  <si>
    <t>d 50 mm, pevně</t>
  </si>
  <si>
    <t>D27</t>
  </si>
  <si>
    <t>KRABICE ODBOČNÁ POD OMÍTKU BEZ SVORKOVNICE</t>
  </si>
  <si>
    <t>Pol54</t>
  </si>
  <si>
    <t>KU68-1902 73x42</t>
  </si>
  <si>
    <t>D28</t>
  </si>
  <si>
    <t>Rozvaděč RH</t>
  </si>
  <si>
    <t>Pol55</t>
  </si>
  <si>
    <t>BF-U-5/165-C Rozvodnice Xboard, POD omítku, bílé dveře, N/PE svork</t>
  </si>
  <si>
    <t>Pol56</t>
  </si>
  <si>
    <t>PL7-B4/1 Jistič PL7, char B, 1-pólový, Icn=10kA, In=4A</t>
  </si>
  <si>
    <t>Pol57</t>
  </si>
  <si>
    <t>PL7-B10/1 Jistič PL7, char B, 1-pólový, Icn=10kA, In=10A</t>
  </si>
  <si>
    <t>Pol58</t>
  </si>
  <si>
    <t>PL7-B16/1 Jistič PL7, char B, 1-pólový, Icn=10kA, In=16A</t>
  </si>
  <si>
    <t>Pol59</t>
  </si>
  <si>
    <t>PL7-B6/3 Jistič PL7, char B, 3-pólový, Icn=10kA, In=6A</t>
  </si>
  <si>
    <t>Pol60</t>
  </si>
  <si>
    <t>PL7-B10/3 Jistič PL7, char B, 3-pólový, Icn=10kA, In=10A</t>
  </si>
  <si>
    <t>Pol137</t>
  </si>
  <si>
    <t>PL7-B16/3 Jistič PL7, char B, 3-pólový, Icn=10kA, In=16A</t>
  </si>
  <si>
    <t>Pol138</t>
  </si>
  <si>
    <t>PL7-B25/3 Jistič PL7, char B, 3-pólový, Icn=10kA, In=25A</t>
  </si>
  <si>
    <t>Pol139</t>
  </si>
  <si>
    <t>PF7-40/4/003 Chránič Ir=250A, typ AC, 4-pól, Idn=0.03A, In=40A</t>
  </si>
  <si>
    <t>Pol140</t>
  </si>
  <si>
    <t>Z-R230/SS Instalační relé 230V AC, 2 zap. kont.</t>
  </si>
  <si>
    <t>Pol141</t>
  </si>
  <si>
    <t>IS-63/3 Hlavní vypínač, 3-pól, In=63A</t>
  </si>
  <si>
    <t>Pol142</t>
  </si>
  <si>
    <t>DS-TD/1W Soumrakový spínač s externím čidlem+hodinami 1přep</t>
  </si>
  <si>
    <t>Pol143</t>
  </si>
  <si>
    <t>mRB6-16/3N/B/003-A Chránič s nadproud.ochranou, Ir=250A, typ A, 3+N, 6kA, char B, In=16A, Idn=0.03A</t>
  </si>
  <si>
    <t>Pol144</t>
  </si>
  <si>
    <t>Z-SCH230/1/25-20 Instalační stykač, 230V~, 25A, 2zap. kont.</t>
  </si>
  <si>
    <t>Pol145</t>
  </si>
  <si>
    <t>SPN801 Kombinovaný svodič přepětí T1+T2, Iimp 25 kA (10/350), 4-pól pro síť TN-C</t>
  </si>
  <si>
    <t>D30</t>
  </si>
  <si>
    <t>Elektroměrové rozvaděče typu PER</t>
  </si>
  <si>
    <t>Pol146</t>
  </si>
  <si>
    <t>5023,00 PER 2+PPS 3x160A W se třmeny</t>
  </si>
  <si>
    <t>D32</t>
  </si>
  <si>
    <t>OCELOVÝ DRÁT POZINKOVANÝ</t>
  </si>
  <si>
    <t>Pol147</t>
  </si>
  <si>
    <t>Drát 8 drát o 8mm(0,40kg/m), pevně</t>
  </si>
  <si>
    <t>Pol148</t>
  </si>
  <si>
    <t>Drát 10 drát o 10mm(0,62kg/m), pevně</t>
  </si>
  <si>
    <t>D33</t>
  </si>
  <si>
    <t>OCELOVÝ PÁSEK POZINKOVANÝ</t>
  </si>
  <si>
    <t>Pol149</t>
  </si>
  <si>
    <t>Páska 30x4 páska 30x4 (0,95 kg/m), pevně</t>
  </si>
  <si>
    <t>D35</t>
  </si>
  <si>
    <t xml:space="preserve"> DRÁT nerezové provedení</t>
  </si>
  <si>
    <t>Pol150</t>
  </si>
  <si>
    <t>Drát 8 AlMgSi T/4 drát o 8mm AlMgSi T/4 (0,135kg/m) měkký, pevně</t>
  </si>
  <si>
    <t>D36</t>
  </si>
  <si>
    <t>PODPĚRA VEDENÍ</t>
  </si>
  <si>
    <t>Pol151</t>
  </si>
  <si>
    <t>PV23 na plechovou střechu</t>
  </si>
  <si>
    <t>Pol152</t>
  </si>
  <si>
    <t>PV1b-20 200 mm,do zdiva</t>
  </si>
  <si>
    <t>D37</t>
  </si>
  <si>
    <t>SVORKA FeZn</t>
  </si>
  <si>
    <t>Pol153</t>
  </si>
  <si>
    <t>SZa zkušební</t>
  </si>
  <si>
    <t>Pol154</t>
  </si>
  <si>
    <t>SR2b pro pásek 30x4 mm</t>
  </si>
  <si>
    <t>D38</t>
  </si>
  <si>
    <t>OCHRANNÝ ÚHELNÍK A DRŽÁK</t>
  </si>
  <si>
    <t>Pol155</t>
  </si>
  <si>
    <t>OU1,7 ohranný úhelník 1700 mm</t>
  </si>
  <si>
    <t>Pol156</t>
  </si>
  <si>
    <t>DOUa-20 držák úhelníku do zdi 20 mm</t>
  </si>
  <si>
    <t>D39</t>
  </si>
  <si>
    <t>Zkoušky a prohlídky elektrických rozvodů a zařízení celková prohlídka a vyhotovení revizní zprávy pr</t>
  </si>
  <si>
    <t>Pol157</t>
  </si>
  <si>
    <t>přes 500 do 1000 tis.Kč</t>
  </si>
  <si>
    <t>D40</t>
  </si>
  <si>
    <t>Zkoušky a prohlídky elektrických rozvodů a zařízení celková prohlídka a vyhotovení revizní zprávy, p</t>
  </si>
  <si>
    <t>Pol158</t>
  </si>
  <si>
    <t>za každých dalších i zap.500 tis.Kč</t>
  </si>
  <si>
    <t>Poznámka k položce:_x000d_
Podružný materiál</t>
  </si>
  <si>
    <t>06 - Splašková kanalizace</t>
  </si>
  <si>
    <t>132254102</t>
  </si>
  <si>
    <t>Hloubení zapažených rýh šířky do 800 mm strojně s urovnáním dna do předepsaného profilu a spádu v hornině třídy těžitelnosti I skupiny 3 přes 20 do 50 m3</t>
  </si>
  <si>
    <t>-953131645</t>
  </si>
  <si>
    <t>https://podminky.urs.cz/item/CS_URS_2023_02/132254102</t>
  </si>
  <si>
    <t>(12,00+20,00)*0,80*(1,20+1,50)/2</t>
  </si>
  <si>
    <t>-1669843702</t>
  </si>
  <si>
    <t>"na meziskládku"34,56</t>
  </si>
  <si>
    <t>"zpět na zásyp"22,16</t>
  </si>
  <si>
    <t>1497643074</t>
  </si>
  <si>
    <t>"zásyp"22,16</t>
  </si>
  <si>
    <t>602384415</t>
  </si>
  <si>
    <t>"kanalizace"34,56</t>
  </si>
  <si>
    <t>"odpočet obsypu"-10,24</t>
  </si>
  <si>
    <t>"odpočet podloží"-2,16</t>
  </si>
  <si>
    <t>-1830418911</t>
  </si>
  <si>
    <t>32,00*0,80*0,40</t>
  </si>
  <si>
    <t>-1523749542</t>
  </si>
  <si>
    <t>10,24*2 "Přepočtené koeficientem množství</t>
  </si>
  <si>
    <t>1439856226</t>
  </si>
  <si>
    <t>32,00*0,80*0,10</t>
  </si>
  <si>
    <t>870100</t>
  </si>
  <si>
    <t>D+M betonová šachta DN 100 včetně litinového poklopu</t>
  </si>
  <si>
    <t>lus</t>
  </si>
  <si>
    <t>840707367</t>
  </si>
  <si>
    <t>Poznámka k položce:_x000d_
kompletní šachta včetně podsypu fr 16/32 tl 300mm, podkladní beton tl 150mm C1215 XO1 - viz výkres základů řez šachtou</t>
  </si>
  <si>
    <t>871315211</t>
  </si>
  <si>
    <t>Kanalizační potrubí z tvrdého PVC v otevřeném výkopu ve sklonu do 20 %, hladkého plnostěnného jednovrstvého, tuhost třídy SN 4 DN 160</t>
  </si>
  <si>
    <t>1753879049</t>
  </si>
  <si>
    <t>https://podminky.urs.cz/item/CS_URS_2023_02/871315211</t>
  </si>
  <si>
    <t>892351111</t>
  </si>
  <si>
    <t>Tlakové zkoušky vodou na potrubí DN 150 nebo 200</t>
  </si>
  <si>
    <t>-1109850767</t>
  </si>
  <si>
    <t>https://podminky.urs.cz/item/CS_URS_2023_02/892351111</t>
  </si>
  <si>
    <t>998276101</t>
  </si>
  <si>
    <t>Přesun hmot pro trubní vedení hloubené z trub z plastických hmot nebo sklolaminátových pro vodovody, kanalizace, teplovody, produktovody v otevřeném výkopu dopravní vzdálenost do 15 m</t>
  </si>
  <si>
    <t>-53114738</t>
  </si>
  <si>
    <t>https://podminky.urs.cz/item/CS_URS_2023_02/998276101</t>
  </si>
  <si>
    <t>998276124</t>
  </si>
  <si>
    <t>Přesun hmot pro trubní vedení hloubené z trub z plastických hmot nebo sklolaminátových Příplatek k cenám za zvětšený přesun přes vymezenou největší dopravní vzdálenost do 500 m</t>
  </si>
  <si>
    <t>334017451</t>
  </si>
  <si>
    <t>https://podminky.urs.cz/item/CS_URS_2023_02/998276124</t>
  </si>
  <si>
    <t>07 - Dešťová kanalizace</t>
  </si>
  <si>
    <t>131251102</t>
  </si>
  <si>
    <t>Hloubení nezapažených jam a zářezů strojně s urovnáním dna do předepsaného profilu a spádu v hornině třídy těžitelnosti I skupiny 3 přes 20 do 50 m3</t>
  </si>
  <si>
    <t>746342977</t>
  </si>
  <si>
    <t>https://podminky.urs.cz/item/CS_URS_2023_02/131251102</t>
  </si>
  <si>
    <t>"akumulační nádrž"5,50</t>
  </si>
  <si>
    <t>"vsakovací zařízení"10,00*6,00*0,70</t>
  </si>
  <si>
    <t>132151103</t>
  </si>
  <si>
    <t>Hloubení nezapažených rýh šířky do 800 mm strojně s urovnáním dna do předepsaného profilu a spádu v hornině třídy těžitelnosti I skupiny 1 a 2 přes 50 do 100 m3</t>
  </si>
  <si>
    <t>-875384382</t>
  </si>
  <si>
    <t>https://podminky.urs.cz/item/CS_URS_2023_02/132151103</t>
  </si>
  <si>
    <t>4,50*0,60*(0,80+1,00)/2</t>
  </si>
  <si>
    <t>132254103</t>
  </si>
  <si>
    <t>Hloubení zapažených rýh šířky do 800 mm strojně s urovnáním dna do předepsaného profilu a spádu v hornině třídy těžitelnosti I skupiny 3 přes 50 do 100 m3</t>
  </si>
  <si>
    <t>2070806832</t>
  </si>
  <si>
    <t>https://podminky.urs.cz/item/CS_URS_2023_02/132254103</t>
  </si>
  <si>
    <t>48,70*0,80*(0,60+1,55)/2+26,50*0,80*(1,70+1,95)/2+4,00*(1,90+1,95)/2</t>
  </si>
  <si>
    <t>1,00*0,80*1,50*3</t>
  </si>
  <si>
    <t>-1544715665</t>
  </si>
  <si>
    <t>"na meziskládku"47,50+2,43+91,87</t>
  </si>
  <si>
    <t>"zpět na zásyp"62,57</t>
  </si>
  <si>
    <t>1757607966</t>
  </si>
  <si>
    <t>"zásyp"62,57</t>
  </si>
  <si>
    <t>-75585137</t>
  </si>
  <si>
    <t>"kanalizace"2,43+91,87</t>
  </si>
  <si>
    <t>"odpočet pbsypu"-27,38</t>
  </si>
  <si>
    <t>"odpočet podloží"-6,85</t>
  </si>
  <si>
    <t>"odpočet vytlačené zeminy"-3,00</t>
  </si>
  <si>
    <t>-1929800029</t>
  </si>
  <si>
    <t>4,50*0,60*0,40+(48,70+26,50+4,00+1,00*3)*0,80*0,40</t>
  </si>
  <si>
    <t>-966760059</t>
  </si>
  <si>
    <t>27,38*2 "Přepočtené koeficientem množství</t>
  </si>
  <si>
    <t>382413113</t>
  </si>
  <si>
    <t>Osazení plastové jímky z polypropylenu PP na obetonování objemu 3000 l</t>
  </si>
  <si>
    <t>-920495183</t>
  </si>
  <si>
    <t>https://podminky.urs.cz/item/CS_URS_2023_02/382413113</t>
  </si>
  <si>
    <t>56230012</t>
  </si>
  <si>
    <t>jímka plastová na obetonování 2x1x1,5m objem 3m3</t>
  </si>
  <si>
    <t>-1935945840</t>
  </si>
  <si>
    <t>-33701290</t>
  </si>
  <si>
    <t>4,50*0,60*0,10+(48,70+26,50+4,00+1,00*3)*0,80*0,10</t>
  </si>
  <si>
    <t>D+M filtrační šacta DN 600 včetně poklopu</t>
  </si>
  <si>
    <t>-1968591917</t>
  </si>
  <si>
    <t>870200</t>
  </si>
  <si>
    <t>D+M vsakovací zařízení včetně všech detailů</t>
  </si>
  <si>
    <t>753500820</t>
  </si>
  <si>
    <t>10,00*6,00*0,70</t>
  </si>
  <si>
    <t>871275211</t>
  </si>
  <si>
    <t>Kanalizační potrubí z tvrdého PVC v otevřeném výkopu ve sklonu do 20 %, hladkého plnostěnného jednovrstvého, tuhost třídy SN 4 DN 125</t>
  </si>
  <si>
    <t>-1881290506</t>
  </si>
  <si>
    <t>https://podminky.urs.cz/item/CS_URS_2023_02/871275211</t>
  </si>
  <si>
    <t>48,65+0,50+4,35+1,00+26,50+1,50+4,00+1,50</t>
  </si>
  <si>
    <t>877270310</t>
  </si>
  <si>
    <t>Montáž tvarovek na kanalizačním plastovém potrubí z polypropylenu PP nebo tvrdého PVC hladkého plnostěnného kolen, víček nebo hrdlových uzávěrů DN 125</t>
  </si>
  <si>
    <t>432907829</t>
  </si>
  <si>
    <t>https://podminky.urs.cz/item/CS_URS_2023_02/877270310</t>
  </si>
  <si>
    <t>10+8</t>
  </si>
  <si>
    <t>210354037</t>
  </si>
  <si>
    <t>28611358</t>
  </si>
  <si>
    <t>koleno kanalizační PVC KG 125x87°</t>
  </si>
  <si>
    <t>1692909980</t>
  </si>
  <si>
    <t>877270320</t>
  </si>
  <si>
    <t>Montáž tvarovek na kanalizačním plastovém potrubí z polypropylenu PP nebo tvrdého PVC hladkého plnostěnného odboček DN 125</t>
  </si>
  <si>
    <t>2086991466</t>
  </si>
  <si>
    <t>https://podminky.urs.cz/item/CS_URS_2023_02/877270320</t>
  </si>
  <si>
    <t>28617202</t>
  </si>
  <si>
    <t>odbočka kanalizační PP SN16 45° DN 125/125</t>
  </si>
  <si>
    <t>1721487968</t>
  </si>
  <si>
    <t>892271111</t>
  </si>
  <si>
    <t>Tlakové zkoušky vodou na potrubí DN 100 nebo 125</t>
  </si>
  <si>
    <t>-817201977</t>
  </si>
  <si>
    <t>https://podminky.urs.cz/item/CS_URS_2023_02/892271111</t>
  </si>
  <si>
    <t>720527706</t>
  </si>
  <si>
    <t>-710708349</t>
  </si>
  <si>
    <t>721242105</t>
  </si>
  <si>
    <t>Lapače střešních splavenin polypropylenové (PP) se svislým odtokem DN 110</t>
  </si>
  <si>
    <t>-1171590050</t>
  </si>
  <si>
    <t>https://podminky.urs.cz/item/CS_URS_2023_02/721242105</t>
  </si>
  <si>
    <t>08 - Zpevněné plochy</t>
  </si>
  <si>
    <t xml:space="preserve">    5 - Komunikace pozemní</t>
  </si>
  <si>
    <t xml:space="preserve">    997 - Přesun sutě</t>
  </si>
  <si>
    <t>113106121</t>
  </si>
  <si>
    <t>Rozebrání dlažeb komunikací pro pěší s přemístěním hmot na skládku na vzdálenost do 3 m nebo s naložením na dopravní prostředek s ložem z kameniva nebo živice a s jakoukoliv výplní spár ručně z betonových nebo kameninových dlaždic, desek nebo tvarovek</t>
  </si>
  <si>
    <t>-1603907287</t>
  </si>
  <si>
    <t>https://podminky.urs.cz/item/CS_URS_2023_02/113106121</t>
  </si>
  <si>
    <t>113107332</t>
  </si>
  <si>
    <t>Odstranění podkladů nebo krytů strojně plochy jednotlivě do 50 m2 s přemístěním hmot na skládku na vzdálenost do 3 m nebo s naložením na dopravní prostředek z betonu prostého, o tl. vrstvy přes 150 do 300 mm</t>
  </si>
  <si>
    <t>465118490</t>
  </si>
  <si>
    <t>https://podminky.urs.cz/item/CS_URS_2023_02/113107332</t>
  </si>
  <si>
    <t>113107342</t>
  </si>
  <si>
    <t>Odstranění podkladů nebo krytů strojně plochy jednotlivě do 50 m2 s přemístěním hmot na skládku na vzdálenost do 3 m nebo s naložením na dopravní prostředek živičných, o tl. vrstvy přes 50 do 100 mm</t>
  </si>
  <si>
    <t>-599096847</t>
  </si>
  <si>
    <t>https://podminky.urs.cz/item/CS_URS_2023_02/113107342</t>
  </si>
  <si>
    <t>113107343</t>
  </si>
  <si>
    <t>Odstranění podkladů nebo krytů strojně plochy jednotlivě do 50 m2 s přemístěním hmot na skládku na vzdálenost do 3 m nebo s naložením na dopravní prostředek živičných, o tl. vrstvy přes 100 do 150 mm</t>
  </si>
  <si>
    <t>-502522708</t>
  </si>
  <si>
    <t>https://podminky.urs.cz/item/CS_URS_2023_02/113107343</t>
  </si>
  <si>
    <t>113107331</t>
  </si>
  <si>
    <t>Odstranění podkladů nebo krytů strojně plochy jednotlivě do 50 m2 s přemístěním hmot na skládku na vzdálenost do 3 m nebo s naložením na dopravní prostředek z betonu prostého, o tl. vrstvy přes 100 do 150 mm</t>
  </si>
  <si>
    <t>-1599922807</t>
  </si>
  <si>
    <t>https://podminky.urs.cz/item/CS_URS_2023_02/113107331</t>
  </si>
  <si>
    <t>113201112</t>
  </si>
  <si>
    <t>Vytrhání obrub s vybouráním lože, s přemístěním hmot na skládku na vzdálenost do 3 m nebo s naložením na dopravní prostředek silničních ležatých</t>
  </si>
  <si>
    <t>960694160</t>
  </si>
  <si>
    <t>https://podminky.urs.cz/item/CS_URS_2023_02/113201112</t>
  </si>
  <si>
    <t>113203111</t>
  </si>
  <si>
    <t>Vytrhání obrub s vybouráním lože, s přemístěním hmot na skládku na vzdálenost do 3 m nebo s naložením na dopravní prostředek z dlažebních kostek</t>
  </si>
  <si>
    <t>-940279127</t>
  </si>
  <si>
    <t>https://podminky.urs.cz/item/CS_URS_2023_02/113203111</t>
  </si>
  <si>
    <t>121151113</t>
  </si>
  <si>
    <t>Sejmutí ornice strojně při souvislé ploše přes 100 do 500 m2, tl. vrstvy do 200 mm</t>
  </si>
  <si>
    <t>790967544</t>
  </si>
  <si>
    <t>https://podminky.urs.cz/item/CS_URS_2023_02/121151113</t>
  </si>
  <si>
    <t>231633876</t>
  </si>
  <si>
    <t>131111332</t>
  </si>
  <si>
    <t>Vrtání jamek ručním motorovým vrtákem průměru přes 100 do 200 mm</t>
  </si>
  <si>
    <t>-217892435</t>
  </si>
  <si>
    <t>https://podminky.urs.cz/item/CS_URS_2023_02/131111332</t>
  </si>
  <si>
    <t>0,8*(32+2)"oplocení</t>
  </si>
  <si>
    <t>1691097665</t>
  </si>
  <si>
    <t>(10+27,2*0,1*0,1*PI)*2"výkopek</t>
  </si>
  <si>
    <t>220*0,1*2"ornice</t>
  </si>
  <si>
    <t>-1602644165</t>
  </si>
  <si>
    <t>"zásyp" 545,537+187,5</t>
  </si>
  <si>
    <t>174111101</t>
  </si>
  <si>
    <t>Zásyp sypaninou z jakékoliv horniny ručně s uložením výkopku ve vrstvách se zhutněním jam, šachet, rýh nebo kolem objektů v těchto vykopávkách</t>
  </si>
  <si>
    <t>1464448665</t>
  </si>
  <si>
    <t>https://podminky.urs.cz/item/CS_URS_2023_02/174111101</t>
  </si>
  <si>
    <t>(10+27,2*0,1*0,1*PI)</t>
  </si>
  <si>
    <t>181351103</t>
  </si>
  <si>
    <t>Rozprostření a urovnání ornice v rovině nebo ve svahu sklonu do 1:5 strojně při souvislé ploše přes 100 do 500 m2, tl. vrstvy do 200 mm</t>
  </si>
  <si>
    <t>-707437999</t>
  </si>
  <si>
    <t>https://podminky.urs.cz/item/CS_URS_2023_02/181351103</t>
  </si>
  <si>
    <t>407</t>
  </si>
  <si>
    <t>10364101</t>
  </si>
  <si>
    <t>zemina pro terénní úpravy - ornice</t>
  </si>
  <si>
    <t>51396509</t>
  </si>
  <si>
    <t>18,7*1,8</t>
  </si>
  <si>
    <t>181451311</t>
  </si>
  <si>
    <t>Založení trávníku strojně výsevem včetně utažení na ploše v rovině nebo na svahu do 1:5</t>
  </si>
  <si>
    <t>-309079186</t>
  </si>
  <si>
    <t>https://podminky.urs.cz/item/CS_URS_2023_02/181451311</t>
  </si>
  <si>
    <t>00572410</t>
  </si>
  <si>
    <t>osivo směs travní parková</t>
  </si>
  <si>
    <t>328321612</t>
  </si>
  <si>
    <t>407*0,03 'Přepočtené koeficientem množství</t>
  </si>
  <si>
    <t>1131007440</t>
  </si>
  <si>
    <t>646+119,5+4,5+28+1+81,1+164,3+4,8+6,9</t>
  </si>
  <si>
    <t>211521111</t>
  </si>
  <si>
    <t>Výplň kamenivem do rýh odvodňovacích žeber nebo trativodů bez zhutnění, s úpravou povrchu výplně kamenivem hrubým drceným frakce 63 až 125 mm</t>
  </si>
  <si>
    <t>1434195098</t>
  </si>
  <si>
    <t>https://podminky.urs.cz/item/CS_URS_2023_02/211521111</t>
  </si>
  <si>
    <t>1"vsak</t>
  </si>
  <si>
    <t>211971121</t>
  </si>
  <si>
    <t>Zřízení opláštění výplně z geotextilie odvodňovacích žeber nebo trativodů v rýze nebo zářezu se stěnami svislými nebo šikmými o sklonu přes 1:2 při rozvinuté šířce opláštění do 2,5 m</t>
  </si>
  <si>
    <t>217014208</t>
  </si>
  <si>
    <t>https://podminky.urs.cz/item/CS_URS_2023_02/211971121</t>
  </si>
  <si>
    <t>69311081</t>
  </si>
  <si>
    <t>geotextilie netkaná separační, ochranná, filtrační, drenážní PES 300g/m2</t>
  </si>
  <si>
    <t>-272469157</t>
  </si>
  <si>
    <t>50*1,1845 'Přepočtené koeficientem množství</t>
  </si>
  <si>
    <t>212572121</t>
  </si>
  <si>
    <t>Lože pro trativody z kameniva drobného těženého</t>
  </si>
  <si>
    <t>-680168367</t>
  </si>
  <si>
    <t>https://podminky.urs.cz/item/CS_URS_2023_02/212572121</t>
  </si>
  <si>
    <t>212755214</t>
  </si>
  <si>
    <t>Trativody bez lože z drenážních trubek plastových flexibilních D 100 mm</t>
  </si>
  <si>
    <t>476895871</t>
  </si>
  <si>
    <t>https://podminky.urs.cz/item/CS_URS_2023_02/212755214</t>
  </si>
  <si>
    <t>275313811</t>
  </si>
  <si>
    <t>Základy z betonu prostého patky a bloky z betonu kamenem neprokládaného tř. C 25/30</t>
  </si>
  <si>
    <t>-1324041403</t>
  </si>
  <si>
    <t>https://podminky.urs.cz/item/CS_URS_2023_02/275313811</t>
  </si>
  <si>
    <t>3*0,6*0,6*0,6"patka sloupku</t>
  </si>
  <si>
    <t>338171123</t>
  </si>
  <si>
    <t>Montáž sloupků a vzpěr plotových ocelových trubkových nebo profilovaných výšky přes 2 do 2,6 m se zabetonováním do 0,08 m3 do připravených jamek</t>
  </si>
  <si>
    <t>-1631791515</t>
  </si>
  <si>
    <t>https://podminky.urs.cz/item/CS_URS_2023_02/338171123</t>
  </si>
  <si>
    <t>14550302</t>
  </si>
  <si>
    <t>profil ocelový svařovaný jakost S235 průřez čtvercový 100x100x6mm</t>
  </si>
  <si>
    <t>195538269</t>
  </si>
  <si>
    <t>Poznámka k položce:_x000d_
včetně zinkování + 2x prášková barva RAL 7016</t>
  </si>
  <si>
    <t>17,1*20*2,6/1000</t>
  </si>
  <si>
    <t>348101260</t>
  </si>
  <si>
    <t>Osazení vrat nebo vrátek k oplocení na sloupky ocelové, plochy jednotlivě přes 10 do 15 m2</t>
  </si>
  <si>
    <t>-1399289646</t>
  </si>
  <si>
    <t>https://podminky.urs.cz/item/CS_URS_2023_02/348101260</t>
  </si>
  <si>
    <t>55342363.R</t>
  </si>
  <si>
    <t>brána plotová dvoukřídlá Pz 2*2930mmx1900mm</t>
  </si>
  <si>
    <t>584690803</t>
  </si>
  <si>
    <t>Poznámka k položce:_x000d_
specifikace viz PD_x000d_
včetně zinkování + 2x prášková barva RAL 7016</t>
  </si>
  <si>
    <t>348121211</t>
  </si>
  <si>
    <t>Osazení podhrabových desek na ocelové sloupky, délky desek do 2 m</t>
  </si>
  <si>
    <t>-1516739109</t>
  </si>
  <si>
    <t>https://podminky.urs.cz/item/CS_URS_2023_02/348121211</t>
  </si>
  <si>
    <t>"Z10" 1+5</t>
  </si>
  <si>
    <t>"Z11" 8+3</t>
  </si>
  <si>
    <t>59233119.R</t>
  </si>
  <si>
    <t>deska plotová betonová tl 50mm v. 200mm</t>
  </si>
  <si>
    <t>-1178849688</t>
  </si>
  <si>
    <t>59232546</t>
  </si>
  <si>
    <t>držák podhrabové desky typ H pro sloupek D 60-70mm výšky 200mm průběžný povrchová úprava žárový zinek</t>
  </si>
  <si>
    <t>801251401</t>
  </si>
  <si>
    <t>348171146</t>
  </si>
  <si>
    <t>Montáž oplocení z dílců kovových panelových svařovaných, na ocelové profilované sloupky, výšky přes 1,5 do 2,0 m</t>
  </si>
  <si>
    <t>1556427434</t>
  </si>
  <si>
    <t>https://podminky.urs.cz/item/CS_URS_2023_02/348171146</t>
  </si>
  <si>
    <t>Poznámka k položce:_x000d_
včetně kovových ůchytů, fixační šrouby</t>
  </si>
  <si>
    <t>"Z10"19,7-6</t>
  </si>
  <si>
    <t>"Z11"31-6</t>
  </si>
  <si>
    <t>55342412</t>
  </si>
  <si>
    <t>plotový panel svařovaný v 1,5-2,0m š do 2,5m průměru drátu 5mm oka 55x200mm s horizontálním prolisem povrchová úprava PZ komaxit</t>
  </si>
  <si>
    <t>-308177839</t>
  </si>
  <si>
    <t xml:space="preserve">Poznámka k položce:_x000d_
specifikace viz PD_x000d_
</t>
  </si>
  <si>
    <t>1+5</t>
  </si>
  <si>
    <t>8+3</t>
  </si>
  <si>
    <t>Komunikace pozemní</t>
  </si>
  <si>
    <t>564851111</t>
  </si>
  <si>
    <t>Podklad ze štěrkodrti ŠD s rozprostřením a zhutněním plochy přes 100 m2, po zhutnění tl. 150 mm</t>
  </si>
  <si>
    <t>-437163828</t>
  </si>
  <si>
    <t>https://podminky.urs.cz/item/CS_URS_2023_02/564851111</t>
  </si>
  <si>
    <t>799</t>
  </si>
  <si>
    <t>1050</t>
  </si>
  <si>
    <t>19*0,4"okap chodník</t>
  </si>
  <si>
    <t>565155111</t>
  </si>
  <si>
    <t>Asfaltový beton vrstva podkladní ACP 16 (obalované kamenivo střednězrnné - OKS) s rozprostřením a zhutněním v pruhu šířky přes 1,5 do 3 m, po zhutnění tl. 70 mm</t>
  </si>
  <si>
    <t>2033984593</t>
  </si>
  <si>
    <t>https://podminky.urs.cz/item/CS_URS_2023_02/565155111</t>
  </si>
  <si>
    <t>573211107</t>
  </si>
  <si>
    <t>Postřik spojovací PS bez posypu kamenivem z asfaltu silničního, v množství 0,30 kg/m2</t>
  </si>
  <si>
    <t>1789433979</t>
  </si>
  <si>
    <t>https://podminky.urs.cz/item/CS_URS_2023_02/573211107</t>
  </si>
  <si>
    <t>577134211</t>
  </si>
  <si>
    <t>Asfaltový beton vrstva obrusná ACO 11 (ABS) s rozprostřením a se zhutněním z nemodifikovaného asfaltu v pruhu šířky do 3 m tř. II, po zhutnění tl. 40 mm</t>
  </si>
  <si>
    <t>1074432033</t>
  </si>
  <si>
    <t>https://podminky.urs.cz/item/CS_URS_2023_02/577134211</t>
  </si>
  <si>
    <t>596211112</t>
  </si>
  <si>
    <t>Kladení dlažby z betonových zámkových dlaždic komunikací pro pěší ručně s ložem z kameniva těženého nebo drceného tl. do 40 mm, s vyplněním spár s dvojitým hutněním, vibrováním a se smetením přebytečného materiálu na krajnici tl. 60 mm skupiny A, pro plochy přes 100 do 300 m2</t>
  </si>
  <si>
    <t>-2034851972</t>
  </si>
  <si>
    <t>https://podminky.urs.cz/item/CS_URS_2023_02/596211112</t>
  </si>
  <si>
    <t>164,3"šedá</t>
  </si>
  <si>
    <t>4,8"červená</t>
  </si>
  <si>
    <t>6,9"slepecká</t>
  </si>
  <si>
    <t>59245015</t>
  </si>
  <si>
    <t>dlažba zámková tvaru I 200x165x60mm přírodní</t>
  </si>
  <si>
    <t>-1970104007</t>
  </si>
  <si>
    <t>164,3*1,02 'Přepočtené koeficientem množství</t>
  </si>
  <si>
    <t>59245012</t>
  </si>
  <si>
    <t>dlažba zámková tvaru I 200x165x60mm barevná</t>
  </si>
  <si>
    <t>92859356</t>
  </si>
  <si>
    <t>59245222</t>
  </si>
  <si>
    <t>dlažba zámková tvaru I základní pro nevidomé 196x161x60mm barevná</t>
  </si>
  <si>
    <t>540068357</t>
  </si>
  <si>
    <t>596212212</t>
  </si>
  <si>
    <t>Kladení dlažby z betonových zámkových dlaždic pozemních komunikací ručně s ložem z kameniva těženého nebo drceného tl. do 50 mm, s vyplněním spár, s dvojitým hutněním vibrováním a se smetením přebytečného materiálu na krajnici tl. 80 mm skupiny A, pro plochy přes 100 do 300 m2</t>
  </si>
  <si>
    <t>-1772166373</t>
  </si>
  <si>
    <t>https://podminky.urs.cz/item/CS_URS_2023_02/596212212</t>
  </si>
  <si>
    <t>119,5"šedá</t>
  </si>
  <si>
    <t>4,5"antracit</t>
  </si>
  <si>
    <t>28"šedá</t>
  </si>
  <si>
    <t>1"antracit</t>
  </si>
  <si>
    <t>59245213</t>
  </si>
  <si>
    <t>dlažba zámková tvaru I 196x161x80mm přírodní</t>
  </si>
  <si>
    <t>490493592</t>
  </si>
  <si>
    <t>28*1,02 'Přepočtené koeficientem množství</t>
  </si>
  <si>
    <t>59245038</t>
  </si>
  <si>
    <t>dlažba plošná betonová vegetační 300x160x80mm přírodní</t>
  </si>
  <si>
    <t>-462474482</t>
  </si>
  <si>
    <t>59245039</t>
  </si>
  <si>
    <t>dlažba plošná betonová vegetační 300x160x80mm barevná</t>
  </si>
  <si>
    <t>-688750815</t>
  </si>
  <si>
    <t>59245203</t>
  </si>
  <si>
    <t>dlažba zámková tvaru I 196x161x80mm barevná</t>
  </si>
  <si>
    <t>1365040228</t>
  </si>
  <si>
    <t>1*1,02 'Přepočtené koeficientem množství</t>
  </si>
  <si>
    <t>596811121</t>
  </si>
  <si>
    <t>Kladení dlažby z betonových nebo kameninových dlaždic komunikací pro pěší s vyplněním spár a se smetením přebytečného materiálu na vzdálenost do 3 m s ložem z kameniva těženého tl. do 30 mm velikosti dlaždic do 0,09 m2 (bez zámku), pro plochy přes 50 do 100 m2</t>
  </si>
  <si>
    <t>-1903010964</t>
  </si>
  <si>
    <t>https://podminky.urs.cz/item/CS_URS_2023_02/596811121</t>
  </si>
  <si>
    <t>59248005.R</t>
  </si>
  <si>
    <t>dlažba plošná betonová chodníková 300x300x80mm přírodní</t>
  </si>
  <si>
    <t>-1645214217</t>
  </si>
  <si>
    <t>81,1*1,03 'Přepočtené koeficientem množství</t>
  </si>
  <si>
    <t>637211132.R</t>
  </si>
  <si>
    <t>Okapový chodník z dlaždic betonových do kameniva s vyplněním spár drobným kamenivem, tl. dlaždic 80 mm</t>
  </si>
  <si>
    <t>-288573736</t>
  </si>
  <si>
    <t>"S06"81</t>
  </si>
  <si>
    <t>637211134</t>
  </si>
  <si>
    <t>Okapový chodník z dlaždic betonových do kameniva s vyplněním spár drobným kamenivem, tl. dlaždic 50 mm</t>
  </si>
  <si>
    <t>-883407331</t>
  </si>
  <si>
    <t>https://podminky.urs.cz/item/CS_URS_2023_02/637211134</t>
  </si>
  <si>
    <t>19*0,4</t>
  </si>
  <si>
    <t>637311131</t>
  </si>
  <si>
    <t>Okapový chodník z obrubníků betonových zahradních, se zalitím spár cementovou maltou do lože z betonu prostého</t>
  </si>
  <si>
    <t>-1399740073</t>
  </si>
  <si>
    <t>https://podminky.urs.cz/item/CS_URS_2023_02/637311131</t>
  </si>
  <si>
    <t>871315241</t>
  </si>
  <si>
    <t>Kanalizační potrubí z tvrdého PVC v otevřeném výkopu ve sklonu do 20 %, hladkého plnostěnného vícevrstvého, tuhost třídy SN 12 DN 150</t>
  </si>
  <si>
    <t>-1572291511</t>
  </si>
  <si>
    <t>https://podminky.urs.cz/item/CS_URS_2023_02/871315241</t>
  </si>
  <si>
    <t>0,5"přepojení do stávající přípojky</t>
  </si>
  <si>
    <t>5"připojení do sávající kanalizace</t>
  </si>
  <si>
    <t>877355121.R</t>
  </si>
  <si>
    <t>Napojení do stávající kanalizace/přípojky</t>
  </si>
  <si>
    <t>1202318678</t>
  </si>
  <si>
    <t>895941341</t>
  </si>
  <si>
    <t>Osazení vpusti uliční z betonových dílců DN 500 dno s výtokem</t>
  </si>
  <si>
    <t>-1236217751</t>
  </si>
  <si>
    <t>https://podminky.urs.cz/item/CS_URS_2023_02/895941341</t>
  </si>
  <si>
    <t>59224472</t>
  </si>
  <si>
    <t>vpusť uliční DN 500 kaliště s odtokem 150mm 500/245x65mm</t>
  </si>
  <si>
    <t>-1852212069</t>
  </si>
  <si>
    <t>895941351</t>
  </si>
  <si>
    <t>Osazení vpusti uliční z betonových dílců DN 500 skruž horní pro čtvercovou vtokovou mříž</t>
  </si>
  <si>
    <t>-1753323701</t>
  </si>
  <si>
    <t>https://podminky.urs.cz/item/CS_URS_2023_02/895941351</t>
  </si>
  <si>
    <t>59224460</t>
  </si>
  <si>
    <t>vpusť uliční DN 500 betonová 500x190x65mm čtvercový poklop</t>
  </si>
  <si>
    <t>1930873818</t>
  </si>
  <si>
    <t>895941362</t>
  </si>
  <si>
    <t>Osazení vpusti uliční z betonových dílců DN 500 skruž středová 590 mm</t>
  </si>
  <si>
    <t>87714339</t>
  </si>
  <si>
    <t>https://podminky.urs.cz/item/CS_URS_2023_02/895941362</t>
  </si>
  <si>
    <t>59224462</t>
  </si>
  <si>
    <t>vpusť uliční DN 500 skruž průběžná vysoká betonová 500/590x65mm</t>
  </si>
  <si>
    <t>191780435</t>
  </si>
  <si>
    <t>899204112</t>
  </si>
  <si>
    <t>Osazení mříží litinových včetně rámů a košů na bahno pro třídu zatížení D400, E600</t>
  </si>
  <si>
    <t>461584734</t>
  </si>
  <si>
    <t>https://podminky.urs.cz/item/CS_URS_2023_02/899204112</t>
  </si>
  <si>
    <t>59224481</t>
  </si>
  <si>
    <t>mříž vtoková s rámem pro uliční vpusť 500x500, zatížení 40 tun</t>
  </si>
  <si>
    <t>-750530093</t>
  </si>
  <si>
    <t>914111111</t>
  </si>
  <si>
    <t>Montáž svislé dopravní značky základní velikosti do 1 m2 objímkami na sloupky nebo konzoly</t>
  </si>
  <si>
    <t>-282605706</t>
  </si>
  <si>
    <t>https://podminky.urs.cz/item/CS_URS_2023_02/914111111</t>
  </si>
  <si>
    <t>40445625</t>
  </si>
  <si>
    <t>informativní značky provozní IP8, IP9, IP11-IP13 500x700mm</t>
  </si>
  <si>
    <t>315339438</t>
  </si>
  <si>
    <t>"IP12+symbol225"1</t>
  </si>
  <si>
    <t>40445621</t>
  </si>
  <si>
    <t>informativní značky provozní IP1-IP3, IP4b-IP7, IP10a, b 500x500mm</t>
  </si>
  <si>
    <t>1281112704</t>
  </si>
  <si>
    <t>"IP10a"1</t>
  </si>
  <si>
    <t>40445643</t>
  </si>
  <si>
    <t>informativní značky jiné IJ1-IJ3, IJ4c-IJ16 500x700mm</t>
  </si>
  <si>
    <t>-226834479</t>
  </si>
  <si>
    <t>"IJ4a"1</t>
  </si>
  <si>
    <t>40445647</t>
  </si>
  <si>
    <t>dodatkové tabulky E1, E2a,b , E6, E9, E10 E12c, E17 500x500mm</t>
  </si>
  <si>
    <t>1449737912</t>
  </si>
  <si>
    <t>"E1"2</t>
  </si>
  <si>
    <t>914511111</t>
  </si>
  <si>
    <t>Montáž sloupku dopravních značek délky do 3,5 m do betonového základu</t>
  </si>
  <si>
    <t>477144397</t>
  </si>
  <si>
    <t>https://podminky.urs.cz/item/CS_URS_2023_02/914511111</t>
  </si>
  <si>
    <t>40445230</t>
  </si>
  <si>
    <t>sloupek pro dopravní značku Zn D 70mm v 3,5m</t>
  </si>
  <si>
    <t>1322297454</t>
  </si>
  <si>
    <t>914531111</t>
  </si>
  <si>
    <t>Montáž konzol nebo nástavců pro osazení dopravních značek velikosti do 1 m2 na sloupek</t>
  </si>
  <si>
    <t>1670551686</t>
  </si>
  <si>
    <t>https://podminky.urs.cz/item/CS_URS_2023_02/914531111</t>
  </si>
  <si>
    <t>40445257</t>
  </si>
  <si>
    <t>svorka upínací na sloupek D 70mm</t>
  </si>
  <si>
    <t>501120385</t>
  </si>
  <si>
    <t>915111115</t>
  </si>
  <si>
    <t>Vodorovné dopravní značení stříkané barvou dělící čára šířky 125 mm souvislá žlutá základní</t>
  </si>
  <si>
    <t>1787565203</t>
  </si>
  <si>
    <t>https://podminky.urs.cz/item/CS_URS_2023_02/915111115</t>
  </si>
  <si>
    <t>50,3"zákaz zastavení</t>
  </si>
  <si>
    <t>915131111</t>
  </si>
  <si>
    <t>Vodorovné dopravní značení stříkané barvou přechody pro chodce, šipky, symboly bílé základní</t>
  </si>
  <si>
    <t>-522628674</t>
  </si>
  <si>
    <t>https://podminky.urs.cz/item/CS_URS_2023_02/915131111</t>
  </si>
  <si>
    <t>915131115</t>
  </si>
  <si>
    <t>Vodorovné dopravní značení stříkané barvou přechody pro chodce, šipky, symboly žluté základní</t>
  </si>
  <si>
    <t>-1769877868</t>
  </si>
  <si>
    <t>https://podminky.urs.cz/item/CS_URS_2023_02/915131115</t>
  </si>
  <si>
    <t>20"zastávka autobusu</t>
  </si>
  <si>
    <t>916131213</t>
  </si>
  <si>
    <t>Osazení silničního obrubníku betonového se zřízením lože, s vyplněním a zatřením spár cementovou maltou stojatého s boční opěrou z betonu prostého, do lože z betonu prostého</t>
  </si>
  <si>
    <t>-1630052424</t>
  </si>
  <si>
    <t>https://podminky.urs.cz/item/CS_URS_2023_02/916131213</t>
  </si>
  <si>
    <t>59217031</t>
  </si>
  <si>
    <t>obrubník betonový silniční 1000x150x250mm</t>
  </si>
  <si>
    <t>-145145264</t>
  </si>
  <si>
    <t>128*1,02 'Přepočtené koeficientem množství</t>
  </si>
  <si>
    <t>916231213</t>
  </si>
  <si>
    <t>Osazení chodníkového obrubníku betonového se zřízením lože, s vyplněním a zatřením spár cementovou maltou stojatého s boční opěrou z betonu prostého, do lože z betonu prostého</t>
  </si>
  <si>
    <t>-293796894</t>
  </si>
  <si>
    <t>https://podminky.urs.cz/item/CS_URS_2023_02/916231213</t>
  </si>
  <si>
    <t>59217016</t>
  </si>
  <si>
    <t>obrubník betonový chodníkový 1000x80x250mm</t>
  </si>
  <si>
    <t>1228273845</t>
  </si>
  <si>
    <t>155*1,02 'Přepočtené koeficientem množství</t>
  </si>
  <si>
    <t>916991121</t>
  </si>
  <si>
    <t>Lože pod obrubníky, krajníky nebo obruby z dlažebních kostek z betonu prostého</t>
  </si>
  <si>
    <t>1021089111</t>
  </si>
  <si>
    <t>https://podminky.urs.cz/item/CS_URS_2023_02/916991121</t>
  </si>
  <si>
    <t>3"odvodnění</t>
  </si>
  <si>
    <t>12"obruby</t>
  </si>
  <si>
    <t>919732211</t>
  </si>
  <si>
    <t>Styčná pracovní spára při napojení nového živičného povrchu na stávající se zalitím za tepla modifikovanou asfaltovou hmotou s posypem vápenným hydrátem šířky do 15 mm, hloubky do 25 mm včetně prořezání spáry</t>
  </si>
  <si>
    <t>-1291687097</t>
  </si>
  <si>
    <t>https://podminky.urs.cz/item/CS_URS_2023_02/919732211</t>
  </si>
  <si>
    <t>919735113</t>
  </si>
  <si>
    <t>Řezání stávajícího živičného krytu nebo podkladu hloubky přes 100 do 150 mm</t>
  </si>
  <si>
    <t>1851116906</t>
  </si>
  <si>
    <t>https://podminky.urs.cz/item/CS_URS_2023_02/919735113</t>
  </si>
  <si>
    <t>935114142</t>
  </si>
  <si>
    <t>Štěrbinový odvodňovací betonový žlab se základem z betonu prostého a s obetonováním rozměru 450x500 mm s obrubníkem výšky 12 cm se spádem dna 0,5 %</t>
  </si>
  <si>
    <t>2057318162</t>
  </si>
  <si>
    <t>https://podminky.urs.cz/item/CS_URS_2023_02/935114142</t>
  </si>
  <si>
    <t>961044111</t>
  </si>
  <si>
    <t>Bourání základů z betonu prostého</t>
  </si>
  <si>
    <t>405609884</t>
  </si>
  <si>
    <t>https://podminky.urs.cz/item/CS_URS_2023_02/961044111</t>
  </si>
  <si>
    <t>13"uložení prvků</t>
  </si>
  <si>
    <t>1"UV</t>
  </si>
  <si>
    <t>961055111</t>
  </si>
  <si>
    <t>Bourání základů z betonu železového</t>
  </si>
  <si>
    <t>812965770</t>
  </si>
  <si>
    <t>https://podminky.urs.cz/item/CS_URS_2023_02/961055111</t>
  </si>
  <si>
    <t>5"jímka</t>
  </si>
  <si>
    <t>962032241</t>
  </si>
  <si>
    <t>Bourání zdiva nadzákladového z cihel nebo tvárnic z cihel pálených nebo vápenopískových, na maltu cementovou, objemu přes 1 m3</t>
  </si>
  <si>
    <t>-898077070</t>
  </si>
  <si>
    <t>https://podminky.urs.cz/item/CS_URS_2023_02/962032241</t>
  </si>
  <si>
    <t>8"oplocení</t>
  </si>
  <si>
    <t>1,8"zděný pilíř</t>
  </si>
  <si>
    <t>20"zděná budova</t>
  </si>
  <si>
    <t>56"přístřešek</t>
  </si>
  <si>
    <t>966008212</t>
  </si>
  <si>
    <t>Bourání odvodňovacího žlabu s odklizením a uložením vybouraného materiálu na skládku na vzdálenost do 10 m nebo s naložením na dopravní prostředek z betonových příkopových tvárnic nebo desek šířky přes 500 do 800 mm</t>
  </si>
  <si>
    <t>-923579391</t>
  </si>
  <si>
    <t>https://podminky.urs.cz/item/CS_URS_2023_02/966008212</t>
  </si>
  <si>
    <t>966071711</t>
  </si>
  <si>
    <t>Bourání plotových sloupků a vzpěr ocelových trubkových nebo profilovaných výšky do 2,50 m zabetonovaných</t>
  </si>
  <si>
    <t>-894744403</t>
  </si>
  <si>
    <t>https://podminky.urs.cz/item/CS_URS_2023_02/966071711</t>
  </si>
  <si>
    <t>966071822</t>
  </si>
  <si>
    <t>Rozebrání oplocení z pletiva drátěného se čtvercovými oky, výšky přes 1,6 do 2,0 m</t>
  </si>
  <si>
    <t>-1526127607</t>
  </si>
  <si>
    <t>https://podminky.urs.cz/item/CS_URS_2023_02/966071822</t>
  </si>
  <si>
    <t>981013211</t>
  </si>
  <si>
    <t>Demolice budov těžkými mechanizačními prostředky dřevěných lehkých, jednostranně obitých</t>
  </si>
  <si>
    <t>1131644645</t>
  </si>
  <si>
    <t>https://podminky.urs.cz/item/CS_URS_2023_02/981013211</t>
  </si>
  <si>
    <t>113106126.R</t>
  </si>
  <si>
    <t>Odstranění přístřešku zastávky včetně uložení, zpětná montáž</t>
  </si>
  <si>
    <t>-1804895672</t>
  </si>
  <si>
    <t>966006211.R1</t>
  </si>
  <si>
    <t>Odstranění informační tabule včetně uložení, zpětná montáž</t>
  </si>
  <si>
    <t>1313141420</t>
  </si>
  <si>
    <t>966006211.R2</t>
  </si>
  <si>
    <t>Odstranění poštovní schránky včetně uložení, zpětná montáž</t>
  </si>
  <si>
    <t>-2014821661</t>
  </si>
  <si>
    <t>997</t>
  </si>
  <si>
    <t>Přesun sutě</t>
  </si>
  <si>
    <t>997013501</t>
  </si>
  <si>
    <t>Odvoz suti a vybouraných hmot na skládku nebo meziskládku se složením, na vzdálenost do 1 km</t>
  </si>
  <si>
    <t>-2083902651</t>
  </si>
  <si>
    <t>https://podminky.urs.cz/item/CS_URS_2023_02/997013501</t>
  </si>
  <si>
    <t>997013509</t>
  </si>
  <si>
    <t>Odvoz suti a vybouraných hmot na skládku nebo meziskládku se složením, na vzdálenost Příplatek k ceně za každý další i započatý 1 km přes 1 km</t>
  </si>
  <si>
    <t>-1313824057</t>
  </si>
  <si>
    <t>https://podminky.urs.cz/item/CS_URS_2023_02/997013509</t>
  </si>
  <si>
    <t>575,1*19 'Přepočtené koeficientem množství</t>
  </si>
  <si>
    <t>997013811</t>
  </si>
  <si>
    <t>Poplatek za uložení stavebního odpadu na skládce (skládkovné) dřevěného zatříděného do Katalogu odpadů pod kódem 17 02 01</t>
  </si>
  <si>
    <t>-1403753971</t>
  </si>
  <si>
    <t>https://podminky.urs.cz/item/CS_URS_2023_02/997013811</t>
  </si>
  <si>
    <t>56*1,4</t>
  </si>
  <si>
    <t>997013869</t>
  </si>
  <si>
    <t>Poplatek za uložení stavebního odpadu na recyklační skládce (skládkovné) ze směsí nebo oddělených frakcí betonu, cihel a keramických výrobků zatříděného do Katalogu odpadů pod kódem 17 01 07</t>
  </si>
  <si>
    <t>657294697</t>
  </si>
  <si>
    <t>https://podminky.urs.cz/item/CS_URS_2023_02/997013869</t>
  </si>
  <si>
    <t>575,1-78,4-144,058</t>
  </si>
  <si>
    <t>997013875</t>
  </si>
  <si>
    <t>Poplatek za uložení stavebního odpadu na recyklační skládce (skládkovné) asfaltového bez obsahu dehtu zatříděného do Katalogu odpadů pod kódem 17 03 02</t>
  </si>
  <si>
    <t>-99873792</t>
  </si>
  <si>
    <t>https://podminky.urs.cz/item/CS_URS_2023_02/997013875</t>
  </si>
  <si>
    <t>64,9+79,158</t>
  </si>
  <si>
    <t>998225111</t>
  </si>
  <si>
    <t>Přesun hmot pro komunikace s krytem z kameniva, monolitickým betonovým nebo živičným dopravní vzdálenost do 200 m jakékoliv délky objektu</t>
  </si>
  <si>
    <t>1495267381</t>
  </si>
  <si>
    <t>https://podminky.urs.cz/item/CS_URS_2023_02/998225111</t>
  </si>
  <si>
    <t>09 - Úprava stávající NTL plynovodbní přípojky</t>
  </si>
  <si>
    <t xml:space="preserve">    723 - Zdravotechnika - vnitřní plynovod</t>
  </si>
  <si>
    <t xml:space="preserve">    783 - Dokončovací práce - nátěry</t>
  </si>
  <si>
    <t>M - Práce a dodávky M</t>
  </si>
  <si>
    <t xml:space="preserve">    23-M - Montáže potrubí</t>
  </si>
  <si>
    <t xml:space="preserve">    58-M - Revize vyhrazených technických zařízení</t>
  </si>
  <si>
    <t>119001411</t>
  </si>
  <si>
    <t>Dočasné zajištění podzemního potrubí nebo vedení ve výkopišti ve stavu i poloze, ve kterých byla na začátku zemních prací a to s podepřením, vzepřením nebo vyvěšením, případně s ochranným bedněním, se zřízením a odstraněním zajišťovací konstrukce, s opotřebením hmot potrubí betonového, kameninového nebo železobetonového, světlosti DN do 200 mm</t>
  </si>
  <si>
    <t>-1326409423</t>
  </si>
  <si>
    <t>https://podminky.urs.cz/item/CS_URS_2023_02/119001411</t>
  </si>
  <si>
    <t>119001421</t>
  </si>
  <si>
    <t>Dočasné zajištění podzemního potrubí nebo vedení ve výkopišti ve stavu i poloze, ve kterých byla na začátku zemních prací a to s podepřením, vzepřením nebo vyvěšením, případně s ochranným bedněním, se zřízením a odstraněním zajišťovací konstrukce, s opotřebením hmot kabelů a kabelových tratí z volně ložených kabelů a to do 3 kabelů</t>
  </si>
  <si>
    <t>-498995596</t>
  </si>
  <si>
    <t>https://podminky.urs.cz/item/CS_URS_2023_02/119001421</t>
  </si>
  <si>
    <t>119002121</t>
  </si>
  <si>
    <t>Pomocné konstrukce při zabezpečení výkopu vodorovné pochozí přechodová lávka délky do 2 m včetně zábradlí zřízení</t>
  </si>
  <si>
    <t>-1913980392</t>
  </si>
  <si>
    <t>https://podminky.urs.cz/item/CS_URS_2023_02/119002121</t>
  </si>
  <si>
    <t>119002122</t>
  </si>
  <si>
    <t>Pomocné konstrukce při zabezpečení výkopu vodorovné pochozí přechodová lávka délky do 2 m včetně zábradlí odstranění</t>
  </si>
  <si>
    <t>738006296</t>
  </si>
  <si>
    <t>https://podminky.urs.cz/item/CS_URS_2023_02/119002122</t>
  </si>
  <si>
    <t>119003131</t>
  </si>
  <si>
    <t>Pomocné konstrukce při zabezpečení výkopu svislé výstražná páska zřízení</t>
  </si>
  <si>
    <t>496495868</t>
  </si>
  <si>
    <t>https://podminky.urs.cz/item/CS_URS_2023_02/119003131</t>
  </si>
  <si>
    <t>119003132</t>
  </si>
  <si>
    <t>Pomocné konstrukce při zabezpečení výkopu svislé výstražná páska odstranění</t>
  </si>
  <si>
    <t>-1603425101</t>
  </si>
  <si>
    <t>https://podminky.urs.cz/item/CS_URS_2023_02/119003132</t>
  </si>
  <si>
    <t>132354102</t>
  </si>
  <si>
    <t>Hloubení zapažených rýh šířky do 800 mm strojně s urovnáním dna do předepsaného profilu a spádu v hornině třídy těžitelnosti II skupiny 4 přes 20 do 50 m3</t>
  </si>
  <si>
    <t>295099860</t>
  </si>
  <si>
    <t>https://podminky.urs.cz/item/CS_URS_2023_02/132354102</t>
  </si>
  <si>
    <t>151101101</t>
  </si>
  <si>
    <t>Zřízení pažení a rozepření stěn rýh pro podzemní vedení příložné pro jakoukoliv mezerovitost, hloubky do 2 m</t>
  </si>
  <si>
    <t>-835935917</t>
  </si>
  <si>
    <t>https://podminky.urs.cz/item/CS_URS_2023_02/151101101</t>
  </si>
  <si>
    <t>151101111</t>
  </si>
  <si>
    <t>Odstranění pažení a rozepření stěn rýh pro podzemní vedení s uložením materiálu na vzdálenost do 3 m od kraje výkopu příložné, hloubky do 2 m</t>
  </si>
  <si>
    <t>-586450264</t>
  </si>
  <si>
    <t>https://podminky.urs.cz/item/CS_URS_2023_02/151101111</t>
  </si>
  <si>
    <t>167151102</t>
  </si>
  <si>
    <t>Nakládání, skládání a překládání neulehlého výkopku nebo sypaniny strojně nakládání, množství do 100 m3, z horniny třídy těžitelnosti II, skupiny 4 a 5</t>
  </si>
  <si>
    <t>-261029374</t>
  </si>
  <si>
    <t>https://podminky.urs.cz/item/CS_URS_2023_02/167151102</t>
  </si>
  <si>
    <t>167151122</t>
  </si>
  <si>
    <t>Nakládání, skládání a překládání neulehlého výkopku nebo sypaniny strojně skládání nebo překládání, z hornin třídy těžitelnosti II, skupiny 4 a 5</t>
  </si>
  <si>
    <t>-104838042</t>
  </si>
  <si>
    <t>https://podminky.urs.cz/item/CS_URS_2023_02/167151122</t>
  </si>
  <si>
    <t>171201221</t>
  </si>
  <si>
    <t>Poplatek za uložení stavebního odpadu na skládce (skládkovné) zeminy a kamení zatříděného do Katalogu odpadů pod kódem 17 05 04</t>
  </si>
  <si>
    <t>613615434</t>
  </si>
  <si>
    <t>https://podminky.urs.cz/item/CS_URS_2023_02/171201221</t>
  </si>
  <si>
    <t>-185321779</t>
  </si>
  <si>
    <t>175111201</t>
  </si>
  <si>
    <t>Obsypání objektů nad přilehlým původním terénem ručně sypaninou z vhodných hornin třídy těžitelnosti I a II, skupiny 1 až 4 nebo materiálem uloženým ve vzdálenosti do 3 m od vnějšího kraje objektu pro jakoukoliv míru zhutnění bez prohození sypaniny</t>
  </si>
  <si>
    <t>-1945726216</t>
  </si>
  <si>
    <t>https://podminky.urs.cz/item/CS_URS_2023_02/175111201</t>
  </si>
  <si>
    <t>58337303</t>
  </si>
  <si>
    <t>štěrkopísek frakce 0/8</t>
  </si>
  <si>
    <t>-1662283509</t>
  </si>
  <si>
    <t>-580930361</t>
  </si>
  <si>
    <t>899722113</t>
  </si>
  <si>
    <t>Krytí potrubí z plastů výstražnou fólií z PVC šířky 34 cm</t>
  </si>
  <si>
    <t>1583851464</t>
  </si>
  <si>
    <t>https://podminky.urs.cz/item/CS_URS_2023_02/899722113</t>
  </si>
  <si>
    <t>1691325053</t>
  </si>
  <si>
    <t>723</t>
  </si>
  <si>
    <t>Zdravotechnika - vnitřní plynovod</t>
  </si>
  <si>
    <t>723111203</t>
  </si>
  <si>
    <t>Potrubí z ocelových trubek závitových černých spojovaných svařováním, bezešvých běžných DN 20</t>
  </si>
  <si>
    <t>1161568207</t>
  </si>
  <si>
    <t>https://podminky.urs.cz/item/CS_URS_2023_02/723111203</t>
  </si>
  <si>
    <t>723111204</t>
  </si>
  <si>
    <t>Potrubí z ocelových trubek závitových černých spojovaných svařováním, bezešvých běžných DN 25</t>
  </si>
  <si>
    <t>1520410902</t>
  </si>
  <si>
    <t>https://podminky.urs.cz/item/CS_URS_2023_02/723111204</t>
  </si>
  <si>
    <t>723150366</t>
  </si>
  <si>
    <t>Potrubí z ocelových trubek hladkých černých spojovaných chráničky O 44,5/3,2</t>
  </si>
  <si>
    <t>269772825</t>
  </si>
  <si>
    <t>https://podminky.urs.cz/item/CS_URS_2023_02/723150366</t>
  </si>
  <si>
    <t>723150367</t>
  </si>
  <si>
    <t>Potrubí z ocelových trubek hladkých černých spojovaných chráničky O 57/3,2</t>
  </si>
  <si>
    <t>1697500546</t>
  </si>
  <si>
    <t>https://podminky.urs.cz/item/CS_URS_2023_02/723150367</t>
  </si>
  <si>
    <t>723160205</t>
  </si>
  <si>
    <t>Přípojky k plynoměrům spojované na závit bez ochozu G 5/4"</t>
  </si>
  <si>
    <t>1885542371</t>
  </si>
  <si>
    <t>https://podminky.urs.cz/item/CS_URS_2023_02/723160205</t>
  </si>
  <si>
    <t>723160335</t>
  </si>
  <si>
    <t>Přípojky k plynoměrům rozpěrky přípojek G 5/4"</t>
  </si>
  <si>
    <t>662392740</t>
  </si>
  <si>
    <t>https://podminky.urs.cz/item/CS_URS_2023_02/723160335</t>
  </si>
  <si>
    <t>723190203</t>
  </si>
  <si>
    <t>Přípojky plynovodní ke strojům a zařízením z trubek ocelových závitových černých spojovaných na závit, bezešvých, běžných DN 20</t>
  </si>
  <si>
    <t>1253347157</t>
  </si>
  <si>
    <t>https://podminky.urs.cz/item/CS_URS_2023_02/723190203</t>
  </si>
  <si>
    <t>723190252</t>
  </si>
  <si>
    <t>Přípojky plynovodní ke strojům a zařízením z trubek vyvedení a upevnění plynovodních výpustek na potrubí DN 20</t>
  </si>
  <si>
    <t>925000459</t>
  </si>
  <si>
    <t>https://podminky.urs.cz/item/CS_URS_2023_02/723190252</t>
  </si>
  <si>
    <t>723230103</t>
  </si>
  <si>
    <t>Armatury se dvěma závity s protipožární armaturou PN 5 kulové uzávěry přímé závity vnitřní G 3/4" FF</t>
  </si>
  <si>
    <t>-1412406029</t>
  </si>
  <si>
    <t>https://podminky.urs.cz/item/CS_URS_2023_02/723230103</t>
  </si>
  <si>
    <t>723231165</t>
  </si>
  <si>
    <t>Armatury se dvěma závity kohouty kulové PN 42 do 185°C plnoprůtokové vnitřní závit těžká řada G 1 1/4"</t>
  </si>
  <si>
    <t>979187119</t>
  </si>
  <si>
    <t>https://podminky.urs.cz/item/CS_URS_2023_02/723231165</t>
  </si>
  <si>
    <t>998723201</t>
  </si>
  <si>
    <t>Přesun hmot pro vnitřní plynovod stanovený procentní sazbou (%) z ceny vodorovná dopravní vzdálenost do 50 m v objektech výšky do 6 m</t>
  </si>
  <si>
    <t>493499627</t>
  </si>
  <si>
    <t>https://podminky.urs.cz/item/CS_URS_2023_02/998723201</t>
  </si>
  <si>
    <t>783</t>
  </si>
  <si>
    <t>Dokončovací práce - nátěry</t>
  </si>
  <si>
    <t>783614651</t>
  </si>
  <si>
    <t>Základní antikorozní nátěr armatur a kovových potrubí jednonásobný potrubí do DN 50 mm syntetický standardní</t>
  </si>
  <si>
    <t>-553049605</t>
  </si>
  <si>
    <t>https://podminky.urs.cz/item/CS_URS_2023_02/783614651</t>
  </si>
  <si>
    <t>783617611</t>
  </si>
  <si>
    <t>Krycí nátěr (email) armatur a kovových potrubí potrubí do DN 50 mm dvojnásobný syntetický standardní</t>
  </si>
  <si>
    <t>90925382</t>
  </si>
  <si>
    <t>https://podminky.urs.cz/item/CS_URS_2023_02/783617611</t>
  </si>
  <si>
    <t>Práce a dodávky M</t>
  </si>
  <si>
    <t>23-M</t>
  </si>
  <si>
    <t>Montáže potrubí</t>
  </si>
  <si>
    <t>230086115</t>
  </si>
  <si>
    <t>Demontáž PE potrubí d 40x3,7 a stávajícího plynoměrového pilíře s příslušenstvím</t>
  </si>
  <si>
    <t>286823269</t>
  </si>
  <si>
    <t>230200353</t>
  </si>
  <si>
    <t>Jednostranné přerušení průtoku plynu za použití trnování DN potrubí do 40 mm</t>
  </si>
  <si>
    <t>-918786393</t>
  </si>
  <si>
    <t>https://podminky.urs.cz/item/CS_URS_2023_02/230200353</t>
  </si>
  <si>
    <t>230201012</t>
  </si>
  <si>
    <t>Montáž potrubí z oceli O do 60,3 mm, tl. stěny 3,2 mm</t>
  </si>
  <si>
    <t>2011234470</t>
  </si>
  <si>
    <t>https://podminky.urs.cz/item/CS_URS_2023_02/230201012</t>
  </si>
  <si>
    <t>RMAT0006</t>
  </si>
  <si>
    <t>potrubí ocelové DN 32 s izolací BRALEN</t>
  </si>
  <si>
    <t>1375530222</t>
  </si>
  <si>
    <t>230201106</t>
  </si>
  <si>
    <t>Montáž trubních dílů ocelových přivařovacích O do 60,3 mm, tl. stěny 3,2 mm</t>
  </si>
  <si>
    <t>1576284381</t>
  </si>
  <si>
    <t>https://podminky.urs.cz/item/CS_URS_2023_02/230201106</t>
  </si>
  <si>
    <t>RMAT0007</t>
  </si>
  <si>
    <t>zemní přechodka PE/ocel d40-5/4"</t>
  </si>
  <si>
    <t>-1143127977</t>
  </si>
  <si>
    <t>230205031</t>
  </si>
  <si>
    <t>Montáž potrubí PE průměru do 110 mm návin nebo tyč, svařované na tupo nebo elektrospojkou O 40, tl. stěny 3,7 mm</t>
  </si>
  <si>
    <t>1462918154</t>
  </si>
  <si>
    <t>https://podminky.urs.cz/item/CS_URS_2023_02/230205031</t>
  </si>
  <si>
    <t>28613912</t>
  </si>
  <si>
    <t>potrubí plynovodní PE 100RC SDR 11 PN 0,4MPa D 40x3,7mm</t>
  </si>
  <si>
    <t>1100033719</t>
  </si>
  <si>
    <t>28613922</t>
  </si>
  <si>
    <t>potrubí plynovodní z PE 100+ opláštěné vrstvou z pěnového PE, SDR 11, 40x3,7 mm</t>
  </si>
  <si>
    <t>1444580234</t>
  </si>
  <si>
    <t>230205231</t>
  </si>
  <si>
    <t>Montáž trubních dílů PE průměru do 110 mm elektrotvarovky nebo svařované na tupo O 40, tl. stěny 3,7 mm</t>
  </si>
  <si>
    <t>345826347</t>
  </si>
  <si>
    <t>https://podminky.urs.cz/item/CS_URS_2023_02/230205231</t>
  </si>
  <si>
    <t>RMAT0008</t>
  </si>
  <si>
    <t>díl trubní přivařovací - koleno 90° d40</t>
  </si>
  <si>
    <t>-245492851</t>
  </si>
  <si>
    <t>RMAT0009</t>
  </si>
  <si>
    <t>díl trubní přivařovací - ohyb B 30° - d40</t>
  </si>
  <si>
    <t>1523748199</t>
  </si>
  <si>
    <t>503649324</t>
  </si>
  <si>
    <t>RMAT0013</t>
  </si>
  <si>
    <t>díl trubní přivařovací - přechodka D40-5/4", L=2000 v ochranném plášti</t>
  </si>
  <si>
    <t>1367721018</t>
  </si>
  <si>
    <t>-535624733</t>
  </si>
  <si>
    <t>RMAT0014</t>
  </si>
  <si>
    <t>E šoupě vevařovací PE K sdr 11 PE 100 32/40</t>
  </si>
  <si>
    <t>989066704</t>
  </si>
  <si>
    <t>230220001</t>
  </si>
  <si>
    <t>Montáž příslušenství plynovodů zemní soupravy pro šoupátka</t>
  </si>
  <si>
    <t>1110099176</t>
  </si>
  <si>
    <t>https://podminky.urs.cz/item/CS_URS_2023_02/230220001</t>
  </si>
  <si>
    <t>RMAT0010</t>
  </si>
  <si>
    <t>zemní soupraval</t>
  </si>
  <si>
    <t>1333490687</t>
  </si>
  <si>
    <t>230220006</t>
  </si>
  <si>
    <t>Montáž příslušenství plynovodů poklopu litinového</t>
  </si>
  <si>
    <t>-2101049906</t>
  </si>
  <si>
    <t>https://podminky.urs.cz/item/CS_URS_2023_02/230220006</t>
  </si>
  <si>
    <t>RMAT0011</t>
  </si>
  <si>
    <t>poklop šoupátkový</t>
  </si>
  <si>
    <t>-1672785464</t>
  </si>
  <si>
    <t>230220011</t>
  </si>
  <si>
    <t>Montáž příslušenství plynovodů sloupku orientačního</t>
  </si>
  <si>
    <t>1943202148</t>
  </si>
  <si>
    <t>https://podminky.urs.cz/item/CS_URS_2023_02/230220011</t>
  </si>
  <si>
    <t>RMAT0012</t>
  </si>
  <si>
    <t>sloupek orientační</t>
  </si>
  <si>
    <t>1740818492</t>
  </si>
  <si>
    <t>230230016</t>
  </si>
  <si>
    <t>Tlakové zkoušky hlavní vzduchem 0,6 MPa DN 50</t>
  </si>
  <si>
    <t>1531511712</t>
  </si>
  <si>
    <t>https://podminky.urs.cz/item/CS_URS_2023_02/230230016</t>
  </si>
  <si>
    <t>2302500R1</t>
  </si>
  <si>
    <t>Montáž signalizačního vodiče</t>
  </si>
  <si>
    <t>-276500164</t>
  </si>
  <si>
    <t>RMAT0003</t>
  </si>
  <si>
    <t>signalizační vodič CY 6 mm2</t>
  </si>
  <si>
    <t>214375908</t>
  </si>
  <si>
    <t>58-M</t>
  </si>
  <si>
    <t>Revize vyhrazených technických zařízení</t>
  </si>
  <si>
    <t>580506002</t>
  </si>
  <si>
    <t>Domovní plynovody kontrola souladu provedené instalace s projektovou dokumentací plynovodu délky přes 20 do 50 m</t>
  </si>
  <si>
    <t>úsek</t>
  </si>
  <si>
    <t>1586297093</t>
  </si>
  <si>
    <t>https://podminky.urs.cz/item/CS_URS_2023_02/580506002</t>
  </si>
  <si>
    <t>580506012</t>
  </si>
  <si>
    <t>Domovní plynovody kontrola umístění a funkce hlavního uzávěru šoupátka zemního</t>
  </si>
  <si>
    <t>1607257593</t>
  </si>
  <si>
    <t>https://podminky.urs.cz/item/CS_URS_2023_02/580506012</t>
  </si>
  <si>
    <t>580506013</t>
  </si>
  <si>
    <t>Domovní plynovody kontrola funkce dílčích uzávěrů kohoutů nebo kulových uzávěrů</t>
  </si>
  <si>
    <t>-1377814206</t>
  </si>
  <si>
    <t>https://podminky.urs.cz/item/CS_URS_2023_02/580506013</t>
  </si>
  <si>
    <t>580506015</t>
  </si>
  <si>
    <t>Domovní plynovody kontrola umístění, funkce a těsnosti plynoměru do 10 m3/h</t>
  </si>
  <si>
    <t>-376731698</t>
  </si>
  <si>
    <t>https://podminky.urs.cz/item/CS_URS_2023_02/580506015</t>
  </si>
  <si>
    <t>580506019</t>
  </si>
  <si>
    <t>Domovní plynovody kontrola těsnosti spoje pěnotvorným roztokem</t>
  </si>
  <si>
    <t>1629429555</t>
  </si>
  <si>
    <t>https://podminky.urs.cz/item/CS_URS_2023_02/580506019</t>
  </si>
  <si>
    <t>580506028</t>
  </si>
  <si>
    <t>Domovní plynovody opakovaná tlaková zkouška kontrola před natlakováním plynovodu DN do 50, délky přes 20 do 50 m</t>
  </si>
  <si>
    <t>-1307716730</t>
  </si>
  <si>
    <t>https://podminky.urs.cz/item/CS_URS_2023_02/580506028</t>
  </si>
  <si>
    <t>580506036</t>
  </si>
  <si>
    <t>Domovní plynovody odvzdušnění plynovodu DN do 50 délky přes 20 do 50 m</t>
  </si>
  <si>
    <t>-572501581</t>
  </si>
  <si>
    <t>https://podminky.urs.cz/item/CS_URS_2023_02/580506036</t>
  </si>
  <si>
    <t>HZS2231</t>
  </si>
  <si>
    <t>Hodinové zúčtovací sazby profesí PSV provádění stavebních instalací elektrikář</t>
  </si>
  <si>
    <t>1618057824</t>
  </si>
  <si>
    <t>https://podminky.urs.cz/item/CS_URS_2023_02/HZS2231</t>
  </si>
  <si>
    <t>-1531256436</t>
  </si>
  <si>
    <t>HZS4211</t>
  </si>
  <si>
    <t>Hodinové zúčtovací sazby ostatních profesí revizní a kontrolní činnost revizní technik</t>
  </si>
  <si>
    <t>179010544</t>
  </si>
  <si>
    <t>https://podminky.urs.cz/item/CS_URS_2023_02/HZS4211</t>
  </si>
  <si>
    <t>VON - Vedlejší rozpočtové náklady</t>
  </si>
  <si>
    <t>VRN1 - Průzkumné, geodetické a projektové práce</t>
  </si>
  <si>
    <t>VRN3 - Zařízení staveniště</t>
  </si>
  <si>
    <t>VRN4 - Inženýrská činnost</t>
  </si>
  <si>
    <t>VRN7 - Provozní vlivy</t>
  </si>
  <si>
    <t>VRN9 - Ostatní náklady</t>
  </si>
  <si>
    <t>VRN1</t>
  </si>
  <si>
    <t>Průzkumné, geodetické a projektové práce</t>
  </si>
  <si>
    <t>012203000</t>
  </si>
  <si>
    <t>Geodetické práce před a při provádění stavby</t>
  </si>
  <si>
    <t>Kč</t>
  </si>
  <si>
    <t>1024</t>
  </si>
  <si>
    <t>-49448312</t>
  </si>
  <si>
    <t>Poznámka k položce:_x000d_
-VYTÝČENÍ INŽENÝRSKÝCH SÍTÍ NA STAVENIŠTI VČETNĚ OBNOVENÍ SPRÁVCŮ SÍTÍ PO DOBU VÝSTAVBY PRO VŠECHNY OBJEKTY STAVBY
-GEODETICKÉ PRÁCE PO CELOU DOBU VÝSTAVBY PRO VŠECHNY OBJEKTY STAVBY</t>
  </si>
  <si>
    <t>012303000</t>
  </si>
  <si>
    <t>Geodetické práce po výstavbě</t>
  </si>
  <si>
    <t>-524148778</t>
  </si>
  <si>
    <t>Poznámka k položce:_x000d_
V TIŠTĚNÉ I DIGITÁLNÍ PODOBĚ:
-GEODETICKÉ ZAMĚŘENÍ SKUTEČNÉHO PROVEDENÍ STAVBY_x000d_
 PODKLADY PRO ZÁKRES DO DIGITÁLNÍ MAPY
_x000d_
GEOMETRICKÝ PLÁN PRO VKLAD DO KATASTRU NEMOVITOSTÍ_x000d_
OSTATNÍ INFORMACE VIZ POŽADAVKY V ZD</t>
  </si>
  <si>
    <t>013254000</t>
  </si>
  <si>
    <t>Dokumentace skutečného provedení stavby</t>
  </si>
  <si>
    <t>-1934664066</t>
  </si>
  <si>
    <t xml:space="preserve">Poznámka k položce:_x000d_
PRO VŠECHNY OBJEKTY STAVBY (HSV,PSV,MONTÁŽE)
_x000d_
V POČTU  A PROVEDENÍ  DLE ZADÁVACÍ DOKUMENTACE A  vyhl.MPR 499/2006 Sb.a odst.6 § 125 zákona č.183/2006 Sb(stavebního zákona) 
VČETNĚ FOTODOKUMENTACE STAVBY</t>
  </si>
  <si>
    <t>VRN3</t>
  </si>
  <si>
    <t>Zařízení staveniště</t>
  </si>
  <si>
    <t>030001000</t>
  </si>
  <si>
    <t xml:space="preserve">Zařízení staveniště </t>
  </si>
  <si>
    <t>-1407859420</t>
  </si>
  <si>
    <t xml:space="preserve">Poznámka k položce:_x000d_
Zajištění a provedení všech prací a dodávek nezbytných k provedení díla, tj. prací a dodávek které nejsou přímo určeny rozsahem stavby, avšak jejich provedení je pro zhotovení stavby nezbytné (např. VRN/NUS vč. zařízení staveniště a jeho likvidaci po stavbě, zajištění dočasných přípojek pro zařízení staveniště, aktualizace vyjádření a prověření existence stávajících podzemních i vzdušných vedení a zařízení, zajištění vytýčení všech podzemních sítí  a provedení opatření pro zajištění podzemních a nadzemních sítí a ochranu po dobu výstavby s protokolárním předání křížení se sítěmi, opatření pro zajištění bezpečnosti, ochrany zdraví a požární bezpečnosti.opatření vyplývající z plánu BOZP_x000d__x000d_
- veškeré náklady spojené s pořízením, dovozem, montáží, údržbou, demontáží a odvozem:_x000d__x000d_
 veškerých mobilních stavebních buněk ( kancelář, šatny, příruční sklad, umývárna ) a k tomu odpovídajících mobilních WC, včetně eventuálního dočasného zpevnění ploch např. pro skládkování a ochranu nezabudovaného nebo vytěženého materiálu, mobilního oplocení staveniště po dobu stavby ,  provizorního ohrazení výkopů, dočasného napojení na inženýrské sítě a ekologickou likvidaci odpadů. Ostatní ZS - viz.ZOV ( např.umístění bezpečnostních značek,tabulky se zákazem vstupu nepovolaným osobám na staveniště a pod.),  rekultivaci plochy po odstranění zařízení staveniště v rozsahu dle ZOV_x000d__x000d_
-včetně nákladů na energie pro ZS_x000d__x000d_
ochrana stromů v okolí stavby_x000d_
_x000d_
</t>
  </si>
  <si>
    <t>034503000</t>
  </si>
  <si>
    <t>Informační tabule na staveništi - DLE GRAFICKÉHO NÁVRHU A POČTU UVEDENÉHO V ZD</t>
  </si>
  <si>
    <t>348100445</t>
  </si>
  <si>
    <t>Poznámka k položce:_x000d_
Grafická podoba pro zadání do výroby bude vybranému zhotoviteli poskytnuta při předání staveniště</t>
  </si>
  <si>
    <t>VRN4</t>
  </si>
  <si>
    <t>Inženýrská činnost</t>
  </si>
  <si>
    <t>040001000</t>
  </si>
  <si>
    <t>-885989858</t>
  </si>
  <si>
    <t xml:space="preserve">Poznámka k položce:_x000d_
NAPŘ.
NÁKLADY NA KOLAUDAČNÍ ŘÍZENÍ, 
REVIZE,  KTERÉ NEJSOU SOUČÁSTÍ SAMOSTATNÝCH OBJEKTŮ
ZKOUŠKY A OSTATNÍ MĚŘENÍ,SLOŽENÍ VYTĚŽENÉ ZEMINY A DALŠÍ, KTERÉ NEJSOU SOUČÁSTÍ SAMOSTATNÝCH OBJEKTŮ</t>
  </si>
  <si>
    <t>045002000</t>
  </si>
  <si>
    <t>Kompletační a koordinační činnost</t>
  </si>
  <si>
    <t>-134749262</t>
  </si>
  <si>
    <t>Poznámka k položce:_x000d_
PRO ZHOTOVITELE A PODZHOTOVITELE (HSV,PSV,M)</t>
  </si>
  <si>
    <t>VRN7</t>
  </si>
  <si>
    <t>Provozní vlivy</t>
  </si>
  <si>
    <t>070001000</t>
  </si>
  <si>
    <t>1631678783</t>
  </si>
  <si>
    <t>Poznámka k položce:_x000d_
včetně:_x000d__x000d_
Technická opatření vyplývající na celé stavbě ze skutečného výskytu inženýrských podzemních sítí v době realizace stavby po jejich vytýčení jejich správci a po zjištění přesného stavu inženýrských sítí v zemi vč.koordinace se zástupci těchto správců sítí při splnění všech prácí,které vyplynou z jejich požadavků-ochranna sítí v rámci staveniště._x000d__x000d_
-DIO</t>
  </si>
  <si>
    <t>VRN9</t>
  </si>
  <si>
    <t>Ostatní náklady</t>
  </si>
  <si>
    <t>091204000.R</t>
  </si>
  <si>
    <t>Zabezpečovací práce související s prováděním stavby</t>
  </si>
  <si>
    <t>-2134518149</t>
  </si>
  <si>
    <t>Poznámka k položce:_x000d_
Zajištění BOZP při práci ve výškách, zejména zajištění proti pádu osob a materiálu z výšky, využít primárně princip kolektivního zajištění (zábrany a ohrazení, zábradlí a záchytné sítě, lešení)</t>
  </si>
  <si>
    <t>094002000</t>
  </si>
  <si>
    <t>Ostatní náklady související s výstavbou</t>
  </si>
  <si>
    <t>-418989653</t>
  </si>
  <si>
    <t>Poznámka k položce:_x000d_
STŘEŽENÍ A OCHRANA DÍLA OD UKONČENÍ PŘEJÍMACÍHO ŘÍZENÍ DO DOBY VYDÁNÍ PRAVOMOCNÉHO KOLAUDAČNÍHO SOUHLASU - 30 dní</t>
  </si>
  <si>
    <t>091704000</t>
  </si>
  <si>
    <t xml:space="preserve">Náklady na údržbu </t>
  </si>
  <si>
    <t>-339813224</t>
  </si>
  <si>
    <t>Poznámka k položce:_x000d_
NÁKLADY NA ÚDRŽBU A ČIŠTĚNÍ PŘÍJEZDOVÝCH KOMUNIKACÍ PO CELOU DOBU VÝSTAVBY_x000d_
NÁKLADY NA OBNOVENÍ VŠECH DOTČENÝCH PLOCH STAVBOU DO PŮVODNÍHO STAVU _x000d__x000d_
_x000d_</t>
  </si>
  <si>
    <t>SEZNAM FIGUR</t>
  </si>
  <si>
    <t>Výměra</t>
  </si>
  <si>
    <t xml:space="preserve"> 01</t>
  </si>
  <si>
    <t>Použití figury:</t>
  </si>
  <si>
    <t>Vysátí podkladu před pokládkou dlažby</t>
  </si>
  <si>
    <t>Nátěr penetrační na podlahu</t>
  </si>
  <si>
    <t>Izolace pod dlažbu nátěrem nebo stěrkou ve dvou vrstvách</t>
  </si>
  <si>
    <t>Vysátí podkladu skládaných podlah</t>
  </si>
  <si>
    <t>Neředěná penetrace savého podkladu skládaných podlah</t>
  </si>
  <si>
    <t>Stěrka podlahová nivelační pro vyrovnání podkladu skládaných podlah pevnosti 30 MPa tl přes 3 do 5 mm</t>
  </si>
  <si>
    <t>Podlahy z vlysů lepených tl do 22 mm š přes 60 do 70 mm dl přes 350 do 400 mm dub I</t>
  </si>
  <si>
    <t>Podlahy dřevěné, základní lak</t>
  </si>
  <si>
    <t>Nátěr penetrační na stěnu</t>
  </si>
  <si>
    <t>Montáž obkladů vnitřních keramických velkoformátových hladkých přes 0,5 do 2 ks/m2 lepených flexibilním lepidlem</t>
  </si>
  <si>
    <t>Vápenocementová omítka hladká jednovrstvá vnitřních stěn nanášená strojně</t>
  </si>
  <si>
    <t>Vápenocementová omítka štuková dvouvrstvá vnitřních stěn nanášená strojně</t>
  </si>
  <si>
    <t>Montáž soklů z dlaždic keramických rovných lepených cementovým flexibilním lepidlem v přes 65 do 90 mm</t>
  </si>
  <si>
    <t>Nátěr kontaktní pro nesavé podklady na stěnu</t>
  </si>
  <si>
    <t>Spárování vnitřních obkladů akrylem</t>
  </si>
  <si>
    <t>Hloubková jednonásobná bezbarvá penetrace podkladu v místnostech v do 3,80 m</t>
  </si>
  <si>
    <t>Montáž obkladů vnitřních keramických velkoformátových hladkých přes 2 do 4 ks/m2 lepených flexibilním lepidlem</t>
  </si>
  <si>
    <t>Montáž izolace tepelné podlah volně kladenými rohožemi, pásy, dílci, deskami 1 vrstva</t>
  </si>
  <si>
    <t>Montáž izolace tepelné podlah, stropů vrchem nebo střech překrytí separační fólií z PE</t>
  </si>
  <si>
    <t>Montáž podlah keramických hladkých lepených cementovým flexibilním lepidlem přes 0,5 do 2 ks/m2</t>
  </si>
  <si>
    <t>Montáž podlah keramických hladkých lepených cementovým flexibilním lepidlem přes 2 do 4 ks/m2</t>
  </si>
  <si>
    <t>dř podlaha 2NP</t>
  </si>
  <si>
    <t>ker 2NP</t>
  </si>
  <si>
    <t>Krytina betonová drážková s povrchem se zvýšenou ochranou skládaná na sucho sklonu do 30°</t>
  </si>
  <si>
    <t>Montáž izolace tepelné střech šikmých přišroubované nad krokve z desek sklonu přes 30° do 45° tl přes 140 do 160 mm</t>
  </si>
  <si>
    <t>Montáž izolace tepelné podlah, stropů nebo střech překrytí pásem asfaltovým samolepícím na sucho</t>
  </si>
  <si>
    <t>Bednění střech rovných sklon do 60° z desek OSB tl 22 mm na pero a drážku šroubovaných na krokve</t>
  </si>
  <si>
    <t>Montáž laťování na střechách jednoduchých sklonu do 60° osové vzdálenosti přes 150 do 360 mm</t>
  </si>
  <si>
    <t>Příplatek ke krytině betonové za sklon přes 30° do 40°</t>
  </si>
  <si>
    <t>Montáž pojistné hydroizolační nebo parotěsné kladené ve sklonu přes 20° s lepenými spoji na bednění</t>
  </si>
  <si>
    <t>Provedení izolace proti zemní vlhkosti vodorovné za studena nátěrem penetračním</t>
  </si>
  <si>
    <t>Mazanina tl přes 50 do 80 mm z betonu prostého bez zvýšených nároků na prostředí tř. C 20/25</t>
  </si>
  <si>
    <t>Výztuž mazanin svařovanými sítěmi Kari</t>
  </si>
</sst>
</file>

<file path=xl/styles.xml><?xml version="1.0" encoding="utf-8"?>
<styleSheet xmlns="http://schemas.openxmlformats.org/spreadsheetml/2006/main">
  <numFmts count="4">
    <numFmt numFmtId="164" formatCode="#,##0.00%"/>
    <numFmt numFmtId="165" formatCode="dd\.mm\.yyyy"/>
    <numFmt numFmtId="166" formatCode="#,##0.00000"/>
    <numFmt numFmtId="167" formatCode="#,##0.000"/>
  </numFmts>
  <fonts count="43">
    <font>
      <sz val="8"/>
      <name val="Arial CE"/>
      <family val="2"/>
    </font>
    <font>
      <sz val="10"/>
      <color rgb="FF969696"/>
      <name val="Arial CE"/>
    </font>
    <font>
      <sz val="10"/>
      <name val="Arial CE"/>
    </font>
    <font>
      <b/>
      <sz val="11"/>
      <name val="Arial CE"/>
    </font>
    <font>
      <b/>
      <sz val="12"/>
      <name val="Arial CE"/>
    </font>
    <font>
      <sz val="11"/>
      <name val="Arial CE"/>
    </font>
    <font>
      <sz val="12"/>
      <color rgb="FF003366"/>
      <name val="Arial CE"/>
    </font>
    <font>
      <sz val="10"/>
      <color rgb="FF003366"/>
      <name val="Arial CE"/>
    </font>
    <font>
      <sz val="8"/>
      <color rgb="FF003366"/>
      <name val="Arial CE"/>
    </font>
    <font>
      <sz val="8"/>
      <color rgb="FF505050"/>
      <name val="Arial CE"/>
    </font>
    <font>
      <sz val="8"/>
      <color rgb="FFFF0000"/>
      <name val="Arial CE"/>
    </font>
    <font>
      <sz val="8"/>
      <color rgb="FF800080"/>
      <name val="Arial CE"/>
    </font>
    <font>
      <sz val="8"/>
      <color rgb="FF0000A8"/>
      <name val="Arial CE"/>
    </font>
    <font>
      <sz val="8"/>
      <color rgb="FFFFFFFF"/>
      <name val="Arial CE"/>
    </font>
    <font>
      <b/>
      <sz val="14"/>
      <name val="Arial CE"/>
    </font>
    <font>
      <sz val="8"/>
      <color rgb="FF3366FF"/>
      <name val="Arial CE"/>
    </font>
    <font>
      <b/>
      <sz val="12"/>
      <color rgb="FF969696"/>
      <name val="Arial CE"/>
    </font>
    <font>
      <b/>
      <sz val="8"/>
      <color rgb="FF969696"/>
      <name val="Arial CE"/>
    </font>
    <font>
      <b/>
      <sz val="10"/>
      <name val="Arial CE"/>
    </font>
    <font>
      <b/>
      <sz val="10"/>
      <color rgb="FF969696"/>
      <name val="Arial CE"/>
    </font>
    <font>
      <sz val="12"/>
      <color rgb="FF969696"/>
      <name val="Arial CE"/>
    </font>
    <font>
      <sz val="8"/>
      <color rgb="FF969696"/>
      <name val="Arial CE"/>
    </font>
    <font>
      <sz val="9"/>
      <name val="Arial CE"/>
    </font>
    <font>
      <sz val="9"/>
      <color rgb="FF969696"/>
      <name val="Arial CE"/>
    </font>
    <font>
      <b/>
      <sz val="12"/>
      <color rgb="FF960000"/>
      <name val="Arial CE"/>
    </font>
    <font>
      <sz val="12"/>
      <name val="Arial CE"/>
    </font>
    <font>
      <sz val="18"/>
      <color theme="10"/>
      <name val="Wingdings 2"/>
    </font>
    <font>
      <b/>
      <sz val="11"/>
      <color rgb="FF003366"/>
      <name val="Arial CE"/>
    </font>
    <font>
      <sz val="11"/>
      <color rgb="FF003366"/>
      <name val="Arial CE"/>
    </font>
    <font>
      <sz val="11"/>
      <color rgb="FF969696"/>
      <name val="Arial CE"/>
    </font>
    <font>
      <sz val="8"/>
      <color rgb="FF000000"/>
      <name val="Arial CE"/>
    </font>
    <font>
      <sz val="10"/>
      <color rgb="FF3366FF"/>
      <name val="Arial CE"/>
    </font>
    <font>
      <b/>
      <sz val="12"/>
      <color rgb="FF800000"/>
      <name val="Arial CE"/>
    </font>
    <font>
      <sz val="8"/>
      <color rgb="FF960000"/>
      <name val="Arial CE"/>
    </font>
    <font>
      <b/>
      <sz val="8"/>
      <name val="Arial CE"/>
    </font>
    <font>
      <sz val="7"/>
      <color rgb="FF979797"/>
      <name val="Arial CE"/>
    </font>
    <font>
      <i/>
      <u/>
      <sz val="7"/>
      <color rgb="FF979797"/>
      <name val="Calibri"/>
      <scheme val="minor"/>
    </font>
    <font>
      <sz val="7"/>
      <color rgb="FF969696"/>
      <name val="Arial CE"/>
    </font>
    <font>
      <i/>
      <sz val="9"/>
      <color rgb="FF0000FF"/>
      <name val="Arial CE"/>
    </font>
    <font>
      <i/>
      <sz val="8"/>
      <color rgb="FF0000FF"/>
      <name val="Arial CE"/>
    </font>
    <font>
      <i/>
      <sz val="7"/>
      <color rgb="FF969696"/>
      <name val="Arial CE"/>
    </font>
    <font>
      <b/>
      <sz val="9"/>
      <name val="Arial CE"/>
    </font>
    <font>
      <u/>
      <sz val="11"/>
      <color theme="1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BEBEBE"/>
      </patternFill>
    </fill>
    <fill>
      <patternFill patternType="solid">
        <fgColor rgb="FFD2D2D2"/>
      </patternFill>
    </fill>
    <fill>
      <patternFill patternType="solid">
        <fgColor rgb="FFC6A5F6"/>
      </patternFill>
    </fill>
    <fill>
      <patternFill patternType="solid">
        <fgColor rgb="FFFF9086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top style="hair">
        <color rgb="FF000000"/>
      </top>
    </border>
    <border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hair">
        <color rgb="FF969696"/>
      </left>
      <top style="hair">
        <color rgb="FF969696"/>
      </top>
    </border>
    <border>
      <top style="hair">
        <color rgb="FF969696"/>
      </top>
    </border>
    <border>
      <right style="hair">
        <color rgb="FF969696"/>
      </right>
      <top style="hair">
        <color rgb="FF969696"/>
      </top>
    </border>
    <border>
      <left style="hair">
        <color rgb="FF969696"/>
      </left>
    </border>
    <border>
      <right style="hair">
        <color rgb="FF969696"/>
      </right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top style="hair">
        <color rgb="FF969696"/>
      </top>
      <bottom style="hair">
        <color rgb="FF969696"/>
      </bottom>
    </border>
    <border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bottom style="hair">
        <color rgb="FF969696"/>
      </bottom>
    </border>
    <border>
      <bottom style="hair">
        <color rgb="FF969696"/>
      </bottom>
    </border>
    <border>
      <right style="hair">
        <color rgb="FF969696"/>
      </right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</borders>
  <cellStyleXfs count="2">
    <xf numFmtId="0" fontId="0" fillId="0" borderId="0"/>
    <xf numFmtId="0" fontId="42" fillId="0" borderId="0" applyNumberFormat="0" applyFill="0" applyBorder="0" applyAlignment="0" applyProtection="0"/>
  </cellStyleXfs>
  <cellXfs count="311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Border="1" applyProtection="1"/>
    <xf numFmtId="0" fontId="0" fillId="0" borderId="2" xfId="0" applyBorder="1" applyProtection="1"/>
    <xf numFmtId="0" fontId="0" fillId="0" borderId="3" xfId="0" applyBorder="1"/>
    <xf numFmtId="0" fontId="0" fillId="0" borderId="3" xfId="0" applyBorder="1" applyProtection="1"/>
    <xf numFmtId="0" fontId="0" fillId="0" borderId="0" xfId="0" applyProtection="1"/>
    <xf numFmtId="0" fontId="14" fillId="0" borderId="0" xfId="0" applyFont="1" applyAlignment="1" applyProtection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left" vertical="center"/>
    </xf>
    <xf numFmtId="0" fontId="17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/>
    </xf>
    <xf numFmtId="0" fontId="3" fillId="0" borderId="0" xfId="0" applyFont="1" applyAlignment="1" applyProtection="1">
      <alignment horizontal="left" vertical="top" wrapText="1"/>
    </xf>
    <xf numFmtId="0" fontId="17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top"/>
    </xf>
    <xf numFmtId="49" fontId="2" fillId="2" borderId="0" xfId="0" applyNumberFormat="1" applyFont="1" applyFill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 wrapText="1"/>
    </xf>
    <xf numFmtId="0" fontId="0" fillId="0" borderId="4" xfId="0" applyBorder="1" applyProtection="1"/>
    <xf numFmtId="0" fontId="0" fillId="0" borderId="0" xfId="0" applyFont="1" applyAlignment="1">
      <alignment vertical="center"/>
    </xf>
    <xf numFmtId="0" fontId="0" fillId="0" borderId="3" xfId="0" applyFont="1" applyBorder="1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18" fillId="0" borderId="5" xfId="0" applyFont="1" applyBorder="1" applyAlignment="1" applyProtection="1">
      <alignment horizontal="left" vertical="center"/>
    </xf>
    <xf numFmtId="0" fontId="0" fillId="0" borderId="5" xfId="0" applyFont="1" applyBorder="1" applyAlignment="1" applyProtection="1">
      <alignment vertical="center"/>
    </xf>
    <xf numFmtId="4" fontId="18" fillId="0" borderId="5" xfId="0" applyNumberFormat="1" applyFont="1" applyBorder="1" applyAlignment="1" applyProtection="1">
      <alignment vertical="center"/>
    </xf>
    <xf numFmtId="0" fontId="0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right" vertical="center"/>
    </xf>
    <xf numFmtId="0" fontId="1" fillId="0" borderId="3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164" fontId="1" fillId="0" borderId="0" xfId="0" applyNumberFormat="1" applyFont="1" applyAlignment="1" applyProtection="1">
      <alignment horizontal="left" vertical="center"/>
    </xf>
    <xf numFmtId="4" fontId="19" fillId="0" borderId="0" xfId="0" applyNumberFormat="1" applyFont="1" applyAlignment="1" applyProtection="1">
      <alignment vertical="center"/>
    </xf>
    <xf numFmtId="0" fontId="1" fillId="0" borderId="3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0" fillId="3" borderId="0" xfId="0" applyFont="1" applyFill="1" applyAlignment="1" applyProtection="1">
      <alignment vertical="center"/>
    </xf>
    <xf numFmtId="0" fontId="4" fillId="3" borderId="6" xfId="0" applyFont="1" applyFill="1" applyBorder="1" applyAlignment="1" applyProtection="1">
      <alignment horizontal="left" vertical="center"/>
    </xf>
    <xf numFmtId="0" fontId="0" fillId="3" borderId="7" xfId="0" applyFont="1" applyFill="1" applyBorder="1" applyAlignment="1" applyProtection="1">
      <alignment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left" vertical="center"/>
    </xf>
    <xf numFmtId="4" fontId="4" fillId="3" borderId="7" xfId="0" applyNumberFormat="1" applyFont="1" applyFill="1" applyBorder="1" applyAlignment="1" applyProtection="1">
      <alignment vertical="center"/>
    </xf>
    <xf numFmtId="0" fontId="0" fillId="3" borderId="8" xfId="0" applyFont="1" applyFill="1" applyBorder="1" applyAlignment="1" applyProtection="1">
      <alignment vertical="center"/>
    </xf>
    <xf numFmtId="0" fontId="0" fillId="0" borderId="9" xfId="0" applyFont="1" applyBorder="1" applyAlignment="1" applyProtection="1">
      <alignment vertical="center"/>
    </xf>
    <xf numFmtId="0" fontId="0" fillId="0" borderId="10" xfId="0" applyFont="1" applyBorder="1" applyAlignment="1" applyProtection="1">
      <alignment vertical="center"/>
    </xf>
    <xf numFmtId="0" fontId="0" fillId="0" borderId="1" xfId="0" applyFont="1" applyBorder="1" applyAlignment="1" applyProtection="1">
      <alignment vertical="center"/>
    </xf>
    <xf numFmtId="0" fontId="0" fillId="0" borderId="2" xfId="0" applyFont="1" applyBorder="1" applyAlignment="1" applyProtection="1">
      <alignment vertical="center"/>
    </xf>
    <xf numFmtId="0" fontId="2" fillId="0" borderId="3" xfId="0" applyFont="1" applyBorder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 wrapText="1"/>
    </xf>
    <xf numFmtId="0" fontId="3" fillId="0" borderId="3" xfId="0" applyFont="1" applyBorder="1" applyAlignment="1">
      <alignment vertical="center"/>
    </xf>
    <xf numFmtId="0" fontId="18" fillId="0" borderId="0" xfId="0" applyFont="1" applyAlignment="1" applyProtection="1">
      <alignment vertical="center"/>
    </xf>
    <xf numFmtId="165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1" fillId="0" borderId="14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21" fillId="0" borderId="14" xfId="0" applyFont="1" applyBorder="1" applyAlignment="1" applyProtection="1">
      <alignment horizontal="left" vertical="center"/>
    </xf>
    <xf numFmtId="0" fontId="21" fillId="0" borderId="0" xfId="0" applyFont="1" applyBorder="1" applyAlignment="1" applyProtection="1">
      <alignment horizontal="left" vertical="center"/>
    </xf>
    <xf numFmtId="0" fontId="0" fillId="0" borderId="0" xfId="0" applyFont="1" applyBorder="1" applyAlignment="1" applyProtection="1">
      <alignment vertical="center"/>
    </xf>
    <xf numFmtId="0" fontId="0" fillId="0" borderId="15" xfId="0" applyFont="1" applyBorder="1" applyAlignment="1" applyProtection="1">
      <alignment vertical="center"/>
    </xf>
    <xf numFmtId="0" fontId="22" fillId="4" borderId="6" xfId="0" applyFont="1" applyFill="1" applyBorder="1" applyAlignment="1" applyProtection="1">
      <alignment horizontal="center" vertical="center"/>
    </xf>
    <xf numFmtId="0" fontId="22" fillId="4" borderId="7" xfId="0" applyFont="1" applyFill="1" applyBorder="1" applyAlignment="1" applyProtection="1">
      <alignment horizontal="left" vertical="center"/>
    </xf>
    <xf numFmtId="0" fontId="0" fillId="4" borderId="7" xfId="0" applyFont="1" applyFill="1" applyBorder="1" applyAlignment="1" applyProtection="1">
      <alignment vertical="center"/>
    </xf>
    <xf numFmtId="0" fontId="22" fillId="4" borderId="7" xfId="0" applyFont="1" applyFill="1" applyBorder="1" applyAlignment="1" applyProtection="1">
      <alignment horizontal="center" vertical="center"/>
    </xf>
    <xf numFmtId="0" fontId="22" fillId="4" borderId="7" xfId="0" applyFont="1" applyFill="1" applyBorder="1" applyAlignment="1" applyProtection="1">
      <alignment horizontal="right" vertical="center"/>
    </xf>
    <xf numFmtId="0" fontId="22" fillId="4" borderId="8" xfId="0" applyFont="1" applyFill="1" applyBorder="1" applyAlignment="1" applyProtection="1">
      <alignment horizontal="center" vertical="center"/>
    </xf>
    <xf numFmtId="0" fontId="23" fillId="0" borderId="16" xfId="0" applyFont="1" applyBorder="1" applyAlignment="1" applyProtection="1">
      <alignment horizontal="center" vertical="center" wrapText="1"/>
    </xf>
    <xf numFmtId="0" fontId="23" fillId="0" borderId="17" xfId="0" applyFont="1" applyBorder="1" applyAlignment="1" applyProtection="1">
      <alignment horizontal="center" vertical="center" wrapText="1"/>
    </xf>
    <xf numFmtId="0" fontId="23" fillId="0" borderId="18" xfId="0" applyFont="1" applyBorder="1" applyAlignment="1" applyProtection="1">
      <alignment horizontal="center" vertical="center" wrapText="1"/>
    </xf>
    <xf numFmtId="0" fontId="0" fillId="0" borderId="11" xfId="0" applyFont="1" applyBorder="1" applyAlignment="1" applyProtection="1">
      <alignment vertical="center"/>
    </xf>
    <xf numFmtId="0" fontId="0" fillId="0" borderId="12" xfId="0" applyFont="1" applyBorder="1" applyAlignment="1" applyProtection="1">
      <alignment vertical="center"/>
    </xf>
    <xf numFmtId="0" fontId="0" fillId="0" borderId="13" xfId="0" applyFont="1" applyBorder="1" applyAlignment="1" applyProtection="1">
      <alignment vertical="center"/>
    </xf>
    <xf numFmtId="0" fontId="4" fillId="0" borderId="3" xfId="0" applyFont="1" applyBorder="1" applyAlignment="1" applyProtection="1">
      <alignment vertical="center"/>
    </xf>
    <xf numFmtId="0" fontId="24" fillId="0" borderId="0" xfId="0" applyFont="1" applyAlignment="1" applyProtection="1">
      <alignment horizontal="left" vertical="center"/>
    </xf>
    <xf numFmtId="0" fontId="24" fillId="0" borderId="0" xfId="0" applyFont="1" applyAlignment="1" applyProtection="1">
      <alignment vertical="center"/>
    </xf>
    <xf numFmtId="4" fontId="24" fillId="0" borderId="0" xfId="0" applyNumberFormat="1" applyFont="1" applyAlignment="1" applyProtection="1">
      <alignment horizontal="right" vertical="center"/>
    </xf>
    <xf numFmtId="4" fontId="24" fillId="0" borderId="0" xfId="0" applyNumberFormat="1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3" xfId="0" applyFont="1" applyBorder="1" applyAlignment="1">
      <alignment vertical="center"/>
    </xf>
    <xf numFmtId="4" fontId="20" fillId="0" borderId="14" xfId="0" applyNumberFormat="1" applyFont="1" applyBorder="1" applyAlignment="1" applyProtection="1">
      <alignment vertical="center"/>
    </xf>
    <xf numFmtId="4" fontId="20" fillId="0" borderId="0" xfId="0" applyNumberFormat="1" applyFont="1" applyBorder="1" applyAlignment="1" applyProtection="1">
      <alignment vertical="center"/>
    </xf>
    <xf numFmtId="166" fontId="20" fillId="0" borderId="0" xfId="0" applyNumberFormat="1" applyFont="1" applyBorder="1" applyAlignment="1" applyProtection="1">
      <alignment vertical="center"/>
    </xf>
    <xf numFmtId="4" fontId="20" fillId="0" borderId="15" xfId="0" applyNumberFormat="1" applyFont="1" applyBorder="1" applyAlignment="1" applyProtection="1">
      <alignment vertical="center"/>
    </xf>
    <xf numFmtId="0" fontId="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1" applyFont="1" applyAlignment="1">
      <alignment horizontal="center" vertical="center"/>
    </xf>
    <xf numFmtId="0" fontId="5" fillId="0" borderId="3" xfId="0" applyFont="1" applyBorder="1" applyAlignment="1" applyProtection="1">
      <alignment vertical="center"/>
    </xf>
    <xf numFmtId="0" fontId="27" fillId="0" borderId="0" xfId="0" applyFont="1" applyAlignment="1" applyProtection="1">
      <alignment vertical="center"/>
    </xf>
    <xf numFmtId="0" fontId="27" fillId="0" borderId="0" xfId="0" applyFont="1" applyAlignment="1" applyProtection="1">
      <alignment horizontal="left" vertical="center" wrapText="1"/>
    </xf>
    <xf numFmtId="0" fontId="28" fillId="0" borderId="0" xfId="0" applyFont="1" applyAlignment="1" applyProtection="1">
      <alignment vertical="center"/>
    </xf>
    <xf numFmtId="4" fontId="28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horizontal="center" vertical="center"/>
    </xf>
    <xf numFmtId="0" fontId="5" fillId="0" borderId="3" xfId="0" applyFont="1" applyBorder="1" applyAlignment="1">
      <alignment vertical="center"/>
    </xf>
    <xf numFmtId="4" fontId="29" fillId="0" borderId="14" xfId="0" applyNumberFormat="1" applyFont="1" applyBorder="1" applyAlignment="1" applyProtection="1">
      <alignment vertical="center"/>
    </xf>
    <xf numFmtId="4" fontId="29" fillId="0" borderId="0" xfId="0" applyNumberFormat="1" applyFont="1" applyBorder="1" applyAlignment="1" applyProtection="1">
      <alignment vertical="center"/>
    </xf>
    <xf numFmtId="166" fontId="29" fillId="0" borderId="0" xfId="0" applyNumberFormat="1" applyFont="1" applyBorder="1" applyAlignment="1" applyProtection="1">
      <alignment vertical="center"/>
    </xf>
    <xf numFmtId="4" fontId="29" fillId="0" borderId="15" xfId="0" applyNumberFormat="1" applyFont="1" applyBorder="1" applyAlignment="1" applyProtection="1">
      <alignment vertical="center"/>
    </xf>
    <xf numFmtId="0" fontId="5" fillId="0" borderId="0" xfId="0" applyFont="1" applyAlignment="1">
      <alignment horizontal="left" vertical="center"/>
    </xf>
    <xf numFmtId="4" fontId="29" fillId="0" borderId="19" xfId="0" applyNumberFormat="1" applyFont="1" applyBorder="1" applyAlignment="1" applyProtection="1">
      <alignment vertical="center"/>
    </xf>
    <xf numFmtId="4" fontId="29" fillId="0" borderId="20" xfId="0" applyNumberFormat="1" applyFont="1" applyBorder="1" applyAlignment="1" applyProtection="1">
      <alignment vertical="center"/>
    </xf>
    <xf numFmtId="166" fontId="29" fillId="0" borderId="20" xfId="0" applyNumberFormat="1" applyFont="1" applyBorder="1" applyAlignment="1" applyProtection="1">
      <alignment vertical="center"/>
    </xf>
    <xf numFmtId="4" fontId="29" fillId="0" borderId="21" xfId="0" applyNumberFormat="1" applyFont="1" applyBorder="1" applyAlignment="1" applyProtection="1">
      <alignment vertical="center"/>
    </xf>
    <xf numFmtId="0" fontId="30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14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Font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12" xfId="0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4" fontId="24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0" fillId="4" borderId="0" xfId="0" applyFont="1" applyFill="1" applyAlignment="1">
      <alignment vertical="center"/>
    </xf>
    <xf numFmtId="0" fontId="4" fillId="4" borderId="6" xfId="0" applyFont="1" applyFill="1" applyBorder="1" applyAlignment="1">
      <alignment horizontal="left" vertical="center"/>
    </xf>
    <xf numFmtId="0" fontId="0" fillId="4" borderId="7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center" vertical="center"/>
    </xf>
    <xf numFmtId="4" fontId="4" fillId="4" borderId="7" xfId="0" applyNumberFormat="1" applyFont="1" applyFill="1" applyBorder="1" applyAlignment="1">
      <alignment vertical="center"/>
    </xf>
    <xf numFmtId="0" fontId="0" fillId="4" borderId="8" xfId="0" applyFont="1" applyFill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1" fillId="0" borderId="0" xfId="0" applyFont="1" applyAlignment="1" applyProtection="1">
      <alignment horizontal="left" vertical="center" wrapText="1"/>
    </xf>
    <xf numFmtId="0" fontId="22" fillId="4" borderId="0" xfId="0" applyFont="1" applyFill="1" applyAlignment="1" applyProtection="1">
      <alignment horizontal="left" vertical="center"/>
    </xf>
    <xf numFmtId="0" fontId="0" fillId="4" borderId="0" xfId="0" applyFont="1" applyFill="1" applyAlignment="1" applyProtection="1">
      <alignment vertical="center"/>
    </xf>
    <xf numFmtId="0" fontId="22" fillId="4" borderId="0" xfId="0" applyFont="1" applyFill="1" applyAlignment="1" applyProtection="1">
      <alignment horizontal="right" vertical="center"/>
    </xf>
    <xf numFmtId="0" fontId="32" fillId="0" borderId="0" xfId="0" applyFont="1" applyAlignment="1" applyProtection="1">
      <alignment horizontal="left" vertical="center"/>
    </xf>
    <xf numFmtId="0" fontId="6" fillId="0" borderId="3" xfId="0" applyFont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6" fillId="0" borderId="20" xfId="0" applyFont="1" applyBorder="1" applyAlignment="1" applyProtection="1">
      <alignment horizontal="left" vertical="center"/>
    </xf>
    <xf numFmtId="0" fontId="6" fillId="0" borderId="20" xfId="0" applyFont="1" applyBorder="1" applyAlignment="1" applyProtection="1">
      <alignment vertical="center"/>
    </xf>
    <xf numFmtId="4" fontId="6" fillId="0" borderId="20" xfId="0" applyNumberFormat="1" applyFont="1" applyBorder="1" applyAlignment="1" applyProtection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7" fillId="0" borderId="20" xfId="0" applyFont="1" applyBorder="1" applyAlignment="1" applyProtection="1">
      <alignment horizontal="left" vertical="center"/>
    </xf>
    <xf numFmtId="0" fontId="7" fillId="0" borderId="20" xfId="0" applyFont="1" applyBorder="1" applyAlignment="1" applyProtection="1">
      <alignment vertical="center"/>
    </xf>
    <xf numFmtId="4" fontId="7" fillId="0" borderId="20" xfId="0" applyNumberFormat="1" applyFont="1" applyBorder="1" applyAlignment="1" applyProtection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3" xfId="0" applyFont="1" applyBorder="1" applyAlignment="1" applyProtection="1">
      <alignment horizontal="center" vertical="center" wrapText="1"/>
    </xf>
    <xf numFmtId="0" fontId="22" fillId="4" borderId="16" xfId="0" applyFont="1" applyFill="1" applyBorder="1" applyAlignment="1" applyProtection="1">
      <alignment horizontal="center" vertical="center" wrapText="1"/>
    </xf>
    <xf numFmtId="0" fontId="22" fillId="4" borderId="17" xfId="0" applyFont="1" applyFill="1" applyBorder="1" applyAlignment="1" applyProtection="1">
      <alignment horizontal="center" vertical="center" wrapText="1"/>
    </xf>
    <xf numFmtId="0" fontId="22" fillId="4" borderId="18" xfId="0" applyFont="1" applyFill="1" applyBorder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" fontId="24" fillId="0" borderId="0" xfId="0" applyNumberFormat="1" applyFont="1" applyAlignment="1" applyProtection="1"/>
    <xf numFmtId="0" fontId="0" fillId="0" borderId="12" xfId="0" applyBorder="1" applyAlignment="1" applyProtection="1">
      <alignment vertical="center"/>
    </xf>
    <xf numFmtId="166" fontId="33" fillId="0" borderId="12" xfId="0" applyNumberFormat="1" applyFont="1" applyBorder="1" applyAlignment="1" applyProtection="1"/>
    <xf numFmtId="166" fontId="33" fillId="0" borderId="13" xfId="0" applyNumberFormat="1" applyFont="1" applyBorder="1" applyAlignment="1" applyProtection="1"/>
    <xf numFmtId="4" fontId="34" fillId="0" borderId="0" xfId="0" applyNumberFormat="1" applyFont="1" applyAlignment="1">
      <alignment vertical="center"/>
    </xf>
    <xf numFmtId="0" fontId="8" fillId="0" borderId="3" xfId="0" applyFont="1" applyBorder="1" applyAlignment="1" applyProtection="1"/>
    <xf numFmtId="0" fontId="8" fillId="0" borderId="0" xfId="0" applyFont="1" applyAlignment="1" applyProtection="1"/>
    <xf numFmtId="0" fontId="8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left"/>
    </xf>
    <xf numFmtId="0" fontId="8" fillId="0" borderId="0" xfId="0" applyFont="1" applyAlignment="1" applyProtection="1">
      <protection locked="0"/>
    </xf>
    <xf numFmtId="4" fontId="6" fillId="0" borderId="0" xfId="0" applyNumberFormat="1" applyFont="1" applyAlignment="1" applyProtection="1"/>
    <xf numFmtId="0" fontId="8" fillId="0" borderId="3" xfId="0" applyFont="1" applyBorder="1" applyAlignment="1"/>
    <xf numFmtId="0" fontId="8" fillId="0" borderId="14" xfId="0" applyFont="1" applyBorder="1" applyAlignment="1" applyProtection="1"/>
    <xf numFmtId="0" fontId="8" fillId="0" borderId="0" xfId="0" applyFont="1" applyBorder="1" applyAlignment="1" applyProtection="1"/>
    <xf numFmtId="166" fontId="8" fillId="0" borderId="0" xfId="0" applyNumberFormat="1" applyFont="1" applyBorder="1" applyAlignment="1" applyProtection="1"/>
    <xf numFmtId="166" fontId="8" fillId="0" borderId="15" xfId="0" applyNumberFormat="1" applyFont="1" applyBorder="1" applyAlignment="1" applyProtection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vertical="center"/>
    </xf>
    <xf numFmtId="0" fontId="7" fillId="0" borderId="0" xfId="0" applyFont="1" applyAlignment="1" applyProtection="1">
      <alignment horizontal="left"/>
    </xf>
    <xf numFmtId="4" fontId="7" fillId="0" borderId="0" xfId="0" applyNumberFormat="1" applyFont="1" applyAlignment="1" applyProtection="1"/>
    <xf numFmtId="0" fontId="22" fillId="0" borderId="22" xfId="0" applyFont="1" applyBorder="1" applyAlignment="1" applyProtection="1">
      <alignment horizontal="center" vertical="center"/>
    </xf>
    <xf numFmtId="49" fontId="22" fillId="0" borderId="22" xfId="0" applyNumberFormat="1" applyFont="1" applyBorder="1" applyAlignment="1" applyProtection="1">
      <alignment horizontal="left" vertical="center" wrapText="1"/>
    </xf>
    <xf numFmtId="0" fontId="22" fillId="0" borderId="22" xfId="0" applyFont="1" applyBorder="1" applyAlignment="1" applyProtection="1">
      <alignment horizontal="left" vertical="center" wrapText="1"/>
    </xf>
    <xf numFmtId="0" fontId="22" fillId="0" borderId="22" xfId="0" applyFont="1" applyBorder="1" applyAlignment="1" applyProtection="1">
      <alignment horizontal="center" vertical="center" wrapText="1"/>
    </xf>
    <xf numFmtId="167" fontId="22" fillId="0" borderId="22" xfId="0" applyNumberFormat="1" applyFont="1" applyBorder="1" applyAlignment="1" applyProtection="1">
      <alignment vertical="center"/>
    </xf>
    <xf numFmtId="4" fontId="22" fillId="2" borderId="22" xfId="0" applyNumberFormat="1" applyFont="1" applyFill="1" applyBorder="1" applyAlignment="1" applyProtection="1">
      <alignment vertical="center"/>
      <protection locked="0"/>
    </xf>
    <xf numFmtId="4" fontId="22" fillId="0" borderId="22" xfId="0" applyNumberFormat="1" applyFont="1" applyBorder="1" applyAlignment="1" applyProtection="1">
      <alignment vertical="center"/>
    </xf>
    <xf numFmtId="0" fontId="23" fillId="2" borderId="14" xfId="0" applyFont="1" applyFill="1" applyBorder="1" applyAlignment="1" applyProtection="1">
      <alignment horizontal="left" vertical="center"/>
      <protection locked="0"/>
    </xf>
    <xf numFmtId="0" fontId="23" fillId="0" borderId="0" xfId="0" applyFont="1" applyBorder="1" applyAlignment="1" applyProtection="1">
      <alignment horizontal="center" vertical="center"/>
    </xf>
    <xf numFmtId="166" fontId="23" fillId="0" borderId="0" xfId="0" applyNumberFormat="1" applyFont="1" applyBorder="1" applyAlignment="1" applyProtection="1">
      <alignment vertical="center"/>
    </xf>
    <xf numFmtId="166" fontId="23" fillId="0" borderId="15" xfId="0" applyNumberFormat="1" applyFont="1" applyBorder="1" applyAlignment="1" applyProtection="1">
      <alignment vertical="center"/>
    </xf>
    <xf numFmtId="0" fontId="22" fillId="0" borderId="0" xfId="0" applyFont="1" applyAlignment="1">
      <alignment horizontal="left" vertical="center"/>
    </xf>
    <xf numFmtId="4" fontId="0" fillId="0" borderId="0" xfId="0" applyNumberFormat="1" applyFont="1" applyAlignment="1">
      <alignment vertical="center"/>
    </xf>
    <xf numFmtId="0" fontId="35" fillId="0" borderId="0" xfId="0" applyFont="1" applyAlignment="1" applyProtection="1">
      <alignment horizontal="left" vertical="center"/>
    </xf>
    <xf numFmtId="0" fontId="36" fillId="0" borderId="0" xfId="1" applyFont="1" applyAlignment="1" applyProtection="1">
      <alignment vertical="center" wrapText="1"/>
    </xf>
    <xf numFmtId="0" fontId="0" fillId="0" borderId="0" xfId="0" applyFont="1" applyAlignment="1" applyProtection="1">
      <alignment vertical="center"/>
      <protection locked="0"/>
    </xf>
    <xf numFmtId="0" fontId="0" fillId="0" borderId="14" xfId="0" applyFont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9" fillId="0" borderId="3" xfId="0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37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 wrapText="1"/>
    </xf>
    <xf numFmtId="167" fontId="9" fillId="0" borderId="0" xfId="0" applyNumberFormat="1" applyFont="1" applyAlignment="1" applyProtection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9" fillId="0" borderId="15" xfId="0" applyFont="1" applyBorder="1" applyAlignment="1" applyProtection="1">
      <alignment vertical="center"/>
    </xf>
    <xf numFmtId="0" fontId="9" fillId="0" borderId="0" xfId="0" applyFont="1" applyAlignment="1">
      <alignment horizontal="left" vertical="center"/>
    </xf>
    <xf numFmtId="0" fontId="10" fillId="0" borderId="3" xfId="0" applyFont="1" applyBorder="1" applyAlignment="1" applyProtection="1">
      <alignment vertical="center"/>
    </xf>
    <xf numFmtId="0" fontId="10" fillId="0" borderId="0" xfId="0" applyFont="1" applyAlignment="1" applyProtection="1">
      <alignment vertical="center"/>
    </xf>
    <xf numFmtId="0" fontId="10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left" vertical="center" wrapText="1"/>
    </xf>
    <xf numFmtId="167" fontId="10" fillId="0" borderId="0" xfId="0" applyNumberFormat="1" applyFont="1" applyAlignment="1" applyProtection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3" xfId="0" applyFont="1" applyBorder="1" applyAlignment="1">
      <alignment vertical="center"/>
    </xf>
    <xf numFmtId="0" fontId="10" fillId="0" borderId="14" xfId="0" applyFont="1" applyBorder="1" applyAlignment="1" applyProtection="1">
      <alignment vertical="center"/>
    </xf>
    <xf numFmtId="0" fontId="10" fillId="0" borderId="0" xfId="0" applyFont="1" applyBorder="1" applyAlignment="1" applyProtection="1">
      <alignment vertical="center"/>
    </xf>
    <xf numFmtId="0" fontId="10" fillId="0" borderId="15" xfId="0" applyFont="1" applyBorder="1" applyAlignment="1" applyProtection="1">
      <alignment vertical="center"/>
    </xf>
    <xf numFmtId="0" fontId="10" fillId="0" borderId="0" xfId="0" applyFont="1" applyAlignment="1">
      <alignment horizontal="left" vertical="center"/>
    </xf>
    <xf numFmtId="0" fontId="11" fillId="0" borderId="3" xfId="0" applyFont="1" applyBorder="1" applyAlignment="1" applyProtection="1">
      <alignment vertical="center"/>
    </xf>
    <xf numFmtId="0" fontId="11" fillId="0" borderId="0" xfId="0" applyFont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11" fillId="0" borderId="0" xfId="0" applyFont="1" applyAlignment="1" applyProtection="1">
      <alignment horizontal="left" vertical="center" wrapText="1"/>
    </xf>
    <xf numFmtId="0" fontId="11" fillId="0" borderId="0" xfId="0" applyFont="1" applyAlignment="1" applyProtection="1">
      <alignment vertical="center"/>
      <protection locked="0"/>
    </xf>
    <xf numFmtId="0" fontId="11" fillId="0" borderId="3" xfId="0" applyFont="1" applyBorder="1" applyAlignment="1">
      <alignment vertical="center"/>
    </xf>
    <xf numFmtId="0" fontId="11" fillId="0" borderId="14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vertical="center"/>
    </xf>
    <xf numFmtId="0" fontId="11" fillId="0" borderId="15" xfId="0" applyFont="1" applyBorder="1" applyAlignment="1" applyProtection="1">
      <alignment vertical="center"/>
    </xf>
    <xf numFmtId="0" fontId="11" fillId="0" borderId="0" xfId="0" applyFont="1" applyAlignment="1">
      <alignment horizontal="left" vertical="center"/>
    </xf>
    <xf numFmtId="0" fontId="38" fillId="0" borderId="22" xfId="0" applyFont="1" applyBorder="1" applyAlignment="1" applyProtection="1">
      <alignment horizontal="center" vertical="center"/>
    </xf>
    <xf numFmtId="49" fontId="38" fillId="0" borderId="22" xfId="0" applyNumberFormat="1" applyFont="1" applyBorder="1" applyAlignment="1" applyProtection="1">
      <alignment horizontal="left" vertical="center" wrapText="1"/>
    </xf>
    <xf numFmtId="0" fontId="38" fillId="0" borderId="22" xfId="0" applyFont="1" applyBorder="1" applyAlignment="1" applyProtection="1">
      <alignment horizontal="left" vertical="center" wrapText="1"/>
    </xf>
    <xf numFmtId="0" fontId="38" fillId="0" borderId="22" xfId="0" applyFont="1" applyBorder="1" applyAlignment="1" applyProtection="1">
      <alignment horizontal="center" vertical="center" wrapText="1"/>
    </xf>
    <xf numFmtId="167" fontId="38" fillId="0" borderId="22" xfId="0" applyNumberFormat="1" applyFont="1" applyBorder="1" applyAlignment="1" applyProtection="1">
      <alignment vertical="center"/>
    </xf>
    <xf numFmtId="4" fontId="38" fillId="2" borderId="22" xfId="0" applyNumberFormat="1" applyFont="1" applyFill="1" applyBorder="1" applyAlignment="1" applyProtection="1">
      <alignment vertical="center"/>
      <protection locked="0"/>
    </xf>
    <xf numFmtId="4" fontId="38" fillId="0" borderId="22" xfId="0" applyNumberFormat="1" applyFont="1" applyBorder="1" applyAlignment="1" applyProtection="1">
      <alignment vertical="center"/>
    </xf>
    <xf numFmtId="0" fontId="39" fillId="0" borderId="3" xfId="0" applyFont="1" applyBorder="1" applyAlignment="1">
      <alignment vertical="center"/>
    </xf>
    <xf numFmtId="0" fontId="38" fillId="2" borderId="14" xfId="0" applyFont="1" applyFill="1" applyBorder="1" applyAlignment="1" applyProtection="1">
      <alignment horizontal="left" vertical="center"/>
      <protection locked="0"/>
    </xf>
    <xf numFmtId="0" fontId="38" fillId="0" borderId="0" xfId="0" applyFont="1" applyBorder="1" applyAlignment="1" applyProtection="1">
      <alignment horizontal="center" vertical="center"/>
    </xf>
    <xf numFmtId="0" fontId="12" fillId="0" borderId="3" xfId="0" applyFont="1" applyBorder="1" applyAlignment="1" applyProtection="1">
      <alignment vertical="center"/>
    </xf>
    <xf numFmtId="0" fontId="12" fillId="0" borderId="0" xfId="0" applyFont="1" applyAlignment="1" applyProtection="1">
      <alignment vertical="center"/>
    </xf>
    <xf numFmtId="0" fontId="12" fillId="0" borderId="0" xfId="0" applyFont="1" applyAlignment="1" applyProtection="1">
      <alignment horizontal="left" vertical="center"/>
    </xf>
    <xf numFmtId="0" fontId="12" fillId="0" borderId="0" xfId="0" applyFont="1" applyAlignment="1" applyProtection="1">
      <alignment horizontal="left" vertical="center" wrapText="1"/>
    </xf>
    <xf numFmtId="167" fontId="12" fillId="0" borderId="0" xfId="0" applyNumberFormat="1" applyFont="1" applyAlignment="1" applyProtection="1">
      <alignment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3" xfId="0" applyFont="1" applyBorder="1" applyAlignment="1">
      <alignment vertical="center"/>
    </xf>
    <xf numFmtId="0" fontId="12" fillId="0" borderId="14" xfId="0" applyFont="1" applyBorder="1" applyAlignment="1" applyProtection="1">
      <alignment vertical="center"/>
    </xf>
    <xf numFmtId="0" fontId="12" fillId="0" borderId="0" xfId="0" applyFont="1" applyBorder="1" applyAlignment="1" applyProtection="1">
      <alignment vertical="center"/>
    </xf>
    <xf numFmtId="0" fontId="12" fillId="0" borderId="15" xfId="0" applyFont="1" applyBorder="1" applyAlignment="1" applyProtection="1">
      <alignment vertical="center"/>
    </xf>
    <xf numFmtId="0" fontId="12" fillId="0" borderId="0" xfId="0" applyFont="1" applyAlignment="1">
      <alignment horizontal="left" vertical="center"/>
    </xf>
    <xf numFmtId="0" fontId="40" fillId="0" borderId="0" xfId="0" applyFont="1" applyAlignment="1" applyProtection="1">
      <alignment vertical="center" wrapText="1"/>
    </xf>
    <xf numFmtId="0" fontId="22" fillId="5" borderId="22" xfId="0" applyFont="1" applyFill="1" applyBorder="1" applyAlignment="1" applyProtection="1">
      <alignment horizontal="center" vertical="center"/>
    </xf>
    <xf numFmtId="0" fontId="0" fillId="0" borderId="19" xfId="0" applyFont="1" applyBorder="1" applyAlignment="1" applyProtection="1">
      <alignment vertical="center"/>
    </xf>
    <xf numFmtId="0" fontId="0" fillId="0" borderId="20" xfId="0" applyBorder="1" applyAlignment="1" applyProtection="1">
      <alignment vertical="center"/>
    </xf>
    <xf numFmtId="0" fontId="0" fillId="0" borderId="20" xfId="0" applyFont="1" applyBorder="1" applyAlignment="1" applyProtection="1">
      <alignment vertical="center"/>
    </xf>
    <xf numFmtId="0" fontId="0" fillId="0" borderId="21" xfId="0" applyFont="1" applyBorder="1" applyAlignment="1" applyProtection="1">
      <alignment vertical="center"/>
    </xf>
    <xf numFmtId="167" fontId="22" fillId="2" borderId="22" xfId="0" applyNumberFormat="1" applyFont="1" applyFill="1" applyBorder="1" applyAlignment="1" applyProtection="1">
      <alignment vertical="center"/>
      <protection locked="0"/>
    </xf>
    <xf numFmtId="0" fontId="9" fillId="0" borderId="19" xfId="0" applyFont="1" applyBorder="1" applyAlignment="1" applyProtection="1">
      <alignment vertical="center"/>
    </xf>
    <xf numFmtId="0" fontId="9" fillId="0" borderId="20" xfId="0" applyFont="1" applyBorder="1" applyAlignment="1" applyProtection="1">
      <alignment vertical="center"/>
    </xf>
    <xf numFmtId="0" fontId="9" fillId="0" borderId="21" xfId="0" applyFont="1" applyBorder="1" applyAlignment="1" applyProtection="1">
      <alignment vertical="center"/>
    </xf>
    <xf numFmtId="0" fontId="23" fillId="2" borderId="19" xfId="0" applyFont="1" applyFill="1" applyBorder="1" applyAlignment="1" applyProtection="1">
      <alignment horizontal="left" vertical="center"/>
      <protection locked="0"/>
    </xf>
    <xf numFmtId="0" fontId="23" fillId="0" borderId="20" xfId="0" applyFont="1" applyBorder="1" applyAlignment="1" applyProtection="1">
      <alignment horizontal="center" vertical="center"/>
    </xf>
    <xf numFmtId="166" fontId="23" fillId="0" borderId="20" xfId="0" applyNumberFormat="1" applyFont="1" applyBorder="1" applyAlignment="1" applyProtection="1">
      <alignment vertical="center"/>
    </xf>
    <xf numFmtId="166" fontId="23" fillId="0" borderId="21" xfId="0" applyNumberFormat="1" applyFont="1" applyBorder="1" applyAlignment="1" applyProtection="1">
      <alignment vertical="center"/>
    </xf>
    <xf numFmtId="0" fontId="22" fillId="6" borderId="22" xfId="0" applyFont="1" applyFill="1" applyBorder="1" applyAlignment="1" applyProtection="1">
      <alignment horizontal="center" vertical="center"/>
    </xf>
    <xf numFmtId="0" fontId="38" fillId="5" borderId="22" xfId="0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3" xfId="0" applyFont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1" fillId="0" borderId="16" xfId="0" applyFont="1" applyBorder="1" applyAlignment="1">
      <alignment horizontal="left" vertical="center" wrapText="1"/>
    </xf>
    <xf numFmtId="0" fontId="41" fillId="0" borderId="22" xfId="0" applyFont="1" applyBorder="1" applyAlignment="1">
      <alignment horizontal="left" vertical="center" wrapText="1"/>
    </xf>
    <xf numFmtId="0" fontId="41" fillId="0" borderId="22" xfId="0" applyFont="1" applyBorder="1" applyAlignment="1">
      <alignment horizontal="left" vertical="center"/>
    </xf>
    <xf numFmtId="167" fontId="41" fillId="0" borderId="18" xfId="0" applyNumberFormat="1" applyFont="1" applyBorder="1" applyAlignment="1">
      <alignment vertical="center"/>
    </xf>
    <xf numFmtId="0" fontId="0" fillId="0" borderId="0" xfId="0" applyFont="1" applyAlignment="1">
      <alignment horizontal="left" vertical="center" wrapText="1"/>
    </xf>
    <xf numFmtId="167" fontId="0" fillId="0" borderId="0" xfId="0" applyNumberFormat="1" applyFont="1" applyAlignment="1">
      <alignment vertical="center"/>
    </xf>
    <xf numFmtId="0" fontId="34" fillId="0" borderId="0" xfId="0" applyFont="1" applyAlignment="1">
      <alignment horizontal="left" vertical="center"/>
    </xf>
  </cellXfs>
  <cellStyles count="2">
    <cellStyle name="Normal" xfId="0" builtinId="0" customBuiltin="1"/>
    <cellStyle name="Hyperlink" xfId="1" builtinId="8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styles" Target="styles.xml" /><Relationship Id="rId14" Type="http://schemas.openxmlformats.org/officeDocument/2006/relationships/theme" Target="theme/theme1.xml" /><Relationship Id="rId15" Type="http://schemas.openxmlformats.org/officeDocument/2006/relationships/calcChain" Target="calcChain.xml" /><Relationship Id="rId16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1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_rels/drawing12.xml.rels>&#65279;<?xml version="1.0" encoding="utf-8"?><Relationships xmlns="http://schemas.openxmlformats.org/package/2006/relationships"><Relationship Id="rId1" Type="http://schemas.openxmlformats.org/officeDocument/2006/relationships/hyperlink" Target="http://www.urs.cz/software-a-data/kros-4-ocenovani-a-rizeni-stavebni-vyroby/" TargetMode="External" /><Relationship Id="rId2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286385" cy="286385"/>
    <xdr:pic>
      <xdr:nvPicPr>
        <xdr:cNvPr id="2" name="Picture 1">
          <a:hlinkClick xmlns:r="http://schemas.openxmlformats.org/officeDocument/2006/relationships" r:id="rId1" tooltip="http://www.urs.cz/software-a-data/kros-4-ocenovani-a-rizeni-stavebni-vyroby/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2/122351104" TargetMode="External" /><Relationship Id="rId2" Type="http://schemas.openxmlformats.org/officeDocument/2006/relationships/hyperlink" Target="https://podminky.urs.cz/item/CS_URS_2023_02/131351100" TargetMode="External" /><Relationship Id="rId3" Type="http://schemas.openxmlformats.org/officeDocument/2006/relationships/hyperlink" Target="https://podminky.urs.cz/item/CS_URS_2023_02/162351103" TargetMode="External" /><Relationship Id="rId4" Type="http://schemas.openxmlformats.org/officeDocument/2006/relationships/hyperlink" Target="https://podminky.urs.cz/item/CS_URS_2023_02/162751117" TargetMode="External" /><Relationship Id="rId5" Type="http://schemas.openxmlformats.org/officeDocument/2006/relationships/hyperlink" Target="https://podminky.urs.cz/item/CS_URS_2023_02/162751119" TargetMode="External" /><Relationship Id="rId6" Type="http://schemas.openxmlformats.org/officeDocument/2006/relationships/hyperlink" Target="https://podminky.urs.cz/item/CS_URS_2023_02/167151111" TargetMode="External" /><Relationship Id="rId7" Type="http://schemas.openxmlformats.org/officeDocument/2006/relationships/hyperlink" Target="https://podminky.urs.cz/item/CS_URS_2023_02/171201231" TargetMode="External" /><Relationship Id="rId8" Type="http://schemas.openxmlformats.org/officeDocument/2006/relationships/hyperlink" Target="https://podminky.urs.cz/item/CS_URS_2023_02/174151101" TargetMode="External" /><Relationship Id="rId9" Type="http://schemas.openxmlformats.org/officeDocument/2006/relationships/hyperlink" Target="https://podminky.urs.cz/item/CS_URS_2023_02/174151102" TargetMode="External" /><Relationship Id="rId10" Type="http://schemas.openxmlformats.org/officeDocument/2006/relationships/hyperlink" Target="https://podminky.urs.cz/item/CS_URS_2023_02/181951112" TargetMode="External" /><Relationship Id="rId11" Type="http://schemas.openxmlformats.org/officeDocument/2006/relationships/hyperlink" Target="https://podminky.urs.cz/item/CS_URS_2023_02/226112114" TargetMode="External" /><Relationship Id="rId12" Type="http://schemas.openxmlformats.org/officeDocument/2006/relationships/hyperlink" Target="https://podminky.urs.cz/item/CS_URS_2023_02/231112112" TargetMode="External" /><Relationship Id="rId13" Type="http://schemas.openxmlformats.org/officeDocument/2006/relationships/hyperlink" Target="https://podminky.urs.cz/item/CS_URS_2023_02/231611114" TargetMode="External" /><Relationship Id="rId14" Type="http://schemas.openxmlformats.org/officeDocument/2006/relationships/hyperlink" Target="https://podminky.urs.cz/item/CS_URS_2023_02/271532212" TargetMode="External" /><Relationship Id="rId15" Type="http://schemas.openxmlformats.org/officeDocument/2006/relationships/hyperlink" Target="https://podminky.urs.cz/item/CS_URS_2023_02/273321211" TargetMode="External" /><Relationship Id="rId16" Type="http://schemas.openxmlformats.org/officeDocument/2006/relationships/hyperlink" Target="https://podminky.urs.cz/item/CS_URS_2023_02/273321611" TargetMode="External" /><Relationship Id="rId17" Type="http://schemas.openxmlformats.org/officeDocument/2006/relationships/hyperlink" Target="https://podminky.urs.cz/item/CS_URS_2023_02/273351121" TargetMode="External" /><Relationship Id="rId18" Type="http://schemas.openxmlformats.org/officeDocument/2006/relationships/hyperlink" Target="https://podminky.urs.cz/item/CS_URS_2023_02/273351122" TargetMode="External" /><Relationship Id="rId19" Type="http://schemas.openxmlformats.org/officeDocument/2006/relationships/hyperlink" Target="https://podminky.urs.cz/item/CS_URS_2023_02/273362021" TargetMode="External" /><Relationship Id="rId20" Type="http://schemas.openxmlformats.org/officeDocument/2006/relationships/hyperlink" Target="https://podminky.urs.cz/item/CS_URS_2023_02/274321611" TargetMode="External" /><Relationship Id="rId21" Type="http://schemas.openxmlformats.org/officeDocument/2006/relationships/hyperlink" Target="https://podminky.urs.cz/item/CS_URS_2023_02/274351121" TargetMode="External" /><Relationship Id="rId22" Type="http://schemas.openxmlformats.org/officeDocument/2006/relationships/hyperlink" Target="https://podminky.urs.cz/item/CS_URS_2023_02/274351122" TargetMode="External" /><Relationship Id="rId23" Type="http://schemas.openxmlformats.org/officeDocument/2006/relationships/hyperlink" Target="https://podminky.urs.cz/item/CS_URS_2023_02/274361821" TargetMode="External" /><Relationship Id="rId24" Type="http://schemas.openxmlformats.org/officeDocument/2006/relationships/hyperlink" Target="https://podminky.urs.cz/item/CS_URS_2023_02/275322611" TargetMode="External" /><Relationship Id="rId25" Type="http://schemas.openxmlformats.org/officeDocument/2006/relationships/hyperlink" Target="https://podminky.urs.cz/item/CS_URS_2023_02/275351121" TargetMode="External" /><Relationship Id="rId26" Type="http://schemas.openxmlformats.org/officeDocument/2006/relationships/hyperlink" Target="https://podminky.urs.cz/item/CS_URS_2023_02/275351122" TargetMode="External" /><Relationship Id="rId27" Type="http://schemas.openxmlformats.org/officeDocument/2006/relationships/hyperlink" Target="https://podminky.urs.cz/item/CS_URS_2023_02/275361821" TargetMode="External" /><Relationship Id="rId28" Type="http://schemas.openxmlformats.org/officeDocument/2006/relationships/hyperlink" Target="https://podminky.urs.cz/item/CS_URS_2023_02/311101214" TargetMode="External" /><Relationship Id="rId29" Type="http://schemas.openxmlformats.org/officeDocument/2006/relationships/hyperlink" Target="https://podminky.urs.cz/item/CS_URS_2023_02/311101215" TargetMode="External" /><Relationship Id="rId30" Type="http://schemas.openxmlformats.org/officeDocument/2006/relationships/hyperlink" Target="https://podminky.urs.cz/item/CS_URS_2023_02/311272211" TargetMode="External" /><Relationship Id="rId31" Type="http://schemas.openxmlformats.org/officeDocument/2006/relationships/hyperlink" Target="https://podminky.urs.cz/item/CS_URS_2023_02/311272311" TargetMode="External" /><Relationship Id="rId32" Type="http://schemas.openxmlformats.org/officeDocument/2006/relationships/hyperlink" Target="https://podminky.urs.cz/item/CS_URS_2023_02/317168012" TargetMode="External" /><Relationship Id="rId33" Type="http://schemas.openxmlformats.org/officeDocument/2006/relationships/hyperlink" Target="https://podminky.urs.cz/item/CS_URS_2023_02/317168017" TargetMode="External" /><Relationship Id="rId34" Type="http://schemas.openxmlformats.org/officeDocument/2006/relationships/hyperlink" Target="https://podminky.urs.cz/item/CS_URS_2023_02/330321611" TargetMode="External" /><Relationship Id="rId35" Type="http://schemas.openxmlformats.org/officeDocument/2006/relationships/hyperlink" Target="https://podminky.urs.cz/item/CS_URS_2023_02/332351115" TargetMode="External" /><Relationship Id="rId36" Type="http://schemas.openxmlformats.org/officeDocument/2006/relationships/hyperlink" Target="https://podminky.urs.cz/item/CS_URS_2023_02/332351116" TargetMode="External" /><Relationship Id="rId37" Type="http://schemas.openxmlformats.org/officeDocument/2006/relationships/hyperlink" Target="https://podminky.urs.cz/item/CS_URS_2023_02/332361821" TargetMode="External" /><Relationship Id="rId38" Type="http://schemas.openxmlformats.org/officeDocument/2006/relationships/hyperlink" Target="https://podminky.urs.cz/item/CS_URS_2023_02/341321610" TargetMode="External" /><Relationship Id="rId39" Type="http://schemas.openxmlformats.org/officeDocument/2006/relationships/hyperlink" Target="https://podminky.urs.cz/item/CS_URS_2023_02/341351111" TargetMode="External" /><Relationship Id="rId40" Type="http://schemas.openxmlformats.org/officeDocument/2006/relationships/hyperlink" Target="https://podminky.urs.cz/item/CS_URS_2023_02/341351112" TargetMode="External" /><Relationship Id="rId41" Type="http://schemas.openxmlformats.org/officeDocument/2006/relationships/hyperlink" Target="https://podminky.urs.cz/item/CS_URS_2023_02/341361821" TargetMode="External" /><Relationship Id="rId42" Type="http://schemas.openxmlformats.org/officeDocument/2006/relationships/hyperlink" Target="https://podminky.urs.cz/item/CS_URS_2023_02/342244201" TargetMode="External" /><Relationship Id="rId43" Type="http://schemas.openxmlformats.org/officeDocument/2006/relationships/hyperlink" Target="https://podminky.urs.cz/item/CS_URS_2023_02/342244221" TargetMode="External" /><Relationship Id="rId44" Type="http://schemas.openxmlformats.org/officeDocument/2006/relationships/hyperlink" Target="https://podminky.urs.cz/item/CS_URS_2023_02/411321616" TargetMode="External" /><Relationship Id="rId45" Type="http://schemas.openxmlformats.org/officeDocument/2006/relationships/hyperlink" Target="https://podminky.urs.cz/item/CS_URS_2023_02/411351021" TargetMode="External" /><Relationship Id="rId46" Type="http://schemas.openxmlformats.org/officeDocument/2006/relationships/hyperlink" Target="https://podminky.urs.cz/item/CS_URS_2023_02/411351022" TargetMode="External" /><Relationship Id="rId47" Type="http://schemas.openxmlformats.org/officeDocument/2006/relationships/hyperlink" Target="https://podminky.urs.cz/item/CS_URS_2023_02/411354315" TargetMode="External" /><Relationship Id="rId48" Type="http://schemas.openxmlformats.org/officeDocument/2006/relationships/hyperlink" Target="https://podminky.urs.cz/item/CS_URS_2023_02/411354316" TargetMode="External" /><Relationship Id="rId49" Type="http://schemas.openxmlformats.org/officeDocument/2006/relationships/hyperlink" Target="https://podminky.urs.cz/item/CS_URS_2023_02/411361821" TargetMode="External" /><Relationship Id="rId50" Type="http://schemas.openxmlformats.org/officeDocument/2006/relationships/hyperlink" Target="https://podminky.urs.cz/item/CS_URS_2023_02/417351115" TargetMode="External" /><Relationship Id="rId51" Type="http://schemas.openxmlformats.org/officeDocument/2006/relationships/hyperlink" Target="https://podminky.urs.cz/item/CS_URS_2023_02/417351116" TargetMode="External" /><Relationship Id="rId52" Type="http://schemas.openxmlformats.org/officeDocument/2006/relationships/hyperlink" Target="https://podminky.urs.cz/item/CS_URS_2023_02/611321341" TargetMode="External" /><Relationship Id="rId53" Type="http://schemas.openxmlformats.org/officeDocument/2006/relationships/hyperlink" Target="https://podminky.urs.cz/item/CS_URS_2023_02/611321391" TargetMode="External" /><Relationship Id="rId54" Type="http://schemas.openxmlformats.org/officeDocument/2006/relationships/hyperlink" Target="https://podminky.urs.cz/item/CS_URS_2023_02/612321321" TargetMode="External" /><Relationship Id="rId55" Type="http://schemas.openxmlformats.org/officeDocument/2006/relationships/hyperlink" Target="https://podminky.urs.cz/item/CS_URS_2023_02/612321341" TargetMode="External" /><Relationship Id="rId56" Type="http://schemas.openxmlformats.org/officeDocument/2006/relationships/hyperlink" Target="https://podminky.urs.cz/item/CS_URS_2023_02/612321391" TargetMode="External" /><Relationship Id="rId57" Type="http://schemas.openxmlformats.org/officeDocument/2006/relationships/hyperlink" Target="https://podminky.urs.cz/item/CS_URS_2023_02/622151021" TargetMode="External" /><Relationship Id="rId58" Type="http://schemas.openxmlformats.org/officeDocument/2006/relationships/hyperlink" Target="https://podminky.urs.cz/item/CS_URS_2023_02/622151031" TargetMode="External" /><Relationship Id="rId59" Type="http://schemas.openxmlformats.org/officeDocument/2006/relationships/hyperlink" Target="https://podminky.urs.cz/item/CS_URS_2023_02/622211031" TargetMode="External" /><Relationship Id="rId60" Type="http://schemas.openxmlformats.org/officeDocument/2006/relationships/hyperlink" Target="https://podminky.urs.cz/item/CS_URS_2023_02/622252001" TargetMode="External" /><Relationship Id="rId61" Type="http://schemas.openxmlformats.org/officeDocument/2006/relationships/hyperlink" Target="https://podminky.urs.cz/item/CS_URS_2023_02/622252002" TargetMode="External" /><Relationship Id="rId62" Type="http://schemas.openxmlformats.org/officeDocument/2006/relationships/hyperlink" Target="https://podminky.urs.cz/item/CS_URS_2023_02/622511112" TargetMode="External" /><Relationship Id="rId63" Type="http://schemas.openxmlformats.org/officeDocument/2006/relationships/hyperlink" Target="https://podminky.urs.cz/item/CS_URS_2023_02/622531012" TargetMode="External" /><Relationship Id="rId64" Type="http://schemas.openxmlformats.org/officeDocument/2006/relationships/hyperlink" Target="https://podminky.urs.cz/item/CS_URS_2023_02/631311115" TargetMode="External" /><Relationship Id="rId65" Type="http://schemas.openxmlformats.org/officeDocument/2006/relationships/hyperlink" Target="https://podminky.urs.cz/item/CS_URS_2023_02/631362021" TargetMode="External" /><Relationship Id="rId66" Type="http://schemas.openxmlformats.org/officeDocument/2006/relationships/hyperlink" Target="https://podminky.urs.cz/item/CS_URS_2023_02/632451024" TargetMode="External" /><Relationship Id="rId67" Type="http://schemas.openxmlformats.org/officeDocument/2006/relationships/hyperlink" Target="https://podminky.urs.cz/item/CS_URS_2023_02/941211112" TargetMode="External" /><Relationship Id="rId68" Type="http://schemas.openxmlformats.org/officeDocument/2006/relationships/hyperlink" Target="https://podminky.urs.cz/item/CS_URS_2023_02/941211212" TargetMode="External" /><Relationship Id="rId69" Type="http://schemas.openxmlformats.org/officeDocument/2006/relationships/hyperlink" Target="https://podminky.urs.cz/item/CS_URS_2023_02/941211812" TargetMode="External" /><Relationship Id="rId70" Type="http://schemas.openxmlformats.org/officeDocument/2006/relationships/hyperlink" Target="https://podminky.urs.cz/item/CS_URS_2023_02/943211111" TargetMode="External" /><Relationship Id="rId71" Type="http://schemas.openxmlformats.org/officeDocument/2006/relationships/hyperlink" Target="https://podminky.urs.cz/item/CS_URS_2023_02/943211211" TargetMode="External" /><Relationship Id="rId72" Type="http://schemas.openxmlformats.org/officeDocument/2006/relationships/hyperlink" Target="https://podminky.urs.cz/item/CS_URS_2023_02/943211811" TargetMode="External" /><Relationship Id="rId73" Type="http://schemas.openxmlformats.org/officeDocument/2006/relationships/hyperlink" Target="https://podminky.urs.cz/item/CS_URS_2023_02/949101111" TargetMode="External" /><Relationship Id="rId74" Type="http://schemas.openxmlformats.org/officeDocument/2006/relationships/hyperlink" Target="https://podminky.urs.cz/item/CS_URS_2023_02/952901111" TargetMode="External" /><Relationship Id="rId75" Type="http://schemas.openxmlformats.org/officeDocument/2006/relationships/hyperlink" Target="https://podminky.urs.cz/item/CS_URS_2023_02/952901114" TargetMode="External" /><Relationship Id="rId76" Type="http://schemas.openxmlformats.org/officeDocument/2006/relationships/hyperlink" Target="https://podminky.urs.cz/item/CS_URS_2023_02/953312115" TargetMode="External" /><Relationship Id="rId77" Type="http://schemas.openxmlformats.org/officeDocument/2006/relationships/hyperlink" Target="https://podminky.urs.cz/item/CS_URS_2023_02/441171121" TargetMode="External" /><Relationship Id="rId78" Type="http://schemas.openxmlformats.org/officeDocument/2006/relationships/hyperlink" Target="https://podminky.urs.cz/item/CS_URS_2023_02/441171151" TargetMode="External" /><Relationship Id="rId79" Type="http://schemas.openxmlformats.org/officeDocument/2006/relationships/hyperlink" Target="https://podminky.urs.cz/item/CS_URS_2023_02/441171112" TargetMode="External" /><Relationship Id="rId80" Type="http://schemas.openxmlformats.org/officeDocument/2006/relationships/hyperlink" Target="https://podminky.urs.cz/item/CS_URS_2023_02/441171113" TargetMode="External" /><Relationship Id="rId81" Type="http://schemas.openxmlformats.org/officeDocument/2006/relationships/hyperlink" Target="https://podminky.urs.cz/item/CS_URS_2023_02/441171121" TargetMode="External" /><Relationship Id="rId82" Type="http://schemas.openxmlformats.org/officeDocument/2006/relationships/hyperlink" Target="https://podminky.urs.cz/item/CS_URS_2023_02/441171111" TargetMode="External" /><Relationship Id="rId83" Type="http://schemas.openxmlformats.org/officeDocument/2006/relationships/hyperlink" Target="https://podminky.urs.cz/item/CS_URS_2023_02/441171141" TargetMode="External" /><Relationship Id="rId84" Type="http://schemas.openxmlformats.org/officeDocument/2006/relationships/hyperlink" Target="https://podminky.urs.cz/item/CS_URS_2023_02/953943211" TargetMode="External" /><Relationship Id="rId85" Type="http://schemas.openxmlformats.org/officeDocument/2006/relationships/hyperlink" Target="https://podminky.urs.cz/item/CS_URS_2023_02/953962113" TargetMode="External" /><Relationship Id="rId86" Type="http://schemas.openxmlformats.org/officeDocument/2006/relationships/hyperlink" Target="https://podminky.urs.cz/item/CS_URS_2023_02/953965124" TargetMode="External" /><Relationship Id="rId87" Type="http://schemas.openxmlformats.org/officeDocument/2006/relationships/hyperlink" Target="https://podminky.urs.cz/item/CS_URS_2023_02/998012102" TargetMode="External" /><Relationship Id="rId88" Type="http://schemas.openxmlformats.org/officeDocument/2006/relationships/hyperlink" Target="https://podminky.urs.cz/item/CS_URS_2023_02/711111001" TargetMode="External" /><Relationship Id="rId89" Type="http://schemas.openxmlformats.org/officeDocument/2006/relationships/hyperlink" Target="https://podminky.urs.cz/item/CS_URS_2023_02/711112001" TargetMode="External" /><Relationship Id="rId90" Type="http://schemas.openxmlformats.org/officeDocument/2006/relationships/hyperlink" Target="https://podminky.urs.cz/item/CS_URS_2023_02/711141559" TargetMode="External" /><Relationship Id="rId91" Type="http://schemas.openxmlformats.org/officeDocument/2006/relationships/hyperlink" Target="https://podminky.urs.cz/item/CS_URS_2023_02/711142559" TargetMode="External" /><Relationship Id="rId92" Type="http://schemas.openxmlformats.org/officeDocument/2006/relationships/hyperlink" Target="https://podminky.urs.cz/item/CS_URS_2023_02/711161273" TargetMode="External" /><Relationship Id="rId93" Type="http://schemas.openxmlformats.org/officeDocument/2006/relationships/hyperlink" Target="https://podminky.urs.cz/item/CS_URS_2023_02/998711102" TargetMode="External" /><Relationship Id="rId94" Type="http://schemas.openxmlformats.org/officeDocument/2006/relationships/hyperlink" Target="https://podminky.urs.cz/item/CS_URS_2023_02/713121111" TargetMode="External" /><Relationship Id="rId95" Type="http://schemas.openxmlformats.org/officeDocument/2006/relationships/hyperlink" Target="https://podminky.urs.cz/item/CS_URS_2023_02/713131141" TargetMode="External" /><Relationship Id="rId96" Type="http://schemas.openxmlformats.org/officeDocument/2006/relationships/hyperlink" Target="https://podminky.urs.cz/item/CS_URS_2023_02/713131172" TargetMode="External" /><Relationship Id="rId97" Type="http://schemas.openxmlformats.org/officeDocument/2006/relationships/hyperlink" Target="https://podminky.urs.cz/item/CS_URS_2023_02/713151165" TargetMode="External" /><Relationship Id="rId98" Type="http://schemas.openxmlformats.org/officeDocument/2006/relationships/hyperlink" Target="https://podminky.urs.cz/item/CS_URS_2023_02/713191115" TargetMode="External" /><Relationship Id="rId99" Type="http://schemas.openxmlformats.org/officeDocument/2006/relationships/hyperlink" Target="https://podminky.urs.cz/item/CS_URS_2023_02/713191132" TargetMode="External" /><Relationship Id="rId100" Type="http://schemas.openxmlformats.org/officeDocument/2006/relationships/hyperlink" Target="https://podminky.urs.cz/item/CS_URS_2023_02/998713102" TargetMode="External" /><Relationship Id="rId101" Type="http://schemas.openxmlformats.org/officeDocument/2006/relationships/hyperlink" Target="https://podminky.urs.cz/item/CS_URS_2023_02/722254116" TargetMode="External" /><Relationship Id="rId102" Type="http://schemas.openxmlformats.org/officeDocument/2006/relationships/hyperlink" Target="https://podminky.urs.cz/item/CS_URS_2023_02/762083111" TargetMode="External" /><Relationship Id="rId103" Type="http://schemas.openxmlformats.org/officeDocument/2006/relationships/hyperlink" Target="https://podminky.urs.cz/item/CS_URS_2023_02/762332141" TargetMode="External" /><Relationship Id="rId104" Type="http://schemas.openxmlformats.org/officeDocument/2006/relationships/hyperlink" Target="https://podminky.urs.cz/item/CS_URS_2023_02/762341026" TargetMode="External" /><Relationship Id="rId105" Type="http://schemas.openxmlformats.org/officeDocument/2006/relationships/hyperlink" Target="https://podminky.urs.cz/item/CS_URS_2023_02/762342214" TargetMode="External" /><Relationship Id="rId106" Type="http://schemas.openxmlformats.org/officeDocument/2006/relationships/hyperlink" Target="https://podminky.urs.cz/item/CS_URS_2023_02/762342523" TargetMode="External" /><Relationship Id="rId107" Type="http://schemas.openxmlformats.org/officeDocument/2006/relationships/hyperlink" Target="https://podminky.urs.cz/item/CS_URS_2023_02/762395000" TargetMode="External" /><Relationship Id="rId108" Type="http://schemas.openxmlformats.org/officeDocument/2006/relationships/hyperlink" Target="https://podminky.urs.cz/item/CS_URS_2023_02/762951015" TargetMode="External" /><Relationship Id="rId109" Type="http://schemas.openxmlformats.org/officeDocument/2006/relationships/hyperlink" Target="https://podminky.urs.cz/item/CS_URS_2023_02/762951103" TargetMode="External" /><Relationship Id="rId110" Type="http://schemas.openxmlformats.org/officeDocument/2006/relationships/hyperlink" Target="https://podminky.urs.cz/item/CS_URS_2023_02/762952046" TargetMode="External" /><Relationship Id="rId111" Type="http://schemas.openxmlformats.org/officeDocument/2006/relationships/hyperlink" Target="https://podminky.urs.cz/item/CS_URS_2023_02/762952111" TargetMode="External" /><Relationship Id="rId112" Type="http://schemas.openxmlformats.org/officeDocument/2006/relationships/hyperlink" Target="https://podminky.urs.cz/item/CS_URS_2023_02/998762102" TargetMode="External" /><Relationship Id="rId113" Type="http://schemas.openxmlformats.org/officeDocument/2006/relationships/hyperlink" Target="https://podminky.urs.cz/item/CS_URS_2023_02/763131414" TargetMode="External" /><Relationship Id="rId114" Type="http://schemas.openxmlformats.org/officeDocument/2006/relationships/hyperlink" Target="https://podminky.urs.cz/item/CS_URS_2023_02/763131432" TargetMode="External" /><Relationship Id="rId115" Type="http://schemas.openxmlformats.org/officeDocument/2006/relationships/hyperlink" Target="https://podminky.urs.cz/item/CS_URS_2023_02/763131451" TargetMode="External" /><Relationship Id="rId116" Type="http://schemas.openxmlformats.org/officeDocument/2006/relationships/hyperlink" Target="https://podminky.urs.cz/item/CS_URS_2023_02/763131714" TargetMode="External" /><Relationship Id="rId117" Type="http://schemas.openxmlformats.org/officeDocument/2006/relationships/hyperlink" Target="https://podminky.urs.cz/item/CS_URS_2023_02/763131722" TargetMode="External" /><Relationship Id="rId118" Type="http://schemas.openxmlformats.org/officeDocument/2006/relationships/hyperlink" Target="https://podminky.urs.cz/item/CS_URS_2023_02/763164556" TargetMode="External" /><Relationship Id="rId119" Type="http://schemas.openxmlformats.org/officeDocument/2006/relationships/hyperlink" Target="https://podminky.urs.cz/item/CS_URS_2023_02/998763302" TargetMode="External" /><Relationship Id="rId120" Type="http://schemas.openxmlformats.org/officeDocument/2006/relationships/hyperlink" Target="https://podminky.urs.cz/item/CS_URS_2023_02/764011613" TargetMode="External" /><Relationship Id="rId121" Type="http://schemas.openxmlformats.org/officeDocument/2006/relationships/hyperlink" Target="https://podminky.urs.cz/item/CS_URS_2023_02/764211623" TargetMode="External" /><Relationship Id="rId122" Type="http://schemas.openxmlformats.org/officeDocument/2006/relationships/hyperlink" Target="https://podminky.urs.cz/item/CS_URS_2023_02/764212606" TargetMode="External" /><Relationship Id="rId123" Type="http://schemas.openxmlformats.org/officeDocument/2006/relationships/hyperlink" Target="https://podminky.urs.cz/item/CS_URS_2023_02/764212649" TargetMode="External" /><Relationship Id="rId124" Type="http://schemas.openxmlformats.org/officeDocument/2006/relationships/hyperlink" Target="https://podminky.urs.cz/item/CS_URS_2023_02/764216603" TargetMode="External" /><Relationship Id="rId125" Type="http://schemas.openxmlformats.org/officeDocument/2006/relationships/hyperlink" Target="https://podminky.urs.cz/item/CS_URS_2023_02/764218611" TargetMode="External" /><Relationship Id="rId126" Type="http://schemas.openxmlformats.org/officeDocument/2006/relationships/hyperlink" Target="https://podminky.urs.cz/item/CS_URS_2023_02/764311613" TargetMode="External" /><Relationship Id="rId127" Type="http://schemas.openxmlformats.org/officeDocument/2006/relationships/hyperlink" Target="https://podminky.urs.cz/item/CS_URS_2023_02/764511603" TargetMode="External" /><Relationship Id="rId128" Type="http://schemas.openxmlformats.org/officeDocument/2006/relationships/hyperlink" Target="https://podminky.urs.cz/item/CS_URS_2023_02/764518622" TargetMode="External" /><Relationship Id="rId129" Type="http://schemas.openxmlformats.org/officeDocument/2006/relationships/hyperlink" Target="https://podminky.urs.cz/item/CS_URS_2023_02/998764102" TargetMode="External" /><Relationship Id="rId130" Type="http://schemas.openxmlformats.org/officeDocument/2006/relationships/hyperlink" Target="https://podminky.urs.cz/item/CS_URS_2023_02/765123013" TargetMode="External" /><Relationship Id="rId131" Type="http://schemas.openxmlformats.org/officeDocument/2006/relationships/hyperlink" Target="https://podminky.urs.cz/item/CS_URS_2023_02/765123911" TargetMode="External" /><Relationship Id="rId132" Type="http://schemas.openxmlformats.org/officeDocument/2006/relationships/hyperlink" Target="https://podminky.urs.cz/item/CS_URS_2023_02/765125302" TargetMode="External" /><Relationship Id="rId133" Type="http://schemas.openxmlformats.org/officeDocument/2006/relationships/hyperlink" Target="https://podminky.urs.cz/item/CS_URS_2023_02/765191023" TargetMode="External" /><Relationship Id="rId134" Type="http://schemas.openxmlformats.org/officeDocument/2006/relationships/hyperlink" Target="https://podminky.urs.cz/item/CS_URS_2023_02/998765102" TargetMode="External" /><Relationship Id="rId135" Type="http://schemas.openxmlformats.org/officeDocument/2006/relationships/hyperlink" Target="https://podminky.urs.cz/item/CS_URS_2023_02/766622116" TargetMode="External" /><Relationship Id="rId136" Type="http://schemas.openxmlformats.org/officeDocument/2006/relationships/hyperlink" Target="https://podminky.urs.cz/item/CS_URS_2023_02/766622131" TargetMode="External" /><Relationship Id="rId137" Type="http://schemas.openxmlformats.org/officeDocument/2006/relationships/hyperlink" Target="https://podminky.urs.cz/item/CS_URS_2023_02/766622132" TargetMode="External" /><Relationship Id="rId138" Type="http://schemas.openxmlformats.org/officeDocument/2006/relationships/hyperlink" Target="https://podminky.urs.cz/item/CS_URS_2023_02/766660171" TargetMode="External" /><Relationship Id="rId139" Type="http://schemas.openxmlformats.org/officeDocument/2006/relationships/hyperlink" Target="https://podminky.urs.cz/item/CS_URS_2023_02/766660172" TargetMode="External" /><Relationship Id="rId140" Type="http://schemas.openxmlformats.org/officeDocument/2006/relationships/hyperlink" Target="https://podminky.urs.cz/item/CS_URS_2023_02/766660174" TargetMode="External" /><Relationship Id="rId141" Type="http://schemas.openxmlformats.org/officeDocument/2006/relationships/hyperlink" Target="https://podminky.urs.cz/item/CS_URS_2023_02/766671029" TargetMode="External" /><Relationship Id="rId142" Type="http://schemas.openxmlformats.org/officeDocument/2006/relationships/hyperlink" Target="https://podminky.urs.cz/item/CS_URS_2023_02/766682111" TargetMode="External" /><Relationship Id="rId143" Type="http://schemas.openxmlformats.org/officeDocument/2006/relationships/hyperlink" Target="https://podminky.urs.cz/item/CS_URS_2023_02/766682112" TargetMode="External" /><Relationship Id="rId144" Type="http://schemas.openxmlformats.org/officeDocument/2006/relationships/hyperlink" Target="https://podminky.urs.cz/item/CS_URS_2023_02/766682122" TargetMode="External" /><Relationship Id="rId145" Type="http://schemas.openxmlformats.org/officeDocument/2006/relationships/hyperlink" Target="https://podminky.urs.cz/item/CS_URS_2023_02/766694116" TargetMode="External" /><Relationship Id="rId146" Type="http://schemas.openxmlformats.org/officeDocument/2006/relationships/hyperlink" Target="https://podminky.urs.cz/item/CS_URS_2023_02/998766102" TargetMode="External" /><Relationship Id="rId147" Type="http://schemas.openxmlformats.org/officeDocument/2006/relationships/hyperlink" Target="https://podminky.urs.cz/item/CS_URS_2023_02/767114131" TargetMode="External" /><Relationship Id="rId148" Type="http://schemas.openxmlformats.org/officeDocument/2006/relationships/hyperlink" Target="https://podminky.urs.cz/item/CS_URS_2023_02/767114232" TargetMode="External" /><Relationship Id="rId149" Type="http://schemas.openxmlformats.org/officeDocument/2006/relationships/hyperlink" Target="https://podminky.urs.cz/item/CS_URS_2023_02/767114235" TargetMode="External" /><Relationship Id="rId150" Type="http://schemas.openxmlformats.org/officeDocument/2006/relationships/hyperlink" Target="https://podminky.urs.cz/item/CS_URS_2023_02/767114235" TargetMode="External" /><Relationship Id="rId151" Type="http://schemas.openxmlformats.org/officeDocument/2006/relationships/hyperlink" Target="https://podminky.urs.cz/item/CS_URS_2023_02/767114235" TargetMode="External" /><Relationship Id="rId152" Type="http://schemas.openxmlformats.org/officeDocument/2006/relationships/hyperlink" Target="https://podminky.urs.cz/item/CS_URS_2023_02/767531111" TargetMode="External" /><Relationship Id="rId153" Type="http://schemas.openxmlformats.org/officeDocument/2006/relationships/hyperlink" Target="https://podminky.urs.cz/item/CS_URS_2023_02/767531121" TargetMode="External" /><Relationship Id="rId154" Type="http://schemas.openxmlformats.org/officeDocument/2006/relationships/hyperlink" Target="https://podminky.urs.cz/item/CS_URS_2023_02/767640111" TargetMode="External" /><Relationship Id="rId155" Type="http://schemas.openxmlformats.org/officeDocument/2006/relationships/hyperlink" Target="https://podminky.urs.cz/item/CS_URS_2023_02/767640111" TargetMode="External" /><Relationship Id="rId156" Type="http://schemas.openxmlformats.org/officeDocument/2006/relationships/hyperlink" Target="https://podminky.urs.cz/item/CS_URS_2023_02/767640221" TargetMode="External" /><Relationship Id="rId157" Type="http://schemas.openxmlformats.org/officeDocument/2006/relationships/hyperlink" Target="https://podminky.urs.cz/item/CS_URS_2023_02/767640221" TargetMode="External" /><Relationship Id="rId158" Type="http://schemas.openxmlformats.org/officeDocument/2006/relationships/hyperlink" Target="https://podminky.urs.cz/item/CS_URS_2023_02/767995111" TargetMode="External" /><Relationship Id="rId159" Type="http://schemas.openxmlformats.org/officeDocument/2006/relationships/hyperlink" Target="https://podminky.urs.cz/item/CS_URS_2023_02/767995117" TargetMode="External" /><Relationship Id="rId160" Type="http://schemas.openxmlformats.org/officeDocument/2006/relationships/hyperlink" Target="https://podminky.urs.cz/item/CS_URS_2023_02/998767102" TargetMode="External" /><Relationship Id="rId161" Type="http://schemas.openxmlformats.org/officeDocument/2006/relationships/hyperlink" Target="https://podminky.urs.cz/item/CS_URS_2023_02/771111011" TargetMode="External" /><Relationship Id="rId162" Type="http://schemas.openxmlformats.org/officeDocument/2006/relationships/hyperlink" Target="https://podminky.urs.cz/item/CS_URS_2023_02/771121011" TargetMode="External" /><Relationship Id="rId163" Type="http://schemas.openxmlformats.org/officeDocument/2006/relationships/hyperlink" Target="https://podminky.urs.cz/item/CS_URS_2023_02/771474112" TargetMode="External" /><Relationship Id="rId164" Type="http://schemas.openxmlformats.org/officeDocument/2006/relationships/hyperlink" Target="https://podminky.urs.cz/item/CS_URS_2023_02/771574412" TargetMode="External" /><Relationship Id="rId165" Type="http://schemas.openxmlformats.org/officeDocument/2006/relationships/hyperlink" Target="https://podminky.urs.cz/item/CS_URS_2023_02/771574413" TargetMode="External" /><Relationship Id="rId166" Type="http://schemas.openxmlformats.org/officeDocument/2006/relationships/hyperlink" Target="https://podminky.urs.cz/item/CS_URS_2023_02/771591112" TargetMode="External" /><Relationship Id="rId167" Type="http://schemas.openxmlformats.org/officeDocument/2006/relationships/hyperlink" Target="https://podminky.urs.cz/item/CS_URS_2023_02/771591115" TargetMode="External" /><Relationship Id="rId168" Type="http://schemas.openxmlformats.org/officeDocument/2006/relationships/hyperlink" Target="https://podminky.urs.cz/item/CS_URS_2023_02/771591117" TargetMode="External" /><Relationship Id="rId169" Type="http://schemas.openxmlformats.org/officeDocument/2006/relationships/hyperlink" Target="https://podminky.urs.cz/item/CS_URS_2023_02/998771102" TargetMode="External" /><Relationship Id="rId170" Type="http://schemas.openxmlformats.org/officeDocument/2006/relationships/hyperlink" Target="https://podminky.urs.cz/item/CS_URS_2023_02/775111311" TargetMode="External" /><Relationship Id="rId171" Type="http://schemas.openxmlformats.org/officeDocument/2006/relationships/hyperlink" Target="https://podminky.urs.cz/item/CS_URS_2023_02/775121321" TargetMode="External" /><Relationship Id="rId172" Type="http://schemas.openxmlformats.org/officeDocument/2006/relationships/hyperlink" Target="https://podminky.urs.cz/item/CS_URS_2023_02/775141122" TargetMode="External" /><Relationship Id="rId173" Type="http://schemas.openxmlformats.org/officeDocument/2006/relationships/hyperlink" Target="https://podminky.urs.cz/item/CS_URS_2023_02/775413320" TargetMode="External" /><Relationship Id="rId174" Type="http://schemas.openxmlformats.org/officeDocument/2006/relationships/hyperlink" Target="https://podminky.urs.cz/item/CS_URS_2023_02/775429121" TargetMode="External" /><Relationship Id="rId175" Type="http://schemas.openxmlformats.org/officeDocument/2006/relationships/hyperlink" Target="https://podminky.urs.cz/item/CS_URS_2023_02/775449121" TargetMode="External" /><Relationship Id="rId176" Type="http://schemas.openxmlformats.org/officeDocument/2006/relationships/hyperlink" Target="https://podminky.urs.cz/item/CS_URS_2023_02/775469112" TargetMode="External" /><Relationship Id="rId177" Type="http://schemas.openxmlformats.org/officeDocument/2006/relationships/hyperlink" Target="https://podminky.urs.cz/item/CS_URS_2023_02/775511571" TargetMode="External" /><Relationship Id="rId178" Type="http://schemas.openxmlformats.org/officeDocument/2006/relationships/hyperlink" Target="https://podminky.urs.cz/item/CS_URS_2023_02/775591311" TargetMode="External" /><Relationship Id="rId179" Type="http://schemas.openxmlformats.org/officeDocument/2006/relationships/hyperlink" Target="https://podminky.urs.cz/item/CS_URS_2023_02/775591314" TargetMode="External" /><Relationship Id="rId180" Type="http://schemas.openxmlformats.org/officeDocument/2006/relationships/hyperlink" Target="https://podminky.urs.cz/item/CS_URS_2023_02/775591316" TargetMode="External" /><Relationship Id="rId181" Type="http://schemas.openxmlformats.org/officeDocument/2006/relationships/hyperlink" Target="https://podminky.urs.cz/item/CS_URS_2023_02/775591411" TargetMode="External" /><Relationship Id="rId182" Type="http://schemas.openxmlformats.org/officeDocument/2006/relationships/hyperlink" Target="https://podminky.urs.cz/item/CS_URS_2023_02/998775102" TargetMode="External" /><Relationship Id="rId183" Type="http://schemas.openxmlformats.org/officeDocument/2006/relationships/hyperlink" Target="https://podminky.urs.cz/item/CS_URS_2023_02/781121011" TargetMode="External" /><Relationship Id="rId184" Type="http://schemas.openxmlformats.org/officeDocument/2006/relationships/hyperlink" Target="https://podminky.urs.cz/item/CS_URS_2023_02/781121015" TargetMode="External" /><Relationship Id="rId185" Type="http://schemas.openxmlformats.org/officeDocument/2006/relationships/hyperlink" Target="https://podminky.urs.cz/item/CS_URS_2023_02/781474152" TargetMode="External" /><Relationship Id="rId186" Type="http://schemas.openxmlformats.org/officeDocument/2006/relationships/hyperlink" Target="https://podminky.urs.cz/item/CS_URS_2023_02/781474153" TargetMode="External" /><Relationship Id="rId187" Type="http://schemas.openxmlformats.org/officeDocument/2006/relationships/hyperlink" Target="https://podminky.urs.cz/item/CS_URS_2023_02/781495115" TargetMode="External" /><Relationship Id="rId188" Type="http://schemas.openxmlformats.org/officeDocument/2006/relationships/hyperlink" Target="https://podminky.urs.cz/item/CS_URS_2023_02/781495117" TargetMode="External" /><Relationship Id="rId189" Type="http://schemas.openxmlformats.org/officeDocument/2006/relationships/hyperlink" Target="https://podminky.urs.cz/item/CS_URS_2023_02/781734112" TargetMode="External" /><Relationship Id="rId190" Type="http://schemas.openxmlformats.org/officeDocument/2006/relationships/hyperlink" Target="https://podminky.urs.cz/item/CS_URS_2023_02/998781102" TargetMode="External" /><Relationship Id="rId191" Type="http://schemas.openxmlformats.org/officeDocument/2006/relationships/hyperlink" Target="https://podminky.urs.cz/item/CS_URS_2023_02/784181121" TargetMode="External" /><Relationship Id="rId192" Type="http://schemas.openxmlformats.org/officeDocument/2006/relationships/hyperlink" Target="https://podminky.urs.cz/item/CS_URS_2023_02/784181125" TargetMode="External" /><Relationship Id="rId193" Type="http://schemas.openxmlformats.org/officeDocument/2006/relationships/hyperlink" Target="https://podminky.urs.cz/item/CS_URS_2023_02/784211101" TargetMode="External" /><Relationship Id="rId194" Type="http://schemas.openxmlformats.org/officeDocument/2006/relationships/hyperlink" Target="https://podminky.urs.cz/item/CS_URS_2023_02/784211105" TargetMode="External" /><Relationship Id="rId195" Type="http://schemas.openxmlformats.org/officeDocument/2006/relationships/hyperlink" Target="https://podminky.urs.cz/item/CS_URS_2023_02/789325210" TargetMode="External" /><Relationship Id="rId196" Type="http://schemas.openxmlformats.org/officeDocument/2006/relationships/hyperlink" Target="https://podminky.urs.cz/item/CS_URS_2023_02/789325220" TargetMode="External" /><Relationship Id="rId197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2/132251102" TargetMode="External" /><Relationship Id="rId2" Type="http://schemas.openxmlformats.org/officeDocument/2006/relationships/hyperlink" Target="https://podminky.urs.cz/item/CS_URS_2023_02/162251102" TargetMode="External" /><Relationship Id="rId3" Type="http://schemas.openxmlformats.org/officeDocument/2006/relationships/hyperlink" Target="https://podminky.urs.cz/item/CS_URS_2023_02/167151101" TargetMode="External" /><Relationship Id="rId4" Type="http://schemas.openxmlformats.org/officeDocument/2006/relationships/hyperlink" Target="https://podminky.urs.cz/item/CS_URS_2023_02/174151101" TargetMode="External" /><Relationship Id="rId5" Type="http://schemas.openxmlformats.org/officeDocument/2006/relationships/hyperlink" Target="https://podminky.urs.cz/item/CS_URS_2023_02/175151101" TargetMode="External" /><Relationship Id="rId6" Type="http://schemas.openxmlformats.org/officeDocument/2006/relationships/hyperlink" Target="https://podminky.urs.cz/item/CS_URS_2023_02/451572111" TargetMode="External" /><Relationship Id="rId7" Type="http://schemas.openxmlformats.org/officeDocument/2006/relationships/hyperlink" Target="https://podminky.urs.cz/item/CS_URS_2023_02/998011002" TargetMode="External" /><Relationship Id="rId8" Type="http://schemas.openxmlformats.org/officeDocument/2006/relationships/hyperlink" Target="https://podminky.urs.cz/item/CS_URS_2023_02/721173402" TargetMode="External" /><Relationship Id="rId9" Type="http://schemas.openxmlformats.org/officeDocument/2006/relationships/hyperlink" Target="https://podminky.urs.cz/item/CS_URS_2023_02/721173403" TargetMode="External" /><Relationship Id="rId10" Type="http://schemas.openxmlformats.org/officeDocument/2006/relationships/hyperlink" Target="https://podminky.urs.cz/item/CS_URS_2023_02/721173404" TargetMode="External" /><Relationship Id="rId11" Type="http://schemas.openxmlformats.org/officeDocument/2006/relationships/hyperlink" Target="https://podminky.urs.cz/item/CS_URS_2023_02/721174004" TargetMode="External" /><Relationship Id="rId12" Type="http://schemas.openxmlformats.org/officeDocument/2006/relationships/hyperlink" Target="https://podminky.urs.cz/item/CS_URS_2023_02/721174005" TargetMode="External" /><Relationship Id="rId13" Type="http://schemas.openxmlformats.org/officeDocument/2006/relationships/hyperlink" Target="https://podminky.urs.cz/item/CS_URS_2023_02/721174042" TargetMode="External" /><Relationship Id="rId14" Type="http://schemas.openxmlformats.org/officeDocument/2006/relationships/hyperlink" Target="https://podminky.urs.cz/item/CS_URS_2023_02/721174043" TargetMode="External" /><Relationship Id="rId15" Type="http://schemas.openxmlformats.org/officeDocument/2006/relationships/hyperlink" Target="https://podminky.urs.cz/item/CS_URS_2023_02/721194105" TargetMode="External" /><Relationship Id="rId16" Type="http://schemas.openxmlformats.org/officeDocument/2006/relationships/hyperlink" Target="https://podminky.urs.cz/item/CS_URS_2023_02/721194109" TargetMode="External" /><Relationship Id="rId17" Type="http://schemas.openxmlformats.org/officeDocument/2006/relationships/hyperlink" Target="https://podminky.urs.cz/item/CS_URS_2023_02/721211403" TargetMode="External" /><Relationship Id="rId18" Type="http://schemas.openxmlformats.org/officeDocument/2006/relationships/hyperlink" Target="https://podminky.urs.cz/item/CS_URS_2023_02/721226521" TargetMode="External" /><Relationship Id="rId19" Type="http://schemas.openxmlformats.org/officeDocument/2006/relationships/hyperlink" Target="https://podminky.urs.cz/item/CS_URS_2023_02/721273153" TargetMode="External" /><Relationship Id="rId20" Type="http://schemas.openxmlformats.org/officeDocument/2006/relationships/hyperlink" Target="https://podminky.urs.cz/item/CS_URS_2023_02/721274126" TargetMode="External" /><Relationship Id="rId21" Type="http://schemas.openxmlformats.org/officeDocument/2006/relationships/hyperlink" Target="https://podminky.urs.cz/item/CS_URS_2023_02/721290111" TargetMode="External" /><Relationship Id="rId22" Type="http://schemas.openxmlformats.org/officeDocument/2006/relationships/hyperlink" Target="https://podminky.urs.cz/item/CS_URS_2023_02/721290112" TargetMode="External" /><Relationship Id="rId23" Type="http://schemas.openxmlformats.org/officeDocument/2006/relationships/hyperlink" Target="https://podminky.urs.cz/item/CS_URS_2023_02/998721202" TargetMode="External" /><Relationship Id="rId24" Type="http://schemas.openxmlformats.org/officeDocument/2006/relationships/hyperlink" Target="https://podminky.urs.cz/item/CS_URS_2023_02/722130234" TargetMode="External" /><Relationship Id="rId25" Type="http://schemas.openxmlformats.org/officeDocument/2006/relationships/hyperlink" Target="https://podminky.urs.cz/item/CS_URS_2023_02/722174002" TargetMode="External" /><Relationship Id="rId26" Type="http://schemas.openxmlformats.org/officeDocument/2006/relationships/hyperlink" Target="https://podminky.urs.cz/item/CS_URS_2023_02/722174003" TargetMode="External" /><Relationship Id="rId27" Type="http://schemas.openxmlformats.org/officeDocument/2006/relationships/hyperlink" Target="https://podminky.urs.cz/item/CS_URS_2023_02/722174004" TargetMode="External" /><Relationship Id="rId28" Type="http://schemas.openxmlformats.org/officeDocument/2006/relationships/hyperlink" Target="https://podminky.urs.cz/item/CS_URS_2023_02/722174005" TargetMode="External" /><Relationship Id="rId29" Type="http://schemas.openxmlformats.org/officeDocument/2006/relationships/hyperlink" Target="https://podminky.urs.cz/item/CS_URS_2023_02/722174006" TargetMode="External" /><Relationship Id="rId30" Type="http://schemas.openxmlformats.org/officeDocument/2006/relationships/hyperlink" Target="https://podminky.urs.cz/item/CS_URS_2023_02/722181221" TargetMode="External" /><Relationship Id="rId31" Type="http://schemas.openxmlformats.org/officeDocument/2006/relationships/hyperlink" Target="https://podminky.urs.cz/item/CS_URS_2023_02/722181222" TargetMode="External" /><Relationship Id="rId32" Type="http://schemas.openxmlformats.org/officeDocument/2006/relationships/hyperlink" Target="https://podminky.urs.cz/item/CS_URS_2023_02/722181223" TargetMode="External" /><Relationship Id="rId33" Type="http://schemas.openxmlformats.org/officeDocument/2006/relationships/hyperlink" Target="https://podminky.urs.cz/item/CS_URS_2023_02/722190401" TargetMode="External" /><Relationship Id="rId34" Type="http://schemas.openxmlformats.org/officeDocument/2006/relationships/hyperlink" Target="https://podminky.urs.cz/item/CS_URS_2023_02/722250133" TargetMode="External" /><Relationship Id="rId35" Type="http://schemas.openxmlformats.org/officeDocument/2006/relationships/hyperlink" Target="https://podminky.urs.cz/item/CS_URS_2023_02/722290226" TargetMode="External" /><Relationship Id="rId36" Type="http://schemas.openxmlformats.org/officeDocument/2006/relationships/hyperlink" Target="https://podminky.urs.cz/item/CS_URS_2023_02/722290234" TargetMode="External" /><Relationship Id="rId37" Type="http://schemas.openxmlformats.org/officeDocument/2006/relationships/hyperlink" Target="https://podminky.urs.cz/item/CS_URS_2023_02/998722202" TargetMode="External" /><Relationship Id="rId38" Type="http://schemas.openxmlformats.org/officeDocument/2006/relationships/hyperlink" Target="https://podminky.urs.cz/item/CS_URS_2023_02/725112022" TargetMode="External" /><Relationship Id="rId39" Type="http://schemas.openxmlformats.org/officeDocument/2006/relationships/hyperlink" Target="https://podminky.urs.cz/item/CS_URS_2023_02/725121023" TargetMode="External" /><Relationship Id="rId40" Type="http://schemas.openxmlformats.org/officeDocument/2006/relationships/hyperlink" Target="https://podminky.urs.cz/item/CS_URS_2023_02/725211601" TargetMode="External" /><Relationship Id="rId41" Type="http://schemas.openxmlformats.org/officeDocument/2006/relationships/hyperlink" Target="https://podminky.urs.cz/item/CS_URS_2023_02/725211641" TargetMode="External" /><Relationship Id="rId42" Type="http://schemas.openxmlformats.org/officeDocument/2006/relationships/hyperlink" Target="https://podminky.urs.cz/item/CS_URS_2023_02/725211681" TargetMode="External" /><Relationship Id="rId43" Type="http://schemas.openxmlformats.org/officeDocument/2006/relationships/hyperlink" Target="https://podminky.urs.cz/item/CS_URS_2023_02/725231201" TargetMode="External" /><Relationship Id="rId44" Type="http://schemas.openxmlformats.org/officeDocument/2006/relationships/hyperlink" Target="https://podminky.urs.cz/item/CS_URS_2023_02/725241112" TargetMode="External" /><Relationship Id="rId45" Type="http://schemas.openxmlformats.org/officeDocument/2006/relationships/hyperlink" Target="https://podminky.urs.cz/item/CS_URS_2023_02/725244123" TargetMode="External" /><Relationship Id="rId46" Type="http://schemas.openxmlformats.org/officeDocument/2006/relationships/hyperlink" Target="https://podminky.urs.cz/item/CS_URS_2023_02/725319111" TargetMode="External" /><Relationship Id="rId47" Type="http://schemas.openxmlformats.org/officeDocument/2006/relationships/hyperlink" Target="https://podminky.urs.cz/item/CS_URS_2023_02/725331111" TargetMode="External" /><Relationship Id="rId48" Type="http://schemas.openxmlformats.org/officeDocument/2006/relationships/hyperlink" Target="https://podminky.urs.cz/item/CS_URS_2023_02/725813111" TargetMode="External" /><Relationship Id="rId49" Type="http://schemas.openxmlformats.org/officeDocument/2006/relationships/hyperlink" Target="https://podminky.urs.cz/item/CS_URS_2023_02/725813112" TargetMode="External" /><Relationship Id="rId50" Type="http://schemas.openxmlformats.org/officeDocument/2006/relationships/hyperlink" Target="https://podminky.urs.cz/item/CS_URS_2023_02/725821312" TargetMode="External" /><Relationship Id="rId51" Type="http://schemas.openxmlformats.org/officeDocument/2006/relationships/hyperlink" Target="https://podminky.urs.cz/item/CS_URS_2023_02/725822611" TargetMode="External" /><Relationship Id="rId52" Type="http://schemas.openxmlformats.org/officeDocument/2006/relationships/hyperlink" Target="https://podminky.urs.cz/item/CS_URS_2023_02/725823121" TargetMode="External" /><Relationship Id="rId53" Type="http://schemas.openxmlformats.org/officeDocument/2006/relationships/hyperlink" Target="https://podminky.urs.cz/item/CS_URS_2023_02/725829121" TargetMode="External" /><Relationship Id="rId54" Type="http://schemas.openxmlformats.org/officeDocument/2006/relationships/hyperlink" Target="https://podminky.urs.cz/item/CS_URS_2023_02/725841332" TargetMode="External" /><Relationship Id="rId55" Type="http://schemas.openxmlformats.org/officeDocument/2006/relationships/hyperlink" Target="https://podminky.urs.cz/item/CS_URS_2023_02/998725201" TargetMode="External" /><Relationship Id="rId56" Type="http://schemas.openxmlformats.org/officeDocument/2006/relationships/hyperlink" Target="https://podminky.urs.cz/item/CS_URS_2023_02/726111011" TargetMode="External" /><Relationship Id="rId57" Type="http://schemas.openxmlformats.org/officeDocument/2006/relationships/hyperlink" Target="https://podminky.urs.cz/item/CS_URS_2023_02/726111031" TargetMode="External" /><Relationship Id="rId58" Type="http://schemas.openxmlformats.org/officeDocument/2006/relationships/hyperlink" Target="https://podminky.urs.cz/item/CS_URS_2023_02/998726212" TargetMode="External" /><Relationship Id="rId59" Type="http://schemas.openxmlformats.org/officeDocument/2006/relationships/hyperlink" Target="https://podminky.urs.cz/item/CS_URS_2023_02/HZS2491" TargetMode="External" /><Relationship Id="rId60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2/132254102" TargetMode="External" /><Relationship Id="rId2" Type="http://schemas.openxmlformats.org/officeDocument/2006/relationships/hyperlink" Target="https://podminky.urs.cz/item/CS_URS_2023_02/162251102" TargetMode="External" /><Relationship Id="rId3" Type="http://schemas.openxmlformats.org/officeDocument/2006/relationships/hyperlink" Target="https://podminky.urs.cz/item/CS_URS_2023_02/167151101" TargetMode="External" /><Relationship Id="rId4" Type="http://schemas.openxmlformats.org/officeDocument/2006/relationships/hyperlink" Target="https://podminky.urs.cz/item/CS_URS_2023_02/174151101" TargetMode="External" /><Relationship Id="rId5" Type="http://schemas.openxmlformats.org/officeDocument/2006/relationships/hyperlink" Target="https://podminky.urs.cz/item/CS_URS_2023_02/175151101" TargetMode="External" /><Relationship Id="rId6" Type="http://schemas.openxmlformats.org/officeDocument/2006/relationships/hyperlink" Target="https://podminky.urs.cz/item/CS_URS_2023_02/451572111" TargetMode="External" /><Relationship Id="rId7" Type="http://schemas.openxmlformats.org/officeDocument/2006/relationships/hyperlink" Target="https://podminky.urs.cz/item/CS_URS_2023_02/871315211" TargetMode="External" /><Relationship Id="rId8" Type="http://schemas.openxmlformats.org/officeDocument/2006/relationships/hyperlink" Target="https://podminky.urs.cz/item/CS_URS_2023_02/892351111" TargetMode="External" /><Relationship Id="rId9" Type="http://schemas.openxmlformats.org/officeDocument/2006/relationships/hyperlink" Target="https://podminky.urs.cz/item/CS_URS_2023_02/998276101" TargetMode="External" /><Relationship Id="rId10" Type="http://schemas.openxmlformats.org/officeDocument/2006/relationships/hyperlink" Target="https://podminky.urs.cz/item/CS_URS_2023_02/998276124" TargetMode="External" /><Relationship Id="rId1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2/131251102" TargetMode="External" /><Relationship Id="rId2" Type="http://schemas.openxmlformats.org/officeDocument/2006/relationships/hyperlink" Target="https://podminky.urs.cz/item/CS_URS_2023_02/132151103" TargetMode="External" /><Relationship Id="rId3" Type="http://schemas.openxmlformats.org/officeDocument/2006/relationships/hyperlink" Target="https://podminky.urs.cz/item/CS_URS_2023_02/132254103" TargetMode="External" /><Relationship Id="rId4" Type="http://schemas.openxmlformats.org/officeDocument/2006/relationships/hyperlink" Target="https://podminky.urs.cz/item/CS_URS_2023_02/162251102" TargetMode="External" /><Relationship Id="rId5" Type="http://schemas.openxmlformats.org/officeDocument/2006/relationships/hyperlink" Target="https://podminky.urs.cz/item/CS_URS_2023_02/167151101" TargetMode="External" /><Relationship Id="rId6" Type="http://schemas.openxmlformats.org/officeDocument/2006/relationships/hyperlink" Target="https://podminky.urs.cz/item/CS_URS_2023_02/174151101" TargetMode="External" /><Relationship Id="rId7" Type="http://schemas.openxmlformats.org/officeDocument/2006/relationships/hyperlink" Target="https://podminky.urs.cz/item/CS_URS_2023_02/175151101" TargetMode="External" /><Relationship Id="rId8" Type="http://schemas.openxmlformats.org/officeDocument/2006/relationships/hyperlink" Target="https://podminky.urs.cz/item/CS_URS_2023_02/382413113" TargetMode="External" /><Relationship Id="rId9" Type="http://schemas.openxmlformats.org/officeDocument/2006/relationships/hyperlink" Target="https://podminky.urs.cz/item/CS_URS_2023_02/451572111" TargetMode="External" /><Relationship Id="rId10" Type="http://schemas.openxmlformats.org/officeDocument/2006/relationships/hyperlink" Target="https://podminky.urs.cz/item/CS_URS_2023_02/871275211" TargetMode="External" /><Relationship Id="rId11" Type="http://schemas.openxmlformats.org/officeDocument/2006/relationships/hyperlink" Target="https://podminky.urs.cz/item/CS_URS_2023_02/877270310" TargetMode="External" /><Relationship Id="rId12" Type="http://schemas.openxmlformats.org/officeDocument/2006/relationships/hyperlink" Target="https://podminky.urs.cz/item/CS_URS_2023_02/877270320" TargetMode="External" /><Relationship Id="rId13" Type="http://schemas.openxmlformats.org/officeDocument/2006/relationships/hyperlink" Target="https://podminky.urs.cz/item/CS_URS_2023_02/892271111" TargetMode="External" /><Relationship Id="rId14" Type="http://schemas.openxmlformats.org/officeDocument/2006/relationships/hyperlink" Target="https://podminky.urs.cz/item/CS_URS_2023_02/998276101" TargetMode="External" /><Relationship Id="rId15" Type="http://schemas.openxmlformats.org/officeDocument/2006/relationships/hyperlink" Target="https://podminky.urs.cz/item/CS_URS_2023_02/998276124" TargetMode="External" /><Relationship Id="rId16" Type="http://schemas.openxmlformats.org/officeDocument/2006/relationships/hyperlink" Target="https://podminky.urs.cz/item/CS_URS_2023_02/721242105" TargetMode="External" /><Relationship Id="rId17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2/113106121" TargetMode="External" /><Relationship Id="rId2" Type="http://schemas.openxmlformats.org/officeDocument/2006/relationships/hyperlink" Target="https://podminky.urs.cz/item/CS_URS_2023_02/113107332" TargetMode="External" /><Relationship Id="rId3" Type="http://schemas.openxmlformats.org/officeDocument/2006/relationships/hyperlink" Target="https://podminky.urs.cz/item/CS_URS_2023_02/113107342" TargetMode="External" /><Relationship Id="rId4" Type="http://schemas.openxmlformats.org/officeDocument/2006/relationships/hyperlink" Target="https://podminky.urs.cz/item/CS_URS_2023_02/113107343" TargetMode="External" /><Relationship Id="rId5" Type="http://schemas.openxmlformats.org/officeDocument/2006/relationships/hyperlink" Target="https://podminky.urs.cz/item/CS_URS_2023_02/113107331" TargetMode="External" /><Relationship Id="rId6" Type="http://schemas.openxmlformats.org/officeDocument/2006/relationships/hyperlink" Target="https://podminky.urs.cz/item/CS_URS_2023_02/113201112" TargetMode="External" /><Relationship Id="rId7" Type="http://schemas.openxmlformats.org/officeDocument/2006/relationships/hyperlink" Target="https://podminky.urs.cz/item/CS_URS_2023_02/113203111" TargetMode="External" /><Relationship Id="rId8" Type="http://schemas.openxmlformats.org/officeDocument/2006/relationships/hyperlink" Target="https://podminky.urs.cz/item/CS_URS_2023_02/121151113" TargetMode="External" /><Relationship Id="rId9" Type="http://schemas.openxmlformats.org/officeDocument/2006/relationships/hyperlink" Target="https://podminky.urs.cz/item/CS_URS_2023_02/122351104" TargetMode="External" /><Relationship Id="rId10" Type="http://schemas.openxmlformats.org/officeDocument/2006/relationships/hyperlink" Target="https://podminky.urs.cz/item/CS_URS_2023_02/131111332" TargetMode="External" /><Relationship Id="rId11" Type="http://schemas.openxmlformats.org/officeDocument/2006/relationships/hyperlink" Target="https://podminky.urs.cz/item/CS_URS_2023_02/162351103" TargetMode="External" /><Relationship Id="rId12" Type="http://schemas.openxmlformats.org/officeDocument/2006/relationships/hyperlink" Target="https://podminky.urs.cz/item/CS_URS_2023_02/167151111" TargetMode="External" /><Relationship Id="rId13" Type="http://schemas.openxmlformats.org/officeDocument/2006/relationships/hyperlink" Target="https://podminky.urs.cz/item/CS_URS_2023_02/174111101" TargetMode="External" /><Relationship Id="rId14" Type="http://schemas.openxmlformats.org/officeDocument/2006/relationships/hyperlink" Target="https://podminky.urs.cz/item/CS_URS_2023_02/181351103" TargetMode="External" /><Relationship Id="rId15" Type="http://schemas.openxmlformats.org/officeDocument/2006/relationships/hyperlink" Target="https://podminky.urs.cz/item/CS_URS_2023_02/181451311" TargetMode="External" /><Relationship Id="rId16" Type="http://schemas.openxmlformats.org/officeDocument/2006/relationships/hyperlink" Target="https://podminky.urs.cz/item/CS_URS_2023_02/181951112" TargetMode="External" /><Relationship Id="rId17" Type="http://schemas.openxmlformats.org/officeDocument/2006/relationships/hyperlink" Target="https://podminky.urs.cz/item/CS_URS_2023_02/211521111" TargetMode="External" /><Relationship Id="rId18" Type="http://schemas.openxmlformats.org/officeDocument/2006/relationships/hyperlink" Target="https://podminky.urs.cz/item/CS_URS_2023_02/211971121" TargetMode="External" /><Relationship Id="rId19" Type="http://schemas.openxmlformats.org/officeDocument/2006/relationships/hyperlink" Target="https://podminky.urs.cz/item/CS_URS_2023_02/212572121" TargetMode="External" /><Relationship Id="rId20" Type="http://schemas.openxmlformats.org/officeDocument/2006/relationships/hyperlink" Target="https://podminky.urs.cz/item/CS_URS_2023_02/212755214" TargetMode="External" /><Relationship Id="rId21" Type="http://schemas.openxmlformats.org/officeDocument/2006/relationships/hyperlink" Target="https://podminky.urs.cz/item/CS_URS_2023_02/275313811" TargetMode="External" /><Relationship Id="rId22" Type="http://schemas.openxmlformats.org/officeDocument/2006/relationships/hyperlink" Target="https://podminky.urs.cz/item/CS_URS_2023_02/338171123" TargetMode="External" /><Relationship Id="rId23" Type="http://schemas.openxmlformats.org/officeDocument/2006/relationships/hyperlink" Target="https://podminky.urs.cz/item/CS_URS_2023_02/348101260" TargetMode="External" /><Relationship Id="rId24" Type="http://schemas.openxmlformats.org/officeDocument/2006/relationships/hyperlink" Target="https://podminky.urs.cz/item/CS_URS_2023_02/348121211" TargetMode="External" /><Relationship Id="rId25" Type="http://schemas.openxmlformats.org/officeDocument/2006/relationships/hyperlink" Target="https://podminky.urs.cz/item/CS_URS_2023_02/348171146" TargetMode="External" /><Relationship Id="rId26" Type="http://schemas.openxmlformats.org/officeDocument/2006/relationships/hyperlink" Target="https://podminky.urs.cz/item/CS_URS_2023_02/564851111" TargetMode="External" /><Relationship Id="rId27" Type="http://schemas.openxmlformats.org/officeDocument/2006/relationships/hyperlink" Target="https://podminky.urs.cz/item/CS_URS_2023_02/565155111" TargetMode="External" /><Relationship Id="rId28" Type="http://schemas.openxmlformats.org/officeDocument/2006/relationships/hyperlink" Target="https://podminky.urs.cz/item/CS_URS_2023_02/573211107" TargetMode="External" /><Relationship Id="rId29" Type="http://schemas.openxmlformats.org/officeDocument/2006/relationships/hyperlink" Target="https://podminky.urs.cz/item/CS_URS_2023_02/577134211" TargetMode="External" /><Relationship Id="rId30" Type="http://schemas.openxmlformats.org/officeDocument/2006/relationships/hyperlink" Target="https://podminky.urs.cz/item/CS_URS_2023_02/596211112" TargetMode="External" /><Relationship Id="rId31" Type="http://schemas.openxmlformats.org/officeDocument/2006/relationships/hyperlink" Target="https://podminky.urs.cz/item/CS_URS_2023_02/596212212" TargetMode="External" /><Relationship Id="rId32" Type="http://schemas.openxmlformats.org/officeDocument/2006/relationships/hyperlink" Target="https://podminky.urs.cz/item/CS_URS_2023_02/596811121" TargetMode="External" /><Relationship Id="rId33" Type="http://schemas.openxmlformats.org/officeDocument/2006/relationships/hyperlink" Target="https://podminky.urs.cz/item/CS_URS_2023_02/637211134" TargetMode="External" /><Relationship Id="rId34" Type="http://schemas.openxmlformats.org/officeDocument/2006/relationships/hyperlink" Target="https://podminky.urs.cz/item/CS_URS_2023_02/637311131" TargetMode="External" /><Relationship Id="rId35" Type="http://schemas.openxmlformats.org/officeDocument/2006/relationships/hyperlink" Target="https://podminky.urs.cz/item/CS_URS_2023_02/871315241" TargetMode="External" /><Relationship Id="rId36" Type="http://schemas.openxmlformats.org/officeDocument/2006/relationships/hyperlink" Target="https://podminky.urs.cz/item/CS_URS_2023_02/895941341" TargetMode="External" /><Relationship Id="rId37" Type="http://schemas.openxmlformats.org/officeDocument/2006/relationships/hyperlink" Target="https://podminky.urs.cz/item/CS_URS_2023_02/895941351" TargetMode="External" /><Relationship Id="rId38" Type="http://schemas.openxmlformats.org/officeDocument/2006/relationships/hyperlink" Target="https://podminky.urs.cz/item/CS_URS_2023_02/895941362" TargetMode="External" /><Relationship Id="rId39" Type="http://schemas.openxmlformats.org/officeDocument/2006/relationships/hyperlink" Target="https://podminky.urs.cz/item/CS_URS_2023_02/899204112" TargetMode="External" /><Relationship Id="rId40" Type="http://schemas.openxmlformats.org/officeDocument/2006/relationships/hyperlink" Target="https://podminky.urs.cz/item/CS_URS_2023_02/914111111" TargetMode="External" /><Relationship Id="rId41" Type="http://schemas.openxmlformats.org/officeDocument/2006/relationships/hyperlink" Target="https://podminky.urs.cz/item/CS_URS_2023_02/914511111" TargetMode="External" /><Relationship Id="rId42" Type="http://schemas.openxmlformats.org/officeDocument/2006/relationships/hyperlink" Target="https://podminky.urs.cz/item/CS_URS_2023_02/914531111" TargetMode="External" /><Relationship Id="rId43" Type="http://schemas.openxmlformats.org/officeDocument/2006/relationships/hyperlink" Target="https://podminky.urs.cz/item/CS_URS_2023_02/915111115" TargetMode="External" /><Relationship Id="rId44" Type="http://schemas.openxmlformats.org/officeDocument/2006/relationships/hyperlink" Target="https://podminky.urs.cz/item/CS_URS_2023_02/915131111" TargetMode="External" /><Relationship Id="rId45" Type="http://schemas.openxmlformats.org/officeDocument/2006/relationships/hyperlink" Target="https://podminky.urs.cz/item/CS_URS_2023_02/915131115" TargetMode="External" /><Relationship Id="rId46" Type="http://schemas.openxmlformats.org/officeDocument/2006/relationships/hyperlink" Target="https://podminky.urs.cz/item/CS_URS_2023_02/916131213" TargetMode="External" /><Relationship Id="rId47" Type="http://schemas.openxmlformats.org/officeDocument/2006/relationships/hyperlink" Target="https://podminky.urs.cz/item/CS_URS_2023_02/916231213" TargetMode="External" /><Relationship Id="rId48" Type="http://schemas.openxmlformats.org/officeDocument/2006/relationships/hyperlink" Target="https://podminky.urs.cz/item/CS_URS_2023_02/916991121" TargetMode="External" /><Relationship Id="rId49" Type="http://schemas.openxmlformats.org/officeDocument/2006/relationships/hyperlink" Target="https://podminky.urs.cz/item/CS_URS_2023_02/919732211" TargetMode="External" /><Relationship Id="rId50" Type="http://schemas.openxmlformats.org/officeDocument/2006/relationships/hyperlink" Target="https://podminky.urs.cz/item/CS_URS_2023_02/919735113" TargetMode="External" /><Relationship Id="rId51" Type="http://schemas.openxmlformats.org/officeDocument/2006/relationships/hyperlink" Target="https://podminky.urs.cz/item/CS_URS_2023_02/935114142" TargetMode="External" /><Relationship Id="rId52" Type="http://schemas.openxmlformats.org/officeDocument/2006/relationships/hyperlink" Target="https://podminky.urs.cz/item/CS_URS_2023_02/961044111" TargetMode="External" /><Relationship Id="rId53" Type="http://schemas.openxmlformats.org/officeDocument/2006/relationships/hyperlink" Target="https://podminky.urs.cz/item/CS_URS_2023_02/961055111" TargetMode="External" /><Relationship Id="rId54" Type="http://schemas.openxmlformats.org/officeDocument/2006/relationships/hyperlink" Target="https://podminky.urs.cz/item/CS_URS_2023_02/962032241" TargetMode="External" /><Relationship Id="rId55" Type="http://schemas.openxmlformats.org/officeDocument/2006/relationships/hyperlink" Target="https://podminky.urs.cz/item/CS_URS_2023_02/966008212" TargetMode="External" /><Relationship Id="rId56" Type="http://schemas.openxmlformats.org/officeDocument/2006/relationships/hyperlink" Target="https://podminky.urs.cz/item/CS_URS_2023_02/966071711" TargetMode="External" /><Relationship Id="rId57" Type="http://schemas.openxmlformats.org/officeDocument/2006/relationships/hyperlink" Target="https://podminky.urs.cz/item/CS_URS_2023_02/966071822" TargetMode="External" /><Relationship Id="rId58" Type="http://schemas.openxmlformats.org/officeDocument/2006/relationships/hyperlink" Target="https://podminky.urs.cz/item/CS_URS_2023_02/981013211" TargetMode="External" /><Relationship Id="rId59" Type="http://schemas.openxmlformats.org/officeDocument/2006/relationships/hyperlink" Target="https://podminky.urs.cz/item/CS_URS_2023_02/997013501" TargetMode="External" /><Relationship Id="rId60" Type="http://schemas.openxmlformats.org/officeDocument/2006/relationships/hyperlink" Target="https://podminky.urs.cz/item/CS_URS_2023_02/997013509" TargetMode="External" /><Relationship Id="rId61" Type="http://schemas.openxmlformats.org/officeDocument/2006/relationships/hyperlink" Target="https://podminky.urs.cz/item/CS_URS_2023_02/997013811" TargetMode="External" /><Relationship Id="rId62" Type="http://schemas.openxmlformats.org/officeDocument/2006/relationships/hyperlink" Target="https://podminky.urs.cz/item/CS_URS_2023_02/997013869" TargetMode="External" /><Relationship Id="rId63" Type="http://schemas.openxmlformats.org/officeDocument/2006/relationships/hyperlink" Target="https://podminky.urs.cz/item/CS_URS_2023_02/997013875" TargetMode="External" /><Relationship Id="rId64" Type="http://schemas.openxmlformats.org/officeDocument/2006/relationships/hyperlink" Target="https://podminky.urs.cz/item/CS_URS_2023_02/998225111" TargetMode="External" /><Relationship Id="rId65" Type="http://schemas.openxmlformats.org/officeDocument/2006/relationships/drawing" Target="../drawings/drawing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hyperlink" Target="https://podminky.urs.cz/item/CS_URS_2023_02/119001411" TargetMode="External" /><Relationship Id="rId2" Type="http://schemas.openxmlformats.org/officeDocument/2006/relationships/hyperlink" Target="https://podminky.urs.cz/item/CS_URS_2023_02/119001421" TargetMode="External" /><Relationship Id="rId3" Type="http://schemas.openxmlformats.org/officeDocument/2006/relationships/hyperlink" Target="https://podminky.urs.cz/item/CS_URS_2023_02/119002121" TargetMode="External" /><Relationship Id="rId4" Type="http://schemas.openxmlformats.org/officeDocument/2006/relationships/hyperlink" Target="https://podminky.urs.cz/item/CS_URS_2023_02/119002122" TargetMode="External" /><Relationship Id="rId5" Type="http://schemas.openxmlformats.org/officeDocument/2006/relationships/hyperlink" Target="https://podminky.urs.cz/item/CS_URS_2023_02/119003131" TargetMode="External" /><Relationship Id="rId6" Type="http://schemas.openxmlformats.org/officeDocument/2006/relationships/hyperlink" Target="https://podminky.urs.cz/item/CS_URS_2023_02/119003132" TargetMode="External" /><Relationship Id="rId7" Type="http://schemas.openxmlformats.org/officeDocument/2006/relationships/hyperlink" Target="https://podminky.urs.cz/item/CS_URS_2023_02/132354102" TargetMode="External" /><Relationship Id="rId8" Type="http://schemas.openxmlformats.org/officeDocument/2006/relationships/hyperlink" Target="https://podminky.urs.cz/item/CS_URS_2023_02/151101101" TargetMode="External" /><Relationship Id="rId9" Type="http://schemas.openxmlformats.org/officeDocument/2006/relationships/hyperlink" Target="https://podminky.urs.cz/item/CS_URS_2023_02/151101111" TargetMode="External" /><Relationship Id="rId10" Type="http://schemas.openxmlformats.org/officeDocument/2006/relationships/hyperlink" Target="https://podminky.urs.cz/item/CS_URS_2023_02/167151102" TargetMode="External" /><Relationship Id="rId11" Type="http://schemas.openxmlformats.org/officeDocument/2006/relationships/hyperlink" Target="https://podminky.urs.cz/item/CS_URS_2023_02/167151122" TargetMode="External" /><Relationship Id="rId12" Type="http://schemas.openxmlformats.org/officeDocument/2006/relationships/hyperlink" Target="https://podminky.urs.cz/item/CS_URS_2023_02/171201221" TargetMode="External" /><Relationship Id="rId13" Type="http://schemas.openxmlformats.org/officeDocument/2006/relationships/hyperlink" Target="https://podminky.urs.cz/item/CS_URS_2023_02/174151101" TargetMode="External" /><Relationship Id="rId14" Type="http://schemas.openxmlformats.org/officeDocument/2006/relationships/hyperlink" Target="https://podminky.urs.cz/item/CS_URS_2023_02/175111201" TargetMode="External" /><Relationship Id="rId15" Type="http://schemas.openxmlformats.org/officeDocument/2006/relationships/hyperlink" Target="https://podminky.urs.cz/item/CS_URS_2023_02/451572111" TargetMode="External" /><Relationship Id="rId16" Type="http://schemas.openxmlformats.org/officeDocument/2006/relationships/hyperlink" Target="https://podminky.urs.cz/item/CS_URS_2023_02/899722113" TargetMode="External" /><Relationship Id="rId17" Type="http://schemas.openxmlformats.org/officeDocument/2006/relationships/hyperlink" Target="https://podminky.urs.cz/item/CS_URS_2023_02/998276101" TargetMode="External" /><Relationship Id="rId18" Type="http://schemas.openxmlformats.org/officeDocument/2006/relationships/hyperlink" Target="https://podminky.urs.cz/item/CS_URS_2023_02/723111203" TargetMode="External" /><Relationship Id="rId19" Type="http://schemas.openxmlformats.org/officeDocument/2006/relationships/hyperlink" Target="https://podminky.urs.cz/item/CS_URS_2023_02/723111204" TargetMode="External" /><Relationship Id="rId20" Type="http://schemas.openxmlformats.org/officeDocument/2006/relationships/hyperlink" Target="https://podminky.urs.cz/item/CS_URS_2023_02/723150366" TargetMode="External" /><Relationship Id="rId21" Type="http://schemas.openxmlformats.org/officeDocument/2006/relationships/hyperlink" Target="https://podminky.urs.cz/item/CS_URS_2023_02/723150367" TargetMode="External" /><Relationship Id="rId22" Type="http://schemas.openxmlformats.org/officeDocument/2006/relationships/hyperlink" Target="https://podminky.urs.cz/item/CS_URS_2023_02/723160205" TargetMode="External" /><Relationship Id="rId23" Type="http://schemas.openxmlformats.org/officeDocument/2006/relationships/hyperlink" Target="https://podminky.urs.cz/item/CS_URS_2023_02/723160335" TargetMode="External" /><Relationship Id="rId24" Type="http://schemas.openxmlformats.org/officeDocument/2006/relationships/hyperlink" Target="https://podminky.urs.cz/item/CS_URS_2023_02/723190203" TargetMode="External" /><Relationship Id="rId25" Type="http://schemas.openxmlformats.org/officeDocument/2006/relationships/hyperlink" Target="https://podminky.urs.cz/item/CS_URS_2023_02/723190252" TargetMode="External" /><Relationship Id="rId26" Type="http://schemas.openxmlformats.org/officeDocument/2006/relationships/hyperlink" Target="https://podminky.urs.cz/item/CS_URS_2023_02/723230103" TargetMode="External" /><Relationship Id="rId27" Type="http://schemas.openxmlformats.org/officeDocument/2006/relationships/hyperlink" Target="https://podminky.urs.cz/item/CS_URS_2023_02/723231165" TargetMode="External" /><Relationship Id="rId28" Type="http://schemas.openxmlformats.org/officeDocument/2006/relationships/hyperlink" Target="https://podminky.urs.cz/item/CS_URS_2023_02/998723201" TargetMode="External" /><Relationship Id="rId29" Type="http://schemas.openxmlformats.org/officeDocument/2006/relationships/hyperlink" Target="https://podminky.urs.cz/item/CS_URS_2023_02/783614651" TargetMode="External" /><Relationship Id="rId30" Type="http://schemas.openxmlformats.org/officeDocument/2006/relationships/hyperlink" Target="https://podminky.urs.cz/item/CS_URS_2023_02/783617611" TargetMode="External" /><Relationship Id="rId31" Type="http://schemas.openxmlformats.org/officeDocument/2006/relationships/hyperlink" Target="https://podminky.urs.cz/item/CS_URS_2023_02/230200353" TargetMode="External" /><Relationship Id="rId32" Type="http://schemas.openxmlformats.org/officeDocument/2006/relationships/hyperlink" Target="https://podminky.urs.cz/item/CS_URS_2023_02/230201012" TargetMode="External" /><Relationship Id="rId33" Type="http://schemas.openxmlformats.org/officeDocument/2006/relationships/hyperlink" Target="https://podminky.urs.cz/item/CS_URS_2023_02/230201106" TargetMode="External" /><Relationship Id="rId34" Type="http://schemas.openxmlformats.org/officeDocument/2006/relationships/hyperlink" Target="https://podminky.urs.cz/item/CS_URS_2023_02/230205031" TargetMode="External" /><Relationship Id="rId35" Type="http://schemas.openxmlformats.org/officeDocument/2006/relationships/hyperlink" Target="https://podminky.urs.cz/item/CS_URS_2023_02/230205231" TargetMode="External" /><Relationship Id="rId36" Type="http://schemas.openxmlformats.org/officeDocument/2006/relationships/hyperlink" Target="https://podminky.urs.cz/item/CS_URS_2023_02/230205231" TargetMode="External" /><Relationship Id="rId37" Type="http://schemas.openxmlformats.org/officeDocument/2006/relationships/hyperlink" Target="https://podminky.urs.cz/item/CS_URS_2023_02/230205231" TargetMode="External" /><Relationship Id="rId38" Type="http://schemas.openxmlformats.org/officeDocument/2006/relationships/hyperlink" Target="https://podminky.urs.cz/item/CS_URS_2023_02/230220001" TargetMode="External" /><Relationship Id="rId39" Type="http://schemas.openxmlformats.org/officeDocument/2006/relationships/hyperlink" Target="https://podminky.urs.cz/item/CS_URS_2023_02/230220006" TargetMode="External" /><Relationship Id="rId40" Type="http://schemas.openxmlformats.org/officeDocument/2006/relationships/hyperlink" Target="https://podminky.urs.cz/item/CS_URS_2023_02/230220011" TargetMode="External" /><Relationship Id="rId41" Type="http://schemas.openxmlformats.org/officeDocument/2006/relationships/hyperlink" Target="https://podminky.urs.cz/item/CS_URS_2023_02/230230016" TargetMode="External" /><Relationship Id="rId42" Type="http://schemas.openxmlformats.org/officeDocument/2006/relationships/hyperlink" Target="https://podminky.urs.cz/item/CS_URS_2023_02/580506002" TargetMode="External" /><Relationship Id="rId43" Type="http://schemas.openxmlformats.org/officeDocument/2006/relationships/hyperlink" Target="https://podminky.urs.cz/item/CS_URS_2023_02/580506012" TargetMode="External" /><Relationship Id="rId44" Type="http://schemas.openxmlformats.org/officeDocument/2006/relationships/hyperlink" Target="https://podminky.urs.cz/item/CS_URS_2023_02/580506013" TargetMode="External" /><Relationship Id="rId45" Type="http://schemas.openxmlformats.org/officeDocument/2006/relationships/hyperlink" Target="https://podminky.urs.cz/item/CS_URS_2023_02/580506015" TargetMode="External" /><Relationship Id="rId46" Type="http://schemas.openxmlformats.org/officeDocument/2006/relationships/hyperlink" Target="https://podminky.urs.cz/item/CS_URS_2023_02/580506019" TargetMode="External" /><Relationship Id="rId47" Type="http://schemas.openxmlformats.org/officeDocument/2006/relationships/hyperlink" Target="https://podminky.urs.cz/item/CS_URS_2023_02/580506028" TargetMode="External" /><Relationship Id="rId48" Type="http://schemas.openxmlformats.org/officeDocument/2006/relationships/hyperlink" Target="https://podminky.urs.cz/item/CS_URS_2023_02/580506036" TargetMode="External" /><Relationship Id="rId49" Type="http://schemas.openxmlformats.org/officeDocument/2006/relationships/hyperlink" Target="https://podminky.urs.cz/item/CS_URS_2023_02/HZS2231" TargetMode="External" /><Relationship Id="rId50" Type="http://schemas.openxmlformats.org/officeDocument/2006/relationships/hyperlink" Target="https://podminky.urs.cz/item/CS_URS_2023_02/HZS2491" TargetMode="External" /><Relationship Id="rId51" Type="http://schemas.openxmlformats.org/officeDocument/2006/relationships/hyperlink" Target="https://podminky.urs.cz/item/CS_URS_2023_02/HZS4211" TargetMode="External" /><Relationship Id="rId52" Type="http://schemas.openxmlformats.org/officeDocument/2006/relationships/drawing" Target="../drawings/drawing10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workbookViewId="0"/>
  </sheetViews>
  <cols>
    <col min="1" max="1" width="8.332031" style="1" customWidth="1"/>
    <col min="2" max="2" width="1.667969" style="1" customWidth="1"/>
    <col min="3" max="3" width="4.160156" style="1" customWidth="1"/>
    <col min="4" max="4" width="2.660156" style="1" customWidth="1"/>
    <col min="5" max="5" width="2.660156" style="1" customWidth="1"/>
    <col min="6" max="6" width="2.660156" style="1" customWidth="1"/>
    <col min="7" max="7" width="2.660156" style="1" customWidth="1"/>
    <col min="8" max="8" width="2.660156" style="1" customWidth="1"/>
    <col min="9" max="9" width="2.660156" style="1" customWidth="1"/>
    <col min="10" max="10" width="2.660156" style="1" customWidth="1"/>
    <col min="11" max="11" width="2.660156" style="1" customWidth="1"/>
    <col min="12" max="12" width="2.660156" style="1" customWidth="1"/>
    <col min="13" max="13" width="2.660156" style="1" customWidth="1"/>
    <col min="14" max="14" width="2.660156" style="1" customWidth="1"/>
    <col min="15" max="15" width="2.660156" style="1" customWidth="1"/>
    <col min="16" max="16" width="2.660156" style="1" customWidth="1"/>
    <col min="17" max="17" width="2.660156" style="1" customWidth="1"/>
    <col min="18" max="18" width="2.660156" style="1" customWidth="1"/>
    <col min="19" max="19" width="2.660156" style="1" customWidth="1"/>
    <col min="20" max="20" width="2.660156" style="1" customWidth="1"/>
    <col min="21" max="21" width="2.660156" style="1" customWidth="1"/>
    <col min="22" max="22" width="2.660156" style="1" customWidth="1"/>
    <col min="23" max="23" width="2.660156" style="1" customWidth="1"/>
    <col min="24" max="24" width="2.660156" style="1" customWidth="1"/>
    <col min="25" max="25" width="2.660156" style="1" customWidth="1"/>
    <col min="26" max="26" width="2.660156" style="1" customWidth="1"/>
    <col min="27" max="27" width="2.660156" style="1" customWidth="1"/>
    <col min="28" max="28" width="2.660156" style="1" customWidth="1"/>
    <col min="29" max="29" width="2.660156" style="1" customWidth="1"/>
    <col min="30" max="30" width="2.660156" style="1" customWidth="1"/>
    <col min="31" max="31" width="2.660156" style="1" customWidth="1"/>
    <col min="32" max="32" width="2.660156" style="1" customWidth="1"/>
    <col min="33" max="33" width="2.660156" style="1" customWidth="1"/>
    <col min="34" max="34" width="3.332031" style="1" customWidth="1"/>
    <col min="35" max="35" width="31.66016" style="1" customWidth="1"/>
    <col min="36" max="36" width="2.5" style="1" customWidth="1"/>
    <col min="37" max="37" width="2.5" style="1" customWidth="1"/>
    <col min="38" max="38" width="8.332031" style="1" customWidth="1"/>
    <col min="39" max="39" width="3.332031" style="1" customWidth="1"/>
    <col min="40" max="40" width="13.33203" style="1" customWidth="1"/>
    <col min="41" max="41" width="7.5" style="1" customWidth="1"/>
    <col min="42" max="42" width="4.160156" style="1" customWidth="1"/>
    <col min="43" max="43" width="15.66016" style="1" customWidth="1"/>
    <col min="44" max="44" width="13.66016" style="1" customWidth="1"/>
    <col min="45" max="45" width="25.83203" style="1" hidden="1" customWidth="1"/>
    <col min="46" max="46" width="25.83203" style="1" hidden="1" customWidth="1"/>
    <col min="47" max="47" width="25.83203" style="1" hidden="1" customWidth="1"/>
    <col min="48" max="48" width="21.66016" style="1" hidden="1" customWidth="1"/>
    <col min="49" max="49" width="21.66016" style="1" hidden="1" customWidth="1"/>
    <col min="50" max="50" width="25" style="1" hidden="1" customWidth="1"/>
    <col min="51" max="51" width="25" style="1" hidden="1" customWidth="1"/>
    <col min="52" max="52" width="21.66016" style="1" hidden="1" customWidth="1"/>
    <col min="53" max="53" width="19.16016" style="1" hidden="1" customWidth="1"/>
    <col min="54" max="54" width="25" style="1" hidden="1" customWidth="1"/>
    <col min="55" max="55" width="21.66016" style="1" hidden="1" customWidth="1"/>
    <col min="56" max="56" width="19.16016" style="1" hidden="1" customWidth="1"/>
    <col min="57" max="57" width="66.5" style="1" customWidth="1"/>
    <col min="71" max="71" width="9.332031" style="1" hidden="1"/>
    <col min="72" max="72" width="9.332031" style="1" hidden="1"/>
    <col min="73" max="73" width="9.332031" style="1" hidden="1"/>
    <col min="74" max="74" width="9.332031" style="1" hidden="1"/>
    <col min="75" max="75" width="9.332031" style="1" hidden="1"/>
    <col min="76" max="76" width="9.332031" style="1" hidden="1"/>
    <col min="77" max="77" width="9.332031" style="1" hidden="1"/>
    <col min="78" max="78" width="9.332031" style="1" hidden="1"/>
    <col min="79" max="79" width="9.332031" style="1" hidden="1"/>
    <col min="80" max="80" width="9.332031" style="1" hidden="1"/>
    <col min="81" max="81" width="9.332031" style="1" hidden="1"/>
    <col min="82" max="82" width="9.332031" style="1" hidden="1"/>
    <col min="83" max="83" width="9.332031" style="1" hidden="1"/>
    <col min="84" max="84" width="9.332031" style="1" hidden="1"/>
    <col min="85" max="85" width="9.332031" style="1" hidden="1"/>
    <col min="86" max="86" width="9.332031" style="1" hidden="1"/>
    <col min="87" max="87" width="9.332031" style="1" hidden="1"/>
    <col min="88" max="88" width="9.332031" style="1" hidden="1"/>
    <col min="89" max="89" width="9.332031" style="1" hidden="1"/>
    <col min="90" max="90" width="9.332031" style="1" hidden="1"/>
    <col min="91" max="91" width="9.332031" style="1" hidden="1"/>
  </cols>
  <sheetData>
    <row r="1">
      <c r="A1" s="17" t="s">
        <v>0</v>
      </c>
      <c r="AZ1" s="17" t="s">
        <v>1</v>
      </c>
      <c r="BA1" s="17" t="s">
        <v>2</v>
      </c>
      <c r="BB1" s="17" t="s">
        <v>3</v>
      </c>
      <c r="BT1" s="17" t="s">
        <v>4</v>
      </c>
      <c r="BU1" s="17" t="s">
        <v>4</v>
      </c>
      <c r="BV1" s="17" t="s">
        <v>5</v>
      </c>
    </row>
    <row r="2" s="1" customFormat="1" ht="36.96" customHeight="1"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S2" s="18" t="s">
        <v>6</v>
      </c>
      <c r="BT2" s="18" t="s">
        <v>7</v>
      </c>
    </row>
    <row r="3" s="1" customFormat="1" ht="6.96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BS3" s="18" t="s">
        <v>6</v>
      </c>
      <c r="BT3" s="18" t="s">
        <v>8</v>
      </c>
    </row>
    <row r="4" s="1" customFormat="1" ht="24.96" customHeight="1">
      <c r="B4" s="22"/>
      <c r="C4" s="23"/>
      <c r="D4" s="24" t="s">
        <v>9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1"/>
      <c r="AS4" s="25" t="s">
        <v>10</v>
      </c>
      <c r="BE4" s="26" t="s">
        <v>11</v>
      </c>
      <c r="BS4" s="18" t="s">
        <v>12</v>
      </c>
    </row>
    <row r="5" s="1" customFormat="1" ht="12" customHeight="1">
      <c r="B5" s="22"/>
      <c r="C5" s="23"/>
      <c r="D5" s="27" t="s">
        <v>13</v>
      </c>
      <c r="E5" s="23"/>
      <c r="F5" s="23"/>
      <c r="G5" s="23"/>
      <c r="H5" s="23"/>
      <c r="I5" s="23"/>
      <c r="J5" s="23"/>
      <c r="K5" s="28" t="s">
        <v>14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1"/>
      <c r="BE5" s="29" t="s">
        <v>15</v>
      </c>
      <c r="BS5" s="18" t="s">
        <v>6</v>
      </c>
    </row>
    <row r="6" s="1" customFormat="1" ht="36.96" customHeight="1">
      <c r="B6" s="22"/>
      <c r="C6" s="23"/>
      <c r="D6" s="30" t="s">
        <v>16</v>
      </c>
      <c r="E6" s="23"/>
      <c r="F6" s="23"/>
      <c r="G6" s="23"/>
      <c r="H6" s="23"/>
      <c r="I6" s="23"/>
      <c r="J6" s="23"/>
      <c r="K6" s="31" t="s">
        <v>17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1"/>
      <c r="BE6" s="32"/>
      <c r="BS6" s="18" t="s">
        <v>6</v>
      </c>
    </row>
    <row r="7" s="1" customFormat="1" ht="12" customHeight="1">
      <c r="B7" s="22"/>
      <c r="C7" s="23"/>
      <c r="D7" s="33" t="s">
        <v>18</v>
      </c>
      <c r="E7" s="23"/>
      <c r="F7" s="23"/>
      <c r="G7" s="23"/>
      <c r="H7" s="23"/>
      <c r="I7" s="23"/>
      <c r="J7" s="23"/>
      <c r="K7" s="28" t="s">
        <v>19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33" t="s">
        <v>20</v>
      </c>
      <c r="AL7" s="23"/>
      <c r="AM7" s="23"/>
      <c r="AN7" s="28" t="s">
        <v>21</v>
      </c>
      <c r="AO7" s="23"/>
      <c r="AP7" s="23"/>
      <c r="AQ7" s="23"/>
      <c r="AR7" s="21"/>
      <c r="BE7" s="32"/>
      <c r="BS7" s="18" t="s">
        <v>6</v>
      </c>
    </row>
    <row r="8" s="1" customFormat="1" ht="12" customHeight="1">
      <c r="B8" s="22"/>
      <c r="C8" s="23"/>
      <c r="D8" s="33" t="s">
        <v>22</v>
      </c>
      <c r="E8" s="23"/>
      <c r="F8" s="23"/>
      <c r="G8" s="23"/>
      <c r="H8" s="23"/>
      <c r="I8" s="23"/>
      <c r="J8" s="23"/>
      <c r="K8" s="28" t="s">
        <v>23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33" t="s">
        <v>24</v>
      </c>
      <c r="AL8" s="23"/>
      <c r="AM8" s="23"/>
      <c r="AN8" s="34" t="s">
        <v>25</v>
      </c>
      <c r="AO8" s="23"/>
      <c r="AP8" s="23"/>
      <c r="AQ8" s="23"/>
      <c r="AR8" s="21"/>
      <c r="BE8" s="32"/>
      <c r="BS8" s="18" t="s">
        <v>6</v>
      </c>
    </row>
    <row r="9" s="1" customFormat="1" ht="29.28" customHeight="1">
      <c r="B9" s="22"/>
      <c r="C9" s="23"/>
      <c r="D9" s="27" t="s">
        <v>26</v>
      </c>
      <c r="E9" s="23"/>
      <c r="F9" s="23"/>
      <c r="G9" s="23"/>
      <c r="H9" s="23"/>
      <c r="I9" s="23"/>
      <c r="J9" s="23"/>
      <c r="K9" s="35" t="s">
        <v>27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7" t="s">
        <v>28</v>
      </c>
      <c r="AL9" s="23"/>
      <c r="AM9" s="23"/>
      <c r="AN9" s="35" t="s">
        <v>29</v>
      </c>
      <c r="AO9" s="23"/>
      <c r="AP9" s="23"/>
      <c r="AQ9" s="23"/>
      <c r="AR9" s="21"/>
      <c r="BE9" s="32"/>
      <c r="BS9" s="18" t="s">
        <v>6</v>
      </c>
    </row>
    <row r="10" s="1" customFormat="1" ht="12" customHeight="1">
      <c r="B10" s="22"/>
      <c r="C10" s="23"/>
      <c r="D10" s="33" t="s">
        <v>30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33" t="s">
        <v>31</v>
      </c>
      <c r="AL10" s="23"/>
      <c r="AM10" s="23"/>
      <c r="AN10" s="28" t="s">
        <v>32</v>
      </c>
      <c r="AO10" s="23"/>
      <c r="AP10" s="23"/>
      <c r="AQ10" s="23"/>
      <c r="AR10" s="21"/>
      <c r="BE10" s="32"/>
      <c r="BS10" s="18" t="s">
        <v>6</v>
      </c>
    </row>
    <row r="11" s="1" customFormat="1" ht="18.48" customHeight="1">
      <c r="B11" s="22"/>
      <c r="C11" s="23"/>
      <c r="D11" s="23"/>
      <c r="E11" s="28" t="s">
        <v>33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33" t="s">
        <v>34</v>
      </c>
      <c r="AL11" s="23"/>
      <c r="AM11" s="23"/>
      <c r="AN11" s="28" t="s">
        <v>32</v>
      </c>
      <c r="AO11" s="23"/>
      <c r="AP11" s="23"/>
      <c r="AQ11" s="23"/>
      <c r="AR11" s="21"/>
      <c r="BE11" s="32"/>
      <c r="BS11" s="18" t="s">
        <v>6</v>
      </c>
    </row>
    <row r="12" s="1" customFormat="1" ht="6.96" customHeight="1">
      <c r="B12" s="22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1"/>
      <c r="BE12" s="32"/>
      <c r="BS12" s="18" t="s">
        <v>6</v>
      </c>
    </row>
    <row r="13" s="1" customFormat="1" ht="12" customHeight="1">
      <c r="B13" s="22"/>
      <c r="C13" s="23"/>
      <c r="D13" s="33" t="s">
        <v>35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33" t="s">
        <v>31</v>
      </c>
      <c r="AL13" s="23"/>
      <c r="AM13" s="23"/>
      <c r="AN13" s="36" t="s">
        <v>36</v>
      </c>
      <c r="AO13" s="23"/>
      <c r="AP13" s="23"/>
      <c r="AQ13" s="23"/>
      <c r="AR13" s="21"/>
      <c r="BE13" s="32"/>
      <c r="BS13" s="18" t="s">
        <v>6</v>
      </c>
    </row>
    <row r="14">
      <c r="B14" s="22"/>
      <c r="C14" s="23"/>
      <c r="D14" s="23"/>
      <c r="E14" s="36" t="s">
        <v>36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3" t="s">
        <v>34</v>
      </c>
      <c r="AL14" s="23"/>
      <c r="AM14" s="23"/>
      <c r="AN14" s="36" t="s">
        <v>36</v>
      </c>
      <c r="AO14" s="23"/>
      <c r="AP14" s="23"/>
      <c r="AQ14" s="23"/>
      <c r="AR14" s="21"/>
      <c r="BE14" s="32"/>
      <c r="BS14" s="18" t="s">
        <v>6</v>
      </c>
    </row>
    <row r="15" s="1" customFormat="1" ht="6.96" customHeight="1"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1"/>
      <c r="BE15" s="32"/>
      <c r="BS15" s="18" t="s">
        <v>4</v>
      </c>
    </row>
    <row r="16" s="1" customFormat="1" ht="12" customHeight="1">
      <c r="B16" s="22"/>
      <c r="C16" s="23"/>
      <c r="D16" s="33" t="s">
        <v>37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33" t="s">
        <v>31</v>
      </c>
      <c r="AL16" s="23"/>
      <c r="AM16" s="23"/>
      <c r="AN16" s="28" t="s">
        <v>38</v>
      </c>
      <c r="AO16" s="23"/>
      <c r="AP16" s="23"/>
      <c r="AQ16" s="23"/>
      <c r="AR16" s="21"/>
      <c r="BE16" s="32"/>
      <c r="BS16" s="18" t="s">
        <v>4</v>
      </c>
    </row>
    <row r="17" s="1" customFormat="1" ht="18.48" customHeight="1">
      <c r="B17" s="22"/>
      <c r="C17" s="23"/>
      <c r="D17" s="23"/>
      <c r="E17" s="28" t="s">
        <v>39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33" t="s">
        <v>34</v>
      </c>
      <c r="AL17" s="23"/>
      <c r="AM17" s="23"/>
      <c r="AN17" s="28" t="s">
        <v>32</v>
      </c>
      <c r="AO17" s="23"/>
      <c r="AP17" s="23"/>
      <c r="AQ17" s="23"/>
      <c r="AR17" s="21"/>
      <c r="BE17" s="32"/>
      <c r="BS17" s="18" t="s">
        <v>4</v>
      </c>
    </row>
    <row r="18" s="1" customFormat="1" ht="6.96" customHeight="1"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1"/>
      <c r="BE18" s="32"/>
      <c r="BS18" s="18" t="s">
        <v>6</v>
      </c>
    </row>
    <row r="19" s="1" customFormat="1" ht="12" customHeight="1">
      <c r="B19" s="22"/>
      <c r="C19" s="23"/>
      <c r="D19" s="33" t="s">
        <v>40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33" t="s">
        <v>31</v>
      </c>
      <c r="AL19" s="23"/>
      <c r="AM19" s="23"/>
      <c r="AN19" s="28" t="s">
        <v>32</v>
      </c>
      <c r="AO19" s="23"/>
      <c r="AP19" s="23"/>
      <c r="AQ19" s="23"/>
      <c r="AR19" s="21"/>
      <c r="BE19" s="32"/>
      <c r="BS19" s="18" t="s">
        <v>6</v>
      </c>
    </row>
    <row r="20" s="1" customFormat="1" ht="18.48" customHeight="1">
      <c r="B20" s="22"/>
      <c r="C20" s="23"/>
      <c r="D20" s="23"/>
      <c r="E20" s="28" t="s">
        <v>41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33" t="s">
        <v>34</v>
      </c>
      <c r="AL20" s="23"/>
      <c r="AM20" s="23"/>
      <c r="AN20" s="28" t="s">
        <v>32</v>
      </c>
      <c r="AO20" s="23"/>
      <c r="AP20" s="23"/>
      <c r="AQ20" s="23"/>
      <c r="AR20" s="21"/>
      <c r="BE20" s="32"/>
      <c r="BS20" s="18" t="s">
        <v>4</v>
      </c>
    </row>
    <row r="21" s="1" customFormat="1" ht="6.96" customHeight="1"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1"/>
      <c r="BE21" s="32"/>
    </row>
    <row r="22" s="1" customFormat="1" ht="12" customHeight="1">
      <c r="B22" s="22"/>
      <c r="C22" s="23"/>
      <c r="D22" s="33" t="s">
        <v>42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1"/>
      <c r="BE22" s="32"/>
    </row>
    <row r="23" s="1" customFormat="1" ht="47.25" customHeight="1">
      <c r="B23" s="22"/>
      <c r="C23" s="23"/>
      <c r="D23" s="23"/>
      <c r="E23" s="38" t="s">
        <v>43</v>
      </c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23"/>
      <c r="AP23" s="23"/>
      <c r="AQ23" s="23"/>
      <c r="AR23" s="21"/>
      <c r="BE23" s="32"/>
    </row>
    <row r="24" s="1" customFormat="1" ht="6.96" customHeight="1"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1"/>
      <c r="BE24" s="32"/>
    </row>
    <row r="25" s="1" customFormat="1" ht="6.96" customHeight="1">
      <c r="B25" s="22"/>
      <c r="C25" s="23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23"/>
      <c r="AQ25" s="23"/>
      <c r="AR25" s="21"/>
      <c r="BE25" s="32"/>
    </row>
    <row r="26" s="2" customFormat="1" ht="25.92" customHeight="1">
      <c r="A26" s="40"/>
      <c r="B26" s="41"/>
      <c r="C26" s="42"/>
      <c r="D26" s="43" t="s">
        <v>44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5">
        <f>ROUND(AG54,1)</f>
        <v>0</v>
      </c>
      <c r="AL26" s="44"/>
      <c r="AM26" s="44"/>
      <c r="AN26" s="44"/>
      <c r="AO26" s="44"/>
      <c r="AP26" s="42"/>
      <c r="AQ26" s="42"/>
      <c r="AR26" s="46"/>
      <c r="BE26" s="32"/>
    </row>
    <row r="27" s="2" customFormat="1" ht="6.96" customHeight="1">
      <c r="A27" s="4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6"/>
      <c r="BE27" s="32"/>
    </row>
    <row r="28" s="2" customFormat="1">
      <c r="A28" s="40"/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7" t="s">
        <v>45</v>
      </c>
      <c r="M28" s="47"/>
      <c r="N28" s="47"/>
      <c r="O28" s="47"/>
      <c r="P28" s="47"/>
      <c r="Q28" s="42"/>
      <c r="R28" s="42"/>
      <c r="S28" s="42"/>
      <c r="T28" s="42"/>
      <c r="U28" s="42"/>
      <c r="V28" s="42"/>
      <c r="W28" s="47" t="s">
        <v>46</v>
      </c>
      <c r="X28" s="47"/>
      <c r="Y28" s="47"/>
      <c r="Z28" s="47"/>
      <c r="AA28" s="47"/>
      <c r="AB28" s="47"/>
      <c r="AC28" s="47"/>
      <c r="AD28" s="47"/>
      <c r="AE28" s="47"/>
      <c r="AF28" s="42"/>
      <c r="AG28" s="42"/>
      <c r="AH28" s="42"/>
      <c r="AI28" s="42"/>
      <c r="AJ28" s="42"/>
      <c r="AK28" s="47" t="s">
        <v>47</v>
      </c>
      <c r="AL28" s="47"/>
      <c r="AM28" s="47"/>
      <c r="AN28" s="47"/>
      <c r="AO28" s="47"/>
      <c r="AP28" s="42"/>
      <c r="AQ28" s="42"/>
      <c r="AR28" s="46"/>
      <c r="BE28" s="32"/>
    </row>
    <row r="29" s="3" customFormat="1" ht="14.4" customHeight="1">
      <c r="A29" s="3"/>
      <c r="B29" s="48"/>
      <c r="C29" s="49"/>
      <c r="D29" s="33" t="s">
        <v>48</v>
      </c>
      <c r="E29" s="49"/>
      <c r="F29" s="33" t="s">
        <v>49</v>
      </c>
      <c r="G29" s="49"/>
      <c r="H29" s="49"/>
      <c r="I29" s="49"/>
      <c r="J29" s="49"/>
      <c r="K29" s="49"/>
      <c r="L29" s="50">
        <v>0.20999999999999999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51">
        <f>ROUND(AZ54, 1)</f>
        <v>0</v>
      </c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51">
        <f>ROUND(AV54, 1)</f>
        <v>0</v>
      </c>
      <c r="AL29" s="49"/>
      <c r="AM29" s="49"/>
      <c r="AN29" s="49"/>
      <c r="AO29" s="49"/>
      <c r="AP29" s="49"/>
      <c r="AQ29" s="49"/>
      <c r="AR29" s="52"/>
      <c r="BE29" s="53"/>
    </row>
    <row r="30" s="3" customFormat="1" ht="14.4" customHeight="1">
      <c r="A30" s="3"/>
      <c r="B30" s="48"/>
      <c r="C30" s="49"/>
      <c r="D30" s="49"/>
      <c r="E30" s="49"/>
      <c r="F30" s="33" t="s">
        <v>50</v>
      </c>
      <c r="G30" s="49"/>
      <c r="H30" s="49"/>
      <c r="I30" s="49"/>
      <c r="J30" s="49"/>
      <c r="K30" s="49"/>
      <c r="L30" s="50">
        <v>0.14999999999999999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51">
        <f>ROUND(BA54, 1)</f>
        <v>0</v>
      </c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51">
        <f>ROUND(AW54, 1)</f>
        <v>0</v>
      </c>
      <c r="AL30" s="49"/>
      <c r="AM30" s="49"/>
      <c r="AN30" s="49"/>
      <c r="AO30" s="49"/>
      <c r="AP30" s="49"/>
      <c r="AQ30" s="49"/>
      <c r="AR30" s="52"/>
      <c r="BE30" s="53"/>
    </row>
    <row r="31" hidden="1" s="3" customFormat="1" ht="14.4" customHeight="1">
      <c r="A31" s="3"/>
      <c r="B31" s="48"/>
      <c r="C31" s="49"/>
      <c r="D31" s="49"/>
      <c r="E31" s="49"/>
      <c r="F31" s="33" t="s">
        <v>51</v>
      </c>
      <c r="G31" s="49"/>
      <c r="H31" s="49"/>
      <c r="I31" s="49"/>
      <c r="J31" s="49"/>
      <c r="K31" s="49"/>
      <c r="L31" s="50">
        <v>0.20999999999999999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51">
        <f>ROUND(BB54, 1)</f>
        <v>0</v>
      </c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51">
        <v>0</v>
      </c>
      <c r="AL31" s="49"/>
      <c r="AM31" s="49"/>
      <c r="AN31" s="49"/>
      <c r="AO31" s="49"/>
      <c r="AP31" s="49"/>
      <c r="AQ31" s="49"/>
      <c r="AR31" s="52"/>
      <c r="BE31" s="53"/>
    </row>
    <row r="32" hidden="1" s="3" customFormat="1" ht="14.4" customHeight="1">
      <c r="A32" s="3"/>
      <c r="B32" s="48"/>
      <c r="C32" s="49"/>
      <c r="D32" s="49"/>
      <c r="E32" s="49"/>
      <c r="F32" s="33" t="s">
        <v>52</v>
      </c>
      <c r="G32" s="49"/>
      <c r="H32" s="49"/>
      <c r="I32" s="49"/>
      <c r="J32" s="49"/>
      <c r="K32" s="49"/>
      <c r="L32" s="50">
        <v>0.14999999999999999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51">
        <f>ROUND(BC54, 1)</f>
        <v>0</v>
      </c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51">
        <v>0</v>
      </c>
      <c r="AL32" s="49"/>
      <c r="AM32" s="49"/>
      <c r="AN32" s="49"/>
      <c r="AO32" s="49"/>
      <c r="AP32" s="49"/>
      <c r="AQ32" s="49"/>
      <c r="AR32" s="52"/>
      <c r="BE32" s="53"/>
    </row>
    <row r="33" hidden="1" s="3" customFormat="1" ht="14.4" customHeight="1">
      <c r="A33" s="3"/>
      <c r="B33" s="48"/>
      <c r="C33" s="49"/>
      <c r="D33" s="49"/>
      <c r="E33" s="49"/>
      <c r="F33" s="33" t="s">
        <v>53</v>
      </c>
      <c r="G33" s="49"/>
      <c r="H33" s="49"/>
      <c r="I33" s="49"/>
      <c r="J33" s="49"/>
      <c r="K33" s="49"/>
      <c r="L33" s="50">
        <v>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51">
        <f>ROUND(BD54, 1)</f>
        <v>0</v>
      </c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51">
        <v>0</v>
      </c>
      <c r="AL33" s="49"/>
      <c r="AM33" s="49"/>
      <c r="AN33" s="49"/>
      <c r="AO33" s="49"/>
      <c r="AP33" s="49"/>
      <c r="AQ33" s="49"/>
      <c r="AR33" s="52"/>
      <c r="BE33" s="3"/>
    </row>
    <row r="34" s="2" customFormat="1" ht="6.96" customHeight="1">
      <c r="A34" s="40"/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6"/>
      <c r="BE34" s="40"/>
    </row>
    <row r="35" s="2" customFormat="1" ht="25.92" customHeight="1">
      <c r="A35" s="40"/>
      <c r="B35" s="41"/>
      <c r="C35" s="54"/>
      <c r="D35" s="55" t="s">
        <v>54</v>
      </c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7" t="s">
        <v>55</v>
      </c>
      <c r="U35" s="56"/>
      <c r="V35" s="56"/>
      <c r="W35" s="56"/>
      <c r="X35" s="58" t="s">
        <v>56</v>
      </c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9">
        <f>SUM(AK26:AK33)</f>
        <v>0</v>
      </c>
      <c r="AL35" s="56"/>
      <c r="AM35" s="56"/>
      <c r="AN35" s="56"/>
      <c r="AO35" s="60"/>
      <c r="AP35" s="54"/>
      <c r="AQ35" s="54"/>
      <c r="AR35" s="46"/>
      <c r="BE35" s="40"/>
    </row>
    <row r="36" s="2" customFormat="1" ht="6.96" customHeight="1">
      <c r="A36" s="40"/>
      <c r="B36" s="41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6"/>
      <c r="BE36" s="40"/>
    </row>
    <row r="37" s="2" customFormat="1" ht="6.96" customHeight="1">
      <c r="A37" s="40"/>
      <c r="B37" s="61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46"/>
      <c r="BE37" s="40"/>
    </row>
    <row r="41" s="2" customFormat="1" ht="6.96" customHeight="1">
      <c r="A41" s="40"/>
      <c r="B41" s="63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46"/>
      <c r="BE41" s="40"/>
    </row>
    <row r="42" s="2" customFormat="1" ht="24.96" customHeight="1">
      <c r="A42" s="40"/>
      <c r="B42" s="41"/>
      <c r="C42" s="24" t="s">
        <v>57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6"/>
      <c r="BE42" s="40"/>
    </row>
    <row r="43" s="2" customFormat="1" ht="6.96" customHeight="1">
      <c r="A43" s="4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6"/>
      <c r="BE43" s="40"/>
    </row>
    <row r="44" s="4" customFormat="1" ht="12" customHeight="1">
      <c r="A44" s="4"/>
      <c r="B44" s="65"/>
      <c r="C44" s="33" t="s">
        <v>13</v>
      </c>
      <c r="D44" s="66"/>
      <c r="E44" s="66"/>
      <c r="F44" s="66"/>
      <c r="G44" s="66"/>
      <c r="H44" s="66"/>
      <c r="I44" s="66"/>
      <c r="J44" s="66"/>
      <c r="K44" s="66"/>
      <c r="L44" s="66" t="str">
        <f>K5</f>
        <v>2023_07_13</v>
      </c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7"/>
      <c r="BE44" s="4"/>
    </row>
    <row r="45" s="5" customFormat="1" ht="36.96" customHeight="1">
      <c r="A45" s="5"/>
      <c r="B45" s="68"/>
      <c r="C45" s="69" t="s">
        <v>16</v>
      </c>
      <c r="D45" s="70"/>
      <c r="E45" s="70"/>
      <c r="F45" s="70"/>
      <c r="G45" s="70"/>
      <c r="H45" s="70"/>
      <c r="I45" s="70"/>
      <c r="J45" s="70"/>
      <c r="K45" s="70"/>
      <c r="L45" s="71" t="str">
        <f>K6</f>
        <v>Kulturní dům ČP 1, Třemošná- rev 03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2"/>
      <c r="BE45" s="5"/>
    </row>
    <row r="46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6"/>
      <c r="BE46" s="40"/>
    </row>
    <row r="47" s="2" customFormat="1" ht="12" customHeight="1">
      <c r="A47" s="40"/>
      <c r="B47" s="41"/>
      <c r="C47" s="33" t="s">
        <v>22</v>
      </c>
      <c r="D47" s="42"/>
      <c r="E47" s="42"/>
      <c r="F47" s="42"/>
      <c r="G47" s="42"/>
      <c r="H47" s="42"/>
      <c r="I47" s="42"/>
      <c r="J47" s="42"/>
      <c r="K47" s="42"/>
      <c r="L47" s="73" t="str">
        <f>IF(K8="","",K8)</f>
        <v>Třemošná</v>
      </c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3" t="s">
        <v>24</v>
      </c>
      <c r="AJ47" s="42"/>
      <c r="AK47" s="42"/>
      <c r="AL47" s="42"/>
      <c r="AM47" s="74" t="str">
        <f>IF(AN8= "","",AN8)</f>
        <v>20. 12. 2023</v>
      </c>
      <c r="AN47" s="74"/>
      <c r="AO47" s="42"/>
      <c r="AP47" s="42"/>
      <c r="AQ47" s="42"/>
      <c r="AR47" s="46"/>
      <c r="BE47" s="40"/>
    </row>
    <row r="48" s="2" customFormat="1" ht="6.96" customHeight="1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6"/>
      <c r="BE48" s="40"/>
    </row>
    <row r="49" s="2" customFormat="1" ht="15.15" customHeight="1">
      <c r="A49" s="40"/>
      <c r="B49" s="41"/>
      <c r="C49" s="33" t="s">
        <v>30</v>
      </c>
      <c r="D49" s="42"/>
      <c r="E49" s="42"/>
      <c r="F49" s="42"/>
      <c r="G49" s="42"/>
      <c r="H49" s="42"/>
      <c r="I49" s="42"/>
      <c r="J49" s="42"/>
      <c r="K49" s="42"/>
      <c r="L49" s="66" t="str">
        <f>IF(E11= "","",E11)</f>
        <v>Město Třemošná, Sídliště 992, 330 01 Třemošná</v>
      </c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3" t="s">
        <v>37</v>
      </c>
      <c r="AJ49" s="42"/>
      <c r="AK49" s="42"/>
      <c r="AL49" s="42"/>
      <c r="AM49" s="75" t="str">
        <f>IF(E17="","",E17)</f>
        <v>RAVAL projekt v. o. s.</v>
      </c>
      <c r="AN49" s="66"/>
      <c r="AO49" s="66"/>
      <c r="AP49" s="66"/>
      <c r="AQ49" s="42"/>
      <c r="AR49" s="46"/>
      <c r="AS49" s="76" t="s">
        <v>58</v>
      </c>
      <c r="AT49" s="77"/>
      <c r="AU49" s="78"/>
      <c r="AV49" s="78"/>
      <c r="AW49" s="78"/>
      <c r="AX49" s="78"/>
      <c r="AY49" s="78"/>
      <c r="AZ49" s="78"/>
      <c r="BA49" s="78"/>
      <c r="BB49" s="78"/>
      <c r="BC49" s="78"/>
      <c r="BD49" s="79"/>
      <c r="BE49" s="40"/>
    </row>
    <row r="50" s="2" customFormat="1" ht="15.15" customHeight="1">
      <c r="A50" s="40"/>
      <c r="B50" s="41"/>
      <c r="C50" s="33" t="s">
        <v>35</v>
      </c>
      <c r="D50" s="42"/>
      <c r="E50" s="42"/>
      <c r="F50" s="42"/>
      <c r="G50" s="42"/>
      <c r="H50" s="42"/>
      <c r="I50" s="42"/>
      <c r="J50" s="42"/>
      <c r="K50" s="42"/>
      <c r="L50" s="66" t="str">
        <f>IF(E14= "Vyplň údaj","",E14)</f>
        <v/>
      </c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3" t="s">
        <v>40</v>
      </c>
      <c r="AJ50" s="42"/>
      <c r="AK50" s="42"/>
      <c r="AL50" s="42"/>
      <c r="AM50" s="75" t="str">
        <f>IF(E20="","",E20)</f>
        <v xml:space="preserve"> </v>
      </c>
      <c r="AN50" s="66"/>
      <c r="AO50" s="66"/>
      <c r="AP50" s="66"/>
      <c r="AQ50" s="42"/>
      <c r="AR50" s="46"/>
      <c r="AS50" s="80"/>
      <c r="AT50" s="81"/>
      <c r="AU50" s="82"/>
      <c r="AV50" s="82"/>
      <c r="AW50" s="82"/>
      <c r="AX50" s="82"/>
      <c r="AY50" s="82"/>
      <c r="AZ50" s="82"/>
      <c r="BA50" s="82"/>
      <c r="BB50" s="82"/>
      <c r="BC50" s="82"/>
      <c r="BD50" s="83"/>
      <c r="BE50" s="40"/>
    </row>
    <row r="51" s="2" customFormat="1" ht="10.8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6"/>
      <c r="AS51" s="84"/>
      <c r="AT51" s="85"/>
      <c r="AU51" s="86"/>
      <c r="AV51" s="86"/>
      <c r="AW51" s="86"/>
      <c r="AX51" s="86"/>
      <c r="AY51" s="86"/>
      <c r="AZ51" s="86"/>
      <c r="BA51" s="86"/>
      <c r="BB51" s="86"/>
      <c r="BC51" s="86"/>
      <c r="BD51" s="87"/>
      <c r="BE51" s="40"/>
    </row>
    <row r="52" s="2" customFormat="1" ht="29.28" customHeight="1">
      <c r="A52" s="40"/>
      <c r="B52" s="41"/>
      <c r="C52" s="88" t="s">
        <v>59</v>
      </c>
      <c r="D52" s="89"/>
      <c r="E52" s="89"/>
      <c r="F52" s="89"/>
      <c r="G52" s="89"/>
      <c r="H52" s="90"/>
      <c r="I52" s="91" t="s">
        <v>60</v>
      </c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92" t="s">
        <v>61</v>
      </c>
      <c r="AH52" s="89"/>
      <c r="AI52" s="89"/>
      <c r="AJ52" s="89"/>
      <c r="AK52" s="89"/>
      <c r="AL52" s="89"/>
      <c r="AM52" s="89"/>
      <c r="AN52" s="91" t="s">
        <v>62</v>
      </c>
      <c r="AO52" s="89"/>
      <c r="AP52" s="89"/>
      <c r="AQ52" s="93" t="s">
        <v>63</v>
      </c>
      <c r="AR52" s="46"/>
      <c r="AS52" s="94" t="s">
        <v>64</v>
      </c>
      <c r="AT52" s="95" t="s">
        <v>65</v>
      </c>
      <c r="AU52" s="95" t="s">
        <v>66</v>
      </c>
      <c r="AV52" s="95" t="s">
        <v>67</v>
      </c>
      <c r="AW52" s="95" t="s">
        <v>68</v>
      </c>
      <c r="AX52" s="95" t="s">
        <v>69</v>
      </c>
      <c r="AY52" s="95" t="s">
        <v>70</v>
      </c>
      <c r="AZ52" s="95" t="s">
        <v>71</v>
      </c>
      <c r="BA52" s="95" t="s">
        <v>72</v>
      </c>
      <c r="BB52" s="95" t="s">
        <v>73</v>
      </c>
      <c r="BC52" s="95" t="s">
        <v>74</v>
      </c>
      <c r="BD52" s="96" t="s">
        <v>75</v>
      </c>
      <c r="BE52" s="40"/>
    </row>
    <row r="53" s="2" customFormat="1" ht="10.8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6"/>
      <c r="AS53" s="97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9"/>
      <c r="BE53" s="40"/>
    </row>
    <row r="54" s="6" customFormat="1" ht="32.4" customHeight="1">
      <c r="A54" s="6"/>
      <c r="B54" s="100"/>
      <c r="C54" s="101" t="s">
        <v>76</v>
      </c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3">
        <f>ROUND(SUM(AG55:AG64),1)</f>
        <v>0</v>
      </c>
      <c r="AH54" s="103"/>
      <c r="AI54" s="103"/>
      <c r="AJ54" s="103"/>
      <c r="AK54" s="103"/>
      <c r="AL54" s="103"/>
      <c r="AM54" s="103"/>
      <c r="AN54" s="104">
        <f>SUM(AG54,AT54)</f>
        <v>0</v>
      </c>
      <c r="AO54" s="104"/>
      <c r="AP54" s="104"/>
      <c r="AQ54" s="105" t="s">
        <v>32</v>
      </c>
      <c r="AR54" s="106"/>
      <c r="AS54" s="107">
        <f>ROUND(SUM(AS55:AS64),1)</f>
        <v>0</v>
      </c>
      <c r="AT54" s="108">
        <f>ROUND(SUM(AV54:AW54),1)</f>
        <v>0</v>
      </c>
      <c r="AU54" s="109">
        <f>ROUND(SUM(AU55:AU64),5)</f>
        <v>0</v>
      </c>
      <c r="AV54" s="108">
        <f>ROUND(AZ54*L29,1)</f>
        <v>0</v>
      </c>
      <c r="AW54" s="108">
        <f>ROUND(BA54*L30,1)</f>
        <v>0</v>
      </c>
      <c r="AX54" s="108">
        <f>ROUND(BB54*L29,1)</f>
        <v>0</v>
      </c>
      <c r="AY54" s="108">
        <f>ROUND(BC54*L30,1)</f>
        <v>0</v>
      </c>
      <c r="AZ54" s="108">
        <f>ROUND(SUM(AZ55:AZ64),1)</f>
        <v>0</v>
      </c>
      <c r="BA54" s="108">
        <f>ROUND(SUM(BA55:BA64),1)</f>
        <v>0</v>
      </c>
      <c r="BB54" s="108">
        <f>ROUND(SUM(BB55:BB64),1)</f>
        <v>0</v>
      </c>
      <c r="BC54" s="108">
        <f>ROUND(SUM(BC55:BC64),1)</f>
        <v>0</v>
      </c>
      <c r="BD54" s="110">
        <f>ROUND(SUM(BD55:BD64),1)</f>
        <v>0</v>
      </c>
      <c r="BE54" s="6"/>
      <c r="BS54" s="111" t="s">
        <v>77</v>
      </c>
      <c r="BT54" s="111" t="s">
        <v>78</v>
      </c>
      <c r="BU54" s="112" t="s">
        <v>79</v>
      </c>
      <c r="BV54" s="111" t="s">
        <v>80</v>
      </c>
      <c r="BW54" s="111" t="s">
        <v>5</v>
      </c>
      <c r="BX54" s="111" t="s">
        <v>81</v>
      </c>
      <c r="CL54" s="111" t="s">
        <v>19</v>
      </c>
    </row>
    <row r="55" s="7" customFormat="1" ht="16.5" customHeight="1">
      <c r="A55" s="113" t="s">
        <v>82</v>
      </c>
      <c r="B55" s="114"/>
      <c r="C55" s="115"/>
      <c r="D55" s="116" t="s">
        <v>83</v>
      </c>
      <c r="E55" s="116"/>
      <c r="F55" s="116"/>
      <c r="G55" s="116"/>
      <c r="H55" s="116"/>
      <c r="I55" s="117"/>
      <c r="J55" s="116" t="s">
        <v>84</v>
      </c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8">
        <f>'01 - Architektonicko stav...'!J30</f>
        <v>0</v>
      </c>
      <c r="AH55" s="117"/>
      <c r="AI55" s="117"/>
      <c r="AJ55" s="117"/>
      <c r="AK55" s="117"/>
      <c r="AL55" s="117"/>
      <c r="AM55" s="117"/>
      <c r="AN55" s="118">
        <f>SUM(AG55,AT55)</f>
        <v>0</v>
      </c>
      <c r="AO55" s="117"/>
      <c r="AP55" s="117"/>
      <c r="AQ55" s="119" t="s">
        <v>85</v>
      </c>
      <c r="AR55" s="120"/>
      <c r="AS55" s="121">
        <v>0</v>
      </c>
      <c r="AT55" s="122">
        <f>ROUND(SUM(AV55:AW55),1)</f>
        <v>0</v>
      </c>
      <c r="AU55" s="123">
        <f>'01 - Architektonicko stav...'!P105</f>
        <v>0</v>
      </c>
      <c r="AV55" s="122">
        <f>'01 - Architektonicko stav...'!J33</f>
        <v>0</v>
      </c>
      <c r="AW55" s="122">
        <f>'01 - Architektonicko stav...'!J34</f>
        <v>0</v>
      </c>
      <c r="AX55" s="122">
        <f>'01 - Architektonicko stav...'!J35</f>
        <v>0</v>
      </c>
      <c r="AY55" s="122">
        <f>'01 - Architektonicko stav...'!J36</f>
        <v>0</v>
      </c>
      <c r="AZ55" s="122">
        <f>'01 - Architektonicko stav...'!F33</f>
        <v>0</v>
      </c>
      <c r="BA55" s="122">
        <f>'01 - Architektonicko stav...'!F34</f>
        <v>0</v>
      </c>
      <c r="BB55" s="122">
        <f>'01 - Architektonicko stav...'!F35</f>
        <v>0</v>
      </c>
      <c r="BC55" s="122">
        <f>'01 - Architektonicko stav...'!F36</f>
        <v>0</v>
      </c>
      <c r="BD55" s="124">
        <f>'01 - Architektonicko stav...'!F37</f>
        <v>0</v>
      </c>
      <c r="BE55" s="7"/>
      <c r="BT55" s="125" t="s">
        <v>86</v>
      </c>
      <c r="BV55" s="125" t="s">
        <v>80</v>
      </c>
      <c r="BW55" s="125" t="s">
        <v>87</v>
      </c>
      <c r="BX55" s="125" t="s">
        <v>5</v>
      </c>
      <c r="CL55" s="125" t="s">
        <v>19</v>
      </c>
      <c r="CM55" s="125" t="s">
        <v>88</v>
      </c>
    </row>
    <row r="56" s="7" customFormat="1" ht="16.5" customHeight="1">
      <c r="A56" s="113" t="s">
        <v>82</v>
      </c>
      <c r="B56" s="114"/>
      <c r="C56" s="115"/>
      <c r="D56" s="116" t="s">
        <v>89</v>
      </c>
      <c r="E56" s="116"/>
      <c r="F56" s="116"/>
      <c r="G56" s="116"/>
      <c r="H56" s="116"/>
      <c r="I56" s="117"/>
      <c r="J56" s="116" t="s">
        <v>90</v>
      </c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8">
        <f>'02 - Zdravotní instalace'!J30</f>
        <v>0</v>
      </c>
      <c r="AH56" s="117"/>
      <c r="AI56" s="117"/>
      <c r="AJ56" s="117"/>
      <c r="AK56" s="117"/>
      <c r="AL56" s="117"/>
      <c r="AM56" s="117"/>
      <c r="AN56" s="118">
        <f>SUM(AG56,AT56)</f>
        <v>0</v>
      </c>
      <c r="AO56" s="117"/>
      <c r="AP56" s="117"/>
      <c r="AQ56" s="119" t="s">
        <v>85</v>
      </c>
      <c r="AR56" s="120"/>
      <c r="AS56" s="121">
        <v>0</v>
      </c>
      <c r="AT56" s="122">
        <f>ROUND(SUM(AV56:AW56),1)</f>
        <v>0</v>
      </c>
      <c r="AU56" s="123">
        <f>'02 - Zdravotní instalace'!P89</f>
        <v>0</v>
      </c>
      <c r="AV56" s="122">
        <f>'02 - Zdravotní instalace'!J33</f>
        <v>0</v>
      </c>
      <c r="AW56" s="122">
        <f>'02 - Zdravotní instalace'!J34</f>
        <v>0</v>
      </c>
      <c r="AX56" s="122">
        <f>'02 - Zdravotní instalace'!J35</f>
        <v>0</v>
      </c>
      <c r="AY56" s="122">
        <f>'02 - Zdravotní instalace'!J36</f>
        <v>0</v>
      </c>
      <c r="AZ56" s="122">
        <f>'02 - Zdravotní instalace'!F33</f>
        <v>0</v>
      </c>
      <c r="BA56" s="122">
        <f>'02 - Zdravotní instalace'!F34</f>
        <v>0</v>
      </c>
      <c r="BB56" s="122">
        <f>'02 - Zdravotní instalace'!F35</f>
        <v>0</v>
      </c>
      <c r="BC56" s="122">
        <f>'02 - Zdravotní instalace'!F36</f>
        <v>0</v>
      </c>
      <c r="BD56" s="124">
        <f>'02 - Zdravotní instalace'!F37</f>
        <v>0</v>
      </c>
      <c r="BE56" s="7"/>
      <c r="BT56" s="125" t="s">
        <v>86</v>
      </c>
      <c r="BV56" s="125" t="s">
        <v>80</v>
      </c>
      <c r="BW56" s="125" t="s">
        <v>91</v>
      </c>
      <c r="BX56" s="125" t="s">
        <v>5</v>
      </c>
      <c r="CL56" s="125" t="s">
        <v>32</v>
      </c>
      <c r="CM56" s="125" t="s">
        <v>88</v>
      </c>
    </row>
    <row r="57" s="7" customFormat="1" ht="16.5" customHeight="1">
      <c r="A57" s="113" t="s">
        <v>82</v>
      </c>
      <c r="B57" s="114"/>
      <c r="C57" s="115"/>
      <c r="D57" s="116" t="s">
        <v>92</v>
      </c>
      <c r="E57" s="116"/>
      <c r="F57" s="116"/>
      <c r="G57" s="116"/>
      <c r="H57" s="116"/>
      <c r="I57" s="117"/>
      <c r="J57" s="116" t="s">
        <v>93</v>
      </c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8">
        <f>'03 - Vytápění'!J30</f>
        <v>0</v>
      </c>
      <c r="AH57" s="117"/>
      <c r="AI57" s="117"/>
      <c r="AJ57" s="117"/>
      <c r="AK57" s="117"/>
      <c r="AL57" s="117"/>
      <c r="AM57" s="117"/>
      <c r="AN57" s="118">
        <f>SUM(AG57,AT57)</f>
        <v>0</v>
      </c>
      <c r="AO57" s="117"/>
      <c r="AP57" s="117"/>
      <c r="AQ57" s="119" t="s">
        <v>85</v>
      </c>
      <c r="AR57" s="120"/>
      <c r="AS57" s="121">
        <v>0</v>
      </c>
      <c r="AT57" s="122">
        <f>ROUND(SUM(AV57:AW57),1)</f>
        <v>0</v>
      </c>
      <c r="AU57" s="123">
        <f>'03 - Vytápění'!P79</f>
        <v>0</v>
      </c>
      <c r="AV57" s="122">
        <f>'03 - Vytápění'!J33</f>
        <v>0</v>
      </c>
      <c r="AW57" s="122">
        <f>'03 - Vytápění'!J34</f>
        <v>0</v>
      </c>
      <c r="AX57" s="122">
        <f>'03 - Vytápění'!J35</f>
        <v>0</v>
      </c>
      <c r="AY57" s="122">
        <f>'03 - Vytápění'!J36</f>
        <v>0</v>
      </c>
      <c r="AZ57" s="122">
        <f>'03 - Vytápění'!F33</f>
        <v>0</v>
      </c>
      <c r="BA57" s="122">
        <f>'03 - Vytápění'!F34</f>
        <v>0</v>
      </c>
      <c r="BB57" s="122">
        <f>'03 - Vytápění'!F35</f>
        <v>0</v>
      </c>
      <c r="BC57" s="122">
        <f>'03 - Vytápění'!F36</f>
        <v>0</v>
      </c>
      <c r="BD57" s="124">
        <f>'03 - Vytápění'!F37</f>
        <v>0</v>
      </c>
      <c r="BE57" s="7"/>
      <c r="BT57" s="125" t="s">
        <v>86</v>
      </c>
      <c r="BV57" s="125" t="s">
        <v>80</v>
      </c>
      <c r="BW57" s="125" t="s">
        <v>94</v>
      </c>
      <c r="BX57" s="125" t="s">
        <v>5</v>
      </c>
      <c r="CL57" s="125" t="s">
        <v>32</v>
      </c>
      <c r="CM57" s="125" t="s">
        <v>88</v>
      </c>
    </row>
    <row r="58" s="7" customFormat="1" ht="16.5" customHeight="1">
      <c r="A58" s="113" t="s">
        <v>82</v>
      </c>
      <c r="B58" s="114"/>
      <c r="C58" s="115"/>
      <c r="D58" s="116" t="s">
        <v>95</v>
      </c>
      <c r="E58" s="116"/>
      <c r="F58" s="116"/>
      <c r="G58" s="116"/>
      <c r="H58" s="116"/>
      <c r="I58" s="117"/>
      <c r="J58" s="116" t="s">
        <v>96</v>
      </c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8">
        <f>'04 - Vzduchotechnika'!J30</f>
        <v>0</v>
      </c>
      <c r="AH58" s="117"/>
      <c r="AI58" s="117"/>
      <c r="AJ58" s="117"/>
      <c r="AK58" s="117"/>
      <c r="AL58" s="117"/>
      <c r="AM58" s="117"/>
      <c r="AN58" s="118">
        <f>SUM(AG58,AT58)</f>
        <v>0</v>
      </c>
      <c r="AO58" s="117"/>
      <c r="AP58" s="117"/>
      <c r="AQ58" s="119" t="s">
        <v>85</v>
      </c>
      <c r="AR58" s="120"/>
      <c r="AS58" s="121">
        <v>0</v>
      </c>
      <c r="AT58" s="122">
        <f>ROUND(SUM(AV58:AW58),1)</f>
        <v>0</v>
      </c>
      <c r="AU58" s="123">
        <f>'04 - Vzduchotechnika'!P93</f>
        <v>0</v>
      </c>
      <c r="AV58" s="122">
        <f>'04 - Vzduchotechnika'!J33</f>
        <v>0</v>
      </c>
      <c r="AW58" s="122">
        <f>'04 - Vzduchotechnika'!J34</f>
        <v>0</v>
      </c>
      <c r="AX58" s="122">
        <f>'04 - Vzduchotechnika'!J35</f>
        <v>0</v>
      </c>
      <c r="AY58" s="122">
        <f>'04 - Vzduchotechnika'!J36</f>
        <v>0</v>
      </c>
      <c r="AZ58" s="122">
        <f>'04 - Vzduchotechnika'!F33</f>
        <v>0</v>
      </c>
      <c r="BA58" s="122">
        <f>'04 - Vzduchotechnika'!F34</f>
        <v>0</v>
      </c>
      <c r="BB58" s="122">
        <f>'04 - Vzduchotechnika'!F35</f>
        <v>0</v>
      </c>
      <c r="BC58" s="122">
        <f>'04 - Vzduchotechnika'!F36</f>
        <v>0</v>
      </c>
      <c r="BD58" s="124">
        <f>'04 - Vzduchotechnika'!F37</f>
        <v>0</v>
      </c>
      <c r="BE58" s="7"/>
      <c r="BT58" s="125" t="s">
        <v>86</v>
      </c>
      <c r="BV58" s="125" t="s">
        <v>80</v>
      </c>
      <c r="BW58" s="125" t="s">
        <v>97</v>
      </c>
      <c r="BX58" s="125" t="s">
        <v>5</v>
      </c>
      <c r="CL58" s="125" t="s">
        <v>32</v>
      </c>
      <c r="CM58" s="125" t="s">
        <v>88</v>
      </c>
    </row>
    <row r="59" s="7" customFormat="1" ht="16.5" customHeight="1">
      <c r="A59" s="113" t="s">
        <v>82</v>
      </c>
      <c r="B59" s="114"/>
      <c r="C59" s="115"/>
      <c r="D59" s="116" t="s">
        <v>98</v>
      </c>
      <c r="E59" s="116"/>
      <c r="F59" s="116"/>
      <c r="G59" s="116"/>
      <c r="H59" s="116"/>
      <c r="I59" s="117"/>
      <c r="J59" s="116" t="s">
        <v>99</v>
      </c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8">
        <f>'05 - Elektroinstalace'!J30</f>
        <v>0</v>
      </c>
      <c r="AH59" s="117"/>
      <c r="AI59" s="117"/>
      <c r="AJ59" s="117"/>
      <c r="AK59" s="117"/>
      <c r="AL59" s="117"/>
      <c r="AM59" s="117"/>
      <c r="AN59" s="118">
        <f>SUM(AG59,AT59)</f>
        <v>0</v>
      </c>
      <c r="AO59" s="117"/>
      <c r="AP59" s="117"/>
      <c r="AQ59" s="119" t="s">
        <v>85</v>
      </c>
      <c r="AR59" s="120"/>
      <c r="AS59" s="121">
        <v>0</v>
      </c>
      <c r="AT59" s="122">
        <f>ROUND(SUM(AV59:AW59),1)</f>
        <v>0</v>
      </c>
      <c r="AU59" s="123">
        <f>'05 - Elektroinstalace'!P115</f>
        <v>0</v>
      </c>
      <c r="AV59" s="122">
        <f>'05 - Elektroinstalace'!J33</f>
        <v>0</v>
      </c>
      <c r="AW59" s="122">
        <f>'05 - Elektroinstalace'!J34</f>
        <v>0</v>
      </c>
      <c r="AX59" s="122">
        <f>'05 - Elektroinstalace'!J35</f>
        <v>0</v>
      </c>
      <c r="AY59" s="122">
        <f>'05 - Elektroinstalace'!J36</f>
        <v>0</v>
      </c>
      <c r="AZ59" s="122">
        <f>'05 - Elektroinstalace'!F33</f>
        <v>0</v>
      </c>
      <c r="BA59" s="122">
        <f>'05 - Elektroinstalace'!F34</f>
        <v>0</v>
      </c>
      <c r="BB59" s="122">
        <f>'05 - Elektroinstalace'!F35</f>
        <v>0</v>
      </c>
      <c r="BC59" s="122">
        <f>'05 - Elektroinstalace'!F36</f>
        <v>0</v>
      </c>
      <c r="BD59" s="124">
        <f>'05 - Elektroinstalace'!F37</f>
        <v>0</v>
      </c>
      <c r="BE59" s="7"/>
      <c r="BT59" s="125" t="s">
        <v>86</v>
      </c>
      <c r="BV59" s="125" t="s">
        <v>80</v>
      </c>
      <c r="BW59" s="125" t="s">
        <v>100</v>
      </c>
      <c r="BX59" s="125" t="s">
        <v>5</v>
      </c>
      <c r="CL59" s="125" t="s">
        <v>32</v>
      </c>
      <c r="CM59" s="125" t="s">
        <v>88</v>
      </c>
    </row>
    <row r="60" s="7" customFormat="1" ht="16.5" customHeight="1">
      <c r="A60" s="113" t="s">
        <v>82</v>
      </c>
      <c r="B60" s="114"/>
      <c r="C60" s="115"/>
      <c r="D60" s="116" t="s">
        <v>101</v>
      </c>
      <c r="E60" s="116"/>
      <c r="F60" s="116"/>
      <c r="G60" s="116"/>
      <c r="H60" s="116"/>
      <c r="I60" s="117"/>
      <c r="J60" s="116" t="s">
        <v>102</v>
      </c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8">
        <f>'06 - Splašková kanalizace'!J30</f>
        <v>0</v>
      </c>
      <c r="AH60" s="117"/>
      <c r="AI60" s="117"/>
      <c r="AJ60" s="117"/>
      <c r="AK60" s="117"/>
      <c r="AL60" s="117"/>
      <c r="AM60" s="117"/>
      <c r="AN60" s="118">
        <f>SUM(AG60,AT60)</f>
        <v>0</v>
      </c>
      <c r="AO60" s="117"/>
      <c r="AP60" s="117"/>
      <c r="AQ60" s="119" t="s">
        <v>85</v>
      </c>
      <c r="AR60" s="120"/>
      <c r="AS60" s="121">
        <v>0</v>
      </c>
      <c r="AT60" s="122">
        <f>ROUND(SUM(AV60:AW60),1)</f>
        <v>0</v>
      </c>
      <c r="AU60" s="123">
        <f>'06 - Splašková kanalizace'!P84</f>
        <v>0</v>
      </c>
      <c r="AV60" s="122">
        <f>'06 - Splašková kanalizace'!J33</f>
        <v>0</v>
      </c>
      <c r="AW60" s="122">
        <f>'06 - Splašková kanalizace'!J34</f>
        <v>0</v>
      </c>
      <c r="AX60" s="122">
        <f>'06 - Splašková kanalizace'!J35</f>
        <v>0</v>
      </c>
      <c r="AY60" s="122">
        <f>'06 - Splašková kanalizace'!J36</f>
        <v>0</v>
      </c>
      <c r="AZ60" s="122">
        <f>'06 - Splašková kanalizace'!F33</f>
        <v>0</v>
      </c>
      <c r="BA60" s="122">
        <f>'06 - Splašková kanalizace'!F34</f>
        <v>0</v>
      </c>
      <c r="BB60" s="122">
        <f>'06 - Splašková kanalizace'!F35</f>
        <v>0</v>
      </c>
      <c r="BC60" s="122">
        <f>'06 - Splašková kanalizace'!F36</f>
        <v>0</v>
      </c>
      <c r="BD60" s="124">
        <f>'06 - Splašková kanalizace'!F37</f>
        <v>0</v>
      </c>
      <c r="BE60" s="7"/>
      <c r="BT60" s="125" t="s">
        <v>86</v>
      </c>
      <c r="BV60" s="125" t="s">
        <v>80</v>
      </c>
      <c r="BW60" s="125" t="s">
        <v>103</v>
      </c>
      <c r="BX60" s="125" t="s">
        <v>5</v>
      </c>
      <c r="CL60" s="125" t="s">
        <v>32</v>
      </c>
      <c r="CM60" s="125" t="s">
        <v>88</v>
      </c>
    </row>
    <row r="61" s="7" customFormat="1" ht="16.5" customHeight="1">
      <c r="A61" s="113" t="s">
        <v>82</v>
      </c>
      <c r="B61" s="114"/>
      <c r="C61" s="115"/>
      <c r="D61" s="116" t="s">
        <v>104</v>
      </c>
      <c r="E61" s="116"/>
      <c r="F61" s="116"/>
      <c r="G61" s="116"/>
      <c r="H61" s="116"/>
      <c r="I61" s="117"/>
      <c r="J61" s="116" t="s">
        <v>105</v>
      </c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8">
        <f>'07 - Dešťová kanalizace'!J30</f>
        <v>0</v>
      </c>
      <c r="AH61" s="117"/>
      <c r="AI61" s="117"/>
      <c r="AJ61" s="117"/>
      <c r="AK61" s="117"/>
      <c r="AL61" s="117"/>
      <c r="AM61" s="117"/>
      <c r="AN61" s="118">
        <f>SUM(AG61,AT61)</f>
        <v>0</v>
      </c>
      <c r="AO61" s="117"/>
      <c r="AP61" s="117"/>
      <c r="AQ61" s="119" t="s">
        <v>85</v>
      </c>
      <c r="AR61" s="120"/>
      <c r="AS61" s="121">
        <v>0</v>
      </c>
      <c r="AT61" s="122">
        <f>ROUND(SUM(AV61:AW61),1)</f>
        <v>0</v>
      </c>
      <c r="AU61" s="123">
        <f>'07 - Dešťová kanalizace'!P87</f>
        <v>0</v>
      </c>
      <c r="AV61" s="122">
        <f>'07 - Dešťová kanalizace'!J33</f>
        <v>0</v>
      </c>
      <c r="AW61" s="122">
        <f>'07 - Dešťová kanalizace'!J34</f>
        <v>0</v>
      </c>
      <c r="AX61" s="122">
        <f>'07 - Dešťová kanalizace'!J35</f>
        <v>0</v>
      </c>
      <c r="AY61" s="122">
        <f>'07 - Dešťová kanalizace'!J36</f>
        <v>0</v>
      </c>
      <c r="AZ61" s="122">
        <f>'07 - Dešťová kanalizace'!F33</f>
        <v>0</v>
      </c>
      <c r="BA61" s="122">
        <f>'07 - Dešťová kanalizace'!F34</f>
        <v>0</v>
      </c>
      <c r="BB61" s="122">
        <f>'07 - Dešťová kanalizace'!F35</f>
        <v>0</v>
      </c>
      <c r="BC61" s="122">
        <f>'07 - Dešťová kanalizace'!F36</f>
        <v>0</v>
      </c>
      <c r="BD61" s="124">
        <f>'07 - Dešťová kanalizace'!F37</f>
        <v>0</v>
      </c>
      <c r="BE61" s="7"/>
      <c r="BT61" s="125" t="s">
        <v>86</v>
      </c>
      <c r="BV61" s="125" t="s">
        <v>80</v>
      </c>
      <c r="BW61" s="125" t="s">
        <v>106</v>
      </c>
      <c r="BX61" s="125" t="s">
        <v>5</v>
      </c>
      <c r="CL61" s="125" t="s">
        <v>32</v>
      </c>
      <c r="CM61" s="125" t="s">
        <v>88</v>
      </c>
    </row>
    <row r="62" s="7" customFormat="1" ht="16.5" customHeight="1">
      <c r="A62" s="113" t="s">
        <v>82</v>
      </c>
      <c r="B62" s="114"/>
      <c r="C62" s="115"/>
      <c r="D62" s="116" t="s">
        <v>107</v>
      </c>
      <c r="E62" s="116"/>
      <c r="F62" s="116"/>
      <c r="G62" s="116"/>
      <c r="H62" s="116"/>
      <c r="I62" s="117"/>
      <c r="J62" s="116" t="s">
        <v>108</v>
      </c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8">
        <f>'08 - Zpevněné plochy'!J30</f>
        <v>0</v>
      </c>
      <c r="AH62" s="117"/>
      <c r="AI62" s="117"/>
      <c r="AJ62" s="117"/>
      <c r="AK62" s="117"/>
      <c r="AL62" s="117"/>
      <c r="AM62" s="117"/>
      <c r="AN62" s="118">
        <f>SUM(AG62,AT62)</f>
        <v>0</v>
      </c>
      <c r="AO62" s="117"/>
      <c r="AP62" s="117"/>
      <c r="AQ62" s="119" t="s">
        <v>85</v>
      </c>
      <c r="AR62" s="120"/>
      <c r="AS62" s="121">
        <v>0</v>
      </c>
      <c r="AT62" s="122">
        <f>ROUND(SUM(AV62:AW62),1)</f>
        <v>0</v>
      </c>
      <c r="AU62" s="123">
        <f>'08 - Zpevněné plochy'!P89</f>
        <v>0</v>
      </c>
      <c r="AV62" s="122">
        <f>'08 - Zpevněné plochy'!J33</f>
        <v>0</v>
      </c>
      <c r="AW62" s="122">
        <f>'08 - Zpevněné plochy'!J34</f>
        <v>0</v>
      </c>
      <c r="AX62" s="122">
        <f>'08 - Zpevněné plochy'!J35</f>
        <v>0</v>
      </c>
      <c r="AY62" s="122">
        <f>'08 - Zpevněné plochy'!J36</f>
        <v>0</v>
      </c>
      <c r="AZ62" s="122">
        <f>'08 - Zpevněné plochy'!F33</f>
        <v>0</v>
      </c>
      <c r="BA62" s="122">
        <f>'08 - Zpevněné plochy'!F34</f>
        <v>0</v>
      </c>
      <c r="BB62" s="122">
        <f>'08 - Zpevněné plochy'!F35</f>
        <v>0</v>
      </c>
      <c r="BC62" s="122">
        <f>'08 - Zpevněné plochy'!F36</f>
        <v>0</v>
      </c>
      <c r="BD62" s="124">
        <f>'08 - Zpevněné plochy'!F37</f>
        <v>0</v>
      </c>
      <c r="BE62" s="7"/>
      <c r="BT62" s="125" t="s">
        <v>86</v>
      </c>
      <c r="BV62" s="125" t="s">
        <v>80</v>
      </c>
      <c r="BW62" s="125" t="s">
        <v>109</v>
      </c>
      <c r="BX62" s="125" t="s">
        <v>5</v>
      </c>
      <c r="CL62" s="125" t="s">
        <v>19</v>
      </c>
      <c r="CM62" s="125" t="s">
        <v>88</v>
      </c>
    </row>
    <row r="63" s="7" customFormat="1" ht="16.5" customHeight="1">
      <c r="A63" s="113" t="s">
        <v>82</v>
      </c>
      <c r="B63" s="114"/>
      <c r="C63" s="115"/>
      <c r="D63" s="116" t="s">
        <v>110</v>
      </c>
      <c r="E63" s="116"/>
      <c r="F63" s="116"/>
      <c r="G63" s="116"/>
      <c r="H63" s="116"/>
      <c r="I63" s="117"/>
      <c r="J63" s="116" t="s">
        <v>111</v>
      </c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8">
        <f>'09 - Úprava stávající NTL...'!J30</f>
        <v>0</v>
      </c>
      <c r="AH63" s="117"/>
      <c r="AI63" s="117"/>
      <c r="AJ63" s="117"/>
      <c r="AK63" s="117"/>
      <c r="AL63" s="117"/>
      <c r="AM63" s="117"/>
      <c r="AN63" s="118">
        <f>SUM(AG63,AT63)</f>
        <v>0</v>
      </c>
      <c r="AO63" s="117"/>
      <c r="AP63" s="117"/>
      <c r="AQ63" s="119" t="s">
        <v>85</v>
      </c>
      <c r="AR63" s="120"/>
      <c r="AS63" s="121">
        <v>0</v>
      </c>
      <c r="AT63" s="122">
        <f>ROUND(SUM(AV63:AW63),1)</f>
        <v>0</v>
      </c>
      <c r="AU63" s="123">
        <f>'09 - Úprava stávající NTL...'!P91</f>
        <v>0</v>
      </c>
      <c r="AV63" s="122">
        <f>'09 - Úprava stávající NTL...'!J33</f>
        <v>0</v>
      </c>
      <c r="AW63" s="122">
        <f>'09 - Úprava stávající NTL...'!J34</f>
        <v>0</v>
      </c>
      <c r="AX63" s="122">
        <f>'09 - Úprava stávající NTL...'!J35</f>
        <v>0</v>
      </c>
      <c r="AY63" s="122">
        <f>'09 - Úprava stávající NTL...'!J36</f>
        <v>0</v>
      </c>
      <c r="AZ63" s="122">
        <f>'09 - Úprava stávající NTL...'!F33</f>
        <v>0</v>
      </c>
      <c r="BA63" s="122">
        <f>'09 - Úprava stávající NTL...'!F34</f>
        <v>0</v>
      </c>
      <c r="BB63" s="122">
        <f>'09 - Úprava stávající NTL...'!F35</f>
        <v>0</v>
      </c>
      <c r="BC63" s="122">
        <f>'09 - Úprava stávající NTL...'!F36</f>
        <v>0</v>
      </c>
      <c r="BD63" s="124">
        <f>'09 - Úprava stávající NTL...'!F37</f>
        <v>0</v>
      </c>
      <c r="BE63" s="7"/>
      <c r="BT63" s="125" t="s">
        <v>86</v>
      </c>
      <c r="BV63" s="125" t="s">
        <v>80</v>
      </c>
      <c r="BW63" s="125" t="s">
        <v>112</v>
      </c>
      <c r="BX63" s="125" t="s">
        <v>5</v>
      </c>
      <c r="CL63" s="125" t="s">
        <v>32</v>
      </c>
      <c r="CM63" s="125" t="s">
        <v>88</v>
      </c>
    </row>
    <row r="64" s="7" customFormat="1" ht="16.5" customHeight="1">
      <c r="A64" s="113" t="s">
        <v>82</v>
      </c>
      <c r="B64" s="114"/>
      <c r="C64" s="115"/>
      <c r="D64" s="116" t="s">
        <v>113</v>
      </c>
      <c r="E64" s="116"/>
      <c r="F64" s="116"/>
      <c r="G64" s="116"/>
      <c r="H64" s="116"/>
      <c r="I64" s="117"/>
      <c r="J64" s="116" t="s">
        <v>114</v>
      </c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8">
        <f>'VON - Vedlejší rozpočtové...'!J30</f>
        <v>0</v>
      </c>
      <c r="AH64" s="117"/>
      <c r="AI64" s="117"/>
      <c r="AJ64" s="117"/>
      <c r="AK64" s="117"/>
      <c r="AL64" s="117"/>
      <c r="AM64" s="117"/>
      <c r="AN64" s="118">
        <f>SUM(AG64,AT64)</f>
        <v>0</v>
      </c>
      <c r="AO64" s="117"/>
      <c r="AP64" s="117"/>
      <c r="AQ64" s="119" t="s">
        <v>85</v>
      </c>
      <c r="AR64" s="120"/>
      <c r="AS64" s="126">
        <v>0</v>
      </c>
      <c r="AT64" s="127">
        <f>ROUND(SUM(AV64:AW64),1)</f>
        <v>0</v>
      </c>
      <c r="AU64" s="128">
        <f>'VON - Vedlejší rozpočtové...'!P84</f>
        <v>0</v>
      </c>
      <c r="AV64" s="127">
        <f>'VON - Vedlejší rozpočtové...'!J33</f>
        <v>0</v>
      </c>
      <c r="AW64" s="127">
        <f>'VON - Vedlejší rozpočtové...'!J34</f>
        <v>0</v>
      </c>
      <c r="AX64" s="127">
        <f>'VON - Vedlejší rozpočtové...'!J35</f>
        <v>0</v>
      </c>
      <c r="AY64" s="127">
        <f>'VON - Vedlejší rozpočtové...'!J36</f>
        <v>0</v>
      </c>
      <c r="AZ64" s="127">
        <f>'VON - Vedlejší rozpočtové...'!F33</f>
        <v>0</v>
      </c>
      <c r="BA64" s="127">
        <f>'VON - Vedlejší rozpočtové...'!F34</f>
        <v>0</v>
      </c>
      <c r="BB64" s="127">
        <f>'VON - Vedlejší rozpočtové...'!F35</f>
        <v>0</v>
      </c>
      <c r="BC64" s="127">
        <f>'VON - Vedlejší rozpočtové...'!F36</f>
        <v>0</v>
      </c>
      <c r="BD64" s="129">
        <f>'VON - Vedlejší rozpočtové...'!F37</f>
        <v>0</v>
      </c>
      <c r="BE64" s="7"/>
      <c r="BT64" s="125" t="s">
        <v>86</v>
      </c>
      <c r="BV64" s="125" t="s">
        <v>80</v>
      </c>
      <c r="BW64" s="125" t="s">
        <v>115</v>
      </c>
      <c r="BX64" s="125" t="s">
        <v>5</v>
      </c>
      <c r="CL64" s="125" t="s">
        <v>19</v>
      </c>
      <c r="CM64" s="125" t="s">
        <v>88</v>
      </c>
    </row>
    <row r="65" s="2" customFormat="1" ht="30" customHeight="1">
      <c r="A65" s="40"/>
      <c r="B65" s="41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6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</row>
    <row r="66" s="2" customFormat="1" ht="6.96" customHeight="1">
      <c r="A66" s="40"/>
      <c r="B66" s="61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46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</row>
  </sheetData>
  <sheetProtection sheet="1" formatColumns="0" formatRows="0" objects="1" scenarios="1" spinCount="100000" saltValue="hFt4C93GURdv2FRL4zru9I2Bd1l7sqcrB1hEgb+A61/G7A54z5KbWCtRZZ/2JSNQfxCzroj/bF2H1wgS6Y0KPQ==" hashValue="/cU26vVSBT4XvdYLewLX5LrZLz7NET8j+PTe60UOq755vlYLh1tgApsrwkLFhQKSbe9PnD5ZpHPgR78R2t2TAA==" algorithmName="SHA-512" password="CC35"/>
  <mergeCells count="78">
    <mergeCell ref="C52:G52"/>
    <mergeCell ref="D61:H61"/>
    <mergeCell ref="D58:H58"/>
    <mergeCell ref="D55:H55"/>
    <mergeCell ref="D59:H59"/>
    <mergeCell ref="D60:H60"/>
    <mergeCell ref="D56:H56"/>
    <mergeCell ref="D57:H57"/>
    <mergeCell ref="D62:H62"/>
    <mergeCell ref="D63:H63"/>
    <mergeCell ref="D64:H64"/>
    <mergeCell ref="I52:AF52"/>
    <mergeCell ref="J61:AF61"/>
    <mergeCell ref="J60:AF60"/>
    <mergeCell ref="J62:AF62"/>
    <mergeCell ref="J63:AF63"/>
    <mergeCell ref="J59:AF59"/>
    <mergeCell ref="J57:AF57"/>
    <mergeCell ref="J58:AF58"/>
    <mergeCell ref="J64:AF64"/>
    <mergeCell ref="J56:AF56"/>
    <mergeCell ref="J55:AF55"/>
    <mergeCell ref="L45:AO45"/>
    <mergeCell ref="AG54:AM54"/>
    <mergeCell ref="BE5:BE32"/>
    <mergeCell ref="K5:AO5"/>
    <mergeCell ref="K6:AO6"/>
    <mergeCell ref="E14:AJ14"/>
    <mergeCell ref="E23:AN23"/>
    <mergeCell ref="AK26:AO26"/>
    <mergeCell ref="L28:P28"/>
    <mergeCell ref="W28:AE28"/>
    <mergeCell ref="AK28:AO28"/>
    <mergeCell ref="W29:AE29"/>
    <mergeCell ref="L29:P29"/>
    <mergeCell ref="AK29:AO29"/>
    <mergeCell ref="AK30:AO30"/>
    <mergeCell ref="L30:P30"/>
    <mergeCell ref="W30:AE30"/>
    <mergeCell ref="L31:P31"/>
    <mergeCell ref="W31:AE31"/>
    <mergeCell ref="AK31:AO31"/>
    <mergeCell ref="AK32:AO32"/>
    <mergeCell ref="L32:P32"/>
    <mergeCell ref="W32:AE32"/>
    <mergeCell ref="AK33:AO33"/>
    <mergeCell ref="L33:P33"/>
    <mergeCell ref="W33:AE33"/>
    <mergeCell ref="AK35:AO35"/>
    <mergeCell ref="X35:AB35"/>
    <mergeCell ref="AR2:BE2"/>
    <mergeCell ref="AG63:AM63"/>
    <mergeCell ref="AG62:AM62"/>
    <mergeCell ref="AG52:AM52"/>
    <mergeCell ref="AG60:AM60"/>
    <mergeCell ref="AG55:AM55"/>
    <mergeCell ref="AG59:AM59"/>
    <mergeCell ref="AG61:AM61"/>
    <mergeCell ref="AG57:AM57"/>
    <mergeCell ref="AG64:AM64"/>
    <mergeCell ref="AG56:AM56"/>
    <mergeCell ref="AG58:AM58"/>
    <mergeCell ref="AM47:AN47"/>
    <mergeCell ref="AM49:AP49"/>
    <mergeCell ref="AM50:AP50"/>
    <mergeCell ref="AN64:AP64"/>
    <mergeCell ref="AN63:AP63"/>
    <mergeCell ref="AN57:AP57"/>
    <mergeCell ref="AN52:AP52"/>
    <mergeCell ref="AN62:AP62"/>
    <mergeCell ref="AN61:AP61"/>
    <mergeCell ref="AN56:AP56"/>
    <mergeCell ref="AN60:AP60"/>
    <mergeCell ref="AN58:AP58"/>
    <mergeCell ref="AN59:AP59"/>
    <mergeCell ref="AN55:AP55"/>
    <mergeCell ref="AS49:AT51"/>
    <mergeCell ref="AN54:AP54"/>
  </mergeCells>
  <hyperlinks>
    <hyperlink ref="A55" location="'01 - Architektonicko stav...'!C2" display="/"/>
    <hyperlink ref="A56" location="'02 - Zdravotní instalace'!C2" display="/"/>
    <hyperlink ref="A57" location="'03 - Vytápění'!C2" display="/"/>
    <hyperlink ref="A58" location="'04 - Vzduchotechnika'!C2" display="/"/>
    <hyperlink ref="A59" location="'05 - Elektroinstalace'!C2" display="/"/>
    <hyperlink ref="A60" location="'06 - Splašková kanalizace'!C2" display="/"/>
    <hyperlink ref="A61" location="'07 - Dešťová kanalizace'!C2" display="/"/>
    <hyperlink ref="A62" location="'08 - Zpevněné plochy'!C2" display="/"/>
    <hyperlink ref="A63" location="'09 - Úprava stávající NTL...'!C2" display="/"/>
    <hyperlink ref="A64" location="'VON - Vedlejší rozpočtové...'!C2" display="/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8" t="s">
        <v>87</v>
      </c>
      <c r="AZ2" s="130" t="s">
        <v>116</v>
      </c>
      <c r="BA2" s="130" t="s">
        <v>116</v>
      </c>
      <c r="BB2" s="130" t="s">
        <v>32</v>
      </c>
      <c r="BC2" s="130" t="s">
        <v>117</v>
      </c>
      <c r="BD2" s="130" t="s">
        <v>88</v>
      </c>
    </row>
    <row r="3" hidden="1" s="1" customFormat="1" ht="6.96" customHeight="1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21"/>
      <c r="AT3" s="18" t="s">
        <v>88</v>
      </c>
      <c r="AZ3" s="130" t="s">
        <v>118</v>
      </c>
      <c r="BA3" s="130" t="s">
        <v>119</v>
      </c>
      <c r="BB3" s="130" t="s">
        <v>32</v>
      </c>
      <c r="BC3" s="130" t="s">
        <v>120</v>
      </c>
      <c r="BD3" s="130" t="s">
        <v>88</v>
      </c>
    </row>
    <row r="4" hidden="1" s="1" customFormat="1" ht="24.96" customHeight="1">
      <c r="B4" s="21"/>
      <c r="D4" s="133" t="s">
        <v>121</v>
      </c>
      <c r="L4" s="21"/>
      <c r="M4" s="134" t="s">
        <v>10</v>
      </c>
      <c r="AT4" s="18" t="s">
        <v>4</v>
      </c>
      <c r="AZ4" s="130" t="s">
        <v>122</v>
      </c>
      <c r="BA4" s="130" t="s">
        <v>123</v>
      </c>
      <c r="BB4" s="130" t="s">
        <v>32</v>
      </c>
      <c r="BC4" s="130" t="s">
        <v>124</v>
      </c>
      <c r="BD4" s="130" t="s">
        <v>88</v>
      </c>
    </row>
    <row r="5" hidden="1" s="1" customFormat="1" ht="6.96" customHeight="1">
      <c r="B5" s="21"/>
      <c r="L5" s="21"/>
      <c r="AZ5" s="130" t="s">
        <v>125</v>
      </c>
      <c r="BA5" s="130" t="s">
        <v>126</v>
      </c>
      <c r="BB5" s="130" t="s">
        <v>32</v>
      </c>
      <c r="BC5" s="130" t="s">
        <v>127</v>
      </c>
      <c r="BD5" s="130" t="s">
        <v>88</v>
      </c>
    </row>
    <row r="6" hidden="1" s="1" customFormat="1" ht="12" customHeight="1">
      <c r="B6" s="21"/>
      <c r="D6" s="135" t="s">
        <v>16</v>
      </c>
      <c r="L6" s="21"/>
      <c r="AZ6" s="130" t="s">
        <v>128</v>
      </c>
      <c r="BA6" s="130" t="s">
        <v>129</v>
      </c>
      <c r="BB6" s="130" t="s">
        <v>32</v>
      </c>
      <c r="BC6" s="130" t="s">
        <v>130</v>
      </c>
      <c r="BD6" s="130" t="s">
        <v>88</v>
      </c>
    </row>
    <row r="7" hidden="1" s="1" customFormat="1" ht="16.5" customHeight="1">
      <c r="B7" s="21"/>
      <c r="E7" s="136" t="str">
        <f>'Rekapitulace stavby'!K6</f>
        <v>Kulturní dům ČP 1, Třemošná- rev 03</v>
      </c>
      <c r="F7" s="135"/>
      <c r="G7" s="135"/>
      <c r="H7" s="135"/>
      <c r="L7" s="21"/>
      <c r="AZ7" s="130" t="s">
        <v>131</v>
      </c>
      <c r="BA7" s="130" t="s">
        <v>132</v>
      </c>
      <c r="BB7" s="130" t="s">
        <v>32</v>
      </c>
      <c r="BC7" s="130" t="s">
        <v>133</v>
      </c>
      <c r="BD7" s="130" t="s">
        <v>88</v>
      </c>
    </row>
    <row r="8" hidden="1" s="2" customFormat="1" ht="12" customHeight="1">
      <c r="A8" s="40"/>
      <c r="B8" s="46"/>
      <c r="C8" s="40"/>
      <c r="D8" s="135" t="s">
        <v>134</v>
      </c>
      <c r="E8" s="40"/>
      <c r="F8" s="40"/>
      <c r="G8" s="40"/>
      <c r="H8" s="40"/>
      <c r="I8" s="40"/>
      <c r="J8" s="40"/>
      <c r="K8" s="40"/>
      <c r="L8" s="137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Z8" s="130" t="s">
        <v>135</v>
      </c>
      <c r="BA8" s="130" t="s">
        <v>136</v>
      </c>
      <c r="BB8" s="130" t="s">
        <v>32</v>
      </c>
      <c r="BC8" s="130" t="s">
        <v>137</v>
      </c>
      <c r="BD8" s="130" t="s">
        <v>88</v>
      </c>
    </row>
    <row r="9" hidden="1" s="2" customFormat="1" ht="16.5" customHeight="1">
      <c r="A9" s="40"/>
      <c r="B9" s="46"/>
      <c r="C9" s="40"/>
      <c r="D9" s="40"/>
      <c r="E9" s="138" t="s">
        <v>138</v>
      </c>
      <c r="F9" s="40"/>
      <c r="G9" s="40"/>
      <c r="H9" s="40"/>
      <c r="I9" s="40"/>
      <c r="J9" s="40"/>
      <c r="K9" s="40"/>
      <c r="L9" s="13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Z9" s="130" t="s">
        <v>139</v>
      </c>
      <c r="BA9" s="130" t="s">
        <v>140</v>
      </c>
      <c r="BB9" s="130" t="s">
        <v>32</v>
      </c>
      <c r="BC9" s="130" t="s">
        <v>141</v>
      </c>
      <c r="BD9" s="130" t="s">
        <v>88</v>
      </c>
    </row>
    <row r="10" hidden="1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3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Z10" s="130" t="s">
        <v>142</v>
      </c>
      <c r="BA10" s="130" t="s">
        <v>143</v>
      </c>
      <c r="BB10" s="130" t="s">
        <v>32</v>
      </c>
      <c r="BC10" s="130" t="s">
        <v>144</v>
      </c>
      <c r="BD10" s="130" t="s">
        <v>88</v>
      </c>
    </row>
    <row r="11" hidden="1" s="2" customFormat="1" ht="12" customHeight="1">
      <c r="A11" s="40"/>
      <c r="B11" s="46"/>
      <c r="C11" s="40"/>
      <c r="D11" s="135" t="s">
        <v>18</v>
      </c>
      <c r="E11" s="40"/>
      <c r="F11" s="139" t="s">
        <v>19</v>
      </c>
      <c r="G11" s="40"/>
      <c r="H11" s="40"/>
      <c r="I11" s="135" t="s">
        <v>20</v>
      </c>
      <c r="J11" s="139" t="s">
        <v>21</v>
      </c>
      <c r="K11" s="40"/>
      <c r="L11" s="13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Z11" s="130" t="s">
        <v>145</v>
      </c>
      <c r="BA11" s="130" t="s">
        <v>146</v>
      </c>
      <c r="BB11" s="130" t="s">
        <v>32</v>
      </c>
      <c r="BC11" s="130" t="s">
        <v>147</v>
      </c>
      <c r="BD11" s="130" t="s">
        <v>148</v>
      </c>
    </row>
    <row r="12" hidden="1" s="2" customFormat="1" ht="12" customHeight="1">
      <c r="A12" s="40"/>
      <c r="B12" s="46"/>
      <c r="C12" s="40"/>
      <c r="D12" s="135" t="s">
        <v>22</v>
      </c>
      <c r="E12" s="40"/>
      <c r="F12" s="139" t="s">
        <v>23</v>
      </c>
      <c r="G12" s="40"/>
      <c r="H12" s="40"/>
      <c r="I12" s="135" t="s">
        <v>24</v>
      </c>
      <c r="J12" s="140" t="str">
        <f>'Rekapitulace stavby'!AN8</f>
        <v>20. 12. 2023</v>
      </c>
      <c r="K12" s="40"/>
      <c r="L12" s="13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Z12" s="130" t="s">
        <v>149</v>
      </c>
      <c r="BA12" s="130" t="s">
        <v>150</v>
      </c>
      <c r="BB12" s="130" t="s">
        <v>32</v>
      </c>
      <c r="BC12" s="130" t="s">
        <v>151</v>
      </c>
      <c r="BD12" s="130" t="s">
        <v>88</v>
      </c>
    </row>
    <row r="13" hidden="1" s="2" customFormat="1" ht="21.84" customHeight="1">
      <c r="A13" s="40"/>
      <c r="B13" s="46"/>
      <c r="C13" s="40"/>
      <c r="D13" s="141" t="s">
        <v>26</v>
      </c>
      <c r="E13" s="40"/>
      <c r="F13" s="142" t="s">
        <v>27</v>
      </c>
      <c r="G13" s="40"/>
      <c r="H13" s="40"/>
      <c r="I13" s="141" t="s">
        <v>28</v>
      </c>
      <c r="J13" s="142" t="s">
        <v>29</v>
      </c>
      <c r="K13" s="40"/>
      <c r="L13" s="13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Z13" s="130" t="s">
        <v>152</v>
      </c>
      <c r="BA13" s="130" t="s">
        <v>153</v>
      </c>
      <c r="BB13" s="130" t="s">
        <v>32</v>
      </c>
      <c r="BC13" s="130" t="s">
        <v>154</v>
      </c>
      <c r="BD13" s="130" t="s">
        <v>88</v>
      </c>
    </row>
    <row r="14" hidden="1" s="2" customFormat="1" ht="12" customHeight="1">
      <c r="A14" s="40"/>
      <c r="B14" s="46"/>
      <c r="C14" s="40"/>
      <c r="D14" s="135" t="s">
        <v>30</v>
      </c>
      <c r="E14" s="40"/>
      <c r="F14" s="40"/>
      <c r="G14" s="40"/>
      <c r="H14" s="40"/>
      <c r="I14" s="135" t="s">
        <v>31</v>
      </c>
      <c r="J14" s="139" t="s">
        <v>32</v>
      </c>
      <c r="K14" s="40"/>
      <c r="L14" s="13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hidden="1" s="2" customFormat="1" ht="18" customHeight="1">
      <c r="A15" s="40"/>
      <c r="B15" s="46"/>
      <c r="C15" s="40"/>
      <c r="D15" s="40"/>
      <c r="E15" s="139" t="s">
        <v>33</v>
      </c>
      <c r="F15" s="40"/>
      <c r="G15" s="40"/>
      <c r="H15" s="40"/>
      <c r="I15" s="135" t="s">
        <v>34</v>
      </c>
      <c r="J15" s="139" t="s">
        <v>32</v>
      </c>
      <c r="K15" s="40"/>
      <c r="L15" s="13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hidden="1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3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hidden="1" s="2" customFormat="1" ht="12" customHeight="1">
      <c r="A17" s="40"/>
      <c r="B17" s="46"/>
      <c r="C17" s="40"/>
      <c r="D17" s="135" t="s">
        <v>35</v>
      </c>
      <c r="E17" s="40"/>
      <c r="F17" s="40"/>
      <c r="G17" s="40"/>
      <c r="H17" s="40"/>
      <c r="I17" s="135" t="s">
        <v>31</v>
      </c>
      <c r="J17" s="34" t="str">
        <f>'Rekapitulace stavby'!AN13</f>
        <v>Vyplň údaj</v>
      </c>
      <c r="K17" s="40"/>
      <c r="L17" s="13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hidden="1" s="2" customFormat="1" ht="18" customHeight="1">
      <c r="A18" s="40"/>
      <c r="B18" s="46"/>
      <c r="C18" s="40"/>
      <c r="D18" s="40"/>
      <c r="E18" s="34" t="str">
        <f>'Rekapitulace stavby'!E14</f>
        <v>Vyplň údaj</v>
      </c>
      <c r="F18" s="139"/>
      <c r="G18" s="139"/>
      <c r="H18" s="139"/>
      <c r="I18" s="135" t="s">
        <v>34</v>
      </c>
      <c r="J18" s="34" t="str">
        <f>'Rekapitulace stavby'!AN14</f>
        <v>Vyplň údaj</v>
      </c>
      <c r="K18" s="40"/>
      <c r="L18" s="13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hidden="1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3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hidden="1" s="2" customFormat="1" ht="12" customHeight="1">
      <c r="A20" s="40"/>
      <c r="B20" s="46"/>
      <c r="C20" s="40"/>
      <c r="D20" s="135" t="s">
        <v>37</v>
      </c>
      <c r="E20" s="40"/>
      <c r="F20" s="40"/>
      <c r="G20" s="40"/>
      <c r="H20" s="40"/>
      <c r="I20" s="135" t="s">
        <v>31</v>
      </c>
      <c r="J20" s="139" t="s">
        <v>38</v>
      </c>
      <c r="K20" s="40"/>
      <c r="L20" s="13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hidden="1" s="2" customFormat="1" ht="18" customHeight="1">
      <c r="A21" s="40"/>
      <c r="B21" s="46"/>
      <c r="C21" s="40"/>
      <c r="D21" s="40"/>
      <c r="E21" s="139" t="s">
        <v>39</v>
      </c>
      <c r="F21" s="40"/>
      <c r="G21" s="40"/>
      <c r="H21" s="40"/>
      <c r="I21" s="135" t="s">
        <v>34</v>
      </c>
      <c r="J21" s="139" t="s">
        <v>32</v>
      </c>
      <c r="K21" s="40"/>
      <c r="L21" s="13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hidden="1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3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hidden="1" s="2" customFormat="1" ht="12" customHeight="1">
      <c r="A23" s="40"/>
      <c r="B23" s="46"/>
      <c r="C23" s="40"/>
      <c r="D23" s="135" t="s">
        <v>40</v>
      </c>
      <c r="E23" s="40"/>
      <c r="F23" s="40"/>
      <c r="G23" s="40"/>
      <c r="H23" s="40"/>
      <c r="I23" s="135" t="s">
        <v>31</v>
      </c>
      <c r="J23" s="139" t="str">
        <f>IF('Rekapitulace stavby'!AN19="","",'Rekapitulace stavby'!AN19)</f>
        <v/>
      </c>
      <c r="K23" s="40"/>
      <c r="L23" s="13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hidden="1" s="2" customFormat="1" ht="18" customHeight="1">
      <c r="A24" s="40"/>
      <c r="B24" s="46"/>
      <c r="C24" s="40"/>
      <c r="D24" s="40"/>
      <c r="E24" s="139" t="str">
        <f>IF('Rekapitulace stavby'!E20="","",'Rekapitulace stavby'!E20)</f>
        <v xml:space="preserve"> </v>
      </c>
      <c r="F24" s="40"/>
      <c r="G24" s="40"/>
      <c r="H24" s="40"/>
      <c r="I24" s="135" t="s">
        <v>34</v>
      </c>
      <c r="J24" s="139" t="str">
        <f>IF('Rekapitulace stavby'!AN20="","",'Rekapitulace stavby'!AN20)</f>
        <v/>
      </c>
      <c r="K24" s="40"/>
      <c r="L24" s="13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hidden="1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3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hidden="1" s="2" customFormat="1" ht="12" customHeight="1">
      <c r="A26" s="40"/>
      <c r="B26" s="46"/>
      <c r="C26" s="40"/>
      <c r="D26" s="135" t="s">
        <v>42</v>
      </c>
      <c r="E26" s="40"/>
      <c r="F26" s="40"/>
      <c r="G26" s="40"/>
      <c r="H26" s="40"/>
      <c r="I26" s="40"/>
      <c r="J26" s="40"/>
      <c r="K26" s="40"/>
      <c r="L26" s="13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hidden="1" s="8" customFormat="1" ht="16.5" customHeight="1">
      <c r="A27" s="143"/>
      <c r="B27" s="144"/>
      <c r="C27" s="143"/>
      <c r="D27" s="143"/>
      <c r="E27" s="145" t="s">
        <v>32</v>
      </c>
      <c r="F27" s="145"/>
      <c r="G27" s="145"/>
      <c r="H27" s="145"/>
      <c r="I27" s="143"/>
      <c r="J27" s="143"/>
      <c r="K27" s="143"/>
      <c r="L27" s="146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</row>
    <row r="28" hidden="1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3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hidden="1" s="2" customFormat="1" ht="6.96" customHeight="1">
      <c r="A29" s="40"/>
      <c r="B29" s="46"/>
      <c r="C29" s="40"/>
      <c r="D29" s="147"/>
      <c r="E29" s="147"/>
      <c r="F29" s="147"/>
      <c r="G29" s="147"/>
      <c r="H29" s="147"/>
      <c r="I29" s="147"/>
      <c r="J29" s="147"/>
      <c r="K29" s="147"/>
      <c r="L29" s="13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hidden="1" s="2" customFormat="1" ht="25.44" customHeight="1">
      <c r="A30" s="40"/>
      <c r="B30" s="46"/>
      <c r="C30" s="40"/>
      <c r="D30" s="148" t="s">
        <v>44</v>
      </c>
      <c r="E30" s="40"/>
      <c r="F30" s="40"/>
      <c r="G30" s="40"/>
      <c r="H30" s="40"/>
      <c r="I30" s="40"/>
      <c r="J30" s="149">
        <f>ROUND(J105, 1)</f>
        <v>0</v>
      </c>
      <c r="K30" s="40"/>
      <c r="L30" s="13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hidden="1" s="2" customFormat="1" ht="6.96" customHeight="1">
      <c r="A31" s="40"/>
      <c r="B31" s="46"/>
      <c r="C31" s="40"/>
      <c r="D31" s="147"/>
      <c r="E31" s="147"/>
      <c r="F31" s="147"/>
      <c r="G31" s="147"/>
      <c r="H31" s="147"/>
      <c r="I31" s="147"/>
      <c r="J31" s="147"/>
      <c r="K31" s="147"/>
      <c r="L31" s="13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hidden="1" s="2" customFormat="1" ht="14.4" customHeight="1">
      <c r="A32" s="40"/>
      <c r="B32" s="46"/>
      <c r="C32" s="40"/>
      <c r="D32" s="40"/>
      <c r="E32" s="40"/>
      <c r="F32" s="150" t="s">
        <v>46</v>
      </c>
      <c r="G32" s="40"/>
      <c r="H32" s="40"/>
      <c r="I32" s="150" t="s">
        <v>45</v>
      </c>
      <c r="J32" s="150" t="s">
        <v>47</v>
      </c>
      <c r="K32" s="40"/>
      <c r="L32" s="13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hidden="1" s="2" customFormat="1" ht="14.4" customHeight="1">
      <c r="A33" s="40"/>
      <c r="B33" s="46"/>
      <c r="C33" s="40"/>
      <c r="D33" s="151" t="s">
        <v>48</v>
      </c>
      <c r="E33" s="135" t="s">
        <v>49</v>
      </c>
      <c r="F33" s="152">
        <f>ROUND((SUM(BE105:BE1257)),  1)</f>
        <v>0</v>
      </c>
      <c r="G33" s="40"/>
      <c r="H33" s="40"/>
      <c r="I33" s="153">
        <v>0.20999999999999999</v>
      </c>
      <c r="J33" s="152">
        <f>ROUND(((SUM(BE105:BE1257))*I33),  1)</f>
        <v>0</v>
      </c>
      <c r="K33" s="40"/>
      <c r="L33" s="13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hidden="1" s="2" customFormat="1" ht="14.4" customHeight="1">
      <c r="A34" s="40"/>
      <c r="B34" s="46"/>
      <c r="C34" s="40"/>
      <c r="D34" s="40"/>
      <c r="E34" s="135" t="s">
        <v>50</v>
      </c>
      <c r="F34" s="152">
        <f>ROUND((SUM(BF105:BF1257)),  1)</f>
        <v>0</v>
      </c>
      <c r="G34" s="40"/>
      <c r="H34" s="40"/>
      <c r="I34" s="153">
        <v>0.14999999999999999</v>
      </c>
      <c r="J34" s="152">
        <f>ROUND(((SUM(BF105:BF1257))*I34),  1)</f>
        <v>0</v>
      </c>
      <c r="K34" s="40"/>
      <c r="L34" s="13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35" t="s">
        <v>51</v>
      </c>
      <c r="F35" s="152">
        <f>ROUND((SUM(BG105:BG1257)),  1)</f>
        <v>0</v>
      </c>
      <c r="G35" s="40"/>
      <c r="H35" s="40"/>
      <c r="I35" s="153">
        <v>0.20999999999999999</v>
      </c>
      <c r="J35" s="152">
        <f>0</f>
        <v>0</v>
      </c>
      <c r="K35" s="40"/>
      <c r="L35" s="13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35" t="s">
        <v>52</v>
      </c>
      <c r="F36" s="152">
        <f>ROUND((SUM(BH105:BH1257)),  1)</f>
        <v>0</v>
      </c>
      <c r="G36" s="40"/>
      <c r="H36" s="40"/>
      <c r="I36" s="153">
        <v>0.14999999999999999</v>
      </c>
      <c r="J36" s="152">
        <f>0</f>
        <v>0</v>
      </c>
      <c r="K36" s="40"/>
      <c r="L36" s="13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35" t="s">
        <v>53</v>
      </c>
      <c r="F37" s="152">
        <f>ROUND((SUM(BI105:BI1257)),  1)</f>
        <v>0</v>
      </c>
      <c r="G37" s="40"/>
      <c r="H37" s="40"/>
      <c r="I37" s="153">
        <v>0</v>
      </c>
      <c r="J37" s="152">
        <f>0</f>
        <v>0</v>
      </c>
      <c r="K37" s="40"/>
      <c r="L37" s="13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3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25.44" customHeight="1">
      <c r="A39" s="40"/>
      <c r="B39" s="46"/>
      <c r="C39" s="154"/>
      <c r="D39" s="155" t="s">
        <v>54</v>
      </c>
      <c r="E39" s="156"/>
      <c r="F39" s="156"/>
      <c r="G39" s="157" t="s">
        <v>55</v>
      </c>
      <c r="H39" s="158" t="s">
        <v>56</v>
      </c>
      <c r="I39" s="156"/>
      <c r="J39" s="159">
        <f>SUM(J30:J37)</f>
        <v>0</v>
      </c>
      <c r="K39" s="160"/>
      <c r="L39" s="13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161"/>
      <c r="C40" s="162"/>
      <c r="D40" s="162"/>
      <c r="E40" s="162"/>
      <c r="F40" s="162"/>
      <c r="G40" s="162"/>
      <c r="H40" s="162"/>
      <c r="I40" s="162"/>
      <c r="J40" s="162"/>
      <c r="K40" s="162"/>
      <c r="L40" s="13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/>
    <row r="42" hidden="1"/>
    <row r="43" hidden="1"/>
    <row r="44" hidden="1" s="2" customFormat="1" ht="6.96" customHeight="1">
      <c r="A44" s="4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3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hidden="1" s="2" customFormat="1" ht="24.96" customHeight="1">
      <c r="A45" s="40"/>
      <c r="B45" s="41"/>
      <c r="C45" s="24" t="s">
        <v>155</v>
      </c>
      <c r="D45" s="42"/>
      <c r="E45" s="42"/>
      <c r="F45" s="42"/>
      <c r="G45" s="42"/>
      <c r="H45" s="42"/>
      <c r="I45" s="42"/>
      <c r="J45" s="42"/>
      <c r="K45" s="42"/>
      <c r="L45" s="137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hidden="1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3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hidden="1" s="2" customFormat="1" ht="12" customHeight="1">
      <c r="A47" s="40"/>
      <c r="B47" s="41"/>
      <c r="C47" s="33" t="s">
        <v>16</v>
      </c>
      <c r="D47" s="42"/>
      <c r="E47" s="42"/>
      <c r="F47" s="42"/>
      <c r="G47" s="42"/>
      <c r="H47" s="42"/>
      <c r="I47" s="42"/>
      <c r="J47" s="42"/>
      <c r="K47" s="42"/>
      <c r="L47" s="13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hidden="1" s="2" customFormat="1" ht="16.5" customHeight="1">
      <c r="A48" s="40"/>
      <c r="B48" s="41"/>
      <c r="C48" s="42"/>
      <c r="D48" s="42"/>
      <c r="E48" s="165" t="str">
        <f>E7</f>
        <v>Kulturní dům ČP 1, Třemošná- rev 03</v>
      </c>
      <c r="F48" s="33"/>
      <c r="G48" s="33"/>
      <c r="H48" s="33"/>
      <c r="I48" s="42"/>
      <c r="J48" s="42"/>
      <c r="K48" s="42"/>
      <c r="L48" s="13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hidden="1" s="2" customFormat="1" ht="12" customHeight="1">
      <c r="A49" s="40"/>
      <c r="B49" s="41"/>
      <c r="C49" s="33" t="s">
        <v>134</v>
      </c>
      <c r="D49" s="42"/>
      <c r="E49" s="42"/>
      <c r="F49" s="42"/>
      <c r="G49" s="42"/>
      <c r="H49" s="42"/>
      <c r="I49" s="42"/>
      <c r="J49" s="42"/>
      <c r="K49" s="42"/>
      <c r="L49" s="13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hidden="1" s="2" customFormat="1" ht="16.5" customHeight="1">
      <c r="A50" s="40"/>
      <c r="B50" s="41"/>
      <c r="C50" s="42"/>
      <c r="D50" s="42"/>
      <c r="E50" s="71" t="str">
        <f>E9</f>
        <v>01 - Architektonicko stavební řešení</v>
      </c>
      <c r="F50" s="42"/>
      <c r="G50" s="42"/>
      <c r="H50" s="42"/>
      <c r="I50" s="42"/>
      <c r="J50" s="42"/>
      <c r="K50" s="42"/>
      <c r="L50" s="13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hidden="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3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hidden="1" s="2" customFormat="1" ht="12" customHeight="1">
      <c r="A52" s="40"/>
      <c r="B52" s="41"/>
      <c r="C52" s="33" t="s">
        <v>22</v>
      </c>
      <c r="D52" s="42"/>
      <c r="E52" s="42"/>
      <c r="F52" s="28" t="str">
        <f>F12</f>
        <v>Třemošná</v>
      </c>
      <c r="G52" s="42"/>
      <c r="H52" s="42"/>
      <c r="I52" s="33" t="s">
        <v>24</v>
      </c>
      <c r="J52" s="74" t="str">
        <f>IF(J12="","",J12)</f>
        <v>20. 12. 2023</v>
      </c>
      <c r="K52" s="42"/>
      <c r="L52" s="13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hidden="1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3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hidden="1" s="2" customFormat="1" ht="25.65" customHeight="1">
      <c r="A54" s="40"/>
      <c r="B54" s="41"/>
      <c r="C54" s="33" t="s">
        <v>30</v>
      </c>
      <c r="D54" s="42"/>
      <c r="E54" s="42"/>
      <c r="F54" s="28" t="str">
        <f>E15</f>
        <v>Město Třemošná, Sídliště 992, 330 01 Třemošná</v>
      </c>
      <c r="G54" s="42"/>
      <c r="H54" s="42"/>
      <c r="I54" s="33" t="s">
        <v>37</v>
      </c>
      <c r="J54" s="38" t="str">
        <f>E21</f>
        <v>RAVAL projekt v. o. s.</v>
      </c>
      <c r="K54" s="42"/>
      <c r="L54" s="13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hidden="1" s="2" customFormat="1" ht="15.15" customHeight="1">
      <c r="A55" s="40"/>
      <c r="B55" s="41"/>
      <c r="C55" s="33" t="s">
        <v>35</v>
      </c>
      <c r="D55" s="42"/>
      <c r="E55" s="42"/>
      <c r="F55" s="28" t="str">
        <f>IF(E18="","",E18)</f>
        <v>Vyplň údaj</v>
      </c>
      <c r="G55" s="42"/>
      <c r="H55" s="42"/>
      <c r="I55" s="33" t="s">
        <v>40</v>
      </c>
      <c r="J55" s="38" t="str">
        <f>E24</f>
        <v xml:space="preserve"> </v>
      </c>
      <c r="K55" s="42"/>
      <c r="L55" s="13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hidden="1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3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hidden="1" s="2" customFormat="1" ht="29.28" customHeight="1">
      <c r="A57" s="40"/>
      <c r="B57" s="41"/>
      <c r="C57" s="166" t="s">
        <v>156</v>
      </c>
      <c r="D57" s="167"/>
      <c r="E57" s="167"/>
      <c r="F57" s="167"/>
      <c r="G57" s="167"/>
      <c r="H57" s="167"/>
      <c r="I57" s="167"/>
      <c r="J57" s="168" t="s">
        <v>157</v>
      </c>
      <c r="K57" s="167"/>
      <c r="L57" s="13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hidden="1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3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hidden="1" s="2" customFormat="1" ht="22.8" customHeight="1">
      <c r="A59" s="40"/>
      <c r="B59" s="41"/>
      <c r="C59" s="169" t="s">
        <v>76</v>
      </c>
      <c r="D59" s="42"/>
      <c r="E59" s="42"/>
      <c r="F59" s="42"/>
      <c r="G59" s="42"/>
      <c r="H59" s="42"/>
      <c r="I59" s="42"/>
      <c r="J59" s="104">
        <f>J105</f>
        <v>0</v>
      </c>
      <c r="K59" s="42"/>
      <c r="L59" s="13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8" t="s">
        <v>158</v>
      </c>
    </row>
    <row r="60" hidden="1" s="9" customFormat="1" ht="24.96" customHeight="1">
      <c r="A60" s="9"/>
      <c r="B60" s="170"/>
      <c r="C60" s="171"/>
      <c r="D60" s="172" t="s">
        <v>159</v>
      </c>
      <c r="E60" s="173"/>
      <c r="F60" s="173"/>
      <c r="G60" s="173"/>
      <c r="H60" s="173"/>
      <c r="I60" s="173"/>
      <c r="J60" s="174">
        <f>J106</f>
        <v>0</v>
      </c>
      <c r="K60" s="171"/>
      <c r="L60" s="175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idden="1" s="10" customFormat="1" ht="19.92" customHeight="1">
      <c r="A61" s="10"/>
      <c r="B61" s="176"/>
      <c r="C61" s="177"/>
      <c r="D61" s="178" t="s">
        <v>160</v>
      </c>
      <c r="E61" s="179"/>
      <c r="F61" s="179"/>
      <c r="G61" s="179"/>
      <c r="H61" s="179"/>
      <c r="I61" s="179"/>
      <c r="J61" s="180">
        <f>J107</f>
        <v>0</v>
      </c>
      <c r="K61" s="177"/>
      <c r="L61" s="181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hidden="1" s="10" customFormat="1" ht="19.92" customHeight="1">
      <c r="A62" s="10"/>
      <c r="B62" s="176"/>
      <c r="C62" s="177"/>
      <c r="D62" s="178" t="s">
        <v>161</v>
      </c>
      <c r="E62" s="179"/>
      <c r="F62" s="179"/>
      <c r="G62" s="179"/>
      <c r="H62" s="179"/>
      <c r="I62" s="179"/>
      <c r="J62" s="180">
        <f>J150</f>
        <v>0</v>
      </c>
      <c r="K62" s="177"/>
      <c r="L62" s="181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hidden="1" s="10" customFormat="1" ht="19.92" customHeight="1">
      <c r="A63" s="10"/>
      <c r="B63" s="176"/>
      <c r="C63" s="177"/>
      <c r="D63" s="178" t="s">
        <v>162</v>
      </c>
      <c r="E63" s="179"/>
      <c r="F63" s="179"/>
      <c r="G63" s="179"/>
      <c r="H63" s="179"/>
      <c r="I63" s="179"/>
      <c r="J63" s="180">
        <f>J236</f>
        <v>0</v>
      </c>
      <c r="K63" s="177"/>
      <c r="L63" s="181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hidden="1" s="10" customFormat="1" ht="19.92" customHeight="1">
      <c r="A64" s="10"/>
      <c r="B64" s="176"/>
      <c r="C64" s="177"/>
      <c r="D64" s="178" t="s">
        <v>163</v>
      </c>
      <c r="E64" s="179"/>
      <c r="F64" s="179"/>
      <c r="G64" s="179"/>
      <c r="H64" s="179"/>
      <c r="I64" s="179"/>
      <c r="J64" s="180">
        <f>J328</f>
        <v>0</v>
      </c>
      <c r="K64" s="177"/>
      <c r="L64" s="181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hidden="1" s="10" customFormat="1" ht="19.92" customHeight="1">
      <c r="A65" s="10"/>
      <c r="B65" s="176"/>
      <c r="C65" s="177"/>
      <c r="D65" s="178" t="s">
        <v>164</v>
      </c>
      <c r="E65" s="179"/>
      <c r="F65" s="179"/>
      <c r="G65" s="179"/>
      <c r="H65" s="179"/>
      <c r="I65" s="179"/>
      <c r="J65" s="180">
        <f>J348</f>
        <v>0</v>
      </c>
      <c r="K65" s="177"/>
      <c r="L65" s="181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hidden="1" s="10" customFormat="1" ht="19.92" customHeight="1">
      <c r="A66" s="10"/>
      <c r="B66" s="176"/>
      <c r="C66" s="177"/>
      <c r="D66" s="178" t="s">
        <v>165</v>
      </c>
      <c r="E66" s="179"/>
      <c r="F66" s="179"/>
      <c r="G66" s="179"/>
      <c r="H66" s="179"/>
      <c r="I66" s="179"/>
      <c r="J66" s="180">
        <f>J445</f>
        <v>0</v>
      </c>
      <c r="K66" s="177"/>
      <c r="L66" s="181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hidden="1" s="10" customFormat="1" ht="19.92" customHeight="1">
      <c r="A67" s="10"/>
      <c r="B67" s="176"/>
      <c r="C67" s="177"/>
      <c r="D67" s="178" t="s">
        <v>166</v>
      </c>
      <c r="E67" s="179"/>
      <c r="F67" s="179"/>
      <c r="G67" s="179"/>
      <c r="H67" s="179"/>
      <c r="I67" s="179"/>
      <c r="J67" s="180">
        <f>J450</f>
        <v>0</v>
      </c>
      <c r="K67" s="177"/>
      <c r="L67" s="181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hidden="1" s="10" customFormat="1" ht="19.92" customHeight="1">
      <c r="A68" s="10"/>
      <c r="B68" s="176"/>
      <c r="C68" s="177"/>
      <c r="D68" s="178" t="s">
        <v>167</v>
      </c>
      <c r="E68" s="179"/>
      <c r="F68" s="179"/>
      <c r="G68" s="179"/>
      <c r="H68" s="179"/>
      <c r="I68" s="179"/>
      <c r="J68" s="180">
        <f>J614</f>
        <v>0</v>
      </c>
      <c r="K68" s="177"/>
      <c r="L68" s="181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hidden="1" s="9" customFormat="1" ht="24.96" customHeight="1">
      <c r="A69" s="9"/>
      <c r="B69" s="170"/>
      <c r="C69" s="171"/>
      <c r="D69" s="172" t="s">
        <v>168</v>
      </c>
      <c r="E69" s="173"/>
      <c r="F69" s="173"/>
      <c r="G69" s="173"/>
      <c r="H69" s="173"/>
      <c r="I69" s="173"/>
      <c r="J69" s="174">
        <f>J617</f>
        <v>0</v>
      </c>
      <c r="K69" s="171"/>
      <c r="L69" s="175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hidden="1" s="10" customFormat="1" ht="19.92" customHeight="1">
      <c r="A70" s="10"/>
      <c r="B70" s="176"/>
      <c r="C70" s="177"/>
      <c r="D70" s="178" t="s">
        <v>169</v>
      </c>
      <c r="E70" s="179"/>
      <c r="F70" s="179"/>
      <c r="G70" s="179"/>
      <c r="H70" s="179"/>
      <c r="I70" s="179"/>
      <c r="J70" s="180">
        <f>J618</f>
        <v>0</v>
      </c>
      <c r="K70" s="177"/>
      <c r="L70" s="181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hidden="1" s="10" customFormat="1" ht="19.92" customHeight="1">
      <c r="A71" s="10"/>
      <c r="B71" s="176"/>
      <c r="C71" s="177"/>
      <c r="D71" s="178" t="s">
        <v>170</v>
      </c>
      <c r="E71" s="179"/>
      <c r="F71" s="179"/>
      <c r="G71" s="179"/>
      <c r="H71" s="179"/>
      <c r="I71" s="179"/>
      <c r="J71" s="180">
        <f>J649</f>
        <v>0</v>
      </c>
      <c r="K71" s="177"/>
      <c r="L71" s="181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hidden="1" s="10" customFormat="1" ht="19.92" customHeight="1">
      <c r="A72" s="10"/>
      <c r="B72" s="176"/>
      <c r="C72" s="177"/>
      <c r="D72" s="178" t="s">
        <v>171</v>
      </c>
      <c r="E72" s="179"/>
      <c r="F72" s="179"/>
      <c r="G72" s="179"/>
      <c r="H72" s="179"/>
      <c r="I72" s="179"/>
      <c r="J72" s="180">
        <f>J680</f>
        <v>0</v>
      </c>
      <c r="K72" s="177"/>
      <c r="L72" s="181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hidden="1" s="10" customFormat="1" ht="19.92" customHeight="1">
      <c r="A73" s="10"/>
      <c r="B73" s="176"/>
      <c r="C73" s="177"/>
      <c r="D73" s="178" t="s">
        <v>172</v>
      </c>
      <c r="E73" s="179"/>
      <c r="F73" s="179"/>
      <c r="G73" s="179"/>
      <c r="H73" s="179"/>
      <c r="I73" s="179"/>
      <c r="J73" s="180">
        <f>J685</f>
        <v>0</v>
      </c>
      <c r="K73" s="177"/>
      <c r="L73" s="181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hidden="1" s="10" customFormat="1" ht="19.92" customHeight="1">
      <c r="A74" s="10"/>
      <c r="B74" s="176"/>
      <c r="C74" s="177"/>
      <c r="D74" s="178" t="s">
        <v>173</v>
      </c>
      <c r="E74" s="179"/>
      <c r="F74" s="179"/>
      <c r="G74" s="179"/>
      <c r="H74" s="179"/>
      <c r="I74" s="179"/>
      <c r="J74" s="180">
        <f>J724</f>
        <v>0</v>
      </c>
      <c r="K74" s="177"/>
      <c r="L74" s="181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hidden="1" s="10" customFormat="1" ht="19.92" customHeight="1">
      <c r="A75" s="10"/>
      <c r="B75" s="176"/>
      <c r="C75" s="177"/>
      <c r="D75" s="178" t="s">
        <v>174</v>
      </c>
      <c r="E75" s="179"/>
      <c r="F75" s="179"/>
      <c r="G75" s="179"/>
      <c r="H75" s="179"/>
      <c r="I75" s="179"/>
      <c r="J75" s="180">
        <f>J769</f>
        <v>0</v>
      </c>
      <c r="K75" s="177"/>
      <c r="L75" s="181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hidden="1" s="10" customFormat="1" ht="19.92" customHeight="1">
      <c r="A76" s="10"/>
      <c r="B76" s="176"/>
      <c r="C76" s="177"/>
      <c r="D76" s="178" t="s">
        <v>175</v>
      </c>
      <c r="E76" s="179"/>
      <c r="F76" s="179"/>
      <c r="G76" s="179"/>
      <c r="H76" s="179"/>
      <c r="I76" s="179"/>
      <c r="J76" s="180">
        <f>J796</f>
        <v>0</v>
      </c>
      <c r="K76" s="177"/>
      <c r="L76" s="181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hidden="1" s="10" customFormat="1" ht="19.92" customHeight="1">
      <c r="A77" s="10"/>
      <c r="B77" s="176"/>
      <c r="C77" s="177"/>
      <c r="D77" s="178" t="s">
        <v>176</v>
      </c>
      <c r="E77" s="179"/>
      <c r="F77" s="179"/>
      <c r="G77" s="179"/>
      <c r="H77" s="179"/>
      <c r="I77" s="179"/>
      <c r="J77" s="180">
        <f>J841</f>
        <v>0</v>
      </c>
      <c r="K77" s="177"/>
      <c r="L77" s="181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hidden="1" s="10" customFormat="1" ht="19.92" customHeight="1">
      <c r="A78" s="10"/>
      <c r="B78" s="176"/>
      <c r="C78" s="177"/>
      <c r="D78" s="178" t="s">
        <v>177</v>
      </c>
      <c r="E78" s="179"/>
      <c r="F78" s="179"/>
      <c r="G78" s="179"/>
      <c r="H78" s="179"/>
      <c r="I78" s="179"/>
      <c r="J78" s="180">
        <f>J860</f>
        <v>0</v>
      </c>
      <c r="K78" s="177"/>
      <c r="L78" s="181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hidden="1" s="10" customFormat="1" ht="19.92" customHeight="1">
      <c r="A79" s="10"/>
      <c r="B79" s="176"/>
      <c r="C79" s="177"/>
      <c r="D79" s="178" t="s">
        <v>178</v>
      </c>
      <c r="E79" s="179"/>
      <c r="F79" s="179"/>
      <c r="G79" s="179"/>
      <c r="H79" s="179"/>
      <c r="I79" s="179"/>
      <c r="J79" s="180">
        <f>J958</f>
        <v>0</v>
      </c>
      <c r="K79" s="177"/>
      <c r="L79" s="181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hidden="1" s="10" customFormat="1" ht="19.92" customHeight="1">
      <c r="A80" s="10"/>
      <c r="B80" s="176"/>
      <c r="C80" s="177"/>
      <c r="D80" s="178" t="s">
        <v>179</v>
      </c>
      <c r="E80" s="179"/>
      <c r="F80" s="179"/>
      <c r="G80" s="179"/>
      <c r="H80" s="179"/>
      <c r="I80" s="179"/>
      <c r="J80" s="180">
        <f>J1062</f>
        <v>0</v>
      </c>
      <c r="K80" s="177"/>
      <c r="L80" s="181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hidden="1" s="10" customFormat="1" ht="19.92" customHeight="1">
      <c r="A81" s="10"/>
      <c r="B81" s="176"/>
      <c r="C81" s="177"/>
      <c r="D81" s="178" t="s">
        <v>180</v>
      </c>
      <c r="E81" s="179"/>
      <c r="F81" s="179"/>
      <c r="G81" s="179"/>
      <c r="H81" s="179"/>
      <c r="I81" s="179"/>
      <c r="J81" s="180">
        <f>J1110</f>
        <v>0</v>
      </c>
      <c r="K81" s="177"/>
      <c r="L81" s="181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hidden="1" s="10" customFormat="1" ht="19.92" customHeight="1">
      <c r="A82" s="10"/>
      <c r="B82" s="176"/>
      <c r="C82" s="177"/>
      <c r="D82" s="178" t="s">
        <v>181</v>
      </c>
      <c r="E82" s="179"/>
      <c r="F82" s="179"/>
      <c r="G82" s="179"/>
      <c r="H82" s="179"/>
      <c r="I82" s="179"/>
      <c r="J82" s="180">
        <f>J1164</f>
        <v>0</v>
      </c>
      <c r="K82" s="177"/>
      <c r="L82" s="181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hidden="1" s="10" customFormat="1" ht="19.92" customHeight="1">
      <c r="A83" s="10"/>
      <c r="B83" s="176"/>
      <c r="C83" s="177"/>
      <c r="D83" s="178" t="s">
        <v>182</v>
      </c>
      <c r="E83" s="179"/>
      <c r="F83" s="179"/>
      <c r="G83" s="179"/>
      <c r="H83" s="179"/>
      <c r="I83" s="179"/>
      <c r="J83" s="180">
        <f>J1220</f>
        <v>0</v>
      </c>
      <c r="K83" s="177"/>
      <c r="L83" s="181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hidden="1" s="10" customFormat="1" ht="19.92" customHeight="1">
      <c r="A84" s="10"/>
      <c r="B84" s="176"/>
      <c r="C84" s="177"/>
      <c r="D84" s="178" t="s">
        <v>183</v>
      </c>
      <c r="E84" s="179"/>
      <c r="F84" s="179"/>
      <c r="G84" s="179"/>
      <c r="H84" s="179"/>
      <c r="I84" s="179"/>
      <c r="J84" s="180">
        <f>J1249</f>
        <v>0</v>
      </c>
      <c r="K84" s="177"/>
      <c r="L84" s="181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hidden="1" s="9" customFormat="1" ht="24.96" customHeight="1">
      <c r="A85" s="9"/>
      <c r="B85" s="170"/>
      <c r="C85" s="171"/>
      <c r="D85" s="172" t="s">
        <v>184</v>
      </c>
      <c r="E85" s="173"/>
      <c r="F85" s="173"/>
      <c r="G85" s="173"/>
      <c r="H85" s="173"/>
      <c r="I85" s="173"/>
      <c r="J85" s="174">
        <f>J1255</f>
        <v>0</v>
      </c>
      <c r="K85" s="171"/>
      <c r="L85" s="175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hidden="1" s="2" customFormat="1" ht="21.84" customHeight="1">
      <c r="A86" s="40"/>
      <c r="B86" s="41"/>
      <c r="C86" s="42"/>
      <c r="D86" s="42"/>
      <c r="E86" s="42"/>
      <c r="F86" s="42"/>
      <c r="G86" s="42"/>
      <c r="H86" s="42"/>
      <c r="I86" s="42"/>
      <c r="J86" s="42"/>
      <c r="K86" s="42"/>
      <c r="L86" s="13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hidden="1" s="2" customFormat="1" ht="6.96" customHeight="1">
      <c r="A87" s="40"/>
      <c r="B87" s="61"/>
      <c r="C87" s="62"/>
      <c r="D87" s="62"/>
      <c r="E87" s="62"/>
      <c r="F87" s="62"/>
      <c r="G87" s="62"/>
      <c r="H87" s="62"/>
      <c r="I87" s="62"/>
      <c r="J87" s="62"/>
      <c r="K87" s="62"/>
      <c r="L87" s="13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hidden="1"/>
    <row r="89" hidden="1"/>
    <row r="90" hidden="1"/>
    <row r="91" s="2" customFormat="1" ht="6.96" customHeight="1">
      <c r="A91" s="40"/>
      <c r="B91" s="63"/>
      <c r="C91" s="64"/>
      <c r="D91" s="64"/>
      <c r="E91" s="64"/>
      <c r="F91" s="64"/>
      <c r="G91" s="64"/>
      <c r="H91" s="64"/>
      <c r="I91" s="64"/>
      <c r="J91" s="64"/>
      <c r="K91" s="64"/>
      <c r="L91" s="137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2" customFormat="1" ht="24.96" customHeight="1">
      <c r="A92" s="40"/>
      <c r="B92" s="41"/>
      <c r="C92" s="24" t="s">
        <v>185</v>
      </c>
      <c r="D92" s="42"/>
      <c r="E92" s="42"/>
      <c r="F92" s="42"/>
      <c r="G92" s="42"/>
      <c r="H92" s="42"/>
      <c r="I92" s="42"/>
      <c r="J92" s="42"/>
      <c r="K92" s="42"/>
      <c r="L92" s="137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 s="2" customFormat="1" ht="6.96" customHeight="1">
      <c r="A93" s="40"/>
      <c r="B93" s="41"/>
      <c r="C93" s="42"/>
      <c r="D93" s="42"/>
      <c r="E93" s="42"/>
      <c r="F93" s="42"/>
      <c r="G93" s="42"/>
      <c r="H93" s="42"/>
      <c r="I93" s="42"/>
      <c r="J93" s="42"/>
      <c r="K93" s="42"/>
      <c r="L93" s="137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 s="2" customFormat="1" ht="12" customHeight="1">
      <c r="A94" s="40"/>
      <c r="B94" s="41"/>
      <c r="C94" s="33" t="s">
        <v>16</v>
      </c>
      <c r="D94" s="42"/>
      <c r="E94" s="42"/>
      <c r="F94" s="42"/>
      <c r="G94" s="42"/>
      <c r="H94" s="42"/>
      <c r="I94" s="42"/>
      <c r="J94" s="42"/>
      <c r="K94" s="42"/>
      <c r="L94" s="137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 s="2" customFormat="1" ht="16.5" customHeight="1">
      <c r="A95" s="40"/>
      <c r="B95" s="41"/>
      <c r="C95" s="42"/>
      <c r="D95" s="42"/>
      <c r="E95" s="165" t="str">
        <f>E7</f>
        <v>Kulturní dům ČP 1, Třemošná- rev 03</v>
      </c>
      <c r="F95" s="33"/>
      <c r="G95" s="33"/>
      <c r="H95" s="33"/>
      <c r="I95" s="42"/>
      <c r="J95" s="42"/>
      <c r="K95" s="42"/>
      <c r="L95" s="137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 s="2" customFormat="1" ht="12" customHeight="1">
      <c r="A96" s="40"/>
      <c r="B96" s="41"/>
      <c r="C96" s="33" t="s">
        <v>134</v>
      </c>
      <c r="D96" s="42"/>
      <c r="E96" s="42"/>
      <c r="F96" s="42"/>
      <c r="G96" s="42"/>
      <c r="H96" s="42"/>
      <c r="I96" s="42"/>
      <c r="J96" s="42"/>
      <c r="K96" s="42"/>
      <c r="L96" s="137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s="2" customFormat="1" ht="16.5" customHeight="1">
      <c r="A97" s="40"/>
      <c r="B97" s="41"/>
      <c r="C97" s="42"/>
      <c r="D97" s="42"/>
      <c r="E97" s="71" t="str">
        <f>E9</f>
        <v>01 - Architektonicko stavební řešení</v>
      </c>
      <c r="F97" s="42"/>
      <c r="G97" s="42"/>
      <c r="H97" s="42"/>
      <c r="I97" s="42"/>
      <c r="J97" s="42"/>
      <c r="K97" s="42"/>
      <c r="L97" s="137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 s="2" customFormat="1" ht="6.96" customHeight="1">
      <c r="A98" s="40"/>
      <c r="B98" s="41"/>
      <c r="C98" s="42"/>
      <c r="D98" s="42"/>
      <c r="E98" s="42"/>
      <c r="F98" s="42"/>
      <c r="G98" s="42"/>
      <c r="H98" s="42"/>
      <c r="I98" s="42"/>
      <c r="J98" s="42"/>
      <c r="K98" s="42"/>
      <c r="L98" s="137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 s="2" customFormat="1" ht="12" customHeight="1">
      <c r="A99" s="40"/>
      <c r="B99" s="41"/>
      <c r="C99" s="33" t="s">
        <v>22</v>
      </c>
      <c r="D99" s="42"/>
      <c r="E99" s="42"/>
      <c r="F99" s="28" t="str">
        <f>F12</f>
        <v>Třemošná</v>
      </c>
      <c r="G99" s="42"/>
      <c r="H99" s="42"/>
      <c r="I99" s="33" t="s">
        <v>24</v>
      </c>
      <c r="J99" s="74" t="str">
        <f>IF(J12="","",J12)</f>
        <v>20. 12. 2023</v>
      </c>
      <c r="K99" s="42"/>
      <c r="L99" s="137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</row>
    <row r="100" s="2" customFormat="1" ht="6.96" customHeight="1">
      <c r="A100" s="40"/>
      <c r="B100" s="41"/>
      <c r="C100" s="42"/>
      <c r="D100" s="42"/>
      <c r="E100" s="42"/>
      <c r="F100" s="42"/>
      <c r="G100" s="42"/>
      <c r="H100" s="42"/>
      <c r="I100" s="42"/>
      <c r="J100" s="42"/>
      <c r="K100" s="42"/>
      <c r="L100" s="137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</row>
    <row r="101" s="2" customFormat="1" ht="25.65" customHeight="1">
      <c r="A101" s="40"/>
      <c r="B101" s="41"/>
      <c r="C101" s="33" t="s">
        <v>30</v>
      </c>
      <c r="D101" s="42"/>
      <c r="E101" s="42"/>
      <c r="F101" s="28" t="str">
        <f>E15</f>
        <v>Město Třemošná, Sídliště 992, 330 01 Třemošná</v>
      </c>
      <c r="G101" s="42"/>
      <c r="H101" s="42"/>
      <c r="I101" s="33" t="s">
        <v>37</v>
      </c>
      <c r="J101" s="38" t="str">
        <f>E21</f>
        <v>RAVAL projekt v. o. s.</v>
      </c>
      <c r="K101" s="42"/>
      <c r="L101" s="137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</row>
    <row r="102" s="2" customFormat="1" ht="15.15" customHeight="1">
      <c r="A102" s="40"/>
      <c r="B102" s="41"/>
      <c r="C102" s="33" t="s">
        <v>35</v>
      </c>
      <c r="D102" s="42"/>
      <c r="E102" s="42"/>
      <c r="F102" s="28" t="str">
        <f>IF(E18="","",E18)</f>
        <v>Vyplň údaj</v>
      </c>
      <c r="G102" s="42"/>
      <c r="H102" s="42"/>
      <c r="I102" s="33" t="s">
        <v>40</v>
      </c>
      <c r="J102" s="38" t="str">
        <f>E24</f>
        <v xml:space="preserve"> </v>
      </c>
      <c r="K102" s="42"/>
      <c r="L102" s="137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</row>
    <row r="103" s="2" customFormat="1" ht="10.32" customHeight="1">
      <c r="A103" s="40"/>
      <c r="B103" s="41"/>
      <c r="C103" s="42"/>
      <c r="D103" s="42"/>
      <c r="E103" s="42"/>
      <c r="F103" s="42"/>
      <c r="G103" s="42"/>
      <c r="H103" s="42"/>
      <c r="I103" s="42"/>
      <c r="J103" s="42"/>
      <c r="K103" s="42"/>
      <c r="L103" s="137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</row>
    <row r="104" s="11" customFormat="1" ht="29.28" customHeight="1">
      <c r="A104" s="182"/>
      <c r="B104" s="183"/>
      <c r="C104" s="184" t="s">
        <v>186</v>
      </c>
      <c r="D104" s="185" t="s">
        <v>63</v>
      </c>
      <c r="E104" s="185" t="s">
        <v>59</v>
      </c>
      <c r="F104" s="185" t="s">
        <v>60</v>
      </c>
      <c r="G104" s="185" t="s">
        <v>187</v>
      </c>
      <c r="H104" s="185" t="s">
        <v>188</v>
      </c>
      <c r="I104" s="185" t="s">
        <v>189</v>
      </c>
      <c r="J104" s="185" t="s">
        <v>157</v>
      </c>
      <c r="K104" s="186" t="s">
        <v>190</v>
      </c>
      <c r="L104" s="187"/>
      <c r="M104" s="94" t="s">
        <v>32</v>
      </c>
      <c r="N104" s="95" t="s">
        <v>48</v>
      </c>
      <c r="O104" s="95" t="s">
        <v>191</v>
      </c>
      <c r="P104" s="95" t="s">
        <v>192</v>
      </c>
      <c r="Q104" s="95" t="s">
        <v>193</v>
      </c>
      <c r="R104" s="95" t="s">
        <v>194</v>
      </c>
      <c r="S104" s="95" t="s">
        <v>195</v>
      </c>
      <c r="T104" s="96" t="s">
        <v>196</v>
      </c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</row>
    <row r="105" s="2" customFormat="1" ht="22.8" customHeight="1">
      <c r="A105" s="40"/>
      <c r="B105" s="41"/>
      <c r="C105" s="101" t="s">
        <v>197</v>
      </c>
      <c r="D105" s="42"/>
      <c r="E105" s="42"/>
      <c r="F105" s="42"/>
      <c r="G105" s="42"/>
      <c r="H105" s="42"/>
      <c r="I105" s="42"/>
      <c r="J105" s="188">
        <f>BK105</f>
        <v>0</v>
      </c>
      <c r="K105" s="42"/>
      <c r="L105" s="46"/>
      <c r="M105" s="97"/>
      <c r="N105" s="189"/>
      <c r="O105" s="98"/>
      <c r="P105" s="190">
        <f>P106+P617+P1255</f>
        <v>0</v>
      </c>
      <c r="Q105" s="98"/>
      <c r="R105" s="190">
        <f>R106+R617+R1255</f>
        <v>2156.8337269799999</v>
      </c>
      <c r="S105" s="98"/>
      <c r="T105" s="191">
        <f>T106+T617+T1255</f>
        <v>0</v>
      </c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8" t="s">
        <v>77</v>
      </c>
      <c r="AU105" s="18" t="s">
        <v>158</v>
      </c>
      <c r="BK105" s="192">
        <f>BK106+BK617+BK1255</f>
        <v>0</v>
      </c>
    </row>
    <row r="106" s="12" customFormat="1" ht="25.92" customHeight="1">
      <c r="A106" s="12"/>
      <c r="B106" s="193"/>
      <c r="C106" s="194"/>
      <c r="D106" s="195" t="s">
        <v>77</v>
      </c>
      <c r="E106" s="196" t="s">
        <v>198</v>
      </c>
      <c r="F106" s="196" t="s">
        <v>199</v>
      </c>
      <c r="G106" s="194"/>
      <c r="H106" s="194"/>
      <c r="I106" s="197"/>
      <c r="J106" s="198">
        <f>BK106</f>
        <v>0</v>
      </c>
      <c r="K106" s="194"/>
      <c r="L106" s="199"/>
      <c r="M106" s="200"/>
      <c r="N106" s="201"/>
      <c r="O106" s="201"/>
      <c r="P106" s="202">
        <f>P107+P150+P236+P328+P348+P445+P450+P614</f>
        <v>0</v>
      </c>
      <c r="Q106" s="201"/>
      <c r="R106" s="202">
        <f>R107+R150+R236+R328+R348+R445+R450+R614</f>
        <v>1989.28243288</v>
      </c>
      <c r="S106" s="201"/>
      <c r="T106" s="203">
        <f>T107+T150+T236+T328+T348+T445+T450+T614</f>
        <v>0</v>
      </c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R106" s="204" t="s">
        <v>86</v>
      </c>
      <c r="AT106" s="205" t="s">
        <v>77</v>
      </c>
      <c r="AU106" s="205" t="s">
        <v>78</v>
      </c>
      <c r="AY106" s="204" t="s">
        <v>200</v>
      </c>
      <c r="BK106" s="206">
        <f>BK107+BK150+BK236+BK328+BK348+BK445+BK450+BK614</f>
        <v>0</v>
      </c>
    </row>
    <row r="107" s="12" customFormat="1" ht="22.8" customHeight="1">
      <c r="A107" s="12"/>
      <c r="B107" s="193"/>
      <c r="C107" s="194"/>
      <c r="D107" s="195" t="s">
        <v>77</v>
      </c>
      <c r="E107" s="207" t="s">
        <v>86</v>
      </c>
      <c r="F107" s="207" t="s">
        <v>201</v>
      </c>
      <c r="G107" s="194"/>
      <c r="H107" s="194"/>
      <c r="I107" s="197"/>
      <c r="J107" s="208">
        <f>BK107</f>
        <v>0</v>
      </c>
      <c r="K107" s="194"/>
      <c r="L107" s="199"/>
      <c r="M107" s="200"/>
      <c r="N107" s="201"/>
      <c r="O107" s="201"/>
      <c r="P107" s="202">
        <f>SUM(P108:P149)</f>
        <v>0</v>
      </c>
      <c r="Q107" s="201"/>
      <c r="R107" s="202">
        <f>SUM(R108:R149)</f>
        <v>0</v>
      </c>
      <c r="S107" s="201"/>
      <c r="T107" s="203">
        <f>SUM(T108:T149)</f>
        <v>0</v>
      </c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R107" s="204" t="s">
        <v>86</v>
      </c>
      <c r="AT107" s="205" t="s">
        <v>77</v>
      </c>
      <c r="AU107" s="205" t="s">
        <v>86</v>
      </c>
      <c r="AY107" s="204" t="s">
        <v>200</v>
      </c>
      <c r="BK107" s="206">
        <f>SUM(BK108:BK149)</f>
        <v>0</v>
      </c>
    </row>
    <row r="108" s="2" customFormat="1" ht="21.75" customHeight="1">
      <c r="A108" s="40"/>
      <c r="B108" s="41"/>
      <c r="C108" s="209" t="s">
        <v>86</v>
      </c>
      <c r="D108" s="209" t="s">
        <v>202</v>
      </c>
      <c r="E108" s="210" t="s">
        <v>203</v>
      </c>
      <c r="F108" s="211" t="s">
        <v>204</v>
      </c>
      <c r="G108" s="212" t="s">
        <v>205</v>
      </c>
      <c r="H108" s="213">
        <v>1605.0329999999999</v>
      </c>
      <c r="I108" s="214"/>
      <c r="J108" s="215">
        <f>ROUND(I108*H108,1)</f>
        <v>0</v>
      </c>
      <c r="K108" s="211" t="s">
        <v>206</v>
      </c>
      <c r="L108" s="46"/>
      <c r="M108" s="216" t="s">
        <v>32</v>
      </c>
      <c r="N108" s="217" t="s">
        <v>49</v>
      </c>
      <c r="O108" s="86"/>
      <c r="P108" s="218">
        <f>O108*H108</f>
        <v>0</v>
      </c>
      <c r="Q108" s="218">
        <v>0</v>
      </c>
      <c r="R108" s="218">
        <f>Q108*H108</f>
        <v>0</v>
      </c>
      <c r="S108" s="218">
        <v>0</v>
      </c>
      <c r="T108" s="219">
        <f>S108*H108</f>
        <v>0</v>
      </c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0" t="s">
        <v>207</v>
      </c>
      <c r="AT108" s="220" t="s">
        <v>202</v>
      </c>
      <c r="AU108" s="220" t="s">
        <v>88</v>
      </c>
      <c r="AY108" s="18" t="s">
        <v>200</v>
      </c>
      <c r="BE108" s="221">
        <f>IF(N108="základní",J108,0)</f>
        <v>0</v>
      </c>
      <c r="BF108" s="221">
        <f>IF(N108="snížená",J108,0)</f>
        <v>0</v>
      </c>
      <c r="BG108" s="221">
        <f>IF(N108="zákl. přenesená",J108,0)</f>
        <v>0</v>
      </c>
      <c r="BH108" s="221">
        <f>IF(N108="sníž. přenesená",J108,0)</f>
        <v>0</v>
      </c>
      <c r="BI108" s="221">
        <f>IF(N108="nulová",J108,0)</f>
        <v>0</v>
      </c>
      <c r="BJ108" s="18" t="s">
        <v>86</v>
      </c>
      <c r="BK108" s="221">
        <f>ROUND(I108*H108,1)</f>
        <v>0</v>
      </c>
      <c r="BL108" s="18" t="s">
        <v>207</v>
      </c>
      <c r="BM108" s="220" t="s">
        <v>208</v>
      </c>
    </row>
    <row r="109" s="2" customFormat="1">
      <c r="A109" s="40"/>
      <c r="B109" s="41"/>
      <c r="C109" s="42"/>
      <c r="D109" s="222" t="s">
        <v>209</v>
      </c>
      <c r="E109" s="42"/>
      <c r="F109" s="223" t="s">
        <v>210</v>
      </c>
      <c r="G109" s="42"/>
      <c r="H109" s="42"/>
      <c r="I109" s="224"/>
      <c r="J109" s="42"/>
      <c r="K109" s="42"/>
      <c r="L109" s="46"/>
      <c r="M109" s="225"/>
      <c r="N109" s="226"/>
      <c r="O109" s="86"/>
      <c r="P109" s="86"/>
      <c r="Q109" s="86"/>
      <c r="R109" s="86"/>
      <c r="S109" s="86"/>
      <c r="T109" s="87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T109" s="18" t="s">
        <v>209</v>
      </c>
      <c r="AU109" s="18" t="s">
        <v>88</v>
      </c>
    </row>
    <row r="110" s="13" customFormat="1">
      <c r="A110" s="13"/>
      <c r="B110" s="227"/>
      <c r="C110" s="228"/>
      <c r="D110" s="229" t="s">
        <v>211</v>
      </c>
      <c r="E110" s="230" t="s">
        <v>32</v>
      </c>
      <c r="F110" s="231" t="s">
        <v>212</v>
      </c>
      <c r="G110" s="228"/>
      <c r="H110" s="232">
        <v>1605.033072</v>
      </c>
      <c r="I110" s="233"/>
      <c r="J110" s="228"/>
      <c r="K110" s="228"/>
      <c r="L110" s="234"/>
      <c r="M110" s="235"/>
      <c r="N110" s="236"/>
      <c r="O110" s="236"/>
      <c r="P110" s="236"/>
      <c r="Q110" s="236"/>
      <c r="R110" s="236"/>
      <c r="S110" s="236"/>
      <c r="T110" s="237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T110" s="238" t="s">
        <v>211</v>
      </c>
      <c r="AU110" s="238" t="s">
        <v>88</v>
      </c>
      <c r="AV110" s="13" t="s">
        <v>88</v>
      </c>
      <c r="AW110" s="13" t="s">
        <v>213</v>
      </c>
      <c r="AX110" s="13" t="s">
        <v>86</v>
      </c>
      <c r="AY110" s="238" t="s">
        <v>200</v>
      </c>
    </row>
    <row r="111" s="2" customFormat="1" ht="24.15" customHeight="1">
      <c r="A111" s="40"/>
      <c r="B111" s="41"/>
      <c r="C111" s="209" t="s">
        <v>88</v>
      </c>
      <c r="D111" s="209" t="s">
        <v>202</v>
      </c>
      <c r="E111" s="210" t="s">
        <v>214</v>
      </c>
      <c r="F111" s="211" t="s">
        <v>215</v>
      </c>
      <c r="G111" s="212" t="s">
        <v>205</v>
      </c>
      <c r="H111" s="213">
        <v>4.5599999999999996</v>
      </c>
      <c r="I111" s="214"/>
      <c r="J111" s="215">
        <f>ROUND(I111*H111,1)</f>
        <v>0</v>
      </c>
      <c r="K111" s="211" t="s">
        <v>206</v>
      </c>
      <c r="L111" s="46"/>
      <c r="M111" s="216" t="s">
        <v>32</v>
      </c>
      <c r="N111" s="217" t="s">
        <v>49</v>
      </c>
      <c r="O111" s="86"/>
      <c r="P111" s="218">
        <f>O111*H111</f>
        <v>0</v>
      </c>
      <c r="Q111" s="218">
        <v>0</v>
      </c>
      <c r="R111" s="218">
        <f>Q111*H111</f>
        <v>0</v>
      </c>
      <c r="S111" s="218">
        <v>0</v>
      </c>
      <c r="T111" s="219">
        <f>S111*H111</f>
        <v>0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0" t="s">
        <v>207</v>
      </c>
      <c r="AT111" s="220" t="s">
        <v>202</v>
      </c>
      <c r="AU111" s="220" t="s">
        <v>88</v>
      </c>
      <c r="AY111" s="18" t="s">
        <v>200</v>
      </c>
      <c r="BE111" s="221">
        <f>IF(N111="základní",J111,0)</f>
        <v>0</v>
      </c>
      <c r="BF111" s="221">
        <f>IF(N111="snížená",J111,0)</f>
        <v>0</v>
      </c>
      <c r="BG111" s="221">
        <f>IF(N111="zákl. přenesená",J111,0)</f>
        <v>0</v>
      </c>
      <c r="BH111" s="221">
        <f>IF(N111="sníž. přenesená",J111,0)</f>
        <v>0</v>
      </c>
      <c r="BI111" s="221">
        <f>IF(N111="nulová",J111,0)</f>
        <v>0</v>
      </c>
      <c r="BJ111" s="18" t="s">
        <v>86</v>
      </c>
      <c r="BK111" s="221">
        <f>ROUND(I111*H111,1)</f>
        <v>0</v>
      </c>
      <c r="BL111" s="18" t="s">
        <v>207</v>
      </c>
      <c r="BM111" s="220" t="s">
        <v>216</v>
      </c>
    </row>
    <row r="112" s="2" customFormat="1">
      <c r="A112" s="40"/>
      <c r="B112" s="41"/>
      <c r="C112" s="42"/>
      <c r="D112" s="222" t="s">
        <v>209</v>
      </c>
      <c r="E112" s="42"/>
      <c r="F112" s="223" t="s">
        <v>217</v>
      </c>
      <c r="G112" s="42"/>
      <c r="H112" s="42"/>
      <c r="I112" s="224"/>
      <c r="J112" s="42"/>
      <c r="K112" s="42"/>
      <c r="L112" s="46"/>
      <c r="M112" s="225"/>
      <c r="N112" s="226"/>
      <c r="O112" s="86"/>
      <c r="P112" s="86"/>
      <c r="Q112" s="86"/>
      <c r="R112" s="86"/>
      <c r="S112" s="86"/>
      <c r="T112" s="87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8" t="s">
        <v>209</v>
      </c>
      <c r="AU112" s="18" t="s">
        <v>88</v>
      </c>
    </row>
    <row r="113" s="13" customFormat="1">
      <c r="A113" s="13"/>
      <c r="B113" s="227"/>
      <c r="C113" s="228"/>
      <c r="D113" s="229" t="s">
        <v>211</v>
      </c>
      <c r="E113" s="230" t="s">
        <v>32</v>
      </c>
      <c r="F113" s="231" t="s">
        <v>218</v>
      </c>
      <c r="G113" s="228"/>
      <c r="H113" s="232">
        <v>1.44</v>
      </c>
      <c r="I113" s="233"/>
      <c r="J113" s="228"/>
      <c r="K113" s="228"/>
      <c r="L113" s="234"/>
      <c r="M113" s="235"/>
      <c r="N113" s="236"/>
      <c r="O113" s="236"/>
      <c r="P113" s="236"/>
      <c r="Q113" s="236"/>
      <c r="R113" s="236"/>
      <c r="S113" s="236"/>
      <c r="T113" s="237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T113" s="238" t="s">
        <v>211</v>
      </c>
      <c r="AU113" s="238" t="s">
        <v>88</v>
      </c>
      <c r="AV113" s="13" t="s">
        <v>88</v>
      </c>
      <c r="AW113" s="13" t="s">
        <v>213</v>
      </c>
      <c r="AX113" s="13" t="s">
        <v>78</v>
      </c>
      <c r="AY113" s="238" t="s">
        <v>200</v>
      </c>
    </row>
    <row r="114" s="13" customFormat="1">
      <c r="A114" s="13"/>
      <c r="B114" s="227"/>
      <c r="C114" s="228"/>
      <c r="D114" s="229" t="s">
        <v>211</v>
      </c>
      <c r="E114" s="230" t="s">
        <v>32</v>
      </c>
      <c r="F114" s="231" t="s">
        <v>219</v>
      </c>
      <c r="G114" s="228"/>
      <c r="H114" s="232">
        <v>3.1200000000000001</v>
      </c>
      <c r="I114" s="233"/>
      <c r="J114" s="228"/>
      <c r="K114" s="228"/>
      <c r="L114" s="234"/>
      <c r="M114" s="235"/>
      <c r="N114" s="236"/>
      <c r="O114" s="236"/>
      <c r="P114" s="236"/>
      <c r="Q114" s="236"/>
      <c r="R114" s="236"/>
      <c r="S114" s="236"/>
      <c r="T114" s="237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T114" s="238" t="s">
        <v>211</v>
      </c>
      <c r="AU114" s="238" t="s">
        <v>88</v>
      </c>
      <c r="AV114" s="13" t="s">
        <v>88</v>
      </c>
      <c r="AW114" s="13" t="s">
        <v>213</v>
      </c>
      <c r="AX114" s="13" t="s">
        <v>78</v>
      </c>
      <c r="AY114" s="238" t="s">
        <v>200</v>
      </c>
    </row>
    <row r="115" s="14" customFormat="1">
      <c r="A115" s="14"/>
      <c r="B115" s="239"/>
      <c r="C115" s="240"/>
      <c r="D115" s="229" t="s">
        <v>211</v>
      </c>
      <c r="E115" s="241" t="s">
        <v>32</v>
      </c>
      <c r="F115" s="242" t="s">
        <v>220</v>
      </c>
      <c r="G115" s="240"/>
      <c r="H115" s="243">
        <v>4.5599999999999996</v>
      </c>
      <c r="I115" s="244"/>
      <c r="J115" s="240"/>
      <c r="K115" s="240"/>
      <c r="L115" s="245"/>
      <c r="M115" s="246"/>
      <c r="N115" s="247"/>
      <c r="O115" s="247"/>
      <c r="P115" s="247"/>
      <c r="Q115" s="247"/>
      <c r="R115" s="247"/>
      <c r="S115" s="247"/>
      <c r="T115" s="248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T115" s="249" t="s">
        <v>211</v>
      </c>
      <c r="AU115" s="249" t="s">
        <v>88</v>
      </c>
      <c r="AV115" s="14" t="s">
        <v>207</v>
      </c>
      <c r="AW115" s="14" t="s">
        <v>213</v>
      </c>
      <c r="AX115" s="14" t="s">
        <v>86</v>
      </c>
      <c r="AY115" s="249" t="s">
        <v>200</v>
      </c>
    </row>
    <row r="116" s="2" customFormat="1" ht="37.8" customHeight="1">
      <c r="A116" s="40"/>
      <c r="B116" s="41"/>
      <c r="C116" s="209" t="s">
        <v>148</v>
      </c>
      <c r="D116" s="209" t="s">
        <v>202</v>
      </c>
      <c r="E116" s="210" t="s">
        <v>221</v>
      </c>
      <c r="F116" s="211" t="s">
        <v>222</v>
      </c>
      <c r="G116" s="212" t="s">
        <v>205</v>
      </c>
      <c r="H116" s="213">
        <v>1468.674</v>
      </c>
      <c r="I116" s="214"/>
      <c r="J116" s="215">
        <f>ROUND(I116*H116,1)</f>
        <v>0</v>
      </c>
      <c r="K116" s="211" t="s">
        <v>206</v>
      </c>
      <c r="L116" s="46"/>
      <c r="M116" s="216" t="s">
        <v>32</v>
      </c>
      <c r="N116" s="217" t="s">
        <v>49</v>
      </c>
      <c r="O116" s="86"/>
      <c r="P116" s="218">
        <f>O116*H116</f>
        <v>0</v>
      </c>
      <c r="Q116" s="218">
        <v>0</v>
      </c>
      <c r="R116" s="218">
        <f>Q116*H116</f>
        <v>0</v>
      </c>
      <c r="S116" s="218">
        <v>0</v>
      </c>
      <c r="T116" s="219">
        <f>S116*H116</f>
        <v>0</v>
      </c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0" t="s">
        <v>207</v>
      </c>
      <c r="AT116" s="220" t="s">
        <v>202</v>
      </c>
      <c r="AU116" s="220" t="s">
        <v>88</v>
      </c>
      <c r="AY116" s="18" t="s">
        <v>200</v>
      </c>
      <c r="BE116" s="221">
        <f>IF(N116="základní",J116,0)</f>
        <v>0</v>
      </c>
      <c r="BF116" s="221">
        <f>IF(N116="snížená",J116,0)</f>
        <v>0</v>
      </c>
      <c r="BG116" s="221">
        <f>IF(N116="zákl. přenesená",J116,0)</f>
        <v>0</v>
      </c>
      <c r="BH116" s="221">
        <f>IF(N116="sníž. přenesená",J116,0)</f>
        <v>0</v>
      </c>
      <c r="BI116" s="221">
        <f>IF(N116="nulová",J116,0)</f>
        <v>0</v>
      </c>
      <c r="BJ116" s="18" t="s">
        <v>86</v>
      </c>
      <c r="BK116" s="221">
        <f>ROUND(I116*H116,1)</f>
        <v>0</v>
      </c>
      <c r="BL116" s="18" t="s">
        <v>207</v>
      </c>
      <c r="BM116" s="220" t="s">
        <v>223</v>
      </c>
    </row>
    <row r="117" s="2" customFormat="1">
      <c r="A117" s="40"/>
      <c r="B117" s="41"/>
      <c r="C117" s="42"/>
      <c r="D117" s="222" t="s">
        <v>209</v>
      </c>
      <c r="E117" s="42"/>
      <c r="F117" s="223" t="s">
        <v>224</v>
      </c>
      <c r="G117" s="42"/>
      <c r="H117" s="42"/>
      <c r="I117" s="224"/>
      <c r="J117" s="42"/>
      <c r="K117" s="42"/>
      <c r="L117" s="46"/>
      <c r="M117" s="225"/>
      <c r="N117" s="226"/>
      <c r="O117" s="86"/>
      <c r="P117" s="86"/>
      <c r="Q117" s="86"/>
      <c r="R117" s="86"/>
      <c r="S117" s="86"/>
      <c r="T117" s="87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8" t="s">
        <v>209</v>
      </c>
      <c r="AU117" s="18" t="s">
        <v>88</v>
      </c>
    </row>
    <row r="118" s="15" customFormat="1">
      <c r="A118" s="15"/>
      <c r="B118" s="250"/>
      <c r="C118" s="251"/>
      <c r="D118" s="229" t="s">
        <v>211</v>
      </c>
      <c r="E118" s="252" t="s">
        <v>32</v>
      </c>
      <c r="F118" s="253" t="s">
        <v>225</v>
      </c>
      <c r="G118" s="251"/>
      <c r="H118" s="252" t="s">
        <v>32</v>
      </c>
      <c r="I118" s="254"/>
      <c r="J118" s="251"/>
      <c r="K118" s="251"/>
      <c r="L118" s="255"/>
      <c r="M118" s="256"/>
      <c r="N118" s="257"/>
      <c r="O118" s="257"/>
      <c r="P118" s="257"/>
      <c r="Q118" s="257"/>
      <c r="R118" s="257"/>
      <c r="S118" s="257"/>
      <c r="T118" s="25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T118" s="259" t="s">
        <v>211</v>
      </c>
      <c r="AU118" s="259" t="s">
        <v>88</v>
      </c>
      <c r="AV118" s="15" t="s">
        <v>86</v>
      </c>
      <c r="AW118" s="15" t="s">
        <v>213</v>
      </c>
      <c r="AX118" s="15" t="s">
        <v>78</v>
      </c>
      <c r="AY118" s="259" t="s">
        <v>200</v>
      </c>
    </row>
    <row r="119" s="13" customFormat="1">
      <c r="A119" s="13"/>
      <c r="B119" s="227"/>
      <c r="C119" s="228"/>
      <c r="D119" s="229" t="s">
        <v>211</v>
      </c>
      <c r="E119" s="230" t="s">
        <v>32</v>
      </c>
      <c r="F119" s="231" t="s">
        <v>226</v>
      </c>
      <c r="G119" s="228"/>
      <c r="H119" s="232">
        <v>1468.674</v>
      </c>
      <c r="I119" s="233"/>
      <c r="J119" s="228"/>
      <c r="K119" s="228"/>
      <c r="L119" s="234"/>
      <c r="M119" s="235"/>
      <c r="N119" s="236"/>
      <c r="O119" s="236"/>
      <c r="P119" s="236"/>
      <c r="Q119" s="236"/>
      <c r="R119" s="236"/>
      <c r="S119" s="236"/>
      <c r="T119" s="237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T119" s="238" t="s">
        <v>211</v>
      </c>
      <c r="AU119" s="238" t="s">
        <v>88</v>
      </c>
      <c r="AV119" s="13" t="s">
        <v>88</v>
      </c>
      <c r="AW119" s="13" t="s">
        <v>213</v>
      </c>
      <c r="AX119" s="13" t="s">
        <v>86</v>
      </c>
      <c r="AY119" s="238" t="s">
        <v>200</v>
      </c>
    </row>
    <row r="120" s="2" customFormat="1" ht="37.8" customHeight="1">
      <c r="A120" s="40"/>
      <c r="B120" s="41"/>
      <c r="C120" s="209" t="s">
        <v>207</v>
      </c>
      <c r="D120" s="209" t="s">
        <v>202</v>
      </c>
      <c r="E120" s="210" t="s">
        <v>227</v>
      </c>
      <c r="F120" s="211" t="s">
        <v>228</v>
      </c>
      <c r="G120" s="212" t="s">
        <v>205</v>
      </c>
      <c r="H120" s="213">
        <v>949.99199999999996</v>
      </c>
      <c r="I120" s="214"/>
      <c r="J120" s="215">
        <f>ROUND(I120*H120,1)</f>
        <v>0</v>
      </c>
      <c r="K120" s="211" t="s">
        <v>206</v>
      </c>
      <c r="L120" s="46"/>
      <c r="M120" s="216" t="s">
        <v>32</v>
      </c>
      <c r="N120" s="217" t="s">
        <v>49</v>
      </c>
      <c r="O120" s="86"/>
      <c r="P120" s="218">
        <f>O120*H120</f>
        <v>0</v>
      </c>
      <c r="Q120" s="218">
        <v>0</v>
      </c>
      <c r="R120" s="218">
        <f>Q120*H120</f>
        <v>0</v>
      </c>
      <c r="S120" s="218">
        <v>0</v>
      </c>
      <c r="T120" s="219">
        <f>S120*H120</f>
        <v>0</v>
      </c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0" t="s">
        <v>207</v>
      </c>
      <c r="AT120" s="220" t="s">
        <v>202</v>
      </c>
      <c r="AU120" s="220" t="s">
        <v>88</v>
      </c>
      <c r="AY120" s="18" t="s">
        <v>200</v>
      </c>
      <c r="BE120" s="221">
        <f>IF(N120="základní",J120,0)</f>
        <v>0</v>
      </c>
      <c r="BF120" s="221">
        <f>IF(N120="snížená",J120,0)</f>
        <v>0</v>
      </c>
      <c r="BG120" s="221">
        <f>IF(N120="zákl. přenesená",J120,0)</f>
        <v>0</v>
      </c>
      <c r="BH120" s="221">
        <f>IF(N120="sníž. přenesená",J120,0)</f>
        <v>0</v>
      </c>
      <c r="BI120" s="221">
        <f>IF(N120="nulová",J120,0)</f>
        <v>0</v>
      </c>
      <c r="BJ120" s="18" t="s">
        <v>86</v>
      </c>
      <c r="BK120" s="221">
        <f>ROUND(I120*H120,1)</f>
        <v>0</v>
      </c>
      <c r="BL120" s="18" t="s">
        <v>207</v>
      </c>
      <c r="BM120" s="220" t="s">
        <v>229</v>
      </c>
    </row>
    <row r="121" s="2" customFormat="1">
      <c r="A121" s="40"/>
      <c r="B121" s="41"/>
      <c r="C121" s="42"/>
      <c r="D121" s="222" t="s">
        <v>209</v>
      </c>
      <c r="E121" s="42"/>
      <c r="F121" s="223" t="s">
        <v>230</v>
      </c>
      <c r="G121" s="42"/>
      <c r="H121" s="42"/>
      <c r="I121" s="224"/>
      <c r="J121" s="42"/>
      <c r="K121" s="42"/>
      <c r="L121" s="46"/>
      <c r="M121" s="225"/>
      <c r="N121" s="226"/>
      <c r="O121" s="86"/>
      <c r="P121" s="86"/>
      <c r="Q121" s="86"/>
      <c r="R121" s="86"/>
      <c r="S121" s="86"/>
      <c r="T121" s="87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8" t="s">
        <v>209</v>
      </c>
      <c r="AU121" s="18" t="s">
        <v>88</v>
      </c>
    </row>
    <row r="122" s="13" customFormat="1">
      <c r="A122" s="13"/>
      <c r="B122" s="227"/>
      <c r="C122" s="228"/>
      <c r="D122" s="229" t="s">
        <v>211</v>
      </c>
      <c r="E122" s="230" t="s">
        <v>32</v>
      </c>
      <c r="F122" s="231" t="s">
        <v>231</v>
      </c>
      <c r="G122" s="228"/>
      <c r="H122" s="232">
        <v>1609.56</v>
      </c>
      <c r="I122" s="233"/>
      <c r="J122" s="228"/>
      <c r="K122" s="228"/>
      <c r="L122" s="234"/>
      <c r="M122" s="235"/>
      <c r="N122" s="236"/>
      <c r="O122" s="236"/>
      <c r="P122" s="236"/>
      <c r="Q122" s="236"/>
      <c r="R122" s="236"/>
      <c r="S122" s="236"/>
      <c r="T122" s="237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T122" s="238" t="s">
        <v>211</v>
      </c>
      <c r="AU122" s="238" t="s">
        <v>88</v>
      </c>
      <c r="AV122" s="13" t="s">
        <v>88</v>
      </c>
      <c r="AW122" s="13" t="s">
        <v>213</v>
      </c>
      <c r="AX122" s="13" t="s">
        <v>78</v>
      </c>
      <c r="AY122" s="238" t="s">
        <v>200</v>
      </c>
    </row>
    <row r="123" s="13" customFormat="1">
      <c r="A123" s="13"/>
      <c r="B123" s="227"/>
      <c r="C123" s="228"/>
      <c r="D123" s="229" t="s">
        <v>211</v>
      </c>
      <c r="E123" s="230" t="s">
        <v>32</v>
      </c>
      <c r="F123" s="231" t="s">
        <v>232</v>
      </c>
      <c r="G123" s="228"/>
      <c r="H123" s="232">
        <v>74.768648518380601</v>
      </c>
      <c r="I123" s="233"/>
      <c r="J123" s="228"/>
      <c r="K123" s="228"/>
      <c r="L123" s="234"/>
      <c r="M123" s="235"/>
      <c r="N123" s="236"/>
      <c r="O123" s="236"/>
      <c r="P123" s="236"/>
      <c r="Q123" s="236"/>
      <c r="R123" s="236"/>
      <c r="S123" s="236"/>
      <c r="T123" s="237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T123" s="238" t="s">
        <v>211</v>
      </c>
      <c r="AU123" s="238" t="s">
        <v>88</v>
      </c>
      <c r="AV123" s="13" t="s">
        <v>88</v>
      </c>
      <c r="AW123" s="13" t="s">
        <v>213</v>
      </c>
      <c r="AX123" s="13" t="s">
        <v>78</v>
      </c>
      <c r="AY123" s="238" t="s">
        <v>200</v>
      </c>
    </row>
    <row r="124" s="13" customFormat="1">
      <c r="A124" s="13"/>
      <c r="B124" s="227"/>
      <c r="C124" s="228"/>
      <c r="D124" s="229" t="s">
        <v>211</v>
      </c>
      <c r="E124" s="230" t="s">
        <v>32</v>
      </c>
      <c r="F124" s="231" t="s">
        <v>233</v>
      </c>
      <c r="G124" s="228"/>
      <c r="H124" s="232">
        <v>-734.33699999999999</v>
      </c>
      <c r="I124" s="233"/>
      <c r="J124" s="228"/>
      <c r="K124" s="228"/>
      <c r="L124" s="234"/>
      <c r="M124" s="235"/>
      <c r="N124" s="236"/>
      <c r="O124" s="236"/>
      <c r="P124" s="236"/>
      <c r="Q124" s="236"/>
      <c r="R124" s="236"/>
      <c r="S124" s="236"/>
      <c r="T124" s="237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T124" s="238" t="s">
        <v>211</v>
      </c>
      <c r="AU124" s="238" t="s">
        <v>88</v>
      </c>
      <c r="AV124" s="13" t="s">
        <v>88</v>
      </c>
      <c r="AW124" s="13" t="s">
        <v>213</v>
      </c>
      <c r="AX124" s="13" t="s">
        <v>78</v>
      </c>
      <c r="AY124" s="238" t="s">
        <v>200</v>
      </c>
    </row>
    <row r="125" s="14" customFormat="1">
      <c r="A125" s="14"/>
      <c r="B125" s="239"/>
      <c r="C125" s="240"/>
      <c r="D125" s="229" t="s">
        <v>211</v>
      </c>
      <c r="E125" s="241" t="s">
        <v>32</v>
      </c>
      <c r="F125" s="242" t="s">
        <v>220</v>
      </c>
      <c r="G125" s="240"/>
      <c r="H125" s="243">
        <v>949.991648518381</v>
      </c>
      <c r="I125" s="244"/>
      <c r="J125" s="240"/>
      <c r="K125" s="240"/>
      <c r="L125" s="245"/>
      <c r="M125" s="246"/>
      <c r="N125" s="247"/>
      <c r="O125" s="247"/>
      <c r="P125" s="247"/>
      <c r="Q125" s="247"/>
      <c r="R125" s="247"/>
      <c r="S125" s="247"/>
      <c r="T125" s="248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T125" s="249" t="s">
        <v>211</v>
      </c>
      <c r="AU125" s="249" t="s">
        <v>88</v>
      </c>
      <c r="AV125" s="14" t="s">
        <v>207</v>
      </c>
      <c r="AW125" s="14" t="s">
        <v>213</v>
      </c>
      <c r="AX125" s="14" t="s">
        <v>86</v>
      </c>
      <c r="AY125" s="249" t="s">
        <v>200</v>
      </c>
    </row>
    <row r="126" s="2" customFormat="1" ht="37.8" customHeight="1">
      <c r="A126" s="40"/>
      <c r="B126" s="41"/>
      <c r="C126" s="209" t="s">
        <v>234</v>
      </c>
      <c r="D126" s="209" t="s">
        <v>202</v>
      </c>
      <c r="E126" s="210" t="s">
        <v>235</v>
      </c>
      <c r="F126" s="211" t="s">
        <v>236</v>
      </c>
      <c r="G126" s="212" t="s">
        <v>205</v>
      </c>
      <c r="H126" s="213">
        <v>9499.9200000000001</v>
      </c>
      <c r="I126" s="214"/>
      <c r="J126" s="215">
        <f>ROUND(I126*H126,1)</f>
        <v>0</v>
      </c>
      <c r="K126" s="211" t="s">
        <v>206</v>
      </c>
      <c r="L126" s="46"/>
      <c r="M126" s="216" t="s">
        <v>32</v>
      </c>
      <c r="N126" s="217" t="s">
        <v>49</v>
      </c>
      <c r="O126" s="86"/>
      <c r="P126" s="218">
        <f>O126*H126</f>
        <v>0</v>
      </c>
      <c r="Q126" s="218">
        <v>0</v>
      </c>
      <c r="R126" s="218">
        <f>Q126*H126</f>
        <v>0</v>
      </c>
      <c r="S126" s="218">
        <v>0</v>
      </c>
      <c r="T126" s="219">
        <f>S126*H126</f>
        <v>0</v>
      </c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R126" s="220" t="s">
        <v>207</v>
      </c>
      <c r="AT126" s="220" t="s">
        <v>202</v>
      </c>
      <c r="AU126" s="220" t="s">
        <v>88</v>
      </c>
      <c r="AY126" s="18" t="s">
        <v>200</v>
      </c>
      <c r="BE126" s="221">
        <f>IF(N126="základní",J126,0)</f>
        <v>0</v>
      </c>
      <c r="BF126" s="221">
        <f>IF(N126="snížená",J126,0)</f>
        <v>0</v>
      </c>
      <c r="BG126" s="221">
        <f>IF(N126="zákl. přenesená",J126,0)</f>
        <v>0</v>
      </c>
      <c r="BH126" s="221">
        <f>IF(N126="sníž. přenesená",J126,0)</f>
        <v>0</v>
      </c>
      <c r="BI126" s="221">
        <f>IF(N126="nulová",J126,0)</f>
        <v>0</v>
      </c>
      <c r="BJ126" s="18" t="s">
        <v>86</v>
      </c>
      <c r="BK126" s="221">
        <f>ROUND(I126*H126,1)</f>
        <v>0</v>
      </c>
      <c r="BL126" s="18" t="s">
        <v>207</v>
      </c>
      <c r="BM126" s="220" t="s">
        <v>237</v>
      </c>
    </row>
    <row r="127" s="2" customFormat="1">
      <c r="A127" s="40"/>
      <c r="B127" s="41"/>
      <c r="C127" s="42"/>
      <c r="D127" s="222" t="s">
        <v>209</v>
      </c>
      <c r="E127" s="42"/>
      <c r="F127" s="223" t="s">
        <v>238</v>
      </c>
      <c r="G127" s="42"/>
      <c r="H127" s="42"/>
      <c r="I127" s="224"/>
      <c r="J127" s="42"/>
      <c r="K127" s="42"/>
      <c r="L127" s="46"/>
      <c r="M127" s="225"/>
      <c r="N127" s="226"/>
      <c r="O127" s="86"/>
      <c r="P127" s="86"/>
      <c r="Q127" s="86"/>
      <c r="R127" s="86"/>
      <c r="S127" s="86"/>
      <c r="T127" s="87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T127" s="18" t="s">
        <v>209</v>
      </c>
      <c r="AU127" s="18" t="s">
        <v>88</v>
      </c>
    </row>
    <row r="128" s="13" customFormat="1">
      <c r="A128" s="13"/>
      <c r="B128" s="227"/>
      <c r="C128" s="228"/>
      <c r="D128" s="229" t="s">
        <v>211</v>
      </c>
      <c r="E128" s="230" t="s">
        <v>32</v>
      </c>
      <c r="F128" s="231" t="s">
        <v>239</v>
      </c>
      <c r="G128" s="228"/>
      <c r="H128" s="232">
        <v>949.99199999999996</v>
      </c>
      <c r="I128" s="233"/>
      <c r="J128" s="228"/>
      <c r="K128" s="228"/>
      <c r="L128" s="234"/>
      <c r="M128" s="235"/>
      <c r="N128" s="236"/>
      <c r="O128" s="236"/>
      <c r="P128" s="236"/>
      <c r="Q128" s="236"/>
      <c r="R128" s="236"/>
      <c r="S128" s="236"/>
      <c r="T128" s="237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38" t="s">
        <v>211</v>
      </c>
      <c r="AU128" s="238" t="s">
        <v>88</v>
      </c>
      <c r="AV128" s="13" t="s">
        <v>88</v>
      </c>
      <c r="AW128" s="13" t="s">
        <v>213</v>
      </c>
      <c r="AX128" s="13" t="s">
        <v>86</v>
      </c>
      <c r="AY128" s="238" t="s">
        <v>200</v>
      </c>
    </row>
    <row r="129" s="13" customFormat="1">
      <c r="A129" s="13"/>
      <c r="B129" s="227"/>
      <c r="C129" s="228"/>
      <c r="D129" s="229" t="s">
        <v>211</v>
      </c>
      <c r="E129" s="228"/>
      <c r="F129" s="231" t="s">
        <v>240</v>
      </c>
      <c r="G129" s="228"/>
      <c r="H129" s="232">
        <v>9499.9200000000001</v>
      </c>
      <c r="I129" s="233"/>
      <c r="J129" s="228"/>
      <c r="K129" s="228"/>
      <c r="L129" s="234"/>
      <c r="M129" s="235"/>
      <c r="N129" s="236"/>
      <c r="O129" s="236"/>
      <c r="P129" s="236"/>
      <c r="Q129" s="236"/>
      <c r="R129" s="236"/>
      <c r="S129" s="236"/>
      <c r="T129" s="237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38" t="s">
        <v>211</v>
      </c>
      <c r="AU129" s="238" t="s">
        <v>88</v>
      </c>
      <c r="AV129" s="13" t="s">
        <v>88</v>
      </c>
      <c r="AW129" s="13" t="s">
        <v>4</v>
      </c>
      <c r="AX129" s="13" t="s">
        <v>86</v>
      </c>
      <c r="AY129" s="238" t="s">
        <v>200</v>
      </c>
    </row>
    <row r="130" s="2" customFormat="1" ht="24.15" customHeight="1">
      <c r="A130" s="40"/>
      <c r="B130" s="41"/>
      <c r="C130" s="209" t="s">
        <v>241</v>
      </c>
      <c r="D130" s="209" t="s">
        <v>202</v>
      </c>
      <c r="E130" s="210" t="s">
        <v>242</v>
      </c>
      <c r="F130" s="211" t="s">
        <v>243</v>
      </c>
      <c r="G130" s="212" t="s">
        <v>205</v>
      </c>
      <c r="H130" s="213">
        <v>734.33699999999999</v>
      </c>
      <c r="I130" s="214"/>
      <c r="J130" s="215">
        <f>ROUND(I130*H130,1)</f>
        <v>0</v>
      </c>
      <c r="K130" s="211" t="s">
        <v>206</v>
      </c>
      <c r="L130" s="46"/>
      <c r="M130" s="216" t="s">
        <v>32</v>
      </c>
      <c r="N130" s="217" t="s">
        <v>49</v>
      </c>
      <c r="O130" s="86"/>
      <c r="P130" s="218">
        <f>O130*H130</f>
        <v>0</v>
      </c>
      <c r="Q130" s="218">
        <v>0</v>
      </c>
      <c r="R130" s="218">
        <f>Q130*H130</f>
        <v>0</v>
      </c>
      <c r="S130" s="218">
        <v>0</v>
      </c>
      <c r="T130" s="219">
        <f>S130*H130</f>
        <v>0</v>
      </c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0" t="s">
        <v>207</v>
      </c>
      <c r="AT130" s="220" t="s">
        <v>202</v>
      </c>
      <c r="AU130" s="220" t="s">
        <v>88</v>
      </c>
      <c r="AY130" s="18" t="s">
        <v>200</v>
      </c>
      <c r="BE130" s="221">
        <f>IF(N130="základní",J130,0)</f>
        <v>0</v>
      </c>
      <c r="BF130" s="221">
        <f>IF(N130="snížená",J130,0)</f>
        <v>0</v>
      </c>
      <c r="BG130" s="221">
        <f>IF(N130="zákl. přenesená",J130,0)</f>
        <v>0</v>
      </c>
      <c r="BH130" s="221">
        <f>IF(N130="sníž. přenesená",J130,0)</f>
        <v>0</v>
      </c>
      <c r="BI130" s="221">
        <f>IF(N130="nulová",J130,0)</f>
        <v>0</v>
      </c>
      <c r="BJ130" s="18" t="s">
        <v>86</v>
      </c>
      <c r="BK130" s="221">
        <f>ROUND(I130*H130,1)</f>
        <v>0</v>
      </c>
      <c r="BL130" s="18" t="s">
        <v>207</v>
      </c>
      <c r="BM130" s="220" t="s">
        <v>244</v>
      </c>
    </row>
    <row r="131" s="2" customFormat="1">
      <c r="A131" s="40"/>
      <c r="B131" s="41"/>
      <c r="C131" s="42"/>
      <c r="D131" s="222" t="s">
        <v>209</v>
      </c>
      <c r="E131" s="42"/>
      <c r="F131" s="223" t="s">
        <v>245</v>
      </c>
      <c r="G131" s="42"/>
      <c r="H131" s="42"/>
      <c r="I131" s="224"/>
      <c r="J131" s="42"/>
      <c r="K131" s="42"/>
      <c r="L131" s="46"/>
      <c r="M131" s="225"/>
      <c r="N131" s="226"/>
      <c r="O131" s="86"/>
      <c r="P131" s="86"/>
      <c r="Q131" s="86"/>
      <c r="R131" s="86"/>
      <c r="S131" s="86"/>
      <c r="T131" s="87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T131" s="18" t="s">
        <v>209</v>
      </c>
      <c r="AU131" s="18" t="s">
        <v>88</v>
      </c>
    </row>
    <row r="132" s="13" customFormat="1">
      <c r="A132" s="13"/>
      <c r="B132" s="227"/>
      <c r="C132" s="228"/>
      <c r="D132" s="229" t="s">
        <v>211</v>
      </c>
      <c r="E132" s="230" t="s">
        <v>32</v>
      </c>
      <c r="F132" s="231" t="s">
        <v>246</v>
      </c>
      <c r="G132" s="228"/>
      <c r="H132" s="232">
        <v>734.33699999999999</v>
      </c>
      <c r="I132" s="233"/>
      <c r="J132" s="228"/>
      <c r="K132" s="228"/>
      <c r="L132" s="234"/>
      <c r="M132" s="235"/>
      <c r="N132" s="236"/>
      <c r="O132" s="236"/>
      <c r="P132" s="236"/>
      <c r="Q132" s="236"/>
      <c r="R132" s="236"/>
      <c r="S132" s="236"/>
      <c r="T132" s="237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T132" s="238" t="s">
        <v>211</v>
      </c>
      <c r="AU132" s="238" t="s">
        <v>88</v>
      </c>
      <c r="AV132" s="13" t="s">
        <v>88</v>
      </c>
      <c r="AW132" s="13" t="s">
        <v>213</v>
      </c>
      <c r="AX132" s="13" t="s">
        <v>86</v>
      </c>
      <c r="AY132" s="238" t="s">
        <v>200</v>
      </c>
    </row>
    <row r="133" s="2" customFormat="1" ht="24.15" customHeight="1">
      <c r="A133" s="40"/>
      <c r="B133" s="41"/>
      <c r="C133" s="209" t="s">
        <v>247</v>
      </c>
      <c r="D133" s="209" t="s">
        <v>202</v>
      </c>
      <c r="E133" s="210" t="s">
        <v>248</v>
      </c>
      <c r="F133" s="211" t="s">
        <v>249</v>
      </c>
      <c r="G133" s="212" t="s">
        <v>250</v>
      </c>
      <c r="H133" s="213">
        <v>1757.4849999999999</v>
      </c>
      <c r="I133" s="214"/>
      <c r="J133" s="215">
        <f>ROUND(I133*H133,1)</f>
        <v>0</v>
      </c>
      <c r="K133" s="211" t="s">
        <v>206</v>
      </c>
      <c r="L133" s="46"/>
      <c r="M133" s="216" t="s">
        <v>32</v>
      </c>
      <c r="N133" s="217" t="s">
        <v>49</v>
      </c>
      <c r="O133" s="86"/>
      <c r="P133" s="218">
        <f>O133*H133</f>
        <v>0</v>
      </c>
      <c r="Q133" s="218">
        <v>0</v>
      </c>
      <c r="R133" s="218">
        <f>Q133*H133</f>
        <v>0</v>
      </c>
      <c r="S133" s="218">
        <v>0</v>
      </c>
      <c r="T133" s="219">
        <f>S133*H133</f>
        <v>0</v>
      </c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0" t="s">
        <v>207</v>
      </c>
      <c r="AT133" s="220" t="s">
        <v>202</v>
      </c>
      <c r="AU133" s="220" t="s">
        <v>88</v>
      </c>
      <c r="AY133" s="18" t="s">
        <v>200</v>
      </c>
      <c r="BE133" s="221">
        <f>IF(N133="základní",J133,0)</f>
        <v>0</v>
      </c>
      <c r="BF133" s="221">
        <f>IF(N133="snížená",J133,0)</f>
        <v>0</v>
      </c>
      <c r="BG133" s="221">
        <f>IF(N133="zákl. přenesená",J133,0)</f>
        <v>0</v>
      </c>
      <c r="BH133" s="221">
        <f>IF(N133="sníž. přenesená",J133,0)</f>
        <v>0</v>
      </c>
      <c r="BI133" s="221">
        <f>IF(N133="nulová",J133,0)</f>
        <v>0</v>
      </c>
      <c r="BJ133" s="18" t="s">
        <v>86</v>
      </c>
      <c r="BK133" s="221">
        <f>ROUND(I133*H133,1)</f>
        <v>0</v>
      </c>
      <c r="BL133" s="18" t="s">
        <v>207</v>
      </c>
      <c r="BM133" s="220" t="s">
        <v>251</v>
      </c>
    </row>
    <row r="134" s="2" customFormat="1">
      <c r="A134" s="40"/>
      <c r="B134" s="41"/>
      <c r="C134" s="42"/>
      <c r="D134" s="222" t="s">
        <v>209</v>
      </c>
      <c r="E134" s="42"/>
      <c r="F134" s="223" t="s">
        <v>252</v>
      </c>
      <c r="G134" s="42"/>
      <c r="H134" s="42"/>
      <c r="I134" s="224"/>
      <c r="J134" s="42"/>
      <c r="K134" s="42"/>
      <c r="L134" s="46"/>
      <c r="M134" s="225"/>
      <c r="N134" s="226"/>
      <c r="O134" s="86"/>
      <c r="P134" s="86"/>
      <c r="Q134" s="86"/>
      <c r="R134" s="86"/>
      <c r="S134" s="86"/>
      <c r="T134" s="87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T134" s="18" t="s">
        <v>209</v>
      </c>
      <c r="AU134" s="18" t="s">
        <v>88</v>
      </c>
    </row>
    <row r="135" s="13" customFormat="1">
      <c r="A135" s="13"/>
      <c r="B135" s="227"/>
      <c r="C135" s="228"/>
      <c r="D135" s="229" t="s">
        <v>211</v>
      </c>
      <c r="E135" s="230" t="s">
        <v>32</v>
      </c>
      <c r="F135" s="231" t="s">
        <v>253</v>
      </c>
      <c r="G135" s="228"/>
      <c r="H135" s="232">
        <v>1757.4852000000001</v>
      </c>
      <c r="I135" s="233"/>
      <c r="J135" s="228"/>
      <c r="K135" s="228"/>
      <c r="L135" s="234"/>
      <c r="M135" s="235"/>
      <c r="N135" s="236"/>
      <c r="O135" s="236"/>
      <c r="P135" s="236"/>
      <c r="Q135" s="236"/>
      <c r="R135" s="236"/>
      <c r="S135" s="236"/>
      <c r="T135" s="237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38" t="s">
        <v>211</v>
      </c>
      <c r="AU135" s="238" t="s">
        <v>88</v>
      </c>
      <c r="AV135" s="13" t="s">
        <v>88</v>
      </c>
      <c r="AW135" s="13" t="s">
        <v>213</v>
      </c>
      <c r="AX135" s="13" t="s">
        <v>86</v>
      </c>
      <c r="AY135" s="238" t="s">
        <v>200</v>
      </c>
    </row>
    <row r="136" s="2" customFormat="1" ht="24.15" customHeight="1">
      <c r="A136" s="40"/>
      <c r="B136" s="41"/>
      <c r="C136" s="209" t="s">
        <v>254</v>
      </c>
      <c r="D136" s="209" t="s">
        <v>202</v>
      </c>
      <c r="E136" s="210" t="s">
        <v>255</v>
      </c>
      <c r="F136" s="211" t="s">
        <v>256</v>
      </c>
      <c r="G136" s="212" t="s">
        <v>205</v>
      </c>
      <c r="H136" s="213">
        <v>188.80000000000001</v>
      </c>
      <c r="I136" s="214"/>
      <c r="J136" s="215">
        <f>ROUND(I136*H136,1)</f>
        <v>0</v>
      </c>
      <c r="K136" s="211" t="s">
        <v>206</v>
      </c>
      <c r="L136" s="46"/>
      <c r="M136" s="216" t="s">
        <v>32</v>
      </c>
      <c r="N136" s="217" t="s">
        <v>49</v>
      </c>
      <c r="O136" s="86"/>
      <c r="P136" s="218">
        <f>O136*H136</f>
        <v>0</v>
      </c>
      <c r="Q136" s="218">
        <v>0</v>
      </c>
      <c r="R136" s="218">
        <f>Q136*H136</f>
        <v>0</v>
      </c>
      <c r="S136" s="218">
        <v>0</v>
      </c>
      <c r="T136" s="219">
        <f>S136*H136</f>
        <v>0</v>
      </c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0" t="s">
        <v>207</v>
      </c>
      <c r="AT136" s="220" t="s">
        <v>202</v>
      </c>
      <c r="AU136" s="220" t="s">
        <v>88</v>
      </c>
      <c r="AY136" s="18" t="s">
        <v>200</v>
      </c>
      <c r="BE136" s="221">
        <f>IF(N136="základní",J136,0)</f>
        <v>0</v>
      </c>
      <c r="BF136" s="221">
        <f>IF(N136="snížená",J136,0)</f>
        <v>0</v>
      </c>
      <c r="BG136" s="221">
        <f>IF(N136="zákl. přenesená",J136,0)</f>
        <v>0</v>
      </c>
      <c r="BH136" s="221">
        <f>IF(N136="sníž. přenesená",J136,0)</f>
        <v>0</v>
      </c>
      <c r="BI136" s="221">
        <f>IF(N136="nulová",J136,0)</f>
        <v>0</v>
      </c>
      <c r="BJ136" s="18" t="s">
        <v>86</v>
      </c>
      <c r="BK136" s="221">
        <f>ROUND(I136*H136,1)</f>
        <v>0</v>
      </c>
      <c r="BL136" s="18" t="s">
        <v>207</v>
      </c>
      <c r="BM136" s="220" t="s">
        <v>257</v>
      </c>
    </row>
    <row r="137" s="2" customFormat="1">
      <c r="A137" s="40"/>
      <c r="B137" s="41"/>
      <c r="C137" s="42"/>
      <c r="D137" s="222" t="s">
        <v>209</v>
      </c>
      <c r="E137" s="42"/>
      <c r="F137" s="223" t="s">
        <v>258</v>
      </c>
      <c r="G137" s="42"/>
      <c r="H137" s="42"/>
      <c r="I137" s="224"/>
      <c r="J137" s="42"/>
      <c r="K137" s="42"/>
      <c r="L137" s="46"/>
      <c r="M137" s="225"/>
      <c r="N137" s="226"/>
      <c r="O137" s="86"/>
      <c r="P137" s="86"/>
      <c r="Q137" s="86"/>
      <c r="R137" s="86"/>
      <c r="S137" s="86"/>
      <c r="T137" s="87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T137" s="18" t="s">
        <v>209</v>
      </c>
      <c r="AU137" s="18" t="s">
        <v>88</v>
      </c>
    </row>
    <row r="138" s="13" customFormat="1">
      <c r="A138" s="13"/>
      <c r="B138" s="227"/>
      <c r="C138" s="228"/>
      <c r="D138" s="229" t="s">
        <v>211</v>
      </c>
      <c r="E138" s="230" t="s">
        <v>32</v>
      </c>
      <c r="F138" s="231" t="s">
        <v>259</v>
      </c>
      <c r="G138" s="228"/>
      <c r="H138" s="232">
        <v>187.5</v>
      </c>
      <c r="I138" s="233"/>
      <c r="J138" s="228"/>
      <c r="K138" s="228"/>
      <c r="L138" s="234"/>
      <c r="M138" s="235"/>
      <c r="N138" s="236"/>
      <c r="O138" s="236"/>
      <c r="P138" s="236"/>
      <c r="Q138" s="236"/>
      <c r="R138" s="236"/>
      <c r="S138" s="236"/>
      <c r="T138" s="237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38" t="s">
        <v>211</v>
      </c>
      <c r="AU138" s="238" t="s">
        <v>88</v>
      </c>
      <c r="AV138" s="13" t="s">
        <v>88</v>
      </c>
      <c r="AW138" s="13" t="s">
        <v>213</v>
      </c>
      <c r="AX138" s="13" t="s">
        <v>78</v>
      </c>
      <c r="AY138" s="238" t="s">
        <v>200</v>
      </c>
    </row>
    <row r="139" s="13" customFormat="1">
      <c r="A139" s="13"/>
      <c r="B139" s="227"/>
      <c r="C139" s="228"/>
      <c r="D139" s="229" t="s">
        <v>211</v>
      </c>
      <c r="E139" s="230" t="s">
        <v>32</v>
      </c>
      <c r="F139" s="231" t="s">
        <v>260</v>
      </c>
      <c r="G139" s="228"/>
      <c r="H139" s="232">
        <v>1.3</v>
      </c>
      <c r="I139" s="233"/>
      <c r="J139" s="228"/>
      <c r="K139" s="228"/>
      <c r="L139" s="234"/>
      <c r="M139" s="235"/>
      <c r="N139" s="236"/>
      <c r="O139" s="236"/>
      <c r="P139" s="236"/>
      <c r="Q139" s="236"/>
      <c r="R139" s="236"/>
      <c r="S139" s="236"/>
      <c r="T139" s="237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38" t="s">
        <v>211</v>
      </c>
      <c r="AU139" s="238" t="s">
        <v>88</v>
      </c>
      <c r="AV139" s="13" t="s">
        <v>88</v>
      </c>
      <c r="AW139" s="13" t="s">
        <v>213</v>
      </c>
      <c r="AX139" s="13" t="s">
        <v>78</v>
      </c>
      <c r="AY139" s="238" t="s">
        <v>200</v>
      </c>
    </row>
    <row r="140" s="14" customFormat="1">
      <c r="A140" s="14"/>
      <c r="B140" s="239"/>
      <c r="C140" s="240"/>
      <c r="D140" s="229" t="s">
        <v>211</v>
      </c>
      <c r="E140" s="241" t="s">
        <v>32</v>
      </c>
      <c r="F140" s="242" t="s">
        <v>220</v>
      </c>
      <c r="G140" s="240"/>
      <c r="H140" s="243">
        <v>188.80000000000001</v>
      </c>
      <c r="I140" s="244"/>
      <c r="J140" s="240"/>
      <c r="K140" s="240"/>
      <c r="L140" s="245"/>
      <c r="M140" s="246"/>
      <c r="N140" s="247"/>
      <c r="O140" s="247"/>
      <c r="P140" s="247"/>
      <c r="Q140" s="247"/>
      <c r="R140" s="247"/>
      <c r="S140" s="247"/>
      <c r="T140" s="248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T140" s="249" t="s">
        <v>211</v>
      </c>
      <c r="AU140" s="249" t="s">
        <v>88</v>
      </c>
      <c r="AV140" s="14" t="s">
        <v>207</v>
      </c>
      <c r="AW140" s="14" t="s">
        <v>213</v>
      </c>
      <c r="AX140" s="14" t="s">
        <v>86</v>
      </c>
      <c r="AY140" s="249" t="s">
        <v>200</v>
      </c>
    </row>
    <row r="141" s="2" customFormat="1" ht="24.15" customHeight="1">
      <c r="A141" s="40"/>
      <c r="B141" s="41"/>
      <c r="C141" s="209" t="s">
        <v>261</v>
      </c>
      <c r="D141" s="209" t="s">
        <v>202</v>
      </c>
      <c r="E141" s="210" t="s">
        <v>262</v>
      </c>
      <c r="F141" s="211" t="s">
        <v>263</v>
      </c>
      <c r="G141" s="212" t="s">
        <v>205</v>
      </c>
      <c r="H141" s="213">
        <v>545.53700000000003</v>
      </c>
      <c r="I141" s="214"/>
      <c r="J141" s="215">
        <f>ROUND(I141*H141,1)</f>
        <v>0</v>
      </c>
      <c r="K141" s="211" t="s">
        <v>206</v>
      </c>
      <c r="L141" s="46"/>
      <c r="M141" s="216" t="s">
        <v>32</v>
      </c>
      <c r="N141" s="217" t="s">
        <v>49</v>
      </c>
      <c r="O141" s="86"/>
      <c r="P141" s="218">
        <f>O141*H141</f>
        <v>0</v>
      </c>
      <c r="Q141" s="218">
        <v>0</v>
      </c>
      <c r="R141" s="218">
        <f>Q141*H141</f>
        <v>0</v>
      </c>
      <c r="S141" s="218">
        <v>0</v>
      </c>
      <c r="T141" s="219">
        <f>S141*H141</f>
        <v>0</v>
      </c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0" t="s">
        <v>207</v>
      </c>
      <c r="AT141" s="220" t="s">
        <v>202</v>
      </c>
      <c r="AU141" s="220" t="s">
        <v>88</v>
      </c>
      <c r="AY141" s="18" t="s">
        <v>200</v>
      </c>
      <c r="BE141" s="221">
        <f>IF(N141="základní",J141,0)</f>
        <v>0</v>
      </c>
      <c r="BF141" s="221">
        <f>IF(N141="snížená",J141,0)</f>
        <v>0</v>
      </c>
      <c r="BG141" s="221">
        <f>IF(N141="zákl. přenesená",J141,0)</f>
        <v>0</v>
      </c>
      <c r="BH141" s="221">
        <f>IF(N141="sníž. přenesená",J141,0)</f>
        <v>0</v>
      </c>
      <c r="BI141" s="221">
        <f>IF(N141="nulová",J141,0)</f>
        <v>0</v>
      </c>
      <c r="BJ141" s="18" t="s">
        <v>86</v>
      </c>
      <c r="BK141" s="221">
        <f>ROUND(I141*H141,1)</f>
        <v>0</v>
      </c>
      <c r="BL141" s="18" t="s">
        <v>207</v>
      </c>
      <c r="BM141" s="220" t="s">
        <v>264</v>
      </c>
    </row>
    <row r="142" s="2" customFormat="1">
      <c r="A142" s="40"/>
      <c r="B142" s="41"/>
      <c r="C142" s="42"/>
      <c r="D142" s="222" t="s">
        <v>209</v>
      </c>
      <c r="E142" s="42"/>
      <c r="F142" s="223" t="s">
        <v>265</v>
      </c>
      <c r="G142" s="42"/>
      <c r="H142" s="42"/>
      <c r="I142" s="224"/>
      <c r="J142" s="42"/>
      <c r="K142" s="42"/>
      <c r="L142" s="46"/>
      <c r="M142" s="225"/>
      <c r="N142" s="226"/>
      <c r="O142" s="86"/>
      <c r="P142" s="86"/>
      <c r="Q142" s="86"/>
      <c r="R142" s="86"/>
      <c r="S142" s="86"/>
      <c r="T142" s="87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8" t="s">
        <v>209</v>
      </c>
      <c r="AU142" s="18" t="s">
        <v>88</v>
      </c>
    </row>
    <row r="143" s="15" customFormat="1">
      <c r="A143" s="15"/>
      <c r="B143" s="250"/>
      <c r="C143" s="251"/>
      <c r="D143" s="229" t="s">
        <v>211</v>
      </c>
      <c r="E143" s="252" t="s">
        <v>32</v>
      </c>
      <c r="F143" s="253" t="s">
        <v>266</v>
      </c>
      <c r="G143" s="251"/>
      <c r="H143" s="252" t="s">
        <v>32</v>
      </c>
      <c r="I143" s="254"/>
      <c r="J143" s="251"/>
      <c r="K143" s="251"/>
      <c r="L143" s="255"/>
      <c r="M143" s="256"/>
      <c r="N143" s="257"/>
      <c r="O143" s="257"/>
      <c r="P143" s="257"/>
      <c r="Q143" s="257"/>
      <c r="R143" s="257"/>
      <c r="S143" s="257"/>
      <c r="T143" s="25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T143" s="259" t="s">
        <v>211</v>
      </c>
      <c r="AU143" s="259" t="s">
        <v>88</v>
      </c>
      <c r="AV143" s="15" t="s">
        <v>86</v>
      </c>
      <c r="AW143" s="15" t="s">
        <v>213</v>
      </c>
      <c r="AX143" s="15" t="s">
        <v>78</v>
      </c>
      <c r="AY143" s="259" t="s">
        <v>200</v>
      </c>
    </row>
    <row r="144" s="13" customFormat="1">
      <c r="A144" s="13"/>
      <c r="B144" s="227"/>
      <c r="C144" s="228"/>
      <c r="D144" s="229" t="s">
        <v>211</v>
      </c>
      <c r="E144" s="230" t="s">
        <v>32</v>
      </c>
      <c r="F144" s="231" t="s">
        <v>267</v>
      </c>
      <c r="G144" s="228"/>
      <c r="H144" s="232">
        <v>274.98149999999998</v>
      </c>
      <c r="I144" s="233"/>
      <c r="J144" s="228"/>
      <c r="K144" s="228"/>
      <c r="L144" s="234"/>
      <c r="M144" s="235"/>
      <c r="N144" s="236"/>
      <c r="O144" s="236"/>
      <c r="P144" s="236"/>
      <c r="Q144" s="236"/>
      <c r="R144" s="236"/>
      <c r="S144" s="236"/>
      <c r="T144" s="237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38" t="s">
        <v>211</v>
      </c>
      <c r="AU144" s="238" t="s">
        <v>88</v>
      </c>
      <c r="AV144" s="13" t="s">
        <v>88</v>
      </c>
      <c r="AW144" s="13" t="s">
        <v>213</v>
      </c>
      <c r="AX144" s="13" t="s">
        <v>78</v>
      </c>
      <c r="AY144" s="238" t="s">
        <v>200</v>
      </c>
    </row>
    <row r="145" s="13" customFormat="1">
      <c r="A145" s="13"/>
      <c r="B145" s="227"/>
      <c r="C145" s="228"/>
      <c r="D145" s="229" t="s">
        <v>211</v>
      </c>
      <c r="E145" s="230" t="s">
        <v>32</v>
      </c>
      <c r="F145" s="231" t="s">
        <v>268</v>
      </c>
      <c r="G145" s="228"/>
      <c r="H145" s="232">
        <v>270.55500000000001</v>
      </c>
      <c r="I145" s="233"/>
      <c r="J145" s="228"/>
      <c r="K145" s="228"/>
      <c r="L145" s="234"/>
      <c r="M145" s="235"/>
      <c r="N145" s="236"/>
      <c r="O145" s="236"/>
      <c r="P145" s="236"/>
      <c r="Q145" s="236"/>
      <c r="R145" s="236"/>
      <c r="S145" s="236"/>
      <c r="T145" s="237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38" t="s">
        <v>211</v>
      </c>
      <c r="AU145" s="238" t="s">
        <v>88</v>
      </c>
      <c r="AV145" s="13" t="s">
        <v>88</v>
      </c>
      <c r="AW145" s="13" t="s">
        <v>213</v>
      </c>
      <c r="AX145" s="13" t="s">
        <v>78</v>
      </c>
      <c r="AY145" s="238" t="s">
        <v>200</v>
      </c>
    </row>
    <row r="146" s="14" customFormat="1">
      <c r="A146" s="14"/>
      <c r="B146" s="239"/>
      <c r="C146" s="240"/>
      <c r="D146" s="229" t="s">
        <v>211</v>
      </c>
      <c r="E146" s="241" t="s">
        <v>32</v>
      </c>
      <c r="F146" s="242" t="s">
        <v>220</v>
      </c>
      <c r="G146" s="240"/>
      <c r="H146" s="243">
        <v>545.53650000000005</v>
      </c>
      <c r="I146" s="244"/>
      <c r="J146" s="240"/>
      <c r="K146" s="240"/>
      <c r="L146" s="245"/>
      <c r="M146" s="246"/>
      <c r="N146" s="247"/>
      <c r="O146" s="247"/>
      <c r="P146" s="247"/>
      <c r="Q146" s="247"/>
      <c r="R146" s="247"/>
      <c r="S146" s="247"/>
      <c r="T146" s="248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T146" s="249" t="s">
        <v>211</v>
      </c>
      <c r="AU146" s="249" t="s">
        <v>88</v>
      </c>
      <c r="AV146" s="14" t="s">
        <v>207</v>
      </c>
      <c r="AW146" s="14" t="s">
        <v>213</v>
      </c>
      <c r="AX146" s="14" t="s">
        <v>86</v>
      </c>
      <c r="AY146" s="249" t="s">
        <v>200</v>
      </c>
    </row>
    <row r="147" s="2" customFormat="1" ht="21.75" customHeight="1">
      <c r="A147" s="40"/>
      <c r="B147" s="41"/>
      <c r="C147" s="209" t="s">
        <v>269</v>
      </c>
      <c r="D147" s="209" t="s">
        <v>202</v>
      </c>
      <c r="E147" s="210" t="s">
        <v>270</v>
      </c>
      <c r="F147" s="211" t="s">
        <v>271</v>
      </c>
      <c r="G147" s="212" t="s">
        <v>272</v>
      </c>
      <c r="H147" s="213">
        <v>628</v>
      </c>
      <c r="I147" s="214"/>
      <c r="J147" s="215">
        <f>ROUND(I147*H147,1)</f>
        <v>0</v>
      </c>
      <c r="K147" s="211" t="s">
        <v>206</v>
      </c>
      <c r="L147" s="46"/>
      <c r="M147" s="216" t="s">
        <v>32</v>
      </c>
      <c r="N147" s="217" t="s">
        <v>49</v>
      </c>
      <c r="O147" s="86"/>
      <c r="P147" s="218">
        <f>O147*H147</f>
        <v>0</v>
      </c>
      <c r="Q147" s="218">
        <v>0</v>
      </c>
      <c r="R147" s="218">
        <f>Q147*H147</f>
        <v>0</v>
      </c>
      <c r="S147" s="218">
        <v>0</v>
      </c>
      <c r="T147" s="219">
        <f>S147*H147</f>
        <v>0</v>
      </c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R147" s="220" t="s">
        <v>207</v>
      </c>
      <c r="AT147" s="220" t="s">
        <v>202</v>
      </c>
      <c r="AU147" s="220" t="s">
        <v>88</v>
      </c>
      <c r="AY147" s="18" t="s">
        <v>200</v>
      </c>
      <c r="BE147" s="221">
        <f>IF(N147="základní",J147,0)</f>
        <v>0</v>
      </c>
      <c r="BF147" s="221">
        <f>IF(N147="snížená",J147,0)</f>
        <v>0</v>
      </c>
      <c r="BG147" s="221">
        <f>IF(N147="zákl. přenesená",J147,0)</f>
        <v>0</v>
      </c>
      <c r="BH147" s="221">
        <f>IF(N147="sníž. přenesená",J147,0)</f>
        <v>0</v>
      </c>
      <c r="BI147" s="221">
        <f>IF(N147="nulová",J147,0)</f>
        <v>0</v>
      </c>
      <c r="BJ147" s="18" t="s">
        <v>86</v>
      </c>
      <c r="BK147" s="221">
        <f>ROUND(I147*H147,1)</f>
        <v>0</v>
      </c>
      <c r="BL147" s="18" t="s">
        <v>207</v>
      </c>
      <c r="BM147" s="220" t="s">
        <v>273</v>
      </c>
    </row>
    <row r="148" s="2" customFormat="1">
      <c r="A148" s="40"/>
      <c r="B148" s="41"/>
      <c r="C148" s="42"/>
      <c r="D148" s="222" t="s">
        <v>209</v>
      </c>
      <c r="E148" s="42"/>
      <c r="F148" s="223" t="s">
        <v>274</v>
      </c>
      <c r="G148" s="42"/>
      <c r="H148" s="42"/>
      <c r="I148" s="224"/>
      <c r="J148" s="42"/>
      <c r="K148" s="42"/>
      <c r="L148" s="46"/>
      <c r="M148" s="225"/>
      <c r="N148" s="226"/>
      <c r="O148" s="86"/>
      <c r="P148" s="86"/>
      <c r="Q148" s="86"/>
      <c r="R148" s="86"/>
      <c r="S148" s="86"/>
      <c r="T148" s="87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T148" s="18" t="s">
        <v>209</v>
      </c>
      <c r="AU148" s="18" t="s">
        <v>88</v>
      </c>
    </row>
    <row r="149" s="13" customFormat="1">
      <c r="A149" s="13"/>
      <c r="B149" s="227"/>
      <c r="C149" s="228"/>
      <c r="D149" s="229" t="s">
        <v>211</v>
      </c>
      <c r="E149" s="230" t="s">
        <v>32</v>
      </c>
      <c r="F149" s="231" t="s">
        <v>275</v>
      </c>
      <c r="G149" s="228"/>
      <c r="H149" s="232">
        <v>628</v>
      </c>
      <c r="I149" s="233"/>
      <c r="J149" s="228"/>
      <c r="K149" s="228"/>
      <c r="L149" s="234"/>
      <c r="M149" s="235"/>
      <c r="N149" s="236"/>
      <c r="O149" s="236"/>
      <c r="P149" s="236"/>
      <c r="Q149" s="236"/>
      <c r="R149" s="236"/>
      <c r="S149" s="236"/>
      <c r="T149" s="237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38" t="s">
        <v>211</v>
      </c>
      <c r="AU149" s="238" t="s">
        <v>88</v>
      </c>
      <c r="AV149" s="13" t="s">
        <v>88</v>
      </c>
      <c r="AW149" s="13" t="s">
        <v>213</v>
      </c>
      <c r="AX149" s="13" t="s">
        <v>86</v>
      </c>
      <c r="AY149" s="238" t="s">
        <v>200</v>
      </c>
    </row>
    <row r="150" s="12" customFormat="1" ht="22.8" customHeight="1">
      <c r="A150" s="12"/>
      <c r="B150" s="193"/>
      <c r="C150" s="194"/>
      <c r="D150" s="195" t="s">
        <v>77</v>
      </c>
      <c r="E150" s="207" t="s">
        <v>88</v>
      </c>
      <c r="F150" s="207" t="s">
        <v>276</v>
      </c>
      <c r="G150" s="194"/>
      <c r="H150" s="194"/>
      <c r="I150" s="197"/>
      <c r="J150" s="208">
        <f>BK150</f>
        <v>0</v>
      </c>
      <c r="K150" s="194"/>
      <c r="L150" s="199"/>
      <c r="M150" s="200"/>
      <c r="N150" s="201"/>
      <c r="O150" s="201"/>
      <c r="P150" s="202">
        <f>SUM(P151:P235)</f>
        <v>0</v>
      </c>
      <c r="Q150" s="201"/>
      <c r="R150" s="202">
        <f>SUM(R151:R235)</f>
        <v>879.60527239999999</v>
      </c>
      <c r="S150" s="201"/>
      <c r="T150" s="203">
        <f>SUM(T151:T235)</f>
        <v>0</v>
      </c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R150" s="204" t="s">
        <v>86</v>
      </c>
      <c r="AT150" s="205" t="s">
        <v>77</v>
      </c>
      <c r="AU150" s="205" t="s">
        <v>86</v>
      </c>
      <c r="AY150" s="204" t="s">
        <v>200</v>
      </c>
      <c r="BK150" s="206">
        <f>SUM(BK151:BK235)</f>
        <v>0</v>
      </c>
    </row>
    <row r="151" s="2" customFormat="1" ht="24.15" customHeight="1">
      <c r="A151" s="40"/>
      <c r="B151" s="41"/>
      <c r="C151" s="209" t="s">
        <v>277</v>
      </c>
      <c r="D151" s="209" t="s">
        <v>202</v>
      </c>
      <c r="E151" s="210" t="s">
        <v>278</v>
      </c>
      <c r="F151" s="211" t="s">
        <v>279</v>
      </c>
      <c r="G151" s="212" t="s">
        <v>280</v>
      </c>
      <c r="H151" s="213">
        <v>240</v>
      </c>
      <c r="I151" s="214"/>
      <c r="J151" s="215">
        <f>ROUND(I151*H151,1)</f>
        <v>0</v>
      </c>
      <c r="K151" s="211" t="s">
        <v>206</v>
      </c>
      <c r="L151" s="46"/>
      <c r="M151" s="216" t="s">
        <v>32</v>
      </c>
      <c r="N151" s="217" t="s">
        <v>49</v>
      </c>
      <c r="O151" s="86"/>
      <c r="P151" s="218">
        <f>O151*H151</f>
        <v>0</v>
      </c>
      <c r="Q151" s="218">
        <v>3.0000000000000001E-05</v>
      </c>
      <c r="R151" s="218">
        <f>Q151*H151</f>
        <v>0.0071999999999999998</v>
      </c>
      <c r="S151" s="218">
        <v>0</v>
      </c>
      <c r="T151" s="219">
        <f>S151*H151</f>
        <v>0</v>
      </c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0" t="s">
        <v>207</v>
      </c>
      <c r="AT151" s="220" t="s">
        <v>202</v>
      </c>
      <c r="AU151" s="220" t="s">
        <v>88</v>
      </c>
      <c r="AY151" s="18" t="s">
        <v>200</v>
      </c>
      <c r="BE151" s="221">
        <f>IF(N151="základní",J151,0)</f>
        <v>0</v>
      </c>
      <c r="BF151" s="221">
        <f>IF(N151="snížená",J151,0)</f>
        <v>0</v>
      </c>
      <c r="BG151" s="221">
        <f>IF(N151="zákl. přenesená",J151,0)</f>
        <v>0</v>
      </c>
      <c r="BH151" s="221">
        <f>IF(N151="sníž. přenesená",J151,0)</f>
        <v>0</v>
      </c>
      <c r="BI151" s="221">
        <f>IF(N151="nulová",J151,0)</f>
        <v>0</v>
      </c>
      <c r="BJ151" s="18" t="s">
        <v>86</v>
      </c>
      <c r="BK151" s="221">
        <f>ROUND(I151*H151,1)</f>
        <v>0</v>
      </c>
      <c r="BL151" s="18" t="s">
        <v>207</v>
      </c>
      <c r="BM151" s="220" t="s">
        <v>281</v>
      </c>
    </row>
    <row r="152" s="2" customFormat="1">
      <c r="A152" s="40"/>
      <c r="B152" s="41"/>
      <c r="C152" s="42"/>
      <c r="D152" s="222" t="s">
        <v>209</v>
      </c>
      <c r="E152" s="42"/>
      <c r="F152" s="223" t="s">
        <v>282</v>
      </c>
      <c r="G152" s="42"/>
      <c r="H152" s="42"/>
      <c r="I152" s="224"/>
      <c r="J152" s="42"/>
      <c r="K152" s="42"/>
      <c r="L152" s="46"/>
      <c r="M152" s="225"/>
      <c r="N152" s="226"/>
      <c r="O152" s="86"/>
      <c r="P152" s="86"/>
      <c r="Q152" s="86"/>
      <c r="R152" s="86"/>
      <c r="S152" s="86"/>
      <c r="T152" s="87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T152" s="18" t="s">
        <v>209</v>
      </c>
      <c r="AU152" s="18" t="s">
        <v>88</v>
      </c>
    </row>
    <row r="153" s="15" customFormat="1">
      <c r="A153" s="15"/>
      <c r="B153" s="250"/>
      <c r="C153" s="251"/>
      <c r="D153" s="229" t="s">
        <v>211</v>
      </c>
      <c r="E153" s="252" t="s">
        <v>32</v>
      </c>
      <c r="F153" s="253" t="s">
        <v>283</v>
      </c>
      <c r="G153" s="251"/>
      <c r="H153" s="252" t="s">
        <v>32</v>
      </c>
      <c r="I153" s="254"/>
      <c r="J153" s="251"/>
      <c r="K153" s="251"/>
      <c r="L153" s="255"/>
      <c r="M153" s="256"/>
      <c r="N153" s="257"/>
      <c r="O153" s="257"/>
      <c r="P153" s="257"/>
      <c r="Q153" s="257"/>
      <c r="R153" s="257"/>
      <c r="S153" s="257"/>
      <c r="T153" s="25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T153" s="259" t="s">
        <v>211</v>
      </c>
      <c r="AU153" s="259" t="s">
        <v>88</v>
      </c>
      <c r="AV153" s="15" t="s">
        <v>86</v>
      </c>
      <c r="AW153" s="15" t="s">
        <v>213</v>
      </c>
      <c r="AX153" s="15" t="s">
        <v>78</v>
      </c>
      <c r="AY153" s="259" t="s">
        <v>200</v>
      </c>
    </row>
    <row r="154" s="13" customFormat="1">
      <c r="A154" s="13"/>
      <c r="B154" s="227"/>
      <c r="C154" s="228"/>
      <c r="D154" s="229" t="s">
        <v>211</v>
      </c>
      <c r="E154" s="230" t="s">
        <v>32</v>
      </c>
      <c r="F154" s="231" t="s">
        <v>284</v>
      </c>
      <c r="G154" s="228"/>
      <c r="H154" s="232">
        <v>240</v>
      </c>
      <c r="I154" s="233"/>
      <c r="J154" s="228"/>
      <c r="K154" s="228"/>
      <c r="L154" s="234"/>
      <c r="M154" s="235"/>
      <c r="N154" s="236"/>
      <c r="O154" s="236"/>
      <c r="P154" s="236"/>
      <c r="Q154" s="236"/>
      <c r="R154" s="236"/>
      <c r="S154" s="236"/>
      <c r="T154" s="237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T154" s="238" t="s">
        <v>211</v>
      </c>
      <c r="AU154" s="238" t="s">
        <v>88</v>
      </c>
      <c r="AV154" s="13" t="s">
        <v>88</v>
      </c>
      <c r="AW154" s="13" t="s">
        <v>213</v>
      </c>
      <c r="AX154" s="13" t="s">
        <v>86</v>
      </c>
      <c r="AY154" s="238" t="s">
        <v>200</v>
      </c>
    </row>
    <row r="155" s="2" customFormat="1" ht="24.15" customHeight="1">
      <c r="A155" s="40"/>
      <c r="B155" s="41"/>
      <c r="C155" s="209" t="s">
        <v>285</v>
      </c>
      <c r="D155" s="209" t="s">
        <v>202</v>
      </c>
      <c r="E155" s="210" t="s">
        <v>286</v>
      </c>
      <c r="F155" s="211" t="s">
        <v>287</v>
      </c>
      <c r="G155" s="212" t="s">
        <v>280</v>
      </c>
      <c r="H155" s="213">
        <v>264</v>
      </c>
      <c r="I155" s="214"/>
      <c r="J155" s="215">
        <f>ROUND(I155*H155,1)</f>
        <v>0</v>
      </c>
      <c r="K155" s="211" t="s">
        <v>206</v>
      </c>
      <c r="L155" s="46"/>
      <c r="M155" s="216" t="s">
        <v>32</v>
      </c>
      <c r="N155" s="217" t="s">
        <v>49</v>
      </c>
      <c r="O155" s="86"/>
      <c r="P155" s="218">
        <f>O155*H155</f>
        <v>0</v>
      </c>
      <c r="Q155" s="218">
        <v>0</v>
      </c>
      <c r="R155" s="218">
        <f>Q155*H155</f>
        <v>0</v>
      </c>
      <c r="S155" s="218">
        <v>0</v>
      </c>
      <c r="T155" s="219">
        <f>S155*H155</f>
        <v>0</v>
      </c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R155" s="220" t="s">
        <v>207</v>
      </c>
      <c r="AT155" s="220" t="s">
        <v>202</v>
      </c>
      <c r="AU155" s="220" t="s">
        <v>88</v>
      </c>
      <c r="AY155" s="18" t="s">
        <v>200</v>
      </c>
      <c r="BE155" s="221">
        <f>IF(N155="základní",J155,0)</f>
        <v>0</v>
      </c>
      <c r="BF155" s="221">
        <f>IF(N155="snížená",J155,0)</f>
        <v>0</v>
      </c>
      <c r="BG155" s="221">
        <f>IF(N155="zákl. přenesená",J155,0)</f>
        <v>0</v>
      </c>
      <c r="BH155" s="221">
        <f>IF(N155="sníž. přenesená",J155,0)</f>
        <v>0</v>
      </c>
      <c r="BI155" s="221">
        <f>IF(N155="nulová",J155,0)</f>
        <v>0</v>
      </c>
      <c r="BJ155" s="18" t="s">
        <v>86</v>
      </c>
      <c r="BK155" s="221">
        <f>ROUND(I155*H155,1)</f>
        <v>0</v>
      </c>
      <c r="BL155" s="18" t="s">
        <v>207</v>
      </c>
      <c r="BM155" s="220" t="s">
        <v>288</v>
      </c>
    </row>
    <row r="156" s="2" customFormat="1">
      <c r="A156" s="40"/>
      <c r="B156" s="41"/>
      <c r="C156" s="42"/>
      <c r="D156" s="222" t="s">
        <v>209</v>
      </c>
      <c r="E156" s="42"/>
      <c r="F156" s="223" t="s">
        <v>289</v>
      </c>
      <c r="G156" s="42"/>
      <c r="H156" s="42"/>
      <c r="I156" s="224"/>
      <c r="J156" s="42"/>
      <c r="K156" s="42"/>
      <c r="L156" s="46"/>
      <c r="M156" s="225"/>
      <c r="N156" s="226"/>
      <c r="O156" s="86"/>
      <c r="P156" s="86"/>
      <c r="Q156" s="86"/>
      <c r="R156" s="86"/>
      <c r="S156" s="86"/>
      <c r="T156" s="87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T156" s="18" t="s">
        <v>209</v>
      </c>
      <c r="AU156" s="18" t="s">
        <v>88</v>
      </c>
    </row>
    <row r="157" s="15" customFormat="1">
      <c r="A157" s="15"/>
      <c r="B157" s="250"/>
      <c r="C157" s="251"/>
      <c r="D157" s="229" t="s">
        <v>211</v>
      </c>
      <c r="E157" s="252" t="s">
        <v>32</v>
      </c>
      <c r="F157" s="253" t="s">
        <v>283</v>
      </c>
      <c r="G157" s="251"/>
      <c r="H157" s="252" t="s">
        <v>32</v>
      </c>
      <c r="I157" s="254"/>
      <c r="J157" s="251"/>
      <c r="K157" s="251"/>
      <c r="L157" s="255"/>
      <c r="M157" s="256"/>
      <c r="N157" s="257"/>
      <c r="O157" s="257"/>
      <c r="P157" s="257"/>
      <c r="Q157" s="257"/>
      <c r="R157" s="257"/>
      <c r="S157" s="257"/>
      <c r="T157" s="25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T157" s="259" t="s">
        <v>211</v>
      </c>
      <c r="AU157" s="259" t="s">
        <v>88</v>
      </c>
      <c r="AV157" s="15" t="s">
        <v>86</v>
      </c>
      <c r="AW157" s="15" t="s">
        <v>213</v>
      </c>
      <c r="AX157" s="15" t="s">
        <v>78</v>
      </c>
      <c r="AY157" s="259" t="s">
        <v>200</v>
      </c>
    </row>
    <row r="158" s="13" customFormat="1">
      <c r="A158" s="13"/>
      <c r="B158" s="227"/>
      <c r="C158" s="228"/>
      <c r="D158" s="229" t="s">
        <v>211</v>
      </c>
      <c r="E158" s="230" t="s">
        <v>32</v>
      </c>
      <c r="F158" s="231" t="s">
        <v>290</v>
      </c>
      <c r="G158" s="228"/>
      <c r="H158" s="232">
        <v>264</v>
      </c>
      <c r="I158" s="233"/>
      <c r="J158" s="228"/>
      <c r="K158" s="228"/>
      <c r="L158" s="234"/>
      <c r="M158" s="235"/>
      <c r="N158" s="236"/>
      <c r="O158" s="236"/>
      <c r="P158" s="236"/>
      <c r="Q158" s="236"/>
      <c r="R158" s="236"/>
      <c r="S158" s="236"/>
      <c r="T158" s="237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38" t="s">
        <v>211</v>
      </c>
      <c r="AU158" s="238" t="s">
        <v>88</v>
      </c>
      <c r="AV158" s="13" t="s">
        <v>88</v>
      </c>
      <c r="AW158" s="13" t="s">
        <v>213</v>
      </c>
      <c r="AX158" s="13" t="s">
        <v>86</v>
      </c>
      <c r="AY158" s="238" t="s">
        <v>200</v>
      </c>
    </row>
    <row r="159" s="2" customFormat="1" ht="16.5" customHeight="1">
      <c r="A159" s="40"/>
      <c r="B159" s="41"/>
      <c r="C159" s="260" t="s">
        <v>291</v>
      </c>
      <c r="D159" s="260" t="s">
        <v>292</v>
      </c>
      <c r="E159" s="261" t="s">
        <v>293</v>
      </c>
      <c r="F159" s="262" t="s">
        <v>294</v>
      </c>
      <c r="G159" s="263" t="s">
        <v>205</v>
      </c>
      <c r="H159" s="264">
        <v>74.644000000000005</v>
      </c>
      <c r="I159" s="265"/>
      <c r="J159" s="266">
        <f>ROUND(I159*H159,1)</f>
        <v>0</v>
      </c>
      <c r="K159" s="262" t="s">
        <v>206</v>
      </c>
      <c r="L159" s="267"/>
      <c r="M159" s="268" t="s">
        <v>32</v>
      </c>
      <c r="N159" s="269" t="s">
        <v>49</v>
      </c>
      <c r="O159" s="86"/>
      <c r="P159" s="218">
        <f>O159*H159</f>
        <v>0</v>
      </c>
      <c r="Q159" s="218">
        <v>2.4289999999999998</v>
      </c>
      <c r="R159" s="218">
        <f>Q159*H159</f>
        <v>181.31027599999999</v>
      </c>
      <c r="S159" s="218">
        <v>0</v>
      </c>
      <c r="T159" s="219">
        <f>S159*H159</f>
        <v>0</v>
      </c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R159" s="220" t="s">
        <v>254</v>
      </c>
      <c r="AT159" s="220" t="s">
        <v>292</v>
      </c>
      <c r="AU159" s="220" t="s">
        <v>88</v>
      </c>
      <c r="AY159" s="18" t="s">
        <v>200</v>
      </c>
      <c r="BE159" s="221">
        <f>IF(N159="základní",J159,0)</f>
        <v>0</v>
      </c>
      <c r="BF159" s="221">
        <f>IF(N159="snížená",J159,0)</f>
        <v>0</v>
      </c>
      <c r="BG159" s="221">
        <f>IF(N159="zákl. přenesená",J159,0)</f>
        <v>0</v>
      </c>
      <c r="BH159" s="221">
        <f>IF(N159="sníž. přenesená",J159,0)</f>
        <v>0</v>
      </c>
      <c r="BI159" s="221">
        <f>IF(N159="nulová",J159,0)</f>
        <v>0</v>
      </c>
      <c r="BJ159" s="18" t="s">
        <v>86</v>
      </c>
      <c r="BK159" s="221">
        <f>ROUND(I159*H159,1)</f>
        <v>0</v>
      </c>
      <c r="BL159" s="18" t="s">
        <v>207</v>
      </c>
      <c r="BM159" s="220" t="s">
        <v>295</v>
      </c>
    </row>
    <row r="160" s="13" customFormat="1">
      <c r="A160" s="13"/>
      <c r="B160" s="227"/>
      <c r="C160" s="228"/>
      <c r="D160" s="229" t="s">
        <v>211</v>
      </c>
      <c r="E160" s="230" t="s">
        <v>32</v>
      </c>
      <c r="F160" s="231" t="s">
        <v>296</v>
      </c>
      <c r="G160" s="228"/>
      <c r="H160" s="232">
        <v>74.644241449298406</v>
      </c>
      <c r="I160" s="233"/>
      <c r="J160" s="228"/>
      <c r="K160" s="228"/>
      <c r="L160" s="234"/>
      <c r="M160" s="235"/>
      <c r="N160" s="236"/>
      <c r="O160" s="236"/>
      <c r="P160" s="236"/>
      <c r="Q160" s="236"/>
      <c r="R160" s="236"/>
      <c r="S160" s="236"/>
      <c r="T160" s="237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38" t="s">
        <v>211</v>
      </c>
      <c r="AU160" s="238" t="s">
        <v>88</v>
      </c>
      <c r="AV160" s="13" t="s">
        <v>88</v>
      </c>
      <c r="AW160" s="13" t="s">
        <v>213</v>
      </c>
      <c r="AX160" s="13" t="s">
        <v>86</v>
      </c>
      <c r="AY160" s="238" t="s">
        <v>200</v>
      </c>
    </row>
    <row r="161" s="2" customFormat="1" ht="16.5" customHeight="1">
      <c r="A161" s="40"/>
      <c r="B161" s="41"/>
      <c r="C161" s="209" t="s">
        <v>297</v>
      </c>
      <c r="D161" s="209" t="s">
        <v>202</v>
      </c>
      <c r="E161" s="210" t="s">
        <v>298</v>
      </c>
      <c r="F161" s="211" t="s">
        <v>299</v>
      </c>
      <c r="G161" s="212" t="s">
        <v>250</v>
      </c>
      <c r="H161" s="213">
        <v>13.436</v>
      </c>
      <c r="I161" s="214"/>
      <c r="J161" s="215">
        <f>ROUND(I161*H161,1)</f>
        <v>0</v>
      </c>
      <c r="K161" s="211" t="s">
        <v>206</v>
      </c>
      <c r="L161" s="46"/>
      <c r="M161" s="216" t="s">
        <v>32</v>
      </c>
      <c r="N161" s="217" t="s">
        <v>49</v>
      </c>
      <c r="O161" s="86"/>
      <c r="P161" s="218">
        <f>O161*H161</f>
        <v>0</v>
      </c>
      <c r="Q161" s="218">
        <v>1.11381</v>
      </c>
      <c r="R161" s="218">
        <f>Q161*H161</f>
        <v>14.96515116</v>
      </c>
      <c r="S161" s="218">
        <v>0</v>
      </c>
      <c r="T161" s="219">
        <f>S161*H161</f>
        <v>0</v>
      </c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R161" s="220" t="s">
        <v>207</v>
      </c>
      <c r="AT161" s="220" t="s">
        <v>202</v>
      </c>
      <c r="AU161" s="220" t="s">
        <v>88</v>
      </c>
      <c r="AY161" s="18" t="s">
        <v>200</v>
      </c>
      <c r="BE161" s="221">
        <f>IF(N161="základní",J161,0)</f>
        <v>0</v>
      </c>
      <c r="BF161" s="221">
        <f>IF(N161="snížená",J161,0)</f>
        <v>0</v>
      </c>
      <c r="BG161" s="221">
        <f>IF(N161="zákl. přenesená",J161,0)</f>
        <v>0</v>
      </c>
      <c r="BH161" s="221">
        <f>IF(N161="sníž. přenesená",J161,0)</f>
        <v>0</v>
      </c>
      <c r="BI161" s="221">
        <f>IF(N161="nulová",J161,0)</f>
        <v>0</v>
      </c>
      <c r="BJ161" s="18" t="s">
        <v>86</v>
      </c>
      <c r="BK161" s="221">
        <f>ROUND(I161*H161,1)</f>
        <v>0</v>
      </c>
      <c r="BL161" s="18" t="s">
        <v>207</v>
      </c>
      <c r="BM161" s="220" t="s">
        <v>300</v>
      </c>
    </row>
    <row r="162" s="2" customFormat="1">
      <c r="A162" s="40"/>
      <c r="B162" s="41"/>
      <c r="C162" s="42"/>
      <c r="D162" s="222" t="s">
        <v>209</v>
      </c>
      <c r="E162" s="42"/>
      <c r="F162" s="223" t="s">
        <v>301</v>
      </c>
      <c r="G162" s="42"/>
      <c r="H162" s="42"/>
      <c r="I162" s="224"/>
      <c r="J162" s="42"/>
      <c r="K162" s="42"/>
      <c r="L162" s="46"/>
      <c r="M162" s="225"/>
      <c r="N162" s="226"/>
      <c r="O162" s="86"/>
      <c r="P162" s="86"/>
      <c r="Q162" s="86"/>
      <c r="R162" s="86"/>
      <c r="S162" s="86"/>
      <c r="T162" s="87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T162" s="18" t="s">
        <v>209</v>
      </c>
      <c r="AU162" s="18" t="s">
        <v>88</v>
      </c>
    </row>
    <row r="163" s="13" customFormat="1">
      <c r="A163" s="13"/>
      <c r="B163" s="227"/>
      <c r="C163" s="228"/>
      <c r="D163" s="229" t="s">
        <v>211</v>
      </c>
      <c r="E163" s="230" t="s">
        <v>32</v>
      </c>
      <c r="F163" s="231" t="s">
        <v>302</v>
      </c>
      <c r="G163" s="228"/>
      <c r="H163" s="232">
        <v>13.435919999999999</v>
      </c>
      <c r="I163" s="233"/>
      <c r="J163" s="228"/>
      <c r="K163" s="228"/>
      <c r="L163" s="234"/>
      <c r="M163" s="235"/>
      <c r="N163" s="236"/>
      <c r="O163" s="236"/>
      <c r="P163" s="236"/>
      <c r="Q163" s="236"/>
      <c r="R163" s="236"/>
      <c r="S163" s="236"/>
      <c r="T163" s="237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T163" s="238" t="s">
        <v>211</v>
      </c>
      <c r="AU163" s="238" t="s">
        <v>88</v>
      </c>
      <c r="AV163" s="13" t="s">
        <v>88</v>
      </c>
      <c r="AW163" s="13" t="s">
        <v>213</v>
      </c>
      <c r="AX163" s="13" t="s">
        <v>86</v>
      </c>
      <c r="AY163" s="238" t="s">
        <v>200</v>
      </c>
    </row>
    <row r="164" s="2" customFormat="1" ht="21.75" customHeight="1">
      <c r="A164" s="40"/>
      <c r="B164" s="41"/>
      <c r="C164" s="209" t="s">
        <v>8</v>
      </c>
      <c r="D164" s="209" t="s">
        <v>202</v>
      </c>
      <c r="E164" s="210" t="s">
        <v>303</v>
      </c>
      <c r="F164" s="211" t="s">
        <v>304</v>
      </c>
      <c r="G164" s="212" t="s">
        <v>205</v>
      </c>
      <c r="H164" s="213">
        <v>65.688999999999993</v>
      </c>
      <c r="I164" s="214"/>
      <c r="J164" s="215">
        <f>ROUND(I164*H164,1)</f>
        <v>0</v>
      </c>
      <c r="K164" s="211" t="s">
        <v>206</v>
      </c>
      <c r="L164" s="46"/>
      <c r="M164" s="216" t="s">
        <v>32</v>
      </c>
      <c r="N164" s="217" t="s">
        <v>49</v>
      </c>
      <c r="O164" s="86"/>
      <c r="P164" s="218">
        <f>O164*H164</f>
        <v>0</v>
      </c>
      <c r="Q164" s="218">
        <v>2.1600000000000001</v>
      </c>
      <c r="R164" s="218">
        <f>Q164*H164</f>
        <v>141.88824</v>
      </c>
      <c r="S164" s="218">
        <v>0</v>
      </c>
      <c r="T164" s="219">
        <f>S164*H164</f>
        <v>0</v>
      </c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R164" s="220" t="s">
        <v>207</v>
      </c>
      <c r="AT164" s="220" t="s">
        <v>202</v>
      </c>
      <c r="AU164" s="220" t="s">
        <v>88</v>
      </c>
      <c r="AY164" s="18" t="s">
        <v>200</v>
      </c>
      <c r="BE164" s="221">
        <f>IF(N164="základní",J164,0)</f>
        <v>0</v>
      </c>
      <c r="BF164" s="221">
        <f>IF(N164="snížená",J164,0)</f>
        <v>0</v>
      </c>
      <c r="BG164" s="221">
        <f>IF(N164="zákl. přenesená",J164,0)</f>
        <v>0</v>
      </c>
      <c r="BH164" s="221">
        <f>IF(N164="sníž. přenesená",J164,0)</f>
        <v>0</v>
      </c>
      <c r="BI164" s="221">
        <f>IF(N164="nulová",J164,0)</f>
        <v>0</v>
      </c>
      <c r="BJ164" s="18" t="s">
        <v>86</v>
      </c>
      <c r="BK164" s="221">
        <f>ROUND(I164*H164,1)</f>
        <v>0</v>
      </c>
      <c r="BL164" s="18" t="s">
        <v>207</v>
      </c>
      <c r="BM164" s="220" t="s">
        <v>305</v>
      </c>
    </row>
    <row r="165" s="2" customFormat="1">
      <c r="A165" s="40"/>
      <c r="B165" s="41"/>
      <c r="C165" s="42"/>
      <c r="D165" s="222" t="s">
        <v>209</v>
      </c>
      <c r="E165" s="42"/>
      <c r="F165" s="223" t="s">
        <v>306</v>
      </c>
      <c r="G165" s="42"/>
      <c r="H165" s="42"/>
      <c r="I165" s="224"/>
      <c r="J165" s="42"/>
      <c r="K165" s="42"/>
      <c r="L165" s="46"/>
      <c r="M165" s="225"/>
      <c r="N165" s="226"/>
      <c r="O165" s="86"/>
      <c r="P165" s="86"/>
      <c r="Q165" s="86"/>
      <c r="R165" s="86"/>
      <c r="S165" s="86"/>
      <c r="T165" s="87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T165" s="18" t="s">
        <v>209</v>
      </c>
      <c r="AU165" s="18" t="s">
        <v>88</v>
      </c>
    </row>
    <row r="166" s="13" customFormat="1">
      <c r="A166" s="13"/>
      <c r="B166" s="227"/>
      <c r="C166" s="228"/>
      <c r="D166" s="229" t="s">
        <v>211</v>
      </c>
      <c r="E166" s="230" t="s">
        <v>32</v>
      </c>
      <c r="F166" s="231" t="s">
        <v>307</v>
      </c>
      <c r="G166" s="228"/>
      <c r="H166" s="232">
        <v>59.700000000000003</v>
      </c>
      <c r="I166" s="233"/>
      <c r="J166" s="228"/>
      <c r="K166" s="228"/>
      <c r="L166" s="234"/>
      <c r="M166" s="235"/>
      <c r="N166" s="236"/>
      <c r="O166" s="236"/>
      <c r="P166" s="236"/>
      <c r="Q166" s="236"/>
      <c r="R166" s="236"/>
      <c r="S166" s="236"/>
      <c r="T166" s="237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38" t="s">
        <v>211</v>
      </c>
      <c r="AU166" s="238" t="s">
        <v>88</v>
      </c>
      <c r="AV166" s="13" t="s">
        <v>88</v>
      </c>
      <c r="AW166" s="13" t="s">
        <v>213</v>
      </c>
      <c r="AX166" s="13" t="s">
        <v>78</v>
      </c>
      <c r="AY166" s="238" t="s">
        <v>200</v>
      </c>
    </row>
    <row r="167" s="13" customFormat="1">
      <c r="A167" s="13"/>
      <c r="B167" s="227"/>
      <c r="C167" s="228"/>
      <c r="D167" s="229" t="s">
        <v>211</v>
      </c>
      <c r="E167" s="230" t="s">
        <v>32</v>
      </c>
      <c r="F167" s="231" t="s">
        <v>308</v>
      </c>
      <c r="G167" s="228"/>
      <c r="H167" s="232">
        <v>2.6757</v>
      </c>
      <c r="I167" s="233"/>
      <c r="J167" s="228"/>
      <c r="K167" s="228"/>
      <c r="L167" s="234"/>
      <c r="M167" s="235"/>
      <c r="N167" s="236"/>
      <c r="O167" s="236"/>
      <c r="P167" s="236"/>
      <c r="Q167" s="236"/>
      <c r="R167" s="236"/>
      <c r="S167" s="236"/>
      <c r="T167" s="237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38" t="s">
        <v>211</v>
      </c>
      <c r="AU167" s="238" t="s">
        <v>88</v>
      </c>
      <c r="AV167" s="13" t="s">
        <v>88</v>
      </c>
      <c r="AW167" s="13" t="s">
        <v>213</v>
      </c>
      <c r="AX167" s="13" t="s">
        <v>78</v>
      </c>
      <c r="AY167" s="238" t="s">
        <v>200</v>
      </c>
    </row>
    <row r="168" s="13" customFormat="1">
      <c r="A168" s="13"/>
      <c r="B168" s="227"/>
      <c r="C168" s="228"/>
      <c r="D168" s="229" t="s">
        <v>211</v>
      </c>
      <c r="E168" s="230" t="s">
        <v>32</v>
      </c>
      <c r="F168" s="231" t="s">
        <v>309</v>
      </c>
      <c r="G168" s="228"/>
      <c r="H168" s="232">
        <v>3.3133599999999999</v>
      </c>
      <c r="I168" s="233"/>
      <c r="J168" s="228"/>
      <c r="K168" s="228"/>
      <c r="L168" s="234"/>
      <c r="M168" s="235"/>
      <c r="N168" s="236"/>
      <c r="O168" s="236"/>
      <c r="P168" s="236"/>
      <c r="Q168" s="236"/>
      <c r="R168" s="236"/>
      <c r="S168" s="236"/>
      <c r="T168" s="237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38" t="s">
        <v>211</v>
      </c>
      <c r="AU168" s="238" t="s">
        <v>88</v>
      </c>
      <c r="AV168" s="13" t="s">
        <v>88</v>
      </c>
      <c r="AW168" s="13" t="s">
        <v>213</v>
      </c>
      <c r="AX168" s="13" t="s">
        <v>78</v>
      </c>
      <c r="AY168" s="238" t="s">
        <v>200</v>
      </c>
    </row>
    <row r="169" s="14" customFormat="1">
      <c r="A169" s="14"/>
      <c r="B169" s="239"/>
      <c r="C169" s="240"/>
      <c r="D169" s="229" t="s">
        <v>211</v>
      </c>
      <c r="E169" s="241" t="s">
        <v>32</v>
      </c>
      <c r="F169" s="242" t="s">
        <v>220</v>
      </c>
      <c r="G169" s="240"/>
      <c r="H169" s="243">
        <v>65.689059999999998</v>
      </c>
      <c r="I169" s="244"/>
      <c r="J169" s="240"/>
      <c r="K169" s="240"/>
      <c r="L169" s="245"/>
      <c r="M169" s="246"/>
      <c r="N169" s="247"/>
      <c r="O169" s="247"/>
      <c r="P169" s="247"/>
      <c r="Q169" s="247"/>
      <c r="R169" s="247"/>
      <c r="S169" s="247"/>
      <c r="T169" s="248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T169" s="249" t="s">
        <v>211</v>
      </c>
      <c r="AU169" s="249" t="s">
        <v>88</v>
      </c>
      <c r="AV169" s="14" t="s">
        <v>207</v>
      </c>
      <c r="AW169" s="14" t="s">
        <v>213</v>
      </c>
      <c r="AX169" s="14" t="s">
        <v>86</v>
      </c>
      <c r="AY169" s="249" t="s">
        <v>200</v>
      </c>
    </row>
    <row r="170" s="2" customFormat="1" ht="21.75" customHeight="1">
      <c r="A170" s="40"/>
      <c r="B170" s="41"/>
      <c r="C170" s="209" t="s">
        <v>310</v>
      </c>
      <c r="D170" s="209" t="s">
        <v>202</v>
      </c>
      <c r="E170" s="210" t="s">
        <v>311</v>
      </c>
      <c r="F170" s="211" t="s">
        <v>312</v>
      </c>
      <c r="G170" s="212" t="s">
        <v>205</v>
      </c>
      <c r="H170" s="213">
        <v>91.748999999999995</v>
      </c>
      <c r="I170" s="214"/>
      <c r="J170" s="215">
        <f>ROUND(I170*H170,1)</f>
        <v>0</v>
      </c>
      <c r="K170" s="211" t="s">
        <v>206</v>
      </c>
      <c r="L170" s="46"/>
      <c r="M170" s="216" t="s">
        <v>32</v>
      </c>
      <c r="N170" s="217" t="s">
        <v>49</v>
      </c>
      <c r="O170" s="86"/>
      <c r="P170" s="218">
        <f>O170*H170</f>
        <v>0</v>
      </c>
      <c r="Q170" s="218">
        <v>2.3010199999999998</v>
      </c>
      <c r="R170" s="218">
        <f>Q170*H170</f>
        <v>211.11628397999996</v>
      </c>
      <c r="S170" s="218">
        <v>0</v>
      </c>
      <c r="T170" s="219">
        <f>S170*H170</f>
        <v>0</v>
      </c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R170" s="220" t="s">
        <v>207</v>
      </c>
      <c r="AT170" s="220" t="s">
        <v>202</v>
      </c>
      <c r="AU170" s="220" t="s">
        <v>88</v>
      </c>
      <c r="AY170" s="18" t="s">
        <v>200</v>
      </c>
      <c r="BE170" s="221">
        <f>IF(N170="základní",J170,0)</f>
        <v>0</v>
      </c>
      <c r="BF170" s="221">
        <f>IF(N170="snížená",J170,0)</f>
        <v>0</v>
      </c>
      <c r="BG170" s="221">
        <f>IF(N170="zákl. přenesená",J170,0)</f>
        <v>0</v>
      </c>
      <c r="BH170" s="221">
        <f>IF(N170="sníž. přenesená",J170,0)</f>
        <v>0</v>
      </c>
      <c r="BI170" s="221">
        <f>IF(N170="nulová",J170,0)</f>
        <v>0</v>
      </c>
      <c r="BJ170" s="18" t="s">
        <v>86</v>
      </c>
      <c r="BK170" s="221">
        <f>ROUND(I170*H170,1)</f>
        <v>0</v>
      </c>
      <c r="BL170" s="18" t="s">
        <v>207</v>
      </c>
      <c r="BM170" s="220" t="s">
        <v>313</v>
      </c>
    </row>
    <row r="171" s="2" customFormat="1">
      <c r="A171" s="40"/>
      <c r="B171" s="41"/>
      <c r="C171" s="42"/>
      <c r="D171" s="222" t="s">
        <v>209</v>
      </c>
      <c r="E171" s="42"/>
      <c r="F171" s="223" t="s">
        <v>314</v>
      </c>
      <c r="G171" s="42"/>
      <c r="H171" s="42"/>
      <c r="I171" s="224"/>
      <c r="J171" s="42"/>
      <c r="K171" s="42"/>
      <c r="L171" s="46"/>
      <c r="M171" s="225"/>
      <c r="N171" s="226"/>
      <c r="O171" s="86"/>
      <c r="P171" s="86"/>
      <c r="Q171" s="86"/>
      <c r="R171" s="86"/>
      <c r="S171" s="86"/>
      <c r="T171" s="87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T171" s="18" t="s">
        <v>209</v>
      </c>
      <c r="AU171" s="18" t="s">
        <v>88</v>
      </c>
    </row>
    <row r="172" s="15" customFormat="1">
      <c r="A172" s="15"/>
      <c r="B172" s="250"/>
      <c r="C172" s="251"/>
      <c r="D172" s="229" t="s">
        <v>211</v>
      </c>
      <c r="E172" s="252" t="s">
        <v>32</v>
      </c>
      <c r="F172" s="253" t="s">
        <v>315</v>
      </c>
      <c r="G172" s="251"/>
      <c r="H172" s="252" t="s">
        <v>32</v>
      </c>
      <c r="I172" s="254"/>
      <c r="J172" s="251"/>
      <c r="K172" s="251"/>
      <c r="L172" s="255"/>
      <c r="M172" s="256"/>
      <c r="N172" s="257"/>
      <c r="O172" s="257"/>
      <c r="P172" s="257"/>
      <c r="Q172" s="257"/>
      <c r="R172" s="257"/>
      <c r="S172" s="257"/>
      <c r="T172" s="25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T172" s="259" t="s">
        <v>211</v>
      </c>
      <c r="AU172" s="259" t="s">
        <v>88</v>
      </c>
      <c r="AV172" s="15" t="s">
        <v>86</v>
      </c>
      <c r="AW172" s="15" t="s">
        <v>213</v>
      </c>
      <c r="AX172" s="15" t="s">
        <v>78</v>
      </c>
      <c r="AY172" s="259" t="s">
        <v>200</v>
      </c>
    </row>
    <row r="173" s="13" customFormat="1">
      <c r="A173" s="13"/>
      <c r="B173" s="227"/>
      <c r="C173" s="228"/>
      <c r="D173" s="229" t="s">
        <v>211</v>
      </c>
      <c r="E173" s="230" t="s">
        <v>32</v>
      </c>
      <c r="F173" s="231" t="s">
        <v>316</v>
      </c>
      <c r="G173" s="228"/>
      <c r="H173" s="232">
        <v>72.435000000000002</v>
      </c>
      <c r="I173" s="233"/>
      <c r="J173" s="228"/>
      <c r="K173" s="228"/>
      <c r="L173" s="234"/>
      <c r="M173" s="235"/>
      <c r="N173" s="236"/>
      <c r="O173" s="236"/>
      <c r="P173" s="236"/>
      <c r="Q173" s="236"/>
      <c r="R173" s="236"/>
      <c r="S173" s="236"/>
      <c r="T173" s="237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T173" s="238" t="s">
        <v>211</v>
      </c>
      <c r="AU173" s="238" t="s">
        <v>88</v>
      </c>
      <c r="AV173" s="13" t="s">
        <v>88</v>
      </c>
      <c r="AW173" s="13" t="s">
        <v>213</v>
      </c>
      <c r="AX173" s="13" t="s">
        <v>78</v>
      </c>
      <c r="AY173" s="238" t="s">
        <v>200</v>
      </c>
    </row>
    <row r="174" s="13" customFormat="1">
      <c r="A174" s="13"/>
      <c r="B174" s="227"/>
      <c r="C174" s="228"/>
      <c r="D174" s="229" t="s">
        <v>211</v>
      </c>
      <c r="E174" s="230" t="s">
        <v>32</v>
      </c>
      <c r="F174" s="231" t="s">
        <v>317</v>
      </c>
      <c r="G174" s="228"/>
      <c r="H174" s="232">
        <v>15.300000000000001</v>
      </c>
      <c r="I174" s="233"/>
      <c r="J174" s="228"/>
      <c r="K174" s="228"/>
      <c r="L174" s="234"/>
      <c r="M174" s="235"/>
      <c r="N174" s="236"/>
      <c r="O174" s="236"/>
      <c r="P174" s="236"/>
      <c r="Q174" s="236"/>
      <c r="R174" s="236"/>
      <c r="S174" s="236"/>
      <c r="T174" s="237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38" t="s">
        <v>211</v>
      </c>
      <c r="AU174" s="238" t="s">
        <v>88</v>
      </c>
      <c r="AV174" s="13" t="s">
        <v>88</v>
      </c>
      <c r="AW174" s="13" t="s">
        <v>213</v>
      </c>
      <c r="AX174" s="13" t="s">
        <v>78</v>
      </c>
      <c r="AY174" s="238" t="s">
        <v>200</v>
      </c>
    </row>
    <row r="175" s="16" customFormat="1">
      <c r="A175" s="16"/>
      <c r="B175" s="270"/>
      <c r="C175" s="271"/>
      <c r="D175" s="229" t="s">
        <v>211</v>
      </c>
      <c r="E175" s="272" t="s">
        <v>116</v>
      </c>
      <c r="F175" s="273" t="s">
        <v>318</v>
      </c>
      <c r="G175" s="271"/>
      <c r="H175" s="274">
        <v>87.734999999999999</v>
      </c>
      <c r="I175" s="275"/>
      <c r="J175" s="271"/>
      <c r="K175" s="271"/>
      <c r="L175" s="276"/>
      <c r="M175" s="277"/>
      <c r="N175" s="278"/>
      <c r="O175" s="278"/>
      <c r="P175" s="278"/>
      <c r="Q175" s="278"/>
      <c r="R175" s="278"/>
      <c r="S175" s="278"/>
      <c r="T175" s="279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T175" s="280" t="s">
        <v>211</v>
      </c>
      <c r="AU175" s="280" t="s">
        <v>88</v>
      </c>
      <c r="AV175" s="16" t="s">
        <v>148</v>
      </c>
      <c r="AW175" s="16" t="s">
        <v>213</v>
      </c>
      <c r="AX175" s="16" t="s">
        <v>78</v>
      </c>
      <c r="AY175" s="280" t="s">
        <v>200</v>
      </c>
    </row>
    <row r="176" s="13" customFormat="1">
      <c r="A176" s="13"/>
      <c r="B176" s="227"/>
      <c r="C176" s="228"/>
      <c r="D176" s="229" t="s">
        <v>211</v>
      </c>
      <c r="E176" s="230" t="s">
        <v>32</v>
      </c>
      <c r="F176" s="231" t="s">
        <v>319</v>
      </c>
      <c r="G176" s="228"/>
      <c r="H176" s="232">
        <v>4.0135500000000004</v>
      </c>
      <c r="I176" s="233"/>
      <c r="J176" s="228"/>
      <c r="K176" s="228"/>
      <c r="L176" s="234"/>
      <c r="M176" s="235"/>
      <c r="N176" s="236"/>
      <c r="O176" s="236"/>
      <c r="P176" s="236"/>
      <c r="Q176" s="236"/>
      <c r="R176" s="236"/>
      <c r="S176" s="236"/>
      <c r="T176" s="237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38" t="s">
        <v>211</v>
      </c>
      <c r="AU176" s="238" t="s">
        <v>88</v>
      </c>
      <c r="AV176" s="13" t="s">
        <v>88</v>
      </c>
      <c r="AW176" s="13" t="s">
        <v>213</v>
      </c>
      <c r="AX176" s="13" t="s">
        <v>78</v>
      </c>
      <c r="AY176" s="238" t="s">
        <v>200</v>
      </c>
    </row>
    <row r="177" s="14" customFormat="1">
      <c r="A177" s="14"/>
      <c r="B177" s="239"/>
      <c r="C177" s="240"/>
      <c r="D177" s="229" t="s">
        <v>211</v>
      </c>
      <c r="E177" s="241" t="s">
        <v>32</v>
      </c>
      <c r="F177" s="242" t="s">
        <v>220</v>
      </c>
      <c r="G177" s="240"/>
      <c r="H177" s="243">
        <v>91.748549999999994</v>
      </c>
      <c r="I177" s="244"/>
      <c r="J177" s="240"/>
      <c r="K177" s="240"/>
      <c r="L177" s="245"/>
      <c r="M177" s="246"/>
      <c r="N177" s="247"/>
      <c r="O177" s="247"/>
      <c r="P177" s="247"/>
      <c r="Q177" s="247"/>
      <c r="R177" s="247"/>
      <c r="S177" s="247"/>
      <c r="T177" s="248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T177" s="249" t="s">
        <v>211</v>
      </c>
      <c r="AU177" s="249" t="s">
        <v>88</v>
      </c>
      <c r="AV177" s="14" t="s">
        <v>207</v>
      </c>
      <c r="AW177" s="14" t="s">
        <v>213</v>
      </c>
      <c r="AX177" s="14" t="s">
        <v>86</v>
      </c>
      <c r="AY177" s="249" t="s">
        <v>200</v>
      </c>
    </row>
    <row r="178" s="2" customFormat="1" ht="21.75" customHeight="1">
      <c r="A178" s="40"/>
      <c r="B178" s="41"/>
      <c r="C178" s="209" t="s">
        <v>320</v>
      </c>
      <c r="D178" s="209" t="s">
        <v>202</v>
      </c>
      <c r="E178" s="210" t="s">
        <v>321</v>
      </c>
      <c r="F178" s="211" t="s">
        <v>322</v>
      </c>
      <c r="G178" s="212" t="s">
        <v>205</v>
      </c>
      <c r="H178" s="213">
        <v>2.4849999999999999</v>
      </c>
      <c r="I178" s="214"/>
      <c r="J178" s="215">
        <f>ROUND(I178*H178,1)</f>
        <v>0</v>
      </c>
      <c r="K178" s="211" t="s">
        <v>206</v>
      </c>
      <c r="L178" s="46"/>
      <c r="M178" s="216" t="s">
        <v>32</v>
      </c>
      <c r="N178" s="217" t="s">
        <v>49</v>
      </c>
      <c r="O178" s="86"/>
      <c r="P178" s="218">
        <f>O178*H178</f>
        <v>0</v>
      </c>
      <c r="Q178" s="218">
        <v>2.5018699999999998</v>
      </c>
      <c r="R178" s="218">
        <f>Q178*H178</f>
        <v>6.2171469499999992</v>
      </c>
      <c r="S178" s="218">
        <v>0</v>
      </c>
      <c r="T178" s="219">
        <f>S178*H178</f>
        <v>0</v>
      </c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R178" s="220" t="s">
        <v>207</v>
      </c>
      <c r="AT178" s="220" t="s">
        <v>202</v>
      </c>
      <c r="AU178" s="220" t="s">
        <v>88</v>
      </c>
      <c r="AY178" s="18" t="s">
        <v>200</v>
      </c>
      <c r="BE178" s="221">
        <f>IF(N178="základní",J178,0)</f>
        <v>0</v>
      </c>
      <c r="BF178" s="221">
        <f>IF(N178="snížená",J178,0)</f>
        <v>0</v>
      </c>
      <c r="BG178" s="221">
        <f>IF(N178="zákl. přenesená",J178,0)</f>
        <v>0</v>
      </c>
      <c r="BH178" s="221">
        <f>IF(N178="sníž. přenesená",J178,0)</f>
        <v>0</v>
      </c>
      <c r="BI178" s="221">
        <f>IF(N178="nulová",J178,0)</f>
        <v>0</v>
      </c>
      <c r="BJ178" s="18" t="s">
        <v>86</v>
      </c>
      <c r="BK178" s="221">
        <f>ROUND(I178*H178,1)</f>
        <v>0</v>
      </c>
      <c r="BL178" s="18" t="s">
        <v>207</v>
      </c>
      <c r="BM178" s="220" t="s">
        <v>323</v>
      </c>
    </row>
    <row r="179" s="2" customFormat="1">
      <c r="A179" s="40"/>
      <c r="B179" s="41"/>
      <c r="C179" s="42"/>
      <c r="D179" s="222" t="s">
        <v>209</v>
      </c>
      <c r="E179" s="42"/>
      <c r="F179" s="223" t="s">
        <v>324</v>
      </c>
      <c r="G179" s="42"/>
      <c r="H179" s="42"/>
      <c r="I179" s="224"/>
      <c r="J179" s="42"/>
      <c r="K179" s="42"/>
      <c r="L179" s="46"/>
      <c r="M179" s="225"/>
      <c r="N179" s="226"/>
      <c r="O179" s="86"/>
      <c r="P179" s="86"/>
      <c r="Q179" s="86"/>
      <c r="R179" s="86"/>
      <c r="S179" s="86"/>
      <c r="T179" s="87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T179" s="18" t="s">
        <v>209</v>
      </c>
      <c r="AU179" s="18" t="s">
        <v>88</v>
      </c>
    </row>
    <row r="180" s="13" customFormat="1">
      <c r="A180" s="13"/>
      <c r="B180" s="227"/>
      <c r="C180" s="228"/>
      <c r="D180" s="229" t="s">
        <v>211</v>
      </c>
      <c r="E180" s="230" t="s">
        <v>32</v>
      </c>
      <c r="F180" s="231" t="s">
        <v>325</v>
      </c>
      <c r="G180" s="228"/>
      <c r="H180" s="232">
        <v>2.48502</v>
      </c>
      <c r="I180" s="233"/>
      <c r="J180" s="228"/>
      <c r="K180" s="228"/>
      <c r="L180" s="234"/>
      <c r="M180" s="235"/>
      <c r="N180" s="236"/>
      <c r="O180" s="236"/>
      <c r="P180" s="236"/>
      <c r="Q180" s="236"/>
      <c r="R180" s="236"/>
      <c r="S180" s="236"/>
      <c r="T180" s="237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T180" s="238" t="s">
        <v>211</v>
      </c>
      <c r="AU180" s="238" t="s">
        <v>88</v>
      </c>
      <c r="AV180" s="13" t="s">
        <v>88</v>
      </c>
      <c r="AW180" s="13" t="s">
        <v>213</v>
      </c>
      <c r="AX180" s="13" t="s">
        <v>86</v>
      </c>
      <c r="AY180" s="238" t="s">
        <v>200</v>
      </c>
    </row>
    <row r="181" s="2" customFormat="1" ht="16.5" customHeight="1">
      <c r="A181" s="40"/>
      <c r="B181" s="41"/>
      <c r="C181" s="209" t="s">
        <v>326</v>
      </c>
      <c r="D181" s="209" t="s">
        <v>202</v>
      </c>
      <c r="E181" s="210" t="s">
        <v>327</v>
      </c>
      <c r="F181" s="211" t="s">
        <v>328</v>
      </c>
      <c r="G181" s="212" t="s">
        <v>272</v>
      </c>
      <c r="H181" s="213">
        <v>24.504000000000001</v>
      </c>
      <c r="I181" s="214"/>
      <c r="J181" s="215">
        <f>ROUND(I181*H181,1)</f>
        <v>0</v>
      </c>
      <c r="K181" s="211" t="s">
        <v>206</v>
      </c>
      <c r="L181" s="46"/>
      <c r="M181" s="216" t="s">
        <v>32</v>
      </c>
      <c r="N181" s="217" t="s">
        <v>49</v>
      </c>
      <c r="O181" s="86"/>
      <c r="P181" s="218">
        <f>O181*H181</f>
        <v>0</v>
      </c>
      <c r="Q181" s="218">
        <v>0.00247</v>
      </c>
      <c r="R181" s="218">
        <f>Q181*H181</f>
        <v>0.060524880000000003</v>
      </c>
      <c r="S181" s="218">
        <v>0</v>
      </c>
      <c r="T181" s="219">
        <f>S181*H181</f>
        <v>0</v>
      </c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R181" s="220" t="s">
        <v>207</v>
      </c>
      <c r="AT181" s="220" t="s">
        <v>202</v>
      </c>
      <c r="AU181" s="220" t="s">
        <v>88</v>
      </c>
      <c r="AY181" s="18" t="s">
        <v>200</v>
      </c>
      <c r="BE181" s="221">
        <f>IF(N181="základní",J181,0)</f>
        <v>0</v>
      </c>
      <c r="BF181" s="221">
        <f>IF(N181="snížená",J181,0)</f>
        <v>0</v>
      </c>
      <c r="BG181" s="221">
        <f>IF(N181="zákl. přenesená",J181,0)</f>
        <v>0</v>
      </c>
      <c r="BH181" s="221">
        <f>IF(N181="sníž. přenesená",J181,0)</f>
        <v>0</v>
      </c>
      <c r="BI181" s="221">
        <f>IF(N181="nulová",J181,0)</f>
        <v>0</v>
      </c>
      <c r="BJ181" s="18" t="s">
        <v>86</v>
      </c>
      <c r="BK181" s="221">
        <f>ROUND(I181*H181,1)</f>
        <v>0</v>
      </c>
      <c r="BL181" s="18" t="s">
        <v>207</v>
      </c>
      <c r="BM181" s="220" t="s">
        <v>329</v>
      </c>
    </row>
    <row r="182" s="2" customFormat="1">
      <c r="A182" s="40"/>
      <c r="B182" s="41"/>
      <c r="C182" s="42"/>
      <c r="D182" s="222" t="s">
        <v>209</v>
      </c>
      <c r="E182" s="42"/>
      <c r="F182" s="223" t="s">
        <v>330</v>
      </c>
      <c r="G182" s="42"/>
      <c r="H182" s="42"/>
      <c r="I182" s="224"/>
      <c r="J182" s="42"/>
      <c r="K182" s="42"/>
      <c r="L182" s="46"/>
      <c r="M182" s="225"/>
      <c r="N182" s="226"/>
      <c r="O182" s="86"/>
      <c r="P182" s="86"/>
      <c r="Q182" s="86"/>
      <c r="R182" s="86"/>
      <c r="S182" s="86"/>
      <c r="T182" s="87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T182" s="18" t="s">
        <v>209</v>
      </c>
      <c r="AU182" s="18" t="s">
        <v>88</v>
      </c>
    </row>
    <row r="183" s="15" customFormat="1">
      <c r="A183" s="15"/>
      <c r="B183" s="250"/>
      <c r="C183" s="251"/>
      <c r="D183" s="229" t="s">
        <v>211</v>
      </c>
      <c r="E183" s="252" t="s">
        <v>32</v>
      </c>
      <c r="F183" s="253" t="s">
        <v>331</v>
      </c>
      <c r="G183" s="251"/>
      <c r="H183" s="252" t="s">
        <v>32</v>
      </c>
      <c r="I183" s="254"/>
      <c r="J183" s="251"/>
      <c r="K183" s="251"/>
      <c r="L183" s="255"/>
      <c r="M183" s="256"/>
      <c r="N183" s="257"/>
      <c r="O183" s="257"/>
      <c r="P183" s="257"/>
      <c r="Q183" s="257"/>
      <c r="R183" s="257"/>
      <c r="S183" s="257"/>
      <c r="T183" s="25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T183" s="259" t="s">
        <v>211</v>
      </c>
      <c r="AU183" s="259" t="s">
        <v>88</v>
      </c>
      <c r="AV183" s="15" t="s">
        <v>86</v>
      </c>
      <c r="AW183" s="15" t="s">
        <v>213</v>
      </c>
      <c r="AX183" s="15" t="s">
        <v>78</v>
      </c>
      <c r="AY183" s="259" t="s">
        <v>200</v>
      </c>
    </row>
    <row r="184" s="13" customFormat="1">
      <c r="A184" s="13"/>
      <c r="B184" s="227"/>
      <c r="C184" s="228"/>
      <c r="D184" s="229" t="s">
        <v>211</v>
      </c>
      <c r="E184" s="230" t="s">
        <v>32</v>
      </c>
      <c r="F184" s="231" t="s">
        <v>332</v>
      </c>
      <c r="G184" s="228"/>
      <c r="H184" s="232">
        <v>14.7225</v>
      </c>
      <c r="I184" s="233"/>
      <c r="J184" s="228"/>
      <c r="K184" s="228"/>
      <c r="L184" s="234"/>
      <c r="M184" s="235"/>
      <c r="N184" s="236"/>
      <c r="O184" s="236"/>
      <c r="P184" s="236"/>
      <c r="Q184" s="236"/>
      <c r="R184" s="236"/>
      <c r="S184" s="236"/>
      <c r="T184" s="237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38" t="s">
        <v>211</v>
      </c>
      <c r="AU184" s="238" t="s">
        <v>88</v>
      </c>
      <c r="AV184" s="13" t="s">
        <v>88</v>
      </c>
      <c r="AW184" s="13" t="s">
        <v>213</v>
      </c>
      <c r="AX184" s="13" t="s">
        <v>78</v>
      </c>
      <c r="AY184" s="238" t="s">
        <v>200</v>
      </c>
    </row>
    <row r="185" s="13" customFormat="1">
      <c r="A185" s="13"/>
      <c r="B185" s="227"/>
      <c r="C185" s="228"/>
      <c r="D185" s="229" t="s">
        <v>211</v>
      </c>
      <c r="E185" s="230" t="s">
        <v>32</v>
      </c>
      <c r="F185" s="231" t="s">
        <v>333</v>
      </c>
      <c r="G185" s="228"/>
      <c r="H185" s="232">
        <v>7.6425000000000001</v>
      </c>
      <c r="I185" s="233"/>
      <c r="J185" s="228"/>
      <c r="K185" s="228"/>
      <c r="L185" s="234"/>
      <c r="M185" s="235"/>
      <c r="N185" s="236"/>
      <c r="O185" s="236"/>
      <c r="P185" s="236"/>
      <c r="Q185" s="236"/>
      <c r="R185" s="236"/>
      <c r="S185" s="236"/>
      <c r="T185" s="237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T185" s="238" t="s">
        <v>211</v>
      </c>
      <c r="AU185" s="238" t="s">
        <v>88</v>
      </c>
      <c r="AV185" s="13" t="s">
        <v>88</v>
      </c>
      <c r="AW185" s="13" t="s">
        <v>213</v>
      </c>
      <c r="AX185" s="13" t="s">
        <v>78</v>
      </c>
      <c r="AY185" s="238" t="s">
        <v>200</v>
      </c>
    </row>
    <row r="186" s="13" customFormat="1">
      <c r="A186" s="13"/>
      <c r="B186" s="227"/>
      <c r="C186" s="228"/>
      <c r="D186" s="229" t="s">
        <v>211</v>
      </c>
      <c r="E186" s="230" t="s">
        <v>32</v>
      </c>
      <c r="F186" s="231" t="s">
        <v>334</v>
      </c>
      <c r="G186" s="228"/>
      <c r="H186" s="232">
        <v>1.8915</v>
      </c>
      <c r="I186" s="233"/>
      <c r="J186" s="228"/>
      <c r="K186" s="228"/>
      <c r="L186" s="234"/>
      <c r="M186" s="235"/>
      <c r="N186" s="236"/>
      <c r="O186" s="236"/>
      <c r="P186" s="236"/>
      <c r="Q186" s="236"/>
      <c r="R186" s="236"/>
      <c r="S186" s="236"/>
      <c r="T186" s="237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T186" s="238" t="s">
        <v>211</v>
      </c>
      <c r="AU186" s="238" t="s">
        <v>88</v>
      </c>
      <c r="AV186" s="13" t="s">
        <v>88</v>
      </c>
      <c r="AW186" s="13" t="s">
        <v>213</v>
      </c>
      <c r="AX186" s="13" t="s">
        <v>78</v>
      </c>
      <c r="AY186" s="238" t="s">
        <v>200</v>
      </c>
    </row>
    <row r="187" s="15" customFormat="1">
      <c r="A187" s="15"/>
      <c r="B187" s="250"/>
      <c r="C187" s="251"/>
      <c r="D187" s="229" t="s">
        <v>211</v>
      </c>
      <c r="E187" s="252" t="s">
        <v>32</v>
      </c>
      <c r="F187" s="253" t="s">
        <v>335</v>
      </c>
      <c r="G187" s="251"/>
      <c r="H187" s="252" t="s">
        <v>32</v>
      </c>
      <c r="I187" s="254"/>
      <c r="J187" s="251"/>
      <c r="K187" s="251"/>
      <c r="L187" s="255"/>
      <c r="M187" s="256"/>
      <c r="N187" s="257"/>
      <c r="O187" s="257"/>
      <c r="P187" s="257"/>
      <c r="Q187" s="257"/>
      <c r="R187" s="257"/>
      <c r="S187" s="257"/>
      <c r="T187" s="25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T187" s="259" t="s">
        <v>211</v>
      </c>
      <c r="AU187" s="259" t="s">
        <v>88</v>
      </c>
      <c r="AV187" s="15" t="s">
        <v>86</v>
      </c>
      <c r="AW187" s="15" t="s">
        <v>213</v>
      </c>
      <c r="AX187" s="15" t="s">
        <v>78</v>
      </c>
      <c r="AY187" s="259" t="s">
        <v>200</v>
      </c>
    </row>
    <row r="188" s="13" customFormat="1">
      <c r="A188" s="13"/>
      <c r="B188" s="227"/>
      <c r="C188" s="228"/>
      <c r="D188" s="229" t="s">
        <v>211</v>
      </c>
      <c r="E188" s="230" t="s">
        <v>32</v>
      </c>
      <c r="F188" s="231" t="s">
        <v>336</v>
      </c>
      <c r="G188" s="228"/>
      <c r="H188" s="232">
        <v>0.2475</v>
      </c>
      <c r="I188" s="233"/>
      <c r="J188" s="228"/>
      <c r="K188" s="228"/>
      <c r="L188" s="234"/>
      <c r="M188" s="235"/>
      <c r="N188" s="236"/>
      <c r="O188" s="236"/>
      <c r="P188" s="236"/>
      <c r="Q188" s="236"/>
      <c r="R188" s="236"/>
      <c r="S188" s="236"/>
      <c r="T188" s="237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38" t="s">
        <v>211</v>
      </c>
      <c r="AU188" s="238" t="s">
        <v>88</v>
      </c>
      <c r="AV188" s="13" t="s">
        <v>88</v>
      </c>
      <c r="AW188" s="13" t="s">
        <v>213</v>
      </c>
      <c r="AX188" s="13" t="s">
        <v>78</v>
      </c>
      <c r="AY188" s="238" t="s">
        <v>200</v>
      </c>
    </row>
    <row r="189" s="14" customFormat="1">
      <c r="A189" s="14"/>
      <c r="B189" s="239"/>
      <c r="C189" s="240"/>
      <c r="D189" s="229" t="s">
        <v>211</v>
      </c>
      <c r="E189" s="241" t="s">
        <v>32</v>
      </c>
      <c r="F189" s="242" t="s">
        <v>220</v>
      </c>
      <c r="G189" s="240"/>
      <c r="H189" s="243">
        <v>24.504000000000001</v>
      </c>
      <c r="I189" s="244"/>
      <c r="J189" s="240"/>
      <c r="K189" s="240"/>
      <c r="L189" s="245"/>
      <c r="M189" s="246"/>
      <c r="N189" s="247"/>
      <c r="O189" s="247"/>
      <c r="P189" s="247"/>
      <c r="Q189" s="247"/>
      <c r="R189" s="247"/>
      <c r="S189" s="247"/>
      <c r="T189" s="24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T189" s="249" t="s">
        <v>211</v>
      </c>
      <c r="AU189" s="249" t="s">
        <v>88</v>
      </c>
      <c r="AV189" s="14" t="s">
        <v>207</v>
      </c>
      <c r="AW189" s="14" t="s">
        <v>213</v>
      </c>
      <c r="AX189" s="14" t="s">
        <v>86</v>
      </c>
      <c r="AY189" s="249" t="s">
        <v>200</v>
      </c>
    </row>
    <row r="190" s="2" customFormat="1" ht="16.5" customHeight="1">
      <c r="A190" s="40"/>
      <c r="B190" s="41"/>
      <c r="C190" s="209" t="s">
        <v>337</v>
      </c>
      <c r="D190" s="209" t="s">
        <v>202</v>
      </c>
      <c r="E190" s="210" t="s">
        <v>338</v>
      </c>
      <c r="F190" s="211" t="s">
        <v>339</v>
      </c>
      <c r="G190" s="212" t="s">
        <v>272</v>
      </c>
      <c r="H190" s="213">
        <v>24.504000000000001</v>
      </c>
      <c r="I190" s="214"/>
      <c r="J190" s="215">
        <f>ROUND(I190*H190,1)</f>
        <v>0</v>
      </c>
      <c r="K190" s="211" t="s">
        <v>206</v>
      </c>
      <c r="L190" s="46"/>
      <c r="M190" s="216" t="s">
        <v>32</v>
      </c>
      <c r="N190" s="217" t="s">
        <v>49</v>
      </c>
      <c r="O190" s="86"/>
      <c r="P190" s="218">
        <f>O190*H190</f>
        <v>0</v>
      </c>
      <c r="Q190" s="218">
        <v>0</v>
      </c>
      <c r="R190" s="218">
        <f>Q190*H190</f>
        <v>0</v>
      </c>
      <c r="S190" s="218">
        <v>0</v>
      </c>
      <c r="T190" s="219">
        <f>S190*H190</f>
        <v>0</v>
      </c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R190" s="220" t="s">
        <v>207</v>
      </c>
      <c r="AT190" s="220" t="s">
        <v>202</v>
      </c>
      <c r="AU190" s="220" t="s">
        <v>88</v>
      </c>
      <c r="AY190" s="18" t="s">
        <v>200</v>
      </c>
      <c r="BE190" s="221">
        <f>IF(N190="základní",J190,0)</f>
        <v>0</v>
      </c>
      <c r="BF190" s="221">
        <f>IF(N190="snížená",J190,0)</f>
        <v>0</v>
      </c>
      <c r="BG190" s="221">
        <f>IF(N190="zákl. přenesená",J190,0)</f>
        <v>0</v>
      </c>
      <c r="BH190" s="221">
        <f>IF(N190="sníž. přenesená",J190,0)</f>
        <v>0</v>
      </c>
      <c r="BI190" s="221">
        <f>IF(N190="nulová",J190,0)</f>
        <v>0</v>
      </c>
      <c r="BJ190" s="18" t="s">
        <v>86</v>
      </c>
      <c r="BK190" s="221">
        <f>ROUND(I190*H190,1)</f>
        <v>0</v>
      </c>
      <c r="BL190" s="18" t="s">
        <v>207</v>
      </c>
      <c r="BM190" s="220" t="s">
        <v>340</v>
      </c>
    </row>
    <row r="191" s="2" customFormat="1">
      <c r="A191" s="40"/>
      <c r="B191" s="41"/>
      <c r="C191" s="42"/>
      <c r="D191" s="222" t="s">
        <v>209</v>
      </c>
      <c r="E191" s="42"/>
      <c r="F191" s="223" t="s">
        <v>341</v>
      </c>
      <c r="G191" s="42"/>
      <c r="H191" s="42"/>
      <c r="I191" s="224"/>
      <c r="J191" s="42"/>
      <c r="K191" s="42"/>
      <c r="L191" s="46"/>
      <c r="M191" s="225"/>
      <c r="N191" s="226"/>
      <c r="O191" s="86"/>
      <c r="P191" s="86"/>
      <c r="Q191" s="86"/>
      <c r="R191" s="86"/>
      <c r="S191" s="86"/>
      <c r="T191" s="87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T191" s="18" t="s">
        <v>209</v>
      </c>
      <c r="AU191" s="18" t="s">
        <v>88</v>
      </c>
    </row>
    <row r="192" s="2" customFormat="1" ht="16.5" customHeight="1">
      <c r="A192" s="40"/>
      <c r="B192" s="41"/>
      <c r="C192" s="209" t="s">
        <v>342</v>
      </c>
      <c r="D192" s="209" t="s">
        <v>202</v>
      </c>
      <c r="E192" s="210" t="s">
        <v>343</v>
      </c>
      <c r="F192" s="211" t="s">
        <v>344</v>
      </c>
      <c r="G192" s="212" t="s">
        <v>250</v>
      </c>
      <c r="H192" s="213">
        <v>1.7689999999999999</v>
      </c>
      <c r="I192" s="214"/>
      <c r="J192" s="215">
        <f>ROUND(I192*H192,1)</f>
        <v>0</v>
      </c>
      <c r="K192" s="211" t="s">
        <v>206</v>
      </c>
      <c r="L192" s="46"/>
      <c r="M192" s="216" t="s">
        <v>32</v>
      </c>
      <c r="N192" s="217" t="s">
        <v>49</v>
      </c>
      <c r="O192" s="86"/>
      <c r="P192" s="218">
        <f>O192*H192</f>
        <v>0</v>
      </c>
      <c r="Q192" s="218">
        <v>1.06277</v>
      </c>
      <c r="R192" s="218">
        <f>Q192*H192</f>
        <v>1.8800401299999998</v>
      </c>
      <c r="S192" s="218">
        <v>0</v>
      </c>
      <c r="T192" s="219">
        <f>S192*H192</f>
        <v>0</v>
      </c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R192" s="220" t="s">
        <v>207</v>
      </c>
      <c r="AT192" s="220" t="s">
        <v>202</v>
      </c>
      <c r="AU192" s="220" t="s">
        <v>88</v>
      </c>
      <c r="AY192" s="18" t="s">
        <v>200</v>
      </c>
      <c r="BE192" s="221">
        <f>IF(N192="základní",J192,0)</f>
        <v>0</v>
      </c>
      <c r="BF192" s="221">
        <f>IF(N192="snížená",J192,0)</f>
        <v>0</v>
      </c>
      <c r="BG192" s="221">
        <f>IF(N192="zákl. přenesená",J192,0)</f>
        <v>0</v>
      </c>
      <c r="BH192" s="221">
        <f>IF(N192="sníž. přenesená",J192,0)</f>
        <v>0</v>
      </c>
      <c r="BI192" s="221">
        <f>IF(N192="nulová",J192,0)</f>
        <v>0</v>
      </c>
      <c r="BJ192" s="18" t="s">
        <v>86</v>
      </c>
      <c r="BK192" s="221">
        <f>ROUND(I192*H192,1)</f>
        <v>0</v>
      </c>
      <c r="BL192" s="18" t="s">
        <v>207</v>
      </c>
      <c r="BM192" s="220" t="s">
        <v>345</v>
      </c>
    </row>
    <row r="193" s="2" customFormat="1">
      <c r="A193" s="40"/>
      <c r="B193" s="41"/>
      <c r="C193" s="42"/>
      <c r="D193" s="222" t="s">
        <v>209</v>
      </c>
      <c r="E193" s="42"/>
      <c r="F193" s="223" t="s">
        <v>346</v>
      </c>
      <c r="G193" s="42"/>
      <c r="H193" s="42"/>
      <c r="I193" s="224"/>
      <c r="J193" s="42"/>
      <c r="K193" s="42"/>
      <c r="L193" s="46"/>
      <c r="M193" s="225"/>
      <c r="N193" s="226"/>
      <c r="O193" s="86"/>
      <c r="P193" s="86"/>
      <c r="Q193" s="86"/>
      <c r="R193" s="86"/>
      <c r="S193" s="86"/>
      <c r="T193" s="87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T193" s="18" t="s">
        <v>209</v>
      </c>
      <c r="AU193" s="18" t="s">
        <v>88</v>
      </c>
    </row>
    <row r="194" s="15" customFormat="1">
      <c r="A194" s="15"/>
      <c r="B194" s="250"/>
      <c r="C194" s="251"/>
      <c r="D194" s="229" t="s">
        <v>211</v>
      </c>
      <c r="E194" s="252" t="s">
        <v>32</v>
      </c>
      <c r="F194" s="253" t="s">
        <v>331</v>
      </c>
      <c r="G194" s="251"/>
      <c r="H194" s="252" t="s">
        <v>32</v>
      </c>
      <c r="I194" s="254"/>
      <c r="J194" s="251"/>
      <c r="K194" s="251"/>
      <c r="L194" s="255"/>
      <c r="M194" s="256"/>
      <c r="N194" s="257"/>
      <c r="O194" s="257"/>
      <c r="P194" s="257"/>
      <c r="Q194" s="257"/>
      <c r="R194" s="257"/>
      <c r="S194" s="257"/>
      <c r="T194" s="25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T194" s="259" t="s">
        <v>211</v>
      </c>
      <c r="AU194" s="259" t="s">
        <v>88</v>
      </c>
      <c r="AV194" s="15" t="s">
        <v>86</v>
      </c>
      <c r="AW194" s="15" t="s">
        <v>213</v>
      </c>
      <c r="AX194" s="15" t="s">
        <v>78</v>
      </c>
      <c r="AY194" s="259" t="s">
        <v>200</v>
      </c>
    </row>
    <row r="195" s="13" customFormat="1">
      <c r="A195" s="13"/>
      <c r="B195" s="227"/>
      <c r="C195" s="228"/>
      <c r="D195" s="229" t="s">
        <v>211</v>
      </c>
      <c r="E195" s="230" t="s">
        <v>32</v>
      </c>
      <c r="F195" s="231" t="s">
        <v>347</v>
      </c>
      <c r="G195" s="228"/>
      <c r="H195" s="232">
        <v>0.97787250000000003</v>
      </c>
      <c r="I195" s="233"/>
      <c r="J195" s="228"/>
      <c r="K195" s="228"/>
      <c r="L195" s="234"/>
      <c r="M195" s="235"/>
      <c r="N195" s="236"/>
      <c r="O195" s="236"/>
      <c r="P195" s="236"/>
      <c r="Q195" s="236"/>
      <c r="R195" s="236"/>
      <c r="S195" s="236"/>
      <c r="T195" s="237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T195" s="238" t="s">
        <v>211</v>
      </c>
      <c r="AU195" s="238" t="s">
        <v>88</v>
      </c>
      <c r="AV195" s="13" t="s">
        <v>88</v>
      </c>
      <c r="AW195" s="13" t="s">
        <v>213</v>
      </c>
      <c r="AX195" s="13" t="s">
        <v>78</v>
      </c>
      <c r="AY195" s="238" t="s">
        <v>200</v>
      </c>
    </row>
    <row r="196" s="13" customFormat="1">
      <c r="A196" s="13"/>
      <c r="B196" s="227"/>
      <c r="C196" s="228"/>
      <c r="D196" s="229" t="s">
        <v>211</v>
      </c>
      <c r="E196" s="230" t="s">
        <v>32</v>
      </c>
      <c r="F196" s="231" t="s">
        <v>348</v>
      </c>
      <c r="G196" s="228"/>
      <c r="H196" s="232">
        <v>0.20655000000000001</v>
      </c>
      <c r="I196" s="233"/>
      <c r="J196" s="228"/>
      <c r="K196" s="228"/>
      <c r="L196" s="234"/>
      <c r="M196" s="235"/>
      <c r="N196" s="236"/>
      <c r="O196" s="236"/>
      <c r="P196" s="236"/>
      <c r="Q196" s="236"/>
      <c r="R196" s="236"/>
      <c r="S196" s="236"/>
      <c r="T196" s="237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T196" s="238" t="s">
        <v>211</v>
      </c>
      <c r="AU196" s="238" t="s">
        <v>88</v>
      </c>
      <c r="AV196" s="13" t="s">
        <v>88</v>
      </c>
      <c r="AW196" s="13" t="s">
        <v>213</v>
      </c>
      <c r="AX196" s="13" t="s">
        <v>78</v>
      </c>
      <c r="AY196" s="238" t="s">
        <v>200</v>
      </c>
    </row>
    <row r="197" s="13" customFormat="1">
      <c r="A197" s="13"/>
      <c r="B197" s="227"/>
      <c r="C197" s="228"/>
      <c r="D197" s="229" t="s">
        <v>211</v>
      </c>
      <c r="E197" s="230" t="s">
        <v>32</v>
      </c>
      <c r="F197" s="231" t="s">
        <v>349</v>
      </c>
      <c r="G197" s="228"/>
      <c r="H197" s="232">
        <v>0.36121950000000003</v>
      </c>
      <c r="I197" s="233"/>
      <c r="J197" s="228"/>
      <c r="K197" s="228"/>
      <c r="L197" s="234"/>
      <c r="M197" s="235"/>
      <c r="N197" s="236"/>
      <c r="O197" s="236"/>
      <c r="P197" s="236"/>
      <c r="Q197" s="236"/>
      <c r="R197" s="236"/>
      <c r="S197" s="236"/>
      <c r="T197" s="237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T197" s="238" t="s">
        <v>211</v>
      </c>
      <c r="AU197" s="238" t="s">
        <v>88</v>
      </c>
      <c r="AV197" s="13" t="s">
        <v>88</v>
      </c>
      <c r="AW197" s="13" t="s">
        <v>213</v>
      </c>
      <c r="AX197" s="13" t="s">
        <v>78</v>
      </c>
      <c r="AY197" s="238" t="s">
        <v>200</v>
      </c>
    </row>
    <row r="198" s="15" customFormat="1">
      <c r="A198" s="15"/>
      <c r="B198" s="250"/>
      <c r="C198" s="251"/>
      <c r="D198" s="229" t="s">
        <v>211</v>
      </c>
      <c r="E198" s="252" t="s">
        <v>32</v>
      </c>
      <c r="F198" s="253" t="s">
        <v>335</v>
      </c>
      <c r="G198" s="251"/>
      <c r="H198" s="252" t="s">
        <v>32</v>
      </c>
      <c r="I198" s="254"/>
      <c r="J198" s="251"/>
      <c r="K198" s="251"/>
      <c r="L198" s="255"/>
      <c r="M198" s="256"/>
      <c r="N198" s="257"/>
      <c r="O198" s="257"/>
      <c r="P198" s="257"/>
      <c r="Q198" s="257"/>
      <c r="R198" s="257"/>
      <c r="S198" s="257"/>
      <c r="T198" s="25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T198" s="259" t="s">
        <v>211</v>
      </c>
      <c r="AU198" s="259" t="s">
        <v>88</v>
      </c>
      <c r="AV198" s="15" t="s">
        <v>86</v>
      </c>
      <c r="AW198" s="15" t="s">
        <v>213</v>
      </c>
      <c r="AX198" s="15" t="s">
        <v>78</v>
      </c>
      <c r="AY198" s="259" t="s">
        <v>200</v>
      </c>
    </row>
    <row r="199" s="13" customFormat="1">
      <c r="A199" s="13"/>
      <c r="B199" s="227"/>
      <c r="C199" s="228"/>
      <c r="D199" s="229" t="s">
        <v>211</v>
      </c>
      <c r="E199" s="230" t="s">
        <v>32</v>
      </c>
      <c r="F199" s="231" t="s">
        <v>350</v>
      </c>
      <c r="G199" s="228"/>
      <c r="H199" s="232">
        <v>0.22365180000000001</v>
      </c>
      <c r="I199" s="233"/>
      <c r="J199" s="228"/>
      <c r="K199" s="228"/>
      <c r="L199" s="234"/>
      <c r="M199" s="235"/>
      <c r="N199" s="236"/>
      <c r="O199" s="236"/>
      <c r="P199" s="236"/>
      <c r="Q199" s="236"/>
      <c r="R199" s="236"/>
      <c r="S199" s="236"/>
      <c r="T199" s="237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T199" s="238" t="s">
        <v>211</v>
      </c>
      <c r="AU199" s="238" t="s">
        <v>88</v>
      </c>
      <c r="AV199" s="13" t="s">
        <v>88</v>
      </c>
      <c r="AW199" s="13" t="s">
        <v>213</v>
      </c>
      <c r="AX199" s="13" t="s">
        <v>78</v>
      </c>
      <c r="AY199" s="238" t="s">
        <v>200</v>
      </c>
    </row>
    <row r="200" s="14" customFormat="1">
      <c r="A200" s="14"/>
      <c r="B200" s="239"/>
      <c r="C200" s="240"/>
      <c r="D200" s="229" t="s">
        <v>211</v>
      </c>
      <c r="E200" s="241" t="s">
        <v>32</v>
      </c>
      <c r="F200" s="242" t="s">
        <v>220</v>
      </c>
      <c r="G200" s="240"/>
      <c r="H200" s="243">
        <v>1.7692938</v>
      </c>
      <c r="I200" s="244"/>
      <c r="J200" s="240"/>
      <c r="K200" s="240"/>
      <c r="L200" s="245"/>
      <c r="M200" s="246"/>
      <c r="N200" s="247"/>
      <c r="O200" s="247"/>
      <c r="P200" s="247"/>
      <c r="Q200" s="247"/>
      <c r="R200" s="247"/>
      <c r="S200" s="247"/>
      <c r="T200" s="248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T200" s="249" t="s">
        <v>211</v>
      </c>
      <c r="AU200" s="249" t="s">
        <v>88</v>
      </c>
      <c r="AV200" s="14" t="s">
        <v>207</v>
      </c>
      <c r="AW200" s="14" t="s">
        <v>213</v>
      </c>
      <c r="AX200" s="14" t="s">
        <v>86</v>
      </c>
      <c r="AY200" s="249" t="s">
        <v>200</v>
      </c>
    </row>
    <row r="201" s="2" customFormat="1" ht="21.75" customHeight="1">
      <c r="A201" s="40"/>
      <c r="B201" s="41"/>
      <c r="C201" s="209" t="s">
        <v>7</v>
      </c>
      <c r="D201" s="209" t="s">
        <v>202</v>
      </c>
      <c r="E201" s="210" t="s">
        <v>351</v>
      </c>
      <c r="F201" s="211" t="s">
        <v>352</v>
      </c>
      <c r="G201" s="212" t="s">
        <v>205</v>
      </c>
      <c r="H201" s="213">
        <v>117.862</v>
      </c>
      <c r="I201" s="214"/>
      <c r="J201" s="215">
        <f>ROUND(I201*H201,1)</f>
        <v>0</v>
      </c>
      <c r="K201" s="211" t="s">
        <v>206</v>
      </c>
      <c r="L201" s="46"/>
      <c r="M201" s="216" t="s">
        <v>32</v>
      </c>
      <c r="N201" s="217" t="s">
        <v>49</v>
      </c>
      <c r="O201" s="86"/>
      <c r="P201" s="218">
        <f>O201*H201</f>
        <v>0</v>
      </c>
      <c r="Q201" s="218">
        <v>2.5018699999999998</v>
      </c>
      <c r="R201" s="218">
        <f>Q201*H201</f>
        <v>294.87540193999996</v>
      </c>
      <c r="S201" s="218">
        <v>0</v>
      </c>
      <c r="T201" s="219">
        <f>S201*H201</f>
        <v>0</v>
      </c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R201" s="220" t="s">
        <v>207</v>
      </c>
      <c r="AT201" s="220" t="s">
        <v>202</v>
      </c>
      <c r="AU201" s="220" t="s">
        <v>88</v>
      </c>
      <c r="AY201" s="18" t="s">
        <v>200</v>
      </c>
      <c r="BE201" s="221">
        <f>IF(N201="základní",J201,0)</f>
        <v>0</v>
      </c>
      <c r="BF201" s="221">
        <f>IF(N201="snížená",J201,0)</f>
        <v>0</v>
      </c>
      <c r="BG201" s="221">
        <f>IF(N201="zákl. přenesená",J201,0)</f>
        <v>0</v>
      </c>
      <c r="BH201" s="221">
        <f>IF(N201="sníž. přenesená",J201,0)</f>
        <v>0</v>
      </c>
      <c r="BI201" s="221">
        <f>IF(N201="nulová",J201,0)</f>
        <v>0</v>
      </c>
      <c r="BJ201" s="18" t="s">
        <v>86</v>
      </c>
      <c r="BK201" s="221">
        <f>ROUND(I201*H201,1)</f>
        <v>0</v>
      </c>
      <c r="BL201" s="18" t="s">
        <v>207</v>
      </c>
      <c r="BM201" s="220" t="s">
        <v>353</v>
      </c>
    </row>
    <row r="202" s="2" customFormat="1">
      <c r="A202" s="40"/>
      <c r="B202" s="41"/>
      <c r="C202" s="42"/>
      <c r="D202" s="222" t="s">
        <v>209</v>
      </c>
      <c r="E202" s="42"/>
      <c r="F202" s="223" t="s">
        <v>354</v>
      </c>
      <c r="G202" s="42"/>
      <c r="H202" s="42"/>
      <c r="I202" s="224"/>
      <c r="J202" s="42"/>
      <c r="K202" s="42"/>
      <c r="L202" s="46"/>
      <c r="M202" s="225"/>
      <c r="N202" s="226"/>
      <c r="O202" s="86"/>
      <c r="P202" s="86"/>
      <c r="Q202" s="86"/>
      <c r="R202" s="86"/>
      <c r="S202" s="86"/>
      <c r="T202" s="87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T202" s="18" t="s">
        <v>209</v>
      </c>
      <c r="AU202" s="18" t="s">
        <v>88</v>
      </c>
    </row>
    <row r="203" s="2" customFormat="1">
      <c r="A203" s="40"/>
      <c r="B203" s="41"/>
      <c r="C203" s="42"/>
      <c r="D203" s="229" t="s">
        <v>355</v>
      </c>
      <c r="E203" s="42"/>
      <c r="F203" s="281" t="s">
        <v>356</v>
      </c>
      <c r="G203" s="42"/>
      <c r="H203" s="42"/>
      <c r="I203" s="224"/>
      <c r="J203" s="42"/>
      <c r="K203" s="42"/>
      <c r="L203" s="46"/>
      <c r="M203" s="225"/>
      <c r="N203" s="226"/>
      <c r="O203" s="86"/>
      <c r="P203" s="86"/>
      <c r="Q203" s="86"/>
      <c r="R203" s="86"/>
      <c r="S203" s="86"/>
      <c r="T203" s="87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T203" s="18" t="s">
        <v>355</v>
      </c>
      <c r="AU203" s="18" t="s">
        <v>88</v>
      </c>
    </row>
    <row r="204" s="13" customFormat="1">
      <c r="A204" s="13"/>
      <c r="B204" s="227"/>
      <c r="C204" s="228"/>
      <c r="D204" s="229" t="s">
        <v>211</v>
      </c>
      <c r="E204" s="230" t="s">
        <v>32</v>
      </c>
      <c r="F204" s="231" t="s">
        <v>357</v>
      </c>
      <c r="G204" s="228"/>
      <c r="H204" s="232">
        <v>71.559600000000003</v>
      </c>
      <c r="I204" s="233"/>
      <c r="J204" s="228"/>
      <c r="K204" s="228"/>
      <c r="L204" s="234"/>
      <c r="M204" s="235"/>
      <c r="N204" s="236"/>
      <c r="O204" s="236"/>
      <c r="P204" s="236"/>
      <c r="Q204" s="236"/>
      <c r="R204" s="236"/>
      <c r="S204" s="236"/>
      <c r="T204" s="237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T204" s="238" t="s">
        <v>211</v>
      </c>
      <c r="AU204" s="238" t="s">
        <v>88</v>
      </c>
      <c r="AV204" s="13" t="s">
        <v>88</v>
      </c>
      <c r="AW204" s="13" t="s">
        <v>213</v>
      </c>
      <c r="AX204" s="13" t="s">
        <v>78</v>
      </c>
      <c r="AY204" s="238" t="s">
        <v>200</v>
      </c>
    </row>
    <row r="205" s="13" customFormat="1">
      <c r="A205" s="13"/>
      <c r="B205" s="227"/>
      <c r="C205" s="228"/>
      <c r="D205" s="229" t="s">
        <v>211</v>
      </c>
      <c r="E205" s="230" t="s">
        <v>32</v>
      </c>
      <c r="F205" s="231" t="s">
        <v>358</v>
      </c>
      <c r="G205" s="228"/>
      <c r="H205" s="232">
        <v>17.880749999999999</v>
      </c>
      <c r="I205" s="233"/>
      <c r="J205" s="228"/>
      <c r="K205" s="228"/>
      <c r="L205" s="234"/>
      <c r="M205" s="235"/>
      <c r="N205" s="236"/>
      <c r="O205" s="236"/>
      <c r="P205" s="236"/>
      <c r="Q205" s="236"/>
      <c r="R205" s="236"/>
      <c r="S205" s="236"/>
      <c r="T205" s="237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38" t="s">
        <v>211</v>
      </c>
      <c r="AU205" s="238" t="s">
        <v>88</v>
      </c>
      <c r="AV205" s="13" t="s">
        <v>88</v>
      </c>
      <c r="AW205" s="13" t="s">
        <v>213</v>
      </c>
      <c r="AX205" s="13" t="s">
        <v>78</v>
      </c>
      <c r="AY205" s="238" t="s">
        <v>200</v>
      </c>
    </row>
    <row r="206" s="13" customFormat="1">
      <c r="A206" s="13"/>
      <c r="B206" s="227"/>
      <c r="C206" s="228"/>
      <c r="D206" s="229" t="s">
        <v>211</v>
      </c>
      <c r="E206" s="230" t="s">
        <v>32</v>
      </c>
      <c r="F206" s="231" t="s">
        <v>359</v>
      </c>
      <c r="G206" s="228"/>
      <c r="H206" s="232">
        <v>4.6349999999999998</v>
      </c>
      <c r="I206" s="233"/>
      <c r="J206" s="228"/>
      <c r="K206" s="228"/>
      <c r="L206" s="234"/>
      <c r="M206" s="235"/>
      <c r="N206" s="236"/>
      <c r="O206" s="236"/>
      <c r="P206" s="236"/>
      <c r="Q206" s="236"/>
      <c r="R206" s="236"/>
      <c r="S206" s="236"/>
      <c r="T206" s="237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T206" s="238" t="s">
        <v>211</v>
      </c>
      <c r="AU206" s="238" t="s">
        <v>88</v>
      </c>
      <c r="AV206" s="13" t="s">
        <v>88</v>
      </c>
      <c r="AW206" s="13" t="s">
        <v>213</v>
      </c>
      <c r="AX206" s="13" t="s">
        <v>78</v>
      </c>
      <c r="AY206" s="238" t="s">
        <v>200</v>
      </c>
    </row>
    <row r="207" s="13" customFormat="1">
      <c r="A207" s="13"/>
      <c r="B207" s="227"/>
      <c r="C207" s="228"/>
      <c r="D207" s="229" t="s">
        <v>211</v>
      </c>
      <c r="E207" s="230" t="s">
        <v>32</v>
      </c>
      <c r="F207" s="231" t="s">
        <v>360</v>
      </c>
      <c r="G207" s="228"/>
      <c r="H207" s="232">
        <v>8.4504000000000001</v>
      </c>
      <c r="I207" s="233"/>
      <c r="J207" s="228"/>
      <c r="K207" s="228"/>
      <c r="L207" s="234"/>
      <c r="M207" s="235"/>
      <c r="N207" s="236"/>
      <c r="O207" s="236"/>
      <c r="P207" s="236"/>
      <c r="Q207" s="236"/>
      <c r="R207" s="236"/>
      <c r="S207" s="236"/>
      <c r="T207" s="237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T207" s="238" t="s">
        <v>211</v>
      </c>
      <c r="AU207" s="238" t="s">
        <v>88</v>
      </c>
      <c r="AV207" s="13" t="s">
        <v>88</v>
      </c>
      <c r="AW207" s="13" t="s">
        <v>213</v>
      </c>
      <c r="AX207" s="13" t="s">
        <v>78</v>
      </c>
      <c r="AY207" s="238" t="s">
        <v>200</v>
      </c>
    </row>
    <row r="208" s="13" customFormat="1">
      <c r="A208" s="13"/>
      <c r="B208" s="227"/>
      <c r="C208" s="228"/>
      <c r="D208" s="229" t="s">
        <v>211</v>
      </c>
      <c r="E208" s="230" t="s">
        <v>32</v>
      </c>
      <c r="F208" s="231" t="s">
        <v>361</v>
      </c>
      <c r="G208" s="228"/>
      <c r="H208" s="232">
        <v>11.045999999999999</v>
      </c>
      <c r="I208" s="233"/>
      <c r="J208" s="228"/>
      <c r="K208" s="228"/>
      <c r="L208" s="234"/>
      <c r="M208" s="235"/>
      <c r="N208" s="236"/>
      <c r="O208" s="236"/>
      <c r="P208" s="236"/>
      <c r="Q208" s="236"/>
      <c r="R208" s="236"/>
      <c r="S208" s="236"/>
      <c r="T208" s="237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T208" s="238" t="s">
        <v>211</v>
      </c>
      <c r="AU208" s="238" t="s">
        <v>88</v>
      </c>
      <c r="AV208" s="13" t="s">
        <v>88</v>
      </c>
      <c r="AW208" s="13" t="s">
        <v>213</v>
      </c>
      <c r="AX208" s="13" t="s">
        <v>78</v>
      </c>
      <c r="AY208" s="238" t="s">
        <v>200</v>
      </c>
    </row>
    <row r="209" s="13" customFormat="1">
      <c r="A209" s="13"/>
      <c r="B209" s="227"/>
      <c r="C209" s="228"/>
      <c r="D209" s="229" t="s">
        <v>211</v>
      </c>
      <c r="E209" s="230" t="s">
        <v>32</v>
      </c>
      <c r="F209" s="231" t="s">
        <v>362</v>
      </c>
      <c r="G209" s="228"/>
      <c r="H209" s="232">
        <v>4.29</v>
      </c>
      <c r="I209" s="233"/>
      <c r="J209" s="228"/>
      <c r="K209" s="228"/>
      <c r="L209" s="234"/>
      <c r="M209" s="235"/>
      <c r="N209" s="236"/>
      <c r="O209" s="236"/>
      <c r="P209" s="236"/>
      <c r="Q209" s="236"/>
      <c r="R209" s="236"/>
      <c r="S209" s="236"/>
      <c r="T209" s="237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T209" s="238" t="s">
        <v>211</v>
      </c>
      <c r="AU209" s="238" t="s">
        <v>88</v>
      </c>
      <c r="AV209" s="13" t="s">
        <v>88</v>
      </c>
      <c r="AW209" s="13" t="s">
        <v>213</v>
      </c>
      <c r="AX209" s="13" t="s">
        <v>78</v>
      </c>
      <c r="AY209" s="238" t="s">
        <v>200</v>
      </c>
    </row>
    <row r="210" s="14" customFormat="1">
      <c r="A210" s="14"/>
      <c r="B210" s="239"/>
      <c r="C210" s="240"/>
      <c r="D210" s="229" t="s">
        <v>211</v>
      </c>
      <c r="E210" s="241" t="s">
        <v>32</v>
      </c>
      <c r="F210" s="242" t="s">
        <v>220</v>
      </c>
      <c r="G210" s="240"/>
      <c r="H210" s="243">
        <v>117.86175</v>
      </c>
      <c r="I210" s="244"/>
      <c r="J210" s="240"/>
      <c r="K210" s="240"/>
      <c r="L210" s="245"/>
      <c r="M210" s="246"/>
      <c r="N210" s="247"/>
      <c r="O210" s="247"/>
      <c r="P210" s="247"/>
      <c r="Q210" s="247"/>
      <c r="R210" s="247"/>
      <c r="S210" s="247"/>
      <c r="T210" s="248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T210" s="249" t="s">
        <v>211</v>
      </c>
      <c r="AU210" s="249" t="s">
        <v>88</v>
      </c>
      <c r="AV210" s="14" t="s">
        <v>207</v>
      </c>
      <c r="AW210" s="14" t="s">
        <v>213</v>
      </c>
      <c r="AX210" s="14" t="s">
        <v>86</v>
      </c>
      <c r="AY210" s="249" t="s">
        <v>200</v>
      </c>
    </row>
    <row r="211" s="2" customFormat="1" ht="16.5" customHeight="1">
      <c r="A211" s="40"/>
      <c r="B211" s="41"/>
      <c r="C211" s="209" t="s">
        <v>363</v>
      </c>
      <c r="D211" s="209" t="s">
        <v>202</v>
      </c>
      <c r="E211" s="210" t="s">
        <v>364</v>
      </c>
      <c r="F211" s="211" t="s">
        <v>365</v>
      </c>
      <c r="G211" s="212" t="s">
        <v>272</v>
      </c>
      <c r="H211" s="213">
        <v>532.96199999999999</v>
      </c>
      <c r="I211" s="214"/>
      <c r="J211" s="215">
        <f>ROUND(I211*H211,1)</f>
        <v>0</v>
      </c>
      <c r="K211" s="211" t="s">
        <v>206</v>
      </c>
      <c r="L211" s="46"/>
      <c r="M211" s="216" t="s">
        <v>32</v>
      </c>
      <c r="N211" s="217" t="s">
        <v>49</v>
      </c>
      <c r="O211" s="86"/>
      <c r="P211" s="218">
        <f>O211*H211</f>
        <v>0</v>
      </c>
      <c r="Q211" s="218">
        <v>0.0026900000000000001</v>
      </c>
      <c r="R211" s="218">
        <f>Q211*H211</f>
        <v>1.43366778</v>
      </c>
      <c r="S211" s="218">
        <v>0</v>
      </c>
      <c r="T211" s="219">
        <f>S211*H211</f>
        <v>0</v>
      </c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R211" s="220" t="s">
        <v>207</v>
      </c>
      <c r="AT211" s="220" t="s">
        <v>202</v>
      </c>
      <c r="AU211" s="220" t="s">
        <v>88</v>
      </c>
      <c r="AY211" s="18" t="s">
        <v>200</v>
      </c>
      <c r="BE211" s="221">
        <f>IF(N211="základní",J211,0)</f>
        <v>0</v>
      </c>
      <c r="BF211" s="221">
        <f>IF(N211="snížená",J211,0)</f>
        <v>0</v>
      </c>
      <c r="BG211" s="221">
        <f>IF(N211="zákl. přenesená",J211,0)</f>
        <v>0</v>
      </c>
      <c r="BH211" s="221">
        <f>IF(N211="sníž. přenesená",J211,0)</f>
        <v>0</v>
      </c>
      <c r="BI211" s="221">
        <f>IF(N211="nulová",J211,0)</f>
        <v>0</v>
      </c>
      <c r="BJ211" s="18" t="s">
        <v>86</v>
      </c>
      <c r="BK211" s="221">
        <f>ROUND(I211*H211,1)</f>
        <v>0</v>
      </c>
      <c r="BL211" s="18" t="s">
        <v>207</v>
      </c>
      <c r="BM211" s="220" t="s">
        <v>366</v>
      </c>
    </row>
    <row r="212" s="2" customFormat="1">
      <c r="A212" s="40"/>
      <c r="B212" s="41"/>
      <c r="C212" s="42"/>
      <c r="D212" s="222" t="s">
        <v>209</v>
      </c>
      <c r="E212" s="42"/>
      <c r="F212" s="223" t="s">
        <v>367</v>
      </c>
      <c r="G212" s="42"/>
      <c r="H212" s="42"/>
      <c r="I212" s="224"/>
      <c r="J212" s="42"/>
      <c r="K212" s="42"/>
      <c r="L212" s="46"/>
      <c r="M212" s="225"/>
      <c r="N212" s="226"/>
      <c r="O212" s="86"/>
      <c r="P212" s="86"/>
      <c r="Q212" s="86"/>
      <c r="R212" s="86"/>
      <c r="S212" s="86"/>
      <c r="T212" s="87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T212" s="18" t="s">
        <v>209</v>
      </c>
      <c r="AU212" s="18" t="s">
        <v>88</v>
      </c>
    </row>
    <row r="213" s="13" customFormat="1">
      <c r="A213" s="13"/>
      <c r="B213" s="227"/>
      <c r="C213" s="228"/>
      <c r="D213" s="229" t="s">
        <v>211</v>
      </c>
      <c r="E213" s="230" t="s">
        <v>32</v>
      </c>
      <c r="F213" s="231" t="s">
        <v>368</v>
      </c>
      <c r="G213" s="228"/>
      <c r="H213" s="232">
        <v>357.798</v>
      </c>
      <c r="I213" s="233"/>
      <c r="J213" s="228"/>
      <c r="K213" s="228"/>
      <c r="L213" s="234"/>
      <c r="M213" s="235"/>
      <c r="N213" s="236"/>
      <c r="O213" s="236"/>
      <c r="P213" s="236"/>
      <c r="Q213" s="236"/>
      <c r="R213" s="236"/>
      <c r="S213" s="236"/>
      <c r="T213" s="237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T213" s="238" t="s">
        <v>211</v>
      </c>
      <c r="AU213" s="238" t="s">
        <v>88</v>
      </c>
      <c r="AV213" s="13" t="s">
        <v>88</v>
      </c>
      <c r="AW213" s="13" t="s">
        <v>213</v>
      </c>
      <c r="AX213" s="13" t="s">
        <v>78</v>
      </c>
      <c r="AY213" s="238" t="s">
        <v>200</v>
      </c>
    </row>
    <row r="214" s="13" customFormat="1">
      <c r="A214" s="13"/>
      <c r="B214" s="227"/>
      <c r="C214" s="228"/>
      <c r="D214" s="229" t="s">
        <v>211</v>
      </c>
      <c r="E214" s="230" t="s">
        <v>32</v>
      </c>
      <c r="F214" s="231" t="s">
        <v>369</v>
      </c>
      <c r="G214" s="228"/>
      <c r="H214" s="232">
        <v>79.469999999999999</v>
      </c>
      <c r="I214" s="233"/>
      <c r="J214" s="228"/>
      <c r="K214" s="228"/>
      <c r="L214" s="234"/>
      <c r="M214" s="235"/>
      <c r="N214" s="236"/>
      <c r="O214" s="236"/>
      <c r="P214" s="236"/>
      <c r="Q214" s="236"/>
      <c r="R214" s="236"/>
      <c r="S214" s="236"/>
      <c r="T214" s="237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38" t="s">
        <v>211</v>
      </c>
      <c r="AU214" s="238" t="s">
        <v>88</v>
      </c>
      <c r="AV214" s="13" t="s">
        <v>88</v>
      </c>
      <c r="AW214" s="13" t="s">
        <v>213</v>
      </c>
      <c r="AX214" s="13" t="s">
        <v>78</v>
      </c>
      <c r="AY214" s="238" t="s">
        <v>200</v>
      </c>
    </row>
    <row r="215" s="13" customFormat="1">
      <c r="A215" s="13"/>
      <c r="B215" s="227"/>
      <c r="C215" s="228"/>
      <c r="D215" s="229" t="s">
        <v>211</v>
      </c>
      <c r="E215" s="230" t="s">
        <v>32</v>
      </c>
      <c r="F215" s="231" t="s">
        <v>370</v>
      </c>
      <c r="G215" s="228"/>
      <c r="H215" s="232">
        <v>18.539999999999999</v>
      </c>
      <c r="I215" s="233"/>
      <c r="J215" s="228"/>
      <c r="K215" s="228"/>
      <c r="L215" s="234"/>
      <c r="M215" s="235"/>
      <c r="N215" s="236"/>
      <c r="O215" s="236"/>
      <c r="P215" s="236"/>
      <c r="Q215" s="236"/>
      <c r="R215" s="236"/>
      <c r="S215" s="236"/>
      <c r="T215" s="237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T215" s="238" t="s">
        <v>211</v>
      </c>
      <c r="AU215" s="238" t="s">
        <v>88</v>
      </c>
      <c r="AV215" s="13" t="s">
        <v>88</v>
      </c>
      <c r="AW215" s="13" t="s">
        <v>213</v>
      </c>
      <c r="AX215" s="13" t="s">
        <v>78</v>
      </c>
      <c r="AY215" s="238" t="s">
        <v>200</v>
      </c>
    </row>
    <row r="216" s="13" customFormat="1">
      <c r="A216" s="13"/>
      <c r="B216" s="227"/>
      <c r="C216" s="228"/>
      <c r="D216" s="229" t="s">
        <v>211</v>
      </c>
      <c r="E216" s="230" t="s">
        <v>32</v>
      </c>
      <c r="F216" s="231" t="s">
        <v>371</v>
      </c>
      <c r="G216" s="228"/>
      <c r="H216" s="232">
        <v>24.143999999999998</v>
      </c>
      <c r="I216" s="233"/>
      <c r="J216" s="228"/>
      <c r="K216" s="228"/>
      <c r="L216" s="234"/>
      <c r="M216" s="235"/>
      <c r="N216" s="236"/>
      <c r="O216" s="236"/>
      <c r="P216" s="236"/>
      <c r="Q216" s="236"/>
      <c r="R216" s="236"/>
      <c r="S216" s="236"/>
      <c r="T216" s="237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T216" s="238" t="s">
        <v>211</v>
      </c>
      <c r="AU216" s="238" t="s">
        <v>88</v>
      </c>
      <c r="AV216" s="13" t="s">
        <v>88</v>
      </c>
      <c r="AW216" s="13" t="s">
        <v>213</v>
      </c>
      <c r="AX216" s="13" t="s">
        <v>78</v>
      </c>
      <c r="AY216" s="238" t="s">
        <v>200</v>
      </c>
    </row>
    <row r="217" s="13" customFormat="1">
      <c r="A217" s="13"/>
      <c r="B217" s="227"/>
      <c r="C217" s="228"/>
      <c r="D217" s="229" t="s">
        <v>211</v>
      </c>
      <c r="E217" s="230" t="s">
        <v>32</v>
      </c>
      <c r="F217" s="231" t="s">
        <v>372</v>
      </c>
      <c r="G217" s="228"/>
      <c r="H217" s="232">
        <v>31.559999999999999</v>
      </c>
      <c r="I217" s="233"/>
      <c r="J217" s="228"/>
      <c r="K217" s="228"/>
      <c r="L217" s="234"/>
      <c r="M217" s="235"/>
      <c r="N217" s="236"/>
      <c r="O217" s="236"/>
      <c r="P217" s="236"/>
      <c r="Q217" s="236"/>
      <c r="R217" s="236"/>
      <c r="S217" s="236"/>
      <c r="T217" s="237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T217" s="238" t="s">
        <v>211</v>
      </c>
      <c r="AU217" s="238" t="s">
        <v>88</v>
      </c>
      <c r="AV217" s="13" t="s">
        <v>88</v>
      </c>
      <c r="AW217" s="13" t="s">
        <v>213</v>
      </c>
      <c r="AX217" s="13" t="s">
        <v>78</v>
      </c>
      <c r="AY217" s="238" t="s">
        <v>200</v>
      </c>
    </row>
    <row r="218" s="13" customFormat="1">
      <c r="A218" s="13"/>
      <c r="B218" s="227"/>
      <c r="C218" s="228"/>
      <c r="D218" s="229" t="s">
        <v>211</v>
      </c>
      <c r="E218" s="230" t="s">
        <v>32</v>
      </c>
      <c r="F218" s="231" t="s">
        <v>373</v>
      </c>
      <c r="G218" s="228"/>
      <c r="H218" s="232">
        <v>21.449999999999999</v>
      </c>
      <c r="I218" s="233"/>
      <c r="J218" s="228"/>
      <c r="K218" s="228"/>
      <c r="L218" s="234"/>
      <c r="M218" s="235"/>
      <c r="N218" s="236"/>
      <c r="O218" s="236"/>
      <c r="P218" s="236"/>
      <c r="Q218" s="236"/>
      <c r="R218" s="236"/>
      <c r="S218" s="236"/>
      <c r="T218" s="237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38" t="s">
        <v>211</v>
      </c>
      <c r="AU218" s="238" t="s">
        <v>88</v>
      </c>
      <c r="AV218" s="13" t="s">
        <v>88</v>
      </c>
      <c r="AW218" s="13" t="s">
        <v>213</v>
      </c>
      <c r="AX218" s="13" t="s">
        <v>78</v>
      </c>
      <c r="AY218" s="238" t="s">
        <v>200</v>
      </c>
    </row>
    <row r="219" s="14" customFormat="1">
      <c r="A219" s="14"/>
      <c r="B219" s="239"/>
      <c r="C219" s="240"/>
      <c r="D219" s="229" t="s">
        <v>211</v>
      </c>
      <c r="E219" s="241" t="s">
        <v>32</v>
      </c>
      <c r="F219" s="242" t="s">
        <v>220</v>
      </c>
      <c r="G219" s="240"/>
      <c r="H219" s="243">
        <v>532.96199999999999</v>
      </c>
      <c r="I219" s="244"/>
      <c r="J219" s="240"/>
      <c r="K219" s="240"/>
      <c r="L219" s="245"/>
      <c r="M219" s="246"/>
      <c r="N219" s="247"/>
      <c r="O219" s="247"/>
      <c r="P219" s="247"/>
      <c r="Q219" s="247"/>
      <c r="R219" s="247"/>
      <c r="S219" s="247"/>
      <c r="T219" s="248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T219" s="249" t="s">
        <v>211</v>
      </c>
      <c r="AU219" s="249" t="s">
        <v>88</v>
      </c>
      <c r="AV219" s="14" t="s">
        <v>207</v>
      </c>
      <c r="AW219" s="14" t="s">
        <v>213</v>
      </c>
      <c r="AX219" s="14" t="s">
        <v>86</v>
      </c>
      <c r="AY219" s="249" t="s">
        <v>200</v>
      </c>
    </row>
    <row r="220" s="2" customFormat="1" ht="16.5" customHeight="1">
      <c r="A220" s="40"/>
      <c r="B220" s="41"/>
      <c r="C220" s="209" t="s">
        <v>374</v>
      </c>
      <c r="D220" s="209" t="s">
        <v>202</v>
      </c>
      <c r="E220" s="210" t="s">
        <v>375</v>
      </c>
      <c r="F220" s="211" t="s">
        <v>376</v>
      </c>
      <c r="G220" s="212" t="s">
        <v>272</v>
      </c>
      <c r="H220" s="213">
        <v>532.96199999999999</v>
      </c>
      <c r="I220" s="214"/>
      <c r="J220" s="215">
        <f>ROUND(I220*H220,1)</f>
        <v>0</v>
      </c>
      <c r="K220" s="211" t="s">
        <v>206</v>
      </c>
      <c r="L220" s="46"/>
      <c r="M220" s="216" t="s">
        <v>32</v>
      </c>
      <c r="N220" s="217" t="s">
        <v>49</v>
      </c>
      <c r="O220" s="86"/>
      <c r="P220" s="218">
        <f>O220*H220</f>
        <v>0</v>
      </c>
      <c r="Q220" s="218">
        <v>0</v>
      </c>
      <c r="R220" s="218">
        <f>Q220*H220</f>
        <v>0</v>
      </c>
      <c r="S220" s="218">
        <v>0</v>
      </c>
      <c r="T220" s="219">
        <f>S220*H220</f>
        <v>0</v>
      </c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R220" s="220" t="s">
        <v>207</v>
      </c>
      <c r="AT220" s="220" t="s">
        <v>202</v>
      </c>
      <c r="AU220" s="220" t="s">
        <v>88</v>
      </c>
      <c r="AY220" s="18" t="s">
        <v>200</v>
      </c>
      <c r="BE220" s="221">
        <f>IF(N220="základní",J220,0)</f>
        <v>0</v>
      </c>
      <c r="BF220" s="221">
        <f>IF(N220="snížená",J220,0)</f>
        <v>0</v>
      </c>
      <c r="BG220" s="221">
        <f>IF(N220="zákl. přenesená",J220,0)</f>
        <v>0</v>
      </c>
      <c r="BH220" s="221">
        <f>IF(N220="sníž. přenesená",J220,0)</f>
        <v>0</v>
      </c>
      <c r="BI220" s="221">
        <f>IF(N220="nulová",J220,0)</f>
        <v>0</v>
      </c>
      <c r="BJ220" s="18" t="s">
        <v>86</v>
      </c>
      <c r="BK220" s="221">
        <f>ROUND(I220*H220,1)</f>
        <v>0</v>
      </c>
      <c r="BL220" s="18" t="s">
        <v>207</v>
      </c>
      <c r="BM220" s="220" t="s">
        <v>377</v>
      </c>
    </row>
    <row r="221" s="2" customFormat="1">
      <c r="A221" s="40"/>
      <c r="B221" s="41"/>
      <c r="C221" s="42"/>
      <c r="D221" s="222" t="s">
        <v>209</v>
      </c>
      <c r="E221" s="42"/>
      <c r="F221" s="223" t="s">
        <v>378</v>
      </c>
      <c r="G221" s="42"/>
      <c r="H221" s="42"/>
      <c r="I221" s="224"/>
      <c r="J221" s="42"/>
      <c r="K221" s="42"/>
      <c r="L221" s="46"/>
      <c r="M221" s="225"/>
      <c r="N221" s="226"/>
      <c r="O221" s="86"/>
      <c r="P221" s="86"/>
      <c r="Q221" s="86"/>
      <c r="R221" s="86"/>
      <c r="S221" s="86"/>
      <c r="T221" s="87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T221" s="18" t="s">
        <v>209</v>
      </c>
      <c r="AU221" s="18" t="s">
        <v>88</v>
      </c>
    </row>
    <row r="222" s="2" customFormat="1" ht="16.5" customHeight="1">
      <c r="A222" s="40"/>
      <c r="B222" s="41"/>
      <c r="C222" s="209" t="s">
        <v>379</v>
      </c>
      <c r="D222" s="209" t="s">
        <v>202</v>
      </c>
      <c r="E222" s="210" t="s">
        <v>380</v>
      </c>
      <c r="F222" s="211" t="s">
        <v>381</v>
      </c>
      <c r="G222" s="212" t="s">
        <v>250</v>
      </c>
      <c r="H222" s="213">
        <v>21.215</v>
      </c>
      <c r="I222" s="214"/>
      <c r="J222" s="215">
        <f>ROUND(I222*H222,1)</f>
        <v>0</v>
      </c>
      <c r="K222" s="211" t="s">
        <v>206</v>
      </c>
      <c r="L222" s="46"/>
      <c r="M222" s="216" t="s">
        <v>32</v>
      </c>
      <c r="N222" s="217" t="s">
        <v>49</v>
      </c>
      <c r="O222" s="86"/>
      <c r="P222" s="218">
        <f>O222*H222</f>
        <v>0</v>
      </c>
      <c r="Q222" s="218">
        <v>1.0606199999999999</v>
      </c>
      <c r="R222" s="218">
        <f>Q222*H222</f>
        <v>22.501053299999999</v>
      </c>
      <c r="S222" s="218">
        <v>0</v>
      </c>
      <c r="T222" s="219">
        <f>S222*H222</f>
        <v>0</v>
      </c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R222" s="220" t="s">
        <v>207</v>
      </c>
      <c r="AT222" s="220" t="s">
        <v>202</v>
      </c>
      <c r="AU222" s="220" t="s">
        <v>88</v>
      </c>
      <c r="AY222" s="18" t="s">
        <v>200</v>
      </c>
      <c r="BE222" s="221">
        <f>IF(N222="základní",J222,0)</f>
        <v>0</v>
      </c>
      <c r="BF222" s="221">
        <f>IF(N222="snížená",J222,0)</f>
        <v>0</v>
      </c>
      <c r="BG222" s="221">
        <f>IF(N222="zákl. přenesená",J222,0)</f>
        <v>0</v>
      </c>
      <c r="BH222" s="221">
        <f>IF(N222="sníž. přenesená",J222,0)</f>
        <v>0</v>
      </c>
      <c r="BI222" s="221">
        <f>IF(N222="nulová",J222,0)</f>
        <v>0</v>
      </c>
      <c r="BJ222" s="18" t="s">
        <v>86</v>
      </c>
      <c r="BK222" s="221">
        <f>ROUND(I222*H222,1)</f>
        <v>0</v>
      </c>
      <c r="BL222" s="18" t="s">
        <v>207</v>
      </c>
      <c r="BM222" s="220" t="s">
        <v>382</v>
      </c>
    </row>
    <row r="223" s="2" customFormat="1">
      <c r="A223" s="40"/>
      <c r="B223" s="41"/>
      <c r="C223" s="42"/>
      <c r="D223" s="222" t="s">
        <v>209</v>
      </c>
      <c r="E223" s="42"/>
      <c r="F223" s="223" t="s">
        <v>383</v>
      </c>
      <c r="G223" s="42"/>
      <c r="H223" s="42"/>
      <c r="I223" s="224"/>
      <c r="J223" s="42"/>
      <c r="K223" s="42"/>
      <c r="L223" s="46"/>
      <c r="M223" s="225"/>
      <c r="N223" s="226"/>
      <c r="O223" s="86"/>
      <c r="P223" s="86"/>
      <c r="Q223" s="86"/>
      <c r="R223" s="86"/>
      <c r="S223" s="86"/>
      <c r="T223" s="87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T223" s="18" t="s">
        <v>209</v>
      </c>
      <c r="AU223" s="18" t="s">
        <v>88</v>
      </c>
    </row>
    <row r="224" s="13" customFormat="1">
      <c r="A224" s="13"/>
      <c r="B224" s="227"/>
      <c r="C224" s="228"/>
      <c r="D224" s="229" t="s">
        <v>211</v>
      </c>
      <c r="E224" s="230" t="s">
        <v>32</v>
      </c>
      <c r="F224" s="231" t="s">
        <v>384</v>
      </c>
      <c r="G224" s="228"/>
      <c r="H224" s="232">
        <v>21.215160000000001</v>
      </c>
      <c r="I224" s="233"/>
      <c r="J224" s="228"/>
      <c r="K224" s="228"/>
      <c r="L224" s="234"/>
      <c r="M224" s="235"/>
      <c r="N224" s="236"/>
      <c r="O224" s="236"/>
      <c r="P224" s="236"/>
      <c r="Q224" s="236"/>
      <c r="R224" s="236"/>
      <c r="S224" s="236"/>
      <c r="T224" s="237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38" t="s">
        <v>211</v>
      </c>
      <c r="AU224" s="238" t="s">
        <v>88</v>
      </c>
      <c r="AV224" s="13" t="s">
        <v>88</v>
      </c>
      <c r="AW224" s="13" t="s">
        <v>213</v>
      </c>
      <c r="AX224" s="13" t="s">
        <v>86</v>
      </c>
      <c r="AY224" s="238" t="s">
        <v>200</v>
      </c>
    </row>
    <row r="225" s="2" customFormat="1" ht="21.75" customHeight="1">
      <c r="A225" s="40"/>
      <c r="B225" s="41"/>
      <c r="C225" s="209" t="s">
        <v>385</v>
      </c>
      <c r="D225" s="209" t="s">
        <v>202</v>
      </c>
      <c r="E225" s="210" t="s">
        <v>386</v>
      </c>
      <c r="F225" s="211" t="s">
        <v>387</v>
      </c>
      <c r="G225" s="212" t="s">
        <v>205</v>
      </c>
      <c r="H225" s="213">
        <v>1.232</v>
      </c>
      <c r="I225" s="214"/>
      <c r="J225" s="215">
        <f>ROUND(I225*H225,1)</f>
        <v>0</v>
      </c>
      <c r="K225" s="211" t="s">
        <v>206</v>
      </c>
      <c r="L225" s="46"/>
      <c r="M225" s="216" t="s">
        <v>32</v>
      </c>
      <c r="N225" s="217" t="s">
        <v>49</v>
      </c>
      <c r="O225" s="86"/>
      <c r="P225" s="218">
        <f>O225*H225</f>
        <v>0</v>
      </c>
      <c r="Q225" s="218">
        <v>2.5018699999999998</v>
      </c>
      <c r="R225" s="218">
        <f>Q225*H225</f>
        <v>3.0823038399999998</v>
      </c>
      <c r="S225" s="218">
        <v>0</v>
      </c>
      <c r="T225" s="219">
        <f>S225*H225</f>
        <v>0</v>
      </c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R225" s="220" t="s">
        <v>207</v>
      </c>
      <c r="AT225" s="220" t="s">
        <v>202</v>
      </c>
      <c r="AU225" s="220" t="s">
        <v>88</v>
      </c>
      <c r="AY225" s="18" t="s">
        <v>200</v>
      </c>
      <c r="BE225" s="221">
        <f>IF(N225="základní",J225,0)</f>
        <v>0</v>
      </c>
      <c r="BF225" s="221">
        <f>IF(N225="snížená",J225,0)</f>
        <v>0</v>
      </c>
      <c r="BG225" s="221">
        <f>IF(N225="zákl. přenesená",J225,0)</f>
        <v>0</v>
      </c>
      <c r="BH225" s="221">
        <f>IF(N225="sníž. přenesená",J225,0)</f>
        <v>0</v>
      </c>
      <c r="BI225" s="221">
        <f>IF(N225="nulová",J225,0)</f>
        <v>0</v>
      </c>
      <c r="BJ225" s="18" t="s">
        <v>86</v>
      </c>
      <c r="BK225" s="221">
        <f>ROUND(I225*H225,1)</f>
        <v>0</v>
      </c>
      <c r="BL225" s="18" t="s">
        <v>207</v>
      </c>
      <c r="BM225" s="220" t="s">
        <v>388</v>
      </c>
    </row>
    <row r="226" s="2" customFormat="1">
      <c r="A226" s="40"/>
      <c r="B226" s="41"/>
      <c r="C226" s="42"/>
      <c r="D226" s="222" t="s">
        <v>209</v>
      </c>
      <c r="E226" s="42"/>
      <c r="F226" s="223" t="s">
        <v>389</v>
      </c>
      <c r="G226" s="42"/>
      <c r="H226" s="42"/>
      <c r="I226" s="224"/>
      <c r="J226" s="42"/>
      <c r="K226" s="42"/>
      <c r="L226" s="46"/>
      <c r="M226" s="225"/>
      <c r="N226" s="226"/>
      <c r="O226" s="86"/>
      <c r="P226" s="86"/>
      <c r="Q226" s="86"/>
      <c r="R226" s="86"/>
      <c r="S226" s="86"/>
      <c r="T226" s="87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T226" s="18" t="s">
        <v>209</v>
      </c>
      <c r="AU226" s="18" t="s">
        <v>88</v>
      </c>
    </row>
    <row r="227" s="13" customFormat="1">
      <c r="A227" s="13"/>
      <c r="B227" s="227"/>
      <c r="C227" s="228"/>
      <c r="D227" s="229" t="s">
        <v>211</v>
      </c>
      <c r="E227" s="230" t="s">
        <v>32</v>
      </c>
      <c r="F227" s="231" t="s">
        <v>390</v>
      </c>
      <c r="G227" s="228"/>
      <c r="H227" s="232">
        <v>1.232</v>
      </c>
      <c r="I227" s="233"/>
      <c r="J227" s="228"/>
      <c r="K227" s="228"/>
      <c r="L227" s="234"/>
      <c r="M227" s="235"/>
      <c r="N227" s="236"/>
      <c r="O227" s="236"/>
      <c r="P227" s="236"/>
      <c r="Q227" s="236"/>
      <c r="R227" s="236"/>
      <c r="S227" s="236"/>
      <c r="T227" s="237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T227" s="238" t="s">
        <v>211</v>
      </c>
      <c r="AU227" s="238" t="s">
        <v>88</v>
      </c>
      <c r="AV227" s="13" t="s">
        <v>88</v>
      </c>
      <c r="AW227" s="13" t="s">
        <v>213</v>
      </c>
      <c r="AX227" s="13" t="s">
        <v>86</v>
      </c>
      <c r="AY227" s="238" t="s">
        <v>200</v>
      </c>
    </row>
    <row r="228" s="2" customFormat="1" ht="16.5" customHeight="1">
      <c r="A228" s="40"/>
      <c r="B228" s="41"/>
      <c r="C228" s="209" t="s">
        <v>391</v>
      </c>
      <c r="D228" s="209" t="s">
        <v>202</v>
      </c>
      <c r="E228" s="210" t="s">
        <v>392</v>
      </c>
      <c r="F228" s="211" t="s">
        <v>393</v>
      </c>
      <c r="G228" s="212" t="s">
        <v>272</v>
      </c>
      <c r="H228" s="213">
        <v>12.32</v>
      </c>
      <c r="I228" s="214"/>
      <c r="J228" s="215">
        <f>ROUND(I228*H228,1)</f>
        <v>0</v>
      </c>
      <c r="K228" s="211" t="s">
        <v>206</v>
      </c>
      <c r="L228" s="46"/>
      <c r="M228" s="216" t="s">
        <v>32</v>
      </c>
      <c r="N228" s="217" t="s">
        <v>49</v>
      </c>
      <c r="O228" s="86"/>
      <c r="P228" s="218">
        <f>O228*H228</f>
        <v>0</v>
      </c>
      <c r="Q228" s="218">
        <v>0.00264</v>
      </c>
      <c r="R228" s="218">
        <f>Q228*H228</f>
        <v>0.0325248</v>
      </c>
      <c r="S228" s="218">
        <v>0</v>
      </c>
      <c r="T228" s="219">
        <f>S228*H228</f>
        <v>0</v>
      </c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R228" s="220" t="s">
        <v>207</v>
      </c>
      <c r="AT228" s="220" t="s">
        <v>202</v>
      </c>
      <c r="AU228" s="220" t="s">
        <v>88</v>
      </c>
      <c r="AY228" s="18" t="s">
        <v>200</v>
      </c>
      <c r="BE228" s="221">
        <f>IF(N228="základní",J228,0)</f>
        <v>0</v>
      </c>
      <c r="BF228" s="221">
        <f>IF(N228="snížená",J228,0)</f>
        <v>0</v>
      </c>
      <c r="BG228" s="221">
        <f>IF(N228="zákl. přenesená",J228,0)</f>
        <v>0</v>
      </c>
      <c r="BH228" s="221">
        <f>IF(N228="sníž. přenesená",J228,0)</f>
        <v>0</v>
      </c>
      <c r="BI228" s="221">
        <f>IF(N228="nulová",J228,0)</f>
        <v>0</v>
      </c>
      <c r="BJ228" s="18" t="s">
        <v>86</v>
      </c>
      <c r="BK228" s="221">
        <f>ROUND(I228*H228,1)</f>
        <v>0</v>
      </c>
      <c r="BL228" s="18" t="s">
        <v>207</v>
      </c>
      <c r="BM228" s="220" t="s">
        <v>394</v>
      </c>
    </row>
    <row r="229" s="2" customFormat="1">
      <c r="A229" s="40"/>
      <c r="B229" s="41"/>
      <c r="C229" s="42"/>
      <c r="D229" s="222" t="s">
        <v>209</v>
      </c>
      <c r="E229" s="42"/>
      <c r="F229" s="223" t="s">
        <v>395</v>
      </c>
      <c r="G229" s="42"/>
      <c r="H229" s="42"/>
      <c r="I229" s="224"/>
      <c r="J229" s="42"/>
      <c r="K229" s="42"/>
      <c r="L229" s="46"/>
      <c r="M229" s="225"/>
      <c r="N229" s="226"/>
      <c r="O229" s="86"/>
      <c r="P229" s="86"/>
      <c r="Q229" s="86"/>
      <c r="R229" s="86"/>
      <c r="S229" s="86"/>
      <c r="T229" s="87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T229" s="18" t="s">
        <v>209</v>
      </c>
      <c r="AU229" s="18" t="s">
        <v>88</v>
      </c>
    </row>
    <row r="230" s="13" customFormat="1">
      <c r="A230" s="13"/>
      <c r="B230" s="227"/>
      <c r="C230" s="228"/>
      <c r="D230" s="229" t="s">
        <v>211</v>
      </c>
      <c r="E230" s="230" t="s">
        <v>32</v>
      </c>
      <c r="F230" s="231" t="s">
        <v>396</v>
      </c>
      <c r="G230" s="228"/>
      <c r="H230" s="232">
        <v>12.32</v>
      </c>
      <c r="I230" s="233"/>
      <c r="J230" s="228"/>
      <c r="K230" s="228"/>
      <c r="L230" s="234"/>
      <c r="M230" s="235"/>
      <c r="N230" s="236"/>
      <c r="O230" s="236"/>
      <c r="P230" s="236"/>
      <c r="Q230" s="236"/>
      <c r="R230" s="236"/>
      <c r="S230" s="236"/>
      <c r="T230" s="237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T230" s="238" t="s">
        <v>211</v>
      </c>
      <c r="AU230" s="238" t="s">
        <v>88</v>
      </c>
      <c r="AV230" s="13" t="s">
        <v>88</v>
      </c>
      <c r="AW230" s="13" t="s">
        <v>213</v>
      </c>
      <c r="AX230" s="13" t="s">
        <v>86</v>
      </c>
      <c r="AY230" s="238" t="s">
        <v>200</v>
      </c>
    </row>
    <row r="231" s="2" customFormat="1" ht="16.5" customHeight="1">
      <c r="A231" s="40"/>
      <c r="B231" s="41"/>
      <c r="C231" s="209" t="s">
        <v>397</v>
      </c>
      <c r="D231" s="209" t="s">
        <v>202</v>
      </c>
      <c r="E231" s="210" t="s">
        <v>398</v>
      </c>
      <c r="F231" s="211" t="s">
        <v>399</v>
      </c>
      <c r="G231" s="212" t="s">
        <v>272</v>
      </c>
      <c r="H231" s="213">
        <v>12.32</v>
      </c>
      <c r="I231" s="214"/>
      <c r="J231" s="215">
        <f>ROUND(I231*H231,1)</f>
        <v>0</v>
      </c>
      <c r="K231" s="211" t="s">
        <v>206</v>
      </c>
      <c r="L231" s="46"/>
      <c r="M231" s="216" t="s">
        <v>32</v>
      </c>
      <c r="N231" s="217" t="s">
        <v>49</v>
      </c>
      <c r="O231" s="86"/>
      <c r="P231" s="218">
        <f>O231*H231</f>
        <v>0</v>
      </c>
      <c r="Q231" s="218">
        <v>0</v>
      </c>
      <c r="R231" s="218">
        <f>Q231*H231</f>
        <v>0</v>
      </c>
      <c r="S231" s="218">
        <v>0</v>
      </c>
      <c r="T231" s="219">
        <f>S231*H231</f>
        <v>0</v>
      </c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R231" s="220" t="s">
        <v>207</v>
      </c>
      <c r="AT231" s="220" t="s">
        <v>202</v>
      </c>
      <c r="AU231" s="220" t="s">
        <v>88</v>
      </c>
      <c r="AY231" s="18" t="s">
        <v>200</v>
      </c>
      <c r="BE231" s="221">
        <f>IF(N231="základní",J231,0)</f>
        <v>0</v>
      </c>
      <c r="BF231" s="221">
        <f>IF(N231="snížená",J231,0)</f>
        <v>0</v>
      </c>
      <c r="BG231" s="221">
        <f>IF(N231="zákl. přenesená",J231,0)</f>
        <v>0</v>
      </c>
      <c r="BH231" s="221">
        <f>IF(N231="sníž. přenesená",J231,0)</f>
        <v>0</v>
      </c>
      <c r="BI231" s="221">
        <f>IF(N231="nulová",J231,0)</f>
        <v>0</v>
      </c>
      <c r="BJ231" s="18" t="s">
        <v>86</v>
      </c>
      <c r="BK231" s="221">
        <f>ROUND(I231*H231,1)</f>
        <v>0</v>
      </c>
      <c r="BL231" s="18" t="s">
        <v>207</v>
      </c>
      <c r="BM231" s="220" t="s">
        <v>400</v>
      </c>
    </row>
    <row r="232" s="2" customFormat="1">
      <c r="A232" s="40"/>
      <c r="B232" s="41"/>
      <c r="C232" s="42"/>
      <c r="D232" s="222" t="s">
        <v>209</v>
      </c>
      <c r="E232" s="42"/>
      <c r="F232" s="223" t="s">
        <v>401</v>
      </c>
      <c r="G232" s="42"/>
      <c r="H232" s="42"/>
      <c r="I232" s="224"/>
      <c r="J232" s="42"/>
      <c r="K232" s="42"/>
      <c r="L232" s="46"/>
      <c r="M232" s="225"/>
      <c r="N232" s="226"/>
      <c r="O232" s="86"/>
      <c r="P232" s="86"/>
      <c r="Q232" s="86"/>
      <c r="R232" s="86"/>
      <c r="S232" s="86"/>
      <c r="T232" s="87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T232" s="18" t="s">
        <v>209</v>
      </c>
      <c r="AU232" s="18" t="s">
        <v>88</v>
      </c>
    </row>
    <row r="233" s="2" customFormat="1" ht="16.5" customHeight="1">
      <c r="A233" s="40"/>
      <c r="B233" s="41"/>
      <c r="C233" s="209" t="s">
        <v>402</v>
      </c>
      <c r="D233" s="209" t="s">
        <v>202</v>
      </c>
      <c r="E233" s="210" t="s">
        <v>403</v>
      </c>
      <c r="F233" s="211" t="s">
        <v>404</v>
      </c>
      <c r="G233" s="212" t="s">
        <v>250</v>
      </c>
      <c r="H233" s="213">
        <v>0.222</v>
      </c>
      <c r="I233" s="214"/>
      <c r="J233" s="215">
        <f>ROUND(I233*H233,1)</f>
        <v>0</v>
      </c>
      <c r="K233" s="211" t="s">
        <v>206</v>
      </c>
      <c r="L233" s="46"/>
      <c r="M233" s="216" t="s">
        <v>32</v>
      </c>
      <c r="N233" s="217" t="s">
        <v>49</v>
      </c>
      <c r="O233" s="86"/>
      <c r="P233" s="218">
        <f>O233*H233</f>
        <v>0</v>
      </c>
      <c r="Q233" s="218">
        <v>1.0606199999999999</v>
      </c>
      <c r="R233" s="218">
        <f>Q233*H233</f>
        <v>0.23545763999999997</v>
      </c>
      <c r="S233" s="218">
        <v>0</v>
      </c>
      <c r="T233" s="219">
        <f>S233*H233</f>
        <v>0</v>
      </c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R233" s="220" t="s">
        <v>207</v>
      </c>
      <c r="AT233" s="220" t="s">
        <v>202</v>
      </c>
      <c r="AU233" s="220" t="s">
        <v>88</v>
      </c>
      <c r="AY233" s="18" t="s">
        <v>200</v>
      </c>
      <c r="BE233" s="221">
        <f>IF(N233="základní",J233,0)</f>
        <v>0</v>
      </c>
      <c r="BF233" s="221">
        <f>IF(N233="snížená",J233,0)</f>
        <v>0</v>
      </c>
      <c r="BG233" s="221">
        <f>IF(N233="zákl. přenesená",J233,0)</f>
        <v>0</v>
      </c>
      <c r="BH233" s="221">
        <f>IF(N233="sníž. přenesená",J233,0)</f>
        <v>0</v>
      </c>
      <c r="BI233" s="221">
        <f>IF(N233="nulová",J233,0)</f>
        <v>0</v>
      </c>
      <c r="BJ233" s="18" t="s">
        <v>86</v>
      </c>
      <c r="BK233" s="221">
        <f>ROUND(I233*H233,1)</f>
        <v>0</v>
      </c>
      <c r="BL233" s="18" t="s">
        <v>207</v>
      </c>
      <c r="BM233" s="220" t="s">
        <v>405</v>
      </c>
    </row>
    <row r="234" s="2" customFormat="1">
      <c r="A234" s="40"/>
      <c r="B234" s="41"/>
      <c r="C234" s="42"/>
      <c r="D234" s="222" t="s">
        <v>209</v>
      </c>
      <c r="E234" s="42"/>
      <c r="F234" s="223" t="s">
        <v>406</v>
      </c>
      <c r="G234" s="42"/>
      <c r="H234" s="42"/>
      <c r="I234" s="224"/>
      <c r="J234" s="42"/>
      <c r="K234" s="42"/>
      <c r="L234" s="46"/>
      <c r="M234" s="225"/>
      <c r="N234" s="226"/>
      <c r="O234" s="86"/>
      <c r="P234" s="86"/>
      <c r="Q234" s="86"/>
      <c r="R234" s="86"/>
      <c r="S234" s="86"/>
      <c r="T234" s="87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T234" s="18" t="s">
        <v>209</v>
      </c>
      <c r="AU234" s="18" t="s">
        <v>88</v>
      </c>
    </row>
    <row r="235" s="13" customFormat="1">
      <c r="A235" s="13"/>
      <c r="B235" s="227"/>
      <c r="C235" s="228"/>
      <c r="D235" s="229" t="s">
        <v>211</v>
      </c>
      <c r="E235" s="230" t="s">
        <v>32</v>
      </c>
      <c r="F235" s="231" t="s">
        <v>407</v>
      </c>
      <c r="G235" s="228"/>
      <c r="H235" s="232">
        <v>0.22176000000000001</v>
      </c>
      <c r="I235" s="233"/>
      <c r="J235" s="228"/>
      <c r="K235" s="228"/>
      <c r="L235" s="234"/>
      <c r="M235" s="235"/>
      <c r="N235" s="236"/>
      <c r="O235" s="236"/>
      <c r="P235" s="236"/>
      <c r="Q235" s="236"/>
      <c r="R235" s="236"/>
      <c r="S235" s="236"/>
      <c r="T235" s="237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T235" s="238" t="s">
        <v>211</v>
      </c>
      <c r="AU235" s="238" t="s">
        <v>88</v>
      </c>
      <c r="AV235" s="13" t="s">
        <v>88</v>
      </c>
      <c r="AW235" s="13" t="s">
        <v>213</v>
      </c>
      <c r="AX235" s="13" t="s">
        <v>86</v>
      </c>
      <c r="AY235" s="238" t="s">
        <v>200</v>
      </c>
    </row>
    <row r="236" s="12" customFormat="1" ht="22.8" customHeight="1">
      <c r="A236" s="12"/>
      <c r="B236" s="193"/>
      <c r="C236" s="194"/>
      <c r="D236" s="195" t="s">
        <v>77</v>
      </c>
      <c r="E236" s="207" t="s">
        <v>148</v>
      </c>
      <c r="F236" s="207" t="s">
        <v>408</v>
      </c>
      <c r="G236" s="194"/>
      <c r="H236" s="194"/>
      <c r="I236" s="197"/>
      <c r="J236" s="208">
        <f>BK236</f>
        <v>0</v>
      </c>
      <c r="K236" s="194"/>
      <c r="L236" s="199"/>
      <c r="M236" s="200"/>
      <c r="N236" s="201"/>
      <c r="O236" s="201"/>
      <c r="P236" s="202">
        <f>SUM(P237:P327)</f>
        <v>0</v>
      </c>
      <c r="Q236" s="201"/>
      <c r="R236" s="202">
        <f>SUM(R237:R327)</f>
        <v>635.56598144999987</v>
      </c>
      <c r="S236" s="201"/>
      <c r="T236" s="203">
        <f>SUM(T237:T327)</f>
        <v>0</v>
      </c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R236" s="204" t="s">
        <v>86</v>
      </c>
      <c r="AT236" s="205" t="s">
        <v>77</v>
      </c>
      <c r="AU236" s="205" t="s">
        <v>86</v>
      </c>
      <c r="AY236" s="204" t="s">
        <v>200</v>
      </c>
      <c r="BK236" s="206">
        <f>SUM(BK237:BK327)</f>
        <v>0</v>
      </c>
    </row>
    <row r="237" s="2" customFormat="1" ht="55.5" customHeight="1">
      <c r="A237" s="40"/>
      <c r="B237" s="41"/>
      <c r="C237" s="209" t="s">
        <v>409</v>
      </c>
      <c r="D237" s="209" t="s">
        <v>202</v>
      </c>
      <c r="E237" s="210" t="s">
        <v>410</v>
      </c>
      <c r="F237" s="211" t="s">
        <v>411</v>
      </c>
      <c r="G237" s="212" t="s">
        <v>280</v>
      </c>
      <c r="H237" s="213">
        <v>0.84999999999999998</v>
      </c>
      <c r="I237" s="214"/>
      <c r="J237" s="215">
        <f>ROUND(I237*H237,1)</f>
        <v>0</v>
      </c>
      <c r="K237" s="211" t="s">
        <v>206</v>
      </c>
      <c r="L237" s="46"/>
      <c r="M237" s="216" t="s">
        <v>32</v>
      </c>
      <c r="N237" s="217" t="s">
        <v>49</v>
      </c>
      <c r="O237" s="86"/>
      <c r="P237" s="218">
        <f>O237*H237</f>
        <v>0</v>
      </c>
      <c r="Q237" s="218">
        <v>0</v>
      </c>
      <c r="R237" s="218">
        <f>Q237*H237</f>
        <v>0</v>
      </c>
      <c r="S237" s="218">
        <v>0</v>
      </c>
      <c r="T237" s="219">
        <f>S237*H237</f>
        <v>0</v>
      </c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R237" s="220" t="s">
        <v>207</v>
      </c>
      <c r="AT237" s="220" t="s">
        <v>202</v>
      </c>
      <c r="AU237" s="220" t="s">
        <v>88</v>
      </c>
      <c r="AY237" s="18" t="s">
        <v>200</v>
      </c>
      <c r="BE237" s="221">
        <f>IF(N237="základní",J237,0)</f>
        <v>0</v>
      </c>
      <c r="BF237" s="221">
        <f>IF(N237="snížená",J237,0)</f>
        <v>0</v>
      </c>
      <c r="BG237" s="221">
        <f>IF(N237="zákl. přenesená",J237,0)</f>
        <v>0</v>
      </c>
      <c r="BH237" s="221">
        <f>IF(N237="sníž. přenesená",J237,0)</f>
        <v>0</v>
      </c>
      <c r="BI237" s="221">
        <f>IF(N237="nulová",J237,0)</f>
        <v>0</v>
      </c>
      <c r="BJ237" s="18" t="s">
        <v>86</v>
      </c>
      <c r="BK237" s="221">
        <f>ROUND(I237*H237,1)</f>
        <v>0</v>
      </c>
      <c r="BL237" s="18" t="s">
        <v>207</v>
      </c>
      <c r="BM237" s="220" t="s">
        <v>412</v>
      </c>
    </row>
    <row r="238" s="2" customFormat="1">
      <c r="A238" s="40"/>
      <c r="B238" s="41"/>
      <c r="C238" s="42"/>
      <c r="D238" s="222" t="s">
        <v>209</v>
      </c>
      <c r="E238" s="42"/>
      <c r="F238" s="223" t="s">
        <v>413</v>
      </c>
      <c r="G238" s="42"/>
      <c r="H238" s="42"/>
      <c r="I238" s="224"/>
      <c r="J238" s="42"/>
      <c r="K238" s="42"/>
      <c r="L238" s="46"/>
      <c r="M238" s="225"/>
      <c r="N238" s="226"/>
      <c r="O238" s="86"/>
      <c r="P238" s="86"/>
      <c r="Q238" s="86"/>
      <c r="R238" s="86"/>
      <c r="S238" s="86"/>
      <c r="T238" s="87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T238" s="18" t="s">
        <v>209</v>
      </c>
      <c r="AU238" s="18" t="s">
        <v>88</v>
      </c>
    </row>
    <row r="239" s="13" customFormat="1">
      <c r="A239" s="13"/>
      <c r="B239" s="227"/>
      <c r="C239" s="228"/>
      <c r="D239" s="229" t="s">
        <v>211</v>
      </c>
      <c r="E239" s="230" t="s">
        <v>32</v>
      </c>
      <c r="F239" s="231" t="s">
        <v>414</v>
      </c>
      <c r="G239" s="228"/>
      <c r="H239" s="232">
        <v>0.40000000000000002</v>
      </c>
      <c r="I239" s="233"/>
      <c r="J239" s="228"/>
      <c r="K239" s="228"/>
      <c r="L239" s="234"/>
      <c r="M239" s="235"/>
      <c r="N239" s="236"/>
      <c r="O239" s="236"/>
      <c r="P239" s="236"/>
      <c r="Q239" s="236"/>
      <c r="R239" s="236"/>
      <c r="S239" s="236"/>
      <c r="T239" s="237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T239" s="238" t="s">
        <v>211</v>
      </c>
      <c r="AU239" s="238" t="s">
        <v>88</v>
      </c>
      <c r="AV239" s="13" t="s">
        <v>88</v>
      </c>
      <c r="AW239" s="13" t="s">
        <v>213</v>
      </c>
      <c r="AX239" s="13" t="s">
        <v>78</v>
      </c>
      <c r="AY239" s="238" t="s">
        <v>200</v>
      </c>
    </row>
    <row r="240" s="13" customFormat="1">
      <c r="A240" s="13"/>
      <c r="B240" s="227"/>
      <c r="C240" s="228"/>
      <c r="D240" s="229" t="s">
        <v>211</v>
      </c>
      <c r="E240" s="230" t="s">
        <v>32</v>
      </c>
      <c r="F240" s="231" t="s">
        <v>415</v>
      </c>
      <c r="G240" s="228"/>
      <c r="H240" s="232">
        <v>0.45000000000000001</v>
      </c>
      <c r="I240" s="233"/>
      <c r="J240" s="228"/>
      <c r="K240" s="228"/>
      <c r="L240" s="234"/>
      <c r="M240" s="235"/>
      <c r="N240" s="236"/>
      <c r="O240" s="236"/>
      <c r="P240" s="236"/>
      <c r="Q240" s="236"/>
      <c r="R240" s="236"/>
      <c r="S240" s="236"/>
      <c r="T240" s="237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T240" s="238" t="s">
        <v>211</v>
      </c>
      <c r="AU240" s="238" t="s">
        <v>88</v>
      </c>
      <c r="AV240" s="13" t="s">
        <v>88</v>
      </c>
      <c r="AW240" s="13" t="s">
        <v>213</v>
      </c>
      <c r="AX240" s="13" t="s">
        <v>78</v>
      </c>
      <c r="AY240" s="238" t="s">
        <v>200</v>
      </c>
    </row>
    <row r="241" s="14" customFormat="1">
      <c r="A241" s="14"/>
      <c r="B241" s="239"/>
      <c r="C241" s="240"/>
      <c r="D241" s="229" t="s">
        <v>211</v>
      </c>
      <c r="E241" s="241" t="s">
        <v>32</v>
      </c>
      <c r="F241" s="242" t="s">
        <v>220</v>
      </c>
      <c r="G241" s="240"/>
      <c r="H241" s="243">
        <v>0.84999999999999998</v>
      </c>
      <c r="I241" s="244"/>
      <c r="J241" s="240"/>
      <c r="K241" s="240"/>
      <c r="L241" s="245"/>
      <c r="M241" s="246"/>
      <c r="N241" s="247"/>
      <c r="O241" s="247"/>
      <c r="P241" s="247"/>
      <c r="Q241" s="247"/>
      <c r="R241" s="247"/>
      <c r="S241" s="247"/>
      <c r="T241" s="248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T241" s="249" t="s">
        <v>211</v>
      </c>
      <c r="AU241" s="249" t="s">
        <v>88</v>
      </c>
      <c r="AV241" s="14" t="s">
        <v>207</v>
      </c>
      <c r="AW241" s="14" t="s">
        <v>213</v>
      </c>
      <c r="AX241" s="14" t="s">
        <v>86</v>
      </c>
      <c r="AY241" s="249" t="s">
        <v>200</v>
      </c>
    </row>
    <row r="242" s="2" customFormat="1" ht="16.5" customHeight="1">
      <c r="A242" s="40"/>
      <c r="B242" s="41"/>
      <c r="C242" s="260" t="s">
        <v>416</v>
      </c>
      <c r="D242" s="260" t="s">
        <v>292</v>
      </c>
      <c r="E242" s="261" t="s">
        <v>417</v>
      </c>
      <c r="F242" s="262" t="s">
        <v>418</v>
      </c>
      <c r="G242" s="263" t="s">
        <v>280</v>
      </c>
      <c r="H242" s="264">
        <v>1.01</v>
      </c>
      <c r="I242" s="265"/>
      <c r="J242" s="266">
        <f>ROUND(I242*H242,1)</f>
        <v>0</v>
      </c>
      <c r="K242" s="262" t="s">
        <v>206</v>
      </c>
      <c r="L242" s="267"/>
      <c r="M242" s="268" t="s">
        <v>32</v>
      </c>
      <c r="N242" s="269" t="s">
        <v>49</v>
      </c>
      <c r="O242" s="86"/>
      <c r="P242" s="218">
        <f>O242*H242</f>
        <v>0</v>
      </c>
      <c r="Q242" s="218">
        <v>0.0032000000000000002</v>
      </c>
      <c r="R242" s="218">
        <f>Q242*H242</f>
        <v>0.0032320000000000001</v>
      </c>
      <c r="S242" s="218">
        <v>0</v>
      </c>
      <c r="T242" s="219">
        <f>S242*H242</f>
        <v>0</v>
      </c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R242" s="220" t="s">
        <v>254</v>
      </c>
      <c r="AT242" s="220" t="s">
        <v>292</v>
      </c>
      <c r="AU242" s="220" t="s">
        <v>88</v>
      </c>
      <c r="AY242" s="18" t="s">
        <v>200</v>
      </c>
      <c r="BE242" s="221">
        <f>IF(N242="základní",J242,0)</f>
        <v>0</v>
      </c>
      <c r="BF242" s="221">
        <f>IF(N242="snížená",J242,0)</f>
        <v>0</v>
      </c>
      <c r="BG242" s="221">
        <f>IF(N242="zákl. přenesená",J242,0)</f>
        <v>0</v>
      </c>
      <c r="BH242" s="221">
        <f>IF(N242="sníž. přenesená",J242,0)</f>
        <v>0</v>
      </c>
      <c r="BI242" s="221">
        <f>IF(N242="nulová",J242,0)</f>
        <v>0</v>
      </c>
      <c r="BJ242" s="18" t="s">
        <v>86</v>
      </c>
      <c r="BK242" s="221">
        <f>ROUND(I242*H242,1)</f>
        <v>0</v>
      </c>
      <c r="BL242" s="18" t="s">
        <v>207</v>
      </c>
      <c r="BM242" s="220" t="s">
        <v>419</v>
      </c>
    </row>
    <row r="243" s="13" customFormat="1">
      <c r="A243" s="13"/>
      <c r="B243" s="227"/>
      <c r="C243" s="228"/>
      <c r="D243" s="229" t="s">
        <v>211</v>
      </c>
      <c r="E243" s="230" t="s">
        <v>32</v>
      </c>
      <c r="F243" s="231" t="s">
        <v>420</v>
      </c>
      <c r="G243" s="228"/>
      <c r="H243" s="232">
        <v>1</v>
      </c>
      <c r="I243" s="233"/>
      <c r="J243" s="228"/>
      <c r="K243" s="228"/>
      <c r="L243" s="234"/>
      <c r="M243" s="235"/>
      <c r="N243" s="236"/>
      <c r="O243" s="236"/>
      <c r="P243" s="236"/>
      <c r="Q243" s="236"/>
      <c r="R243" s="236"/>
      <c r="S243" s="236"/>
      <c r="T243" s="237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T243" s="238" t="s">
        <v>211</v>
      </c>
      <c r="AU243" s="238" t="s">
        <v>88</v>
      </c>
      <c r="AV243" s="13" t="s">
        <v>88</v>
      </c>
      <c r="AW243" s="13" t="s">
        <v>213</v>
      </c>
      <c r="AX243" s="13" t="s">
        <v>86</v>
      </c>
      <c r="AY243" s="238" t="s">
        <v>200</v>
      </c>
    </row>
    <row r="244" s="13" customFormat="1">
      <c r="A244" s="13"/>
      <c r="B244" s="227"/>
      <c r="C244" s="228"/>
      <c r="D244" s="229" t="s">
        <v>211</v>
      </c>
      <c r="E244" s="228"/>
      <c r="F244" s="231" t="s">
        <v>421</v>
      </c>
      <c r="G244" s="228"/>
      <c r="H244" s="232">
        <v>1.01</v>
      </c>
      <c r="I244" s="233"/>
      <c r="J244" s="228"/>
      <c r="K244" s="228"/>
      <c r="L244" s="234"/>
      <c r="M244" s="235"/>
      <c r="N244" s="236"/>
      <c r="O244" s="236"/>
      <c r="P244" s="236"/>
      <c r="Q244" s="236"/>
      <c r="R244" s="236"/>
      <c r="S244" s="236"/>
      <c r="T244" s="237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T244" s="238" t="s">
        <v>211</v>
      </c>
      <c r="AU244" s="238" t="s">
        <v>88</v>
      </c>
      <c r="AV244" s="13" t="s">
        <v>88</v>
      </c>
      <c r="AW244" s="13" t="s">
        <v>4</v>
      </c>
      <c r="AX244" s="13" t="s">
        <v>86</v>
      </c>
      <c r="AY244" s="238" t="s">
        <v>200</v>
      </c>
    </row>
    <row r="245" s="2" customFormat="1" ht="55.5" customHeight="1">
      <c r="A245" s="40"/>
      <c r="B245" s="41"/>
      <c r="C245" s="209" t="s">
        <v>422</v>
      </c>
      <c r="D245" s="209" t="s">
        <v>202</v>
      </c>
      <c r="E245" s="210" t="s">
        <v>423</v>
      </c>
      <c r="F245" s="211" t="s">
        <v>424</v>
      </c>
      <c r="G245" s="212" t="s">
        <v>280</v>
      </c>
      <c r="H245" s="213">
        <v>1.7</v>
      </c>
      <c r="I245" s="214"/>
      <c r="J245" s="215">
        <f>ROUND(I245*H245,1)</f>
        <v>0</v>
      </c>
      <c r="K245" s="211" t="s">
        <v>206</v>
      </c>
      <c r="L245" s="46"/>
      <c r="M245" s="216" t="s">
        <v>32</v>
      </c>
      <c r="N245" s="217" t="s">
        <v>49</v>
      </c>
      <c r="O245" s="86"/>
      <c r="P245" s="218">
        <f>O245*H245</f>
        <v>0</v>
      </c>
      <c r="Q245" s="218">
        <v>0</v>
      </c>
      <c r="R245" s="218">
        <f>Q245*H245</f>
        <v>0</v>
      </c>
      <c r="S245" s="218">
        <v>0</v>
      </c>
      <c r="T245" s="219">
        <f>S245*H245</f>
        <v>0</v>
      </c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R245" s="220" t="s">
        <v>207</v>
      </c>
      <c r="AT245" s="220" t="s">
        <v>202</v>
      </c>
      <c r="AU245" s="220" t="s">
        <v>88</v>
      </c>
      <c r="AY245" s="18" t="s">
        <v>200</v>
      </c>
      <c r="BE245" s="221">
        <f>IF(N245="základní",J245,0)</f>
        <v>0</v>
      </c>
      <c r="BF245" s="221">
        <f>IF(N245="snížená",J245,0)</f>
        <v>0</v>
      </c>
      <c r="BG245" s="221">
        <f>IF(N245="zákl. přenesená",J245,0)</f>
        <v>0</v>
      </c>
      <c r="BH245" s="221">
        <f>IF(N245="sníž. přenesená",J245,0)</f>
        <v>0</v>
      </c>
      <c r="BI245" s="221">
        <f>IF(N245="nulová",J245,0)</f>
        <v>0</v>
      </c>
      <c r="BJ245" s="18" t="s">
        <v>86</v>
      </c>
      <c r="BK245" s="221">
        <f>ROUND(I245*H245,1)</f>
        <v>0</v>
      </c>
      <c r="BL245" s="18" t="s">
        <v>207</v>
      </c>
      <c r="BM245" s="220" t="s">
        <v>425</v>
      </c>
    </row>
    <row r="246" s="2" customFormat="1">
      <c r="A246" s="40"/>
      <c r="B246" s="41"/>
      <c r="C246" s="42"/>
      <c r="D246" s="222" t="s">
        <v>209</v>
      </c>
      <c r="E246" s="42"/>
      <c r="F246" s="223" t="s">
        <v>426</v>
      </c>
      <c r="G246" s="42"/>
      <c r="H246" s="42"/>
      <c r="I246" s="224"/>
      <c r="J246" s="42"/>
      <c r="K246" s="42"/>
      <c r="L246" s="46"/>
      <c r="M246" s="225"/>
      <c r="N246" s="226"/>
      <c r="O246" s="86"/>
      <c r="P246" s="86"/>
      <c r="Q246" s="86"/>
      <c r="R246" s="86"/>
      <c r="S246" s="86"/>
      <c r="T246" s="87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T246" s="18" t="s">
        <v>209</v>
      </c>
      <c r="AU246" s="18" t="s">
        <v>88</v>
      </c>
    </row>
    <row r="247" s="13" customFormat="1">
      <c r="A247" s="13"/>
      <c r="B247" s="227"/>
      <c r="C247" s="228"/>
      <c r="D247" s="229" t="s">
        <v>211</v>
      </c>
      <c r="E247" s="230" t="s">
        <v>32</v>
      </c>
      <c r="F247" s="231" t="s">
        <v>427</v>
      </c>
      <c r="G247" s="228"/>
      <c r="H247" s="232">
        <v>0.80000000000000004</v>
      </c>
      <c r="I247" s="233"/>
      <c r="J247" s="228"/>
      <c r="K247" s="228"/>
      <c r="L247" s="234"/>
      <c r="M247" s="235"/>
      <c r="N247" s="236"/>
      <c r="O247" s="236"/>
      <c r="P247" s="236"/>
      <c r="Q247" s="236"/>
      <c r="R247" s="236"/>
      <c r="S247" s="236"/>
      <c r="T247" s="237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T247" s="238" t="s">
        <v>211</v>
      </c>
      <c r="AU247" s="238" t="s">
        <v>88</v>
      </c>
      <c r="AV247" s="13" t="s">
        <v>88</v>
      </c>
      <c r="AW247" s="13" t="s">
        <v>213</v>
      </c>
      <c r="AX247" s="13" t="s">
        <v>78</v>
      </c>
      <c r="AY247" s="238" t="s">
        <v>200</v>
      </c>
    </row>
    <row r="248" s="13" customFormat="1">
      <c r="A248" s="13"/>
      <c r="B248" s="227"/>
      <c r="C248" s="228"/>
      <c r="D248" s="229" t="s">
        <v>211</v>
      </c>
      <c r="E248" s="230" t="s">
        <v>32</v>
      </c>
      <c r="F248" s="231" t="s">
        <v>428</v>
      </c>
      <c r="G248" s="228"/>
      <c r="H248" s="232">
        <v>0.90000000000000002</v>
      </c>
      <c r="I248" s="233"/>
      <c r="J248" s="228"/>
      <c r="K248" s="228"/>
      <c r="L248" s="234"/>
      <c r="M248" s="235"/>
      <c r="N248" s="236"/>
      <c r="O248" s="236"/>
      <c r="P248" s="236"/>
      <c r="Q248" s="236"/>
      <c r="R248" s="236"/>
      <c r="S248" s="236"/>
      <c r="T248" s="237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T248" s="238" t="s">
        <v>211</v>
      </c>
      <c r="AU248" s="238" t="s">
        <v>88</v>
      </c>
      <c r="AV248" s="13" t="s">
        <v>88</v>
      </c>
      <c r="AW248" s="13" t="s">
        <v>213</v>
      </c>
      <c r="AX248" s="13" t="s">
        <v>78</v>
      </c>
      <c r="AY248" s="238" t="s">
        <v>200</v>
      </c>
    </row>
    <row r="249" s="14" customFormat="1">
      <c r="A249" s="14"/>
      <c r="B249" s="239"/>
      <c r="C249" s="240"/>
      <c r="D249" s="229" t="s">
        <v>211</v>
      </c>
      <c r="E249" s="241" t="s">
        <v>32</v>
      </c>
      <c r="F249" s="242" t="s">
        <v>220</v>
      </c>
      <c r="G249" s="240"/>
      <c r="H249" s="243">
        <v>1.7</v>
      </c>
      <c r="I249" s="244"/>
      <c r="J249" s="240"/>
      <c r="K249" s="240"/>
      <c r="L249" s="245"/>
      <c r="M249" s="246"/>
      <c r="N249" s="247"/>
      <c r="O249" s="247"/>
      <c r="P249" s="247"/>
      <c r="Q249" s="247"/>
      <c r="R249" s="247"/>
      <c r="S249" s="247"/>
      <c r="T249" s="248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T249" s="249" t="s">
        <v>211</v>
      </c>
      <c r="AU249" s="249" t="s">
        <v>88</v>
      </c>
      <c r="AV249" s="14" t="s">
        <v>207</v>
      </c>
      <c r="AW249" s="14" t="s">
        <v>213</v>
      </c>
      <c r="AX249" s="14" t="s">
        <v>86</v>
      </c>
      <c r="AY249" s="249" t="s">
        <v>200</v>
      </c>
    </row>
    <row r="250" s="2" customFormat="1" ht="16.5" customHeight="1">
      <c r="A250" s="40"/>
      <c r="B250" s="41"/>
      <c r="C250" s="260" t="s">
        <v>429</v>
      </c>
      <c r="D250" s="260" t="s">
        <v>292</v>
      </c>
      <c r="E250" s="261" t="s">
        <v>430</v>
      </c>
      <c r="F250" s="262" t="s">
        <v>431</v>
      </c>
      <c r="G250" s="263" t="s">
        <v>280</v>
      </c>
      <c r="H250" s="264">
        <v>1.5</v>
      </c>
      <c r="I250" s="265"/>
      <c r="J250" s="266">
        <f>ROUND(I250*H250,1)</f>
        <v>0</v>
      </c>
      <c r="K250" s="262" t="s">
        <v>206</v>
      </c>
      <c r="L250" s="267"/>
      <c r="M250" s="268" t="s">
        <v>32</v>
      </c>
      <c r="N250" s="269" t="s">
        <v>49</v>
      </c>
      <c r="O250" s="86"/>
      <c r="P250" s="218">
        <f>O250*H250</f>
        <v>0</v>
      </c>
      <c r="Q250" s="218">
        <v>0.0051999999999999998</v>
      </c>
      <c r="R250" s="218">
        <f>Q250*H250</f>
        <v>0.0077999999999999996</v>
      </c>
      <c r="S250" s="218">
        <v>0</v>
      </c>
      <c r="T250" s="219">
        <f>S250*H250</f>
        <v>0</v>
      </c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R250" s="220" t="s">
        <v>254</v>
      </c>
      <c r="AT250" s="220" t="s">
        <v>292</v>
      </c>
      <c r="AU250" s="220" t="s">
        <v>88</v>
      </c>
      <c r="AY250" s="18" t="s">
        <v>200</v>
      </c>
      <c r="BE250" s="221">
        <f>IF(N250="základní",J250,0)</f>
        <v>0</v>
      </c>
      <c r="BF250" s="221">
        <f>IF(N250="snížená",J250,0)</f>
        <v>0</v>
      </c>
      <c r="BG250" s="221">
        <f>IF(N250="zákl. přenesená",J250,0)</f>
        <v>0</v>
      </c>
      <c r="BH250" s="221">
        <f>IF(N250="sníž. přenesená",J250,0)</f>
        <v>0</v>
      </c>
      <c r="BI250" s="221">
        <f>IF(N250="nulová",J250,0)</f>
        <v>0</v>
      </c>
      <c r="BJ250" s="18" t="s">
        <v>86</v>
      </c>
      <c r="BK250" s="221">
        <f>ROUND(I250*H250,1)</f>
        <v>0</v>
      </c>
      <c r="BL250" s="18" t="s">
        <v>207</v>
      </c>
      <c r="BM250" s="220" t="s">
        <v>432</v>
      </c>
    </row>
    <row r="251" s="13" customFormat="1">
      <c r="A251" s="13"/>
      <c r="B251" s="227"/>
      <c r="C251" s="228"/>
      <c r="D251" s="229" t="s">
        <v>211</v>
      </c>
      <c r="E251" s="230" t="s">
        <v>32</v>
      </c>
      <c r="F251" s="231" t="s">
        <v>433</v>
      </c>
      <c r="G251" s="228"/>
      <c r="H251" s="232">
        <v>1.5</v>
      </c>
      <c r="I251" s="233"/>
      <c r="J251" s="228"/>
      <c r="K251" s="228"/>
      <c r="L251" s="234"/>
      <c r="M251" s="235"/>
      <c r="N251" s="236"/>
      <c r="O251" s="236"/>
      <c r="P251" s="236"/>
      <c r="Q251" s="236"/>
      <c r="R251" s="236"/>
      <c r="S251" s="236"/>
      <c r="T251" s="237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T251" s="238" t="s">
        <v>211</v>
      </c>
      <c r="AU251" s="238" t="s">
        <v>88</v>
      </c>
      <c r="AV251" s="13" t="s">
        <v>88</v>
      </c>
      <c r="AW251" s="13" t="s">
        <v>213</v>
      </c>
      <c r="AX251" s="13" t="s">
        <v>86</v>
      </c>
      <c r="AY251" s="238" t="s">
        <v>200</v>
      </c>
    </row>
    <row r="252" s="2" customFormat="1" ht="24.15" customHeight="1">
      <c r="A252" s="40"/>
      <c r="B252" s="41"/>
      <c r="C252" s="209" t="s">
        <v>434</v>
      </c>
      <c r="D252" s="209" t="s">
        <v>202</v>
      </c>
      <c r="E252" s="210" t="s">
        <v>435</v>
      </c>
      <c r="F252" s="211" t="s">
        <v>436</v>
      </c>
      <c r="G252" s="212" t="s">
        <v>272</v>
      </c>
      <c r="H252" s="213">
        <v>14.925000000000001</v>
      </c>
      <c r="I252" s="214"/>
      <c r="J252" s="215">
        <f>ROUND(I252*H252,1)</f>
        <v>0</v>
      </c>
      <c r="K252" s="211" t="s">
        <v>206</v>
      </c>
      <c r="L252" s="46"/>
      <c r="M252" s="216" t="s">
        <v>32</v>
      </c>
      <c r="N252" s="217" t="s">
        <v>49</v>
      </c>
      <c r="O252" s="86"/>
      <c r="P252" s="218">
        <f>O252*H252</f>
        <v>0</v>
      </c>
      <c r="Q252" s="218">
        <v>0.1774</v>
      </c>
      <c r="R252" s="218">
        <f>Q252*H252</f>
        <v>2.6476950000000001</v>
      </c>
      <c r="S252" s="218">
        <v>0</v>
      </c>
      <c r="T252" s="219">
        <f>S252*H252</f>
        <v>0</v>
      </c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R252" s="220" t="s">
        <v>207</v>
      </c>
      <c r="AT252" s="220" t="s">
        <v>202</v>
      </c>
      <c r="AU252" s="220" t="s">
        <v>88</v>
      </c>
      <c r="AY252" s="18" t="s">
        <v>200</v>
      </c>
      <c r="BE252" s="221">
        <f>IF(N252="základní",J252,0)</f>
        <v>0</v>
      </c>
      <c r="BF252" s="221">
        <f>IF(N252="snížená",J252,0)</f>
        <v>0</v>
      </c>
      <c r="BG252" s="221">
        <f>IF(N252="zákl. přenesená",J252,0)</f>
        <v>0</v>
      </c>
      <c r="BH252" s="221">
        <f>IF(N252="sníž. přenesená",J252,0)</f>
        <v>0</v>
      </c>
      <c r="BI252" s="221">
        <f>IF(N252="nulová",J252,0)</f>
        <v>0</v>
      </c>
      <c r="BJ252" s="18" t="s">
        <v>86</v>
      </c>
      <c r="BK252" s="221">
        <f>ROUND(I252*H252,1)</f>
        <v>0</v>
      </c>
      <c r="BL252" s="18" t="s">
        <v>207</v>
      </c>
      <c r="BM252" s="220" t="s">
        <v>437</v>
      </c>
    </row>
    <row r="253" s="2" customFormat="1">
      <c r="A253" s="40"/>
      <c r="B253" s="41"/>
      <c r="C253" s="42"/>
      <c r="D253" s="222" t="s">
        <v>209</v>
      </c>
      <c r="E253" s="42"/>
      <c r="F253" s="223" t="s">
        <v>438</v>
      </c>
      <c r="G253" s="42"/>
      <c r="H253" s="42"/>
      <c r="I253" s="224"/>
      <c r="J253" s="42"/>
      <c r="K253" s="42"/>
      <c r="L253" s="46"/>
      <c r="M253" s="225"/>
      <c r="N253" s="226"/>
      <c r="O253" s="86"/>
      <c r="P253" s="86"/>
      <c r="Q253" s="86"/>
      <c r="R253" s="86"/>
      <c r="S253" s="86"/>
      <c r="T253" s="87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T253" s="18" t="s">
        <v>209</v>
      </c>
      <c r="AU253" s="18" t="s">
        <v>88</v>
      </c>
    </row>
    <row r="254" s="13" customFormat="1">
      <c r="A254" s="13"/>
      <c r="B254" s="227"/>
      <c r="C254" s="228"/>
      <c r="D254" s="229" t="s">
        <v>211</v>
      </c>
      <c r="E254" s="230" t="s">
        <v>32</v>
      </c>
      <c r="F254" s="231" t="s">
        <v>439</v>
      </c>
      <c r="G254" s="228"/>
      <c r="H254" s="232">
        <v>14.925000000000001</v>
      </c>
      <c r="I254" s="233"/>
      <c r="J254" s="228"/>
      <c r="K254" s="228"/>
      <c r="L254" s="234"/>
      <c r="M254" s="235"/>
      <c r="N254" s="236"/>
      <c r="O254" s="236"/>
      <c r="P254" s="236"/>
      <c r="Q254" s="236"/>
      <c r="R254" s="236"/>
      <c r="S254" s="236"/>
      <c r="T254" s="237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T254" s="238" t="s">
        <v>211</v>
      </c>
      <c r="AU254" s="238" t="s">
        <v>88</v>
      </c>
      <c r="AV254" s="13" t="s">
        <v>88</v>
      </c>
      <c r="AW254" s="13" t="s">
        <v>213</v>
      </c>
      <c r="AX254" s="13" t="s">
        <v>86</v>
      </c>
      <c r="AY254" s="238" t="s">
        <v>200</v>
      </c>
    </row>
    <row r="255" s="2" customFormat="1" ht="24.15" customHeight="1">
      <c r="A255" s="40"/>
      <c r="B255" s="41"/>
      <c r="C255" s="209" t="s">
        <v>440</v>
      </c>
      <c r="D255" s="209" t="s">
        <v>202</v>
      </c>
      <c r="E255" s="210" t="s">
        <v>441</v>
      </c>
      <c r="F255" s="211" t="s">
        <v>442</v>
      </c>
      <c r="G255" s="212" t="s">
        <v>272</v>
      </c>
      <c r="H255" s="213">
        <v>14.85</v>
      </c>
      <c r="I255" s="214"/>
      <c r="J255" s="215">
        <f>ROUND(I255*H255,1)</f>
        <v>0</v>
      </c>
      <c r="K255" s="211" t="s">
        <v>206</v>
      </c>
      <c r="L255" s="46"/>
      <c r="M255" s="216" t="s">
        <v>32</v>
      </c>
      <c r="N255" s="217" t="s">
        <v>49</v>
      </c>
      <c r="O255" s="86"/>
      <c r="P255" s="218">
        <f>O255*H255</f>
        <v>0</v>
      </c>
      <c r="Q255" s="218">
        <v>0.18415000000000001</v>
      </c>
      <c r="R255" s="218">
        <f>Q255*H255</f>
        <v>2.7346275000000002</v>
      </c>
      <c r="S255" s="218">
        <v>0</v>
      </c>
      <c r="T255" s="219">
        <f>S255*H255</f>
        <v>0</v>
      </c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R255" s="220" t="s">
        <v>207</v>
      </c>
      <c r="AT255" s="220" t="s">
        <v>202</v>
      </c>
      <c r="AU255" s="220" t="s">
        <v>88</v>
      </c>
      <c r="AY255" s="18" t="s">
        <v>200</v>
      </c>
      <c r="BE255" s="221">
        <f>IF(N255="základní",J255,0)</f>
        <v>0</v>
      </c>
      <c r="BF255" s="221">
        <f>IF(N255="snížená",J255,0)</f>
        <v>0</v>
      </c>
      <c r="BG255" s="221">
        <f>IF(N255="zákl. přenesená",J255,0)</f>
        <v>0</v>
      </c>
      <c r="BH255" s="221">
        <f>IF(N255="sníž. přenesená",J255,0)</f>
        <v>0</v>
      </c>
      <c r="BI255" s="221">
        <f>IF(N255="nulová",J255,0)</f>
        <v>0</v>
      </c>
      <c r="BJ255" s="18" t="s">
        <v>86</v>
      </c>
      <c r="BK255" s="221">
        <f>ROUND(I255*H255,1)</f>
        <v>0</v>
      </c>
      <c r="BL255" s="18" t="s">
        <v>207</v>
      </c>
      <c r="BM255" s="220" t="s">
        <v>443</v>
      </c>
    </row>
    <row r="256" s="2" customFormat="1">
      <c r="A256" s="40"/>
      <c r="B256" s="41"/>
      <c r="C256" s="42"/>
      <c r="D256" s="222" t="s">
        <v>209</v>
      </c>
      <c r="E256" s="42"/>
      <c r="F256" s="223" t="s">
        <v>444</v>
      </c>
      <c r="G256" s="42"/>
      <c r="H256" s="42"/>
      <c r="I256" s="224"/>
      <c r="J256" s="42"/>
      <c r="K256" s="42"/>
      <c r="L256" s="46"/>
      <c r="M256" s="225"/>
      <c r="N256" s="226"/>
      <c r="O256" s="86"/>
      <c r="P256" s="86"/>
      <c r="Q256" s="86"/>
      <c r="R256" s="86"/>
      <c r="S256" s="86"/>
      <c r="T256" s="87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T256" s="18" t="s">
        <v>209</v>
      </c>
      <c r="AU256" s="18" t="s">
        <v>88</v>
      </c>
    </row>
    <row r="257" s="13" customFormat="1">
      <c r="A257" s="13"/>
      <c r="B257" s="227"/>
      <c r="C257" s="228"/>
      <c r="D257" s="229" t="s">
        <v>211</v>
      </c>
      <c r="E257" s="230" t="s">
        <v>32</v>
      </c>
      <c r="F257" s="231" t="s">
        <v>445</v>
      </c>
      <c r="G257" s="228"/>
      <c r="H257" s="232">
        <v>14.85</v>
      </c>
      <c r="I257" s="233"/>
      <c r="J257" s="228"/>
      <c r="K257" s="228"/>
      <c r="L257" s="234"/>
      <c r="M257" s="235"/>
      <c r="N257" s="236"/>
      <c r="O257" s="236"/>
      <c r="P257" s="236"/>
      <c r="Q257" s="236"/>
      <c r="R257" s="236"/>
      <c r="S257" s="236"/>
      <c r="T257" s="237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T257" s="238" t="s">
        <v>211</v>
      </c>
      <c r="AU257" s="238" t="s">
        <v>88</v>
      </c>
      <c r="AV257" s="13" t="s">
        <v>88</v>
      </c>
      <c r="AW257" s="13" t="s">
        <v>213</v>
      </c>
      <c r="AX257" s="13" t="s">
        <v>86</v>
      </c>
      <c r="AY257" s="238" t="s">
        <v>200</v>
      </c>
    </row>
    <row r="258" s="2" customFormat="1" ht="21.75" customHeight="1">
      <c r="A258" s="40"/>
      <c r="B258" s="41"/>
      <c r="C258" s="209" t="s">
        <v>446</v>
      </c>
      <c r="D258" s="209" t="s">
        <v>202</v>
      </c>
      <c r="E258" s="210" t="s">
        <v>447</v>
      </c>
      <c r="F258" s="211" t="s">
        <v>448</v>
      </c>
      <c r="G258" s="212" t="s">
        <v>449</v>
      </c>
      <c r="H258" s="213">
        <v>18</v>
      </c>
      <c r="I258" s="214"/>
      <c r="J258" s="215">
        <f>ROUND(I258*H258,1)</f>
        <v>0</v>
      </c>
      <c r="K258" s="211" t="s">
        <v>206</v>
      </c>
      <c r="L258" s="46"/>
      <c r="M258" s="216" t="s">
        <v>32</v>
      </c>
      <c r="N258" s="217" t="s">
        <v>49</v>
      </c>
      <c r="O258" s="86"/>
      <c r="P258" s="218">
        <f>O258*H258</f>
        <v>0</v>
      </c>
      <c r="Q258" s="218">
        <v>0.022780000000000002</v>
      </c>
      <c r="R258" s="218">
        <f>Q258*H258</f>
        <v>0.41004000000000002</v>
      </c>
      <c r="S258" s="218">
        <v>0</v>
      </c>
      <c r="T258" s="219">
        <f>S258*H258</f>
        <v>0</v>
      </c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R258" s="220" t="s">
        <v>207</v>
      </c>
      <c r="AT258" s="220" t="s">
        <v>202</v>
      </c>
      <c r="AU258" s="220" t="s">
        <v>88</v>
      </c>
      <c r="AY258" s="18" t="s">
        <v>200</v>
      </c>
      <c r="BE258" s="221">
        <f>IF(N258="základní",J258,0)</f>
        <v>0</v>
      </c>
      <c r="BF258" s="221">
        <f>IF(N258="snížená",J258,0)</f>
        <v>0</v>
      </c>
      <c r="BG258" s="221">
        <f>IF(N258="zákl. přenesená",J258,0)</f>
        <v>0</v>
      </c>
      <c r="BH258" s="221">
        <f>IF(N258="sníž. přenesená",J258,0)</f>
        <v>0</v>
      </c>
      <c r="BI258" s="221">
        <f>IF(N258="nulová",J258,0)</f>
        <v>0</v>
      </c>
      <c r="BJ258" s="18" t="s">
        <v>86</v>
      </c>
      <c r="BK258" s="221">
        <f>ROUND(I258*H258,1)</f>
        <v>0</v>
      </c>
      <c r="BL258" s="18" t="s">
        <v>207</v>
      </c>
      <c r="BM258" s="220" t="s">
        <v>450</v>
      </c>
    </row>
    <row r="259" s="2" customFormat="1">
      <c r="A259" s="40"/>
      <c r="B259" s="41"/>
      <c r="C259" s="42"/>
      <c r="D259" s="222" t="s">
        <v>209</v>
      </c>
      <c r="E259" s="42"/>
      <c r="F259" s="223" t="s">
        <v>451</v>
      </c>
      <c r="G259" s="42"/>
      <c r="H259" s="42"/>
      <c r="I259" s="224"/>
      <c r="J259" s="42"/>
      <c r="K259" s="42"/>
      <c r="L259" s="46"/>
      <c r="M259" s="225"/>
      <c r="N259" s="226"/>
      <c r="O259" s="86"/>
      <c r="P259" s="86"/>
      <c r="Q259" s="86"/>
      <c r="R259" s="86"/>
      <c r="S259" s="86"/>
      <c r="T259" s="87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T259" s="18" t="s">
        <v>209</v>
      </c>
      <c r="AU259" s="18" t="s">
        <v>88</v>
      </c>
    </row>
    <row r="260" s="13" customFormat="1">
      <c r="A260" s="13"/>
      <c r="B260" s="227"/>
      <c r="C260" s="228"/>
      <c r="D260" s="229" t="s">
        <v>211</v>
      </c>
      <c r="E260" s="230" t="s">
        <v>32</v>
      </c>
      <c r="F260" s="231" t="s">
        <v>452</v>
      </c>
      <c r="G260" s="228"/>
      <c r="H260" s="232">
        <v>18</v>
      </c>
      <c r="I260" s="233"/>
      <c r="J260" s="228"/>
      <c r="K260" s="228"/>
      <c r="L260" s="234"/>
      <c r="M260" s="235"/>
      <c r="N260" s="236"/>
      <c r="O260" s="236"/>
      <c r="P260" s="236"/>
      <c r="Q260" s="236"/>
      <c r="R260" s="236"/>
      <c r="S260" s="236"/>
      <c r="T260" s="237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T260" s="238" t="s">
        <v>211</v>
      </c>
      <c r="AU260" s="238" t="s">
        <v>88</v>
      </c>
      <c r="AV260" s="13" t="s">
        <v>88</v>
      </c>
      <c r="AW260" s="13" t="s">
        <v>213</v>
      </c>
      <c r="AX260" s="13" t="s">
        <v>86</v>
      </c>
      <c r="AY260" s="238" t="s">
        <v>200</v>
      </c>
    </row>
    <row r="261" s="2" customFormat="1" ht="21.75" customHeight="1">
      <c r="A261" s="40"/>
      <c r="B261" s="41"/>
      <c r="C261" s="209" t="s">
        <v>453</v>
      </c>
      <c r="D261" s="209" t="s">
        <v>202</v>
      </c>
      <c r="E261" s="210" t="s">
        <v>454</v>
      </c>
      <c r="F261" s="211" t="s">
        <v>455</v>
      </c>
      <c r="G261" s="212" t="s">
        <v>449</v>
      </c>
      <c r="H261" s="213">
        <v>2</v>
      </c>
      <c r="I261" s="214"/>
      <c r="J261" s="215">
        <f>ROUND(I261*H261,1)</f>
        <v>0</v>
      </c>
      <c r="K261" s="211" t="s">
        <v>206</v>
      </c>
      <c r="L261" s="46"/>
      <c r="M261" s="216" t="s">
        <v>32</v>
      </c>
      <c r="N261" s="217" t="s">
        <v>49</v>
      </c>
      <c r="O261" s="86"/>
      <c r="P261" s="218">
        <f>O261*H261</f>
        <v>0</v>
      </c>
      <c r="Q261" s="218">
        <v>0.04487</v>
      </c>
      <c r="R261" s="218">
        <f>Q261*H261</f>
        <v>0.08974</v>
      </c>
      <c r="S261" s="218">
        <v>0</v>
      </c>
      <c r="T261" s="219">
        <f>S261*H261</f>
        <v>0</v>
      </c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R261" s="220" t="s">
        <v>207</v>
      </c>
      <c r="AT261" s="220" t="s">
        <v>202</v>
      </c>
      <c r="AU261" s="220" t="s">
        <v>88</v>
      </c>
      <c r="AY261" s="18" t="s">
        <v>200</v>
      </c>
      <c r="BE261" s="221">
        <f>IF(N261="základní",J261,0)</f>
        <v>0</v>
      </c>
      <c r="BF261" s="221">
        <f>IF(N261="snížená",J261,0)</f>
        <v>0</v>
      </c>
      <c r="BG261" s="221">
        <f>IF(N261="zákl. přenesená",J261,0)</f>
        <v>0</v>
      </c>
      <c r="BH261" s="221">
        <f>IF(N261="sníž. přenesená",J261,0)</f>
        <v>0</v>
      </c>
      <c r="BI261" s="221">
        <f>IF(N261="nulová",J261,0)</f>
        <v>0</v>
      </c>
      <c r="BJ261" s="18" t="s">
        <v>86</v>
      </c>
      <c r="BK261" s="221">
        <f>ROUND(I261*H261,1)</f>
        <v>0</v>
      </c>
      <c r="BL261" s="18" t="s">
        <v>207</v>
      </c>
      <c r="BM261" s="220" t="s">
        <v>456</v>
      </c>
    </row>
    <row r="262" s="2" customFormat="1">
      <c r="A262" s="40"/>
      <c r="B262" s="41"/>
      <c r="C262" s="42"/>
      <c r="D262" s="222" t="s">
        <v>209</v>
      </c>
      <c r="E262" s="42"/>
      <c r="F262" s="223" t="s">
        <v>457</v>
      </c>
      <c r="G262" s="42"/>
      <c r="H262" s="42"/>
      <c r="I262" s="224"/>
      <c r="J262" s="42"/>
      <c r="K262" s="42"/>
      <c r="L262" s="46"/>
      <c r="M262" s="225"/>
      <c r="N262" s="226"/>
      <c r="O262" s="86"/>
      <c r="P262" s="86"/>
      <c r="Q262" s="86"/>
      <c r="R262" s="86"/>
      <c r="S262" s="86"/>
      <c r="T262" s="87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T262" s="18" t="s">
        <v>209</v>
      </c>
      <c r="AU262" s="18" t="s">
        <v>88</v>
      </c>
    </row>
    <row r="263" s="13" customFormat="1">
      <c r="A263" s="13"/>
      <c r="B263" s="227"/>
      <c r="C263" s="228"/>
      <c r="D263" s="229" t="s">
        <v>211</v>
      </c>
      <c r="E263" s="230" t="s">
        <v>32</v>
      </c>
      <c r="F263" s="231" t="s">
        <v>458</v>
      </c>
      <c r="G263" s="228"/>
      <c r="H263" s="232">
        <v>2</v>
      </c>
      <c r="I263" s="233"/>
      <c r="J263" s="228"/>
      <c r="K263" s="228"/>
      <c r="L263" s="234"/>
      <c r="M263" s="235"/>
      <c r="N263" s="236"/>
      <c r="O263" s="236"/>
      <c r="P263" s="236"/>
      <c r="Q263" s="236"/>
      <c r="R263" s="236"/>
      <c r="S263" s="236"/>
      <c r="T263" s="237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T263" s="238" t="s">
        <v>211</v>
      </c>
      <c r="AU263" s="238" t="s">
        <v>88</v>
      </c>
      <c r="AV263" s="13" t="s">
        <v>88</v>
      </c>
      <c r="AW263" s="13" t="s">
        <v>213</v>
      </c>
      <c r="AX263" s="13" t="s">
        <v>86</v>
      </c>
      <c r="AY263" s="238" t="s">
        <v>200</v>
      </c>
    </row>
    <row r="264" s="2" customFormat="1" ht="24.15" customHeight="1">
      <c r="A264" s="40"/>
      <c r="B264" s="41"/>
      <c r="C264" s="209" t="s">
        <v>459</v>
      </c>
      <c r="D264" s="209" t="s">
        <v>202</v>
      </c>
      <c r="E264" s="210" t="s">
        <v>460</v>
      </c>
      <c r="F264" s="211" t="s">
        <v>461</v>
      </c>
      <c r="G264" s="212" t="s">
        <v>205</v>
      </c>
      <c r="H264" s="213">
        <v>1.046</v>
      </c>
      <c r="I264" s="214"/>
      <c r="J264" s="215">
        <f>ROUND(I264*H264,1)</f>
        <v>0</v>
      </c>
      <c r="K264" s="211" t="s">
        <v>206</v>
      </c>
      <c r="L264" s="46"/>
      <c r="M264" s="216" t="s">
        <v>32</v>
      </c>
      <c r="N264" s="217" t="s">
        <v>49</v>
      </c>
      <c r="O264" s="86"/>
      <c r="P264" s="218">
        <f>O264*H264</f>
        <v>0</v>
      </c>
      <c r="Q264" s="218">
        <v>2.5018699999999998</v>
      </c>
      <c r="R264" s="218">
        <f>Q264*H264</f>
        <v>2.6169560199999999</v>
      </c>
      <c r="S264" s="218">
        <v>0</v>
      </c>
      <c r="T264" s="219">
        <f>S264*H264</f>
        <v>0</v>
      </c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R264" s="220" t="s">
        <v>207</v>
      </c>
      <c r="AT264" s="220" t="s">
        <v>202</v>
      </c>
      <c r="AU264" s="220" t="s">
        <v>88</v>
      </c>
      <c r="AY264" s="18" t="s">
        <v>200</v>
      </c>
      <c r="BE264" s="221">
        <f>IF(N264="základní",J264,0)</f>
        <v>0</v>
      </c>
      <c r="BF264" s="221">
        <f>IF(N264="snížená",J264,0)</f>
        <v>0</v>
      </c>
      <c r="BG264" s="221">
        <f>IF(N264="zákl. přenesená",J264,0)</f>
        <v>0</v>
      </c>
      <c r="BH264" s="221">
        <f>IF(N264="sníž. přenesená",J264,0)</f>
        <v>0</v>
      </c>
      <c r="BI264" s="221">
        <f>IF(N264="nulová",J264,0)</f>
        <v>0</v>
      </c>
      <c r="BJ264" s="18" t="s">
        <v>86</v>
      </c>
      <c r="BK264" s="221">
        <f>ROUND(I264*H264,1)</f>
        <v>0</v>
      </c>
      <c r="BL264" s="18" t="s">
        <v>207</v>
      </c>
      <c r="BM264" s="220" t="s">
        <v>462</v>
      </c>
    </row>
    <row r="265" s="2" customFormat="1">
      <c r="A265" s="40"/>
      <c r="B265" s="41"/>
      <c r="C265" s="42"/>
      <c r="D265" s="222" t="s">
        <v>209</v>
      </c>
      <c r="E265" s="42"/>
      <c r="F265" s="223" t="s">
        <v>463</v>
      </c>
      <c r="G265" s="42"/>
      <c r="H265" s="42"/>
      <c r="I265" s="224"/>
      <c r="J265" s="42"/>
      <c r="K265" s="42"/>
      <c r="L265" s="46"/>
      <c r="M265" s="225"/>
      <c r="N265" s="226"/>
      <c r="O265" s="86"/>
      <c r="P265" s="86"/>
      <c r="Q265" s="86"/>
      <c r="R265" s="86"/>
      <c r="S265" s="86"/>
      <c r="T265" s="87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T265" s="18" t="s">
        <v>209</v>
      </c>
      <c r="AU265" s="18" t="s">
        <v>88</v>
      </c>
    </row>
    <row r="266" s="13" customFormat="1">
      <c r="A266" s="13"/>
      <c r="B266" s="227"/>
      <c r="C266" s="228"/>
      <c r="D266" s="229" t="s">
        <v>211</v>
      </c>
      <c r="E266" s="230" t="s">
        <v>32</v>
      </c>
      <c r="F266" s="231" t="s">
        <v>464</v>
      </c>
      <c r="G266" s="228"/>
      <c r="H266" s="232">
        <v>1.04556130502292</v>
      </c>
      <c r="I266" s="233"/>
      <c r="J266" s="228"/>
      <c r="K266" s="228"/>
      <c r="L266" s="234"/>
      <c r="M266" s="235"/>
      <c r="N266" s="236"/>
      <c r="O266" s="236"/>
      <c r="P266" s="236"/>
      <c r="Q266" s="236"/>
      <c r="R266" s="236"/>
      <c r="S266" s="236"/>
      <c r="T266" s="237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T266" s="238" t="s">
        <v>211</v>
      </c>
      <c r="AU266" s="238" t="s">
        <v>88</v>
      </c>
      <c r="AV266" s="13" t="s">
        <v>88</v>
      </c>
      <c r="AW266" s="13" t="s">
        <v>213</v>
      </c>
      <c r="AX266" s="13" t="s">
        <v>86</v>
      </c>
      <c r="AY266" s="238" t="s">
        <v>200</v>
      </c>
    </row>
    <row r="267" s="2" customFormat="1" ht="24.15" customHeight="1">
      <c r="A267" s="40"/>
      <c r="B267" s="41"/>
      <c r="C267" s="209" t="s">
        <v>465</v>
      </c>
      <c r="D267" s="209" t="s">
        <v>202</v>
      </c>
      <c r="E267" s="210" t="s">
        <v>466</v>
      </c>
      <c r="F267" s="211" t="s">
        <v>467</v>
      </c>
      <c r="G267" s="212" t="s">
        <v>272</v>
      </c>
      <c r="H267" s="213">
        <v>16.728999999999999</v>
      </c>
      <c r="I267" s="214"/>
      <c r="J267" s="215">
        <f>ROUND(I267*H267,1)</f>
        <v>0</v>
      </c>
      <c r="K267" s="211" t="s">
        <v>206</v>
      </c>
      <c r="L267" s="46"/>
      <c r="M267" s="216" t="s">
        <v>32</v>
      </c>
      <c r="N267" s="217" t="s">
        <v>49</v>
      </c>
      <c r="O267" s="86"/>
      <c r="P267" s="218">
        <f>O267*H267</f>
        <v>0</v>
      </c>
      <c r="Q267" s="218">
        <v>0.0031099999999999999</v>
      </c>
      <c r="R267" s="218">
        <f>Q267*H267</f>
        <v>0.052027189999999994</v>
      </c>
      <c r="S267" s="218">
        <v>0</v>
      </c>
      <c r="T267" s="219">
        <f>S267*H267</f>
        <v>0</v>
      </c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R267" s="220" t="s">
        <v>207</v>
      </c>
      <c r="AT267" s="220" t="s">
        <v>202</v>
      </c>
      <c r="AU267" s="220" t="s">
        <v>88</v>
      </c>
      <c r="AY267" s="18" t="s">
        <v>200</v>
      </c>
      <c r="BE267" s="221">
        <f>IF(N267="základní",J267,0)</f>
        <v>0</v>
      </c>
      <c r="BF267" s="221">
        <f>IF(N267="snížená",J267,0)</f>
        <v>0</v>
      </c>
      <c r="BG267" s="221">
        <f>IF(N267="zákl. přenesená",J267,0)</f>
        <v>0</v>
      </c>
      <c r="BH267" s="221">
        <f>IF(N267="sníž. přenesená",J267,0)</f>
        <v>0</v>
      </c>
      <c r="BI267" s="221">
        <f>IF(N267="nulová",J267,0)</f>
        <v>0</v>
      </c>
      <c r="BJ267" s="18" t="s">
        <v>86</v>
      </c>
      <c r="BK267" s="221">
        <f>ROUND(I267*H267,1)</f>
        <v>0</v>
      </c>
      <c r="BL267" s="18" t="s">
        <v>207</v>
      </c>
      <c r="BM267" s="220" t="s">
        <v>468</v>
      </c>
    </row>
    <row r="268" s="2" customFormat="1">
      <c r="A268" s="40"/>
      <c r="B268" s="41"/>
      <c r="C268" s="42"/>
      <c r="D268" s="222" t="s">
        <v>209</v>
      </c>
      <c r="E268" s="42"/>
      <c r="F268" s="223" t="s">
        <v>469</v>
      </c>
      <c r="G268" s="42"/>
      <c r="H268" s="42"/>
      <c r="I268" s="224"/>
      <c r="J268" s="42"/>
      <c r="K268" s="42"/>
      <c r="L268" s="46"/>
      <c r="M268" s="225"/>
      <c r="N268" s="226"/>
      <c r="O268" s="86"/>
      <c r="P268" s="86"/>
      <c r="Q268" s="86"/>
      <c r="R268" s="86"/>
      <c r="S268" s="86"/>
      <c r="T268" s="87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T268" s="18" t="s">
        <v>209</v>
      </c>
      <c r="AU268" s="18" t="s">
        <v>88</v>
      </c>
    </row>
    <row r="269" s="13" customFormat="1">
      <c r="A269" s="13"/>
      <c r="B269" s="227"/>
      <c r="C269" s="228"/>
      <c r="D269" s="229" t="s">
        <v>211</v>
      </c>
      <c r="E269" s="230" t="s">
        <v>32</v>
      </c>
      <c r="F269" s="231" t="s">
        <v>470</v>
      </c>
      <c r="G269" s="228"/>
      <c r="H269" s="232">
        <v>16.728980880366802</v>
      </c>
      <c r="I269" s="233"/>
      <c r="J269" s="228"/>
      <c r="K269" s="228"/>
      <c r="L269" s="234"/>
      <c r="M269" s="235"/>
      <c r="N269" s="236"/>
      <c r="O269" s="236"/>
      <c r="P269" s="236"/>
      <c r="Q269" s="236"/>
      <c r="R269" s="236"/>
      <c r="S269" s="236"/>
      <c r="T269" s="237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T269" s="238" t="s">
        <v>211</v>
      </c>
      <c r="AU269" s="238" t="s">
        <v>88</v>
      </c>
      <c r="AV269" s="13" t="s">
        <v>88</v>
      </c>
      <c r="AW269" s="13" t="s">
        <v>213</v>
      </c>
      <c r="AX269" s="13" t="s">
        <v>86</v>
      </c>
      <c r="AY269" s="238" t="s">
        <v>200</v>
      </c>
    </row>
    <row r="270" s="2" customFormat="1" ht="24.15" customHeight="1">
      <c r="A270" s="40"/>
      <c r="B270" s="41"/>
      <c r="C270" s="209" t="s">
        <v>471</v>
      </c>
      <c r="D270" s="209" t="s">
        <v>202</v>
      </c>
      <c r="E270" s="210" t="s">
        <v>472</v>
      </c>
      <c r="F270" s="211" t="s">
        <v>473</v>
      </c>
      <c r="G270" s="212" t="s">
        <v>272</v>
      </c>
      <c r="H270" s="213">
        <v>16.728999999999999</v>
      </c>
      <c r="I270" s="214"/>
      <c r="J270" s="215">
        <f>ROUND(I270*H270,1)</f>
        <v>0</v>
      </c>
      <c r="K270" s="211" t="s">
        <v>206</v>
      </c>
      <c r="L270" s="46"/>
      <c r="M270" s="216" t="s">
        <v>32</v>
      </c>
      <c r="N270" s="217" t="s">
        <v>49</v>
      </c>
      <c r="O270" s="86"/>
      <c r="P270" s="218">
        <f>O270*H270</f>
        <v>0</v>
      </c>
      <c r="Q270" s="218">
        <v>0</v>
      </c>
      <c r="R270" s="218">
        <f>Q270*H270</f>
        <v>0</v>
      </c>
      <c r="S270" s="218">
        <v>0</v>
      </c>
      <c r="T270" s="219">
        <f>S270*H270</f>
        <v>0</v>
      </c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R270" s="220" t="s">
        <v>207</v>
      </c>
      <c r="AT270" s="220" t="s">
        <v>202</v>
      </c>
      <c r="AU270" s="220" t="s">
        <v>88</v>
      </c>
      <c r="AY270" s="18" t="s">
        <v>200</v>
      </c>
      <c r="BE270" s="221">
        <f>IF(N270="základní",J270,0)</f>
        <v>0</v>
      </c>
      <c r="BF270" s="221">
        <f>IF(N270="snížená",J270,0)</f>
        <v>0</v>
      </c>
      <c r="BG270" s="221">
        <f>IF(N270="zákl. přenesená",J270,0)</f>
        <v>0</v>
      </c>
      <c r="BH270" s="221">
        <f>IF(N270="sníž. přenesená",J270,0)</f>
        <v>0</v>
      </c>
      <c r="BI270" s="221">
        <f>IF(N270="nulová",J270,0)</f>
        <v>0</v>
      </c>
      <c r="BJ270" s="18" t="s">
        <v>86</v>
      </c>
      <c r="BK270" s="221">
        <f>ROUND(I270*H270,1)</f>
        <v>0</v>
      </c>
      <c r="BL270" s="18" t="s">
        <v>207</v>
      </c>
      <c r="BM270" s="220" t="s">
        <v>474</v>
      </c>
    </row>
    <row r="271" s="2" customFormat="1">
      <c r="A271" s="40"/>
      <c r="B271" s="41"/>
      <c r="C271" s="42"/>
      <c r="D271" s="222" t="s">
        <v>209</v>
      </c>
      <c r="E271" s="42"/>
      <c r="F271" s="223" t="s">
        <v>475</v>
      </c>
      <c r="G271" s="42"/>
      <c r="H271" s="42"/>
      <c r="I271" s="224"/>
      <c r="J271" s="42"/>
      <c r="K271" s="42"/>
      <c r="L271" s="46"/>
      <c r="M271" s="225"/>
      <c r="N271" s="226"/>
      <c r="O271" s="86"/>
      <c r="P271" s="86"/>
      <c r="Q271" s="86"/>
      <c r="R271" s="86"/>
      <c r="S271" s="86"/>
      <c r="T271" s="87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T271" s="18" t="s">
        <v>209</v>
      </c>
      <c r="AU271" s="18" t="s">
        <v>88</v>
      </c>
    </row>
    <row r="272" s="2" customFormat="1" ht="24.15" customHeight="1">
      <c r="A272" s="40"/>
      <c r="B272" s="41"/>
      <c r="C272" s="209" t="s">
        <v>476</v>
      </c>
      <c r="D272" s="209" t="s">
        <v>202</v>
      </c>
      <c r="E272" s="210" t="s">
        <v>477</v>
      </c>
      <c r="F272" s="211" t="s">
        <v>478</v>
      </c>
      <c r="G272" s="212" t="s">
        <v>250</v>
      </c>
      <c r="H272" s="213">
        <v>0.188</v>
      </c>
      <c r="I272" s="214"/>
      <c r="J272" s="215">
        <f>ROUND(I272*H272,1)</f>
        <v>0</v>
      </c>
      <c r="K272" s="211" t="s">
        <v>206</v>
      </c>
      <c r="L272" s="46"/>
      <c r="M272" s="216" t="s">
        <v>32</v>
      </c>
      <c r="N272" s="217" t="s">
        <v>49</v>
      </c>
      <c r="O272" s="86"/>
      <c r="P272" s="218">
        <f>O272*H272</f>
        <v>0</v>
      </c>
      <c r="Q272" s="218">
        <v>1.05237</v>
      </c>
      <c r="R272" s="218">
        <f>Q272*H272</f>
        <v>0.19784556</v>
      </c>
      <c r="S272" s="218">
        <v>0</v>
      </c>
      <c r="T272" s="219">
        <f>S272*H272</f>
        <v>0</v>
      </c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R272" s="220" t="s">
        <v>207</v>
      </c>
      <c r="AT272" s="220" t="s">
        <v>202</v>
      </c>
      <c r="AU272" s="220" t="s">
        <v>88</v>
      </c>
      <c r="AY272" s="18" t="s">
        <v>200</v>
      </c>
      <c r="BE272" s="221">
        <f>IF(N272="základní",J272,0)</f>
        <v>0</v>
      </c>
      <c r="BF272" s="221">
        <f>IF(N272="snížená",J272,0)</f>
        <v>0</v>
      </c>
      <c r="BG272" s="221">
        <f>IF(N272="zákl. přenesená",J272,0)</f>
        <v>0</v>
      </c>
      <c r="BH272" s="221">
        <f>IF(N272="sníž. přenesená",J272,0)</f>
        <v>0</v>
      </c>
      <c r="BI272" s="221">
        <f>IF(N272="nulová",J272,0)</f>
        <v>0</v>
      </c>
      <c r="BJ272" s="18" t="s">
        <v>86</v>
      </c>
      <c r="BK272" s="221">
        <f>ROUND(I272*H272,1)</f>
        <v>0</v>
      </c>
      <c r="BL272" s="18" t="s">
        <v>207</v>
      </c>
      <c r="BM272" s="220" t="s">
        <v>479</v>
      </c>
    </row>
    <row r="273" s="2" customFormat="1">
      <c r="A273" s="40"/>
      <c r="B273" s="41"/>
      <c r="C273" s="42"/>
      <c r="D273" s="222" t="s">
        <v>209</v>
      </c>
      <c r="E273" s="42"/>
      <c r="F273" s="223" t="s">
        <v>480</v>
      </c>
      <c r="G273" s="42"/>
      <c r="H273" s="42"/>
      <c r="I273" s="224"/>
      <c r="J273" s="42"/>
      <c r="K273" s="42"/>
      <c r="L273" s="46"/>
      <c r="M273" s="225"/>
      <c r="N273" s="226"/>
      <c r="O273" s="86"/>
      <c r="P273" s="86"/>
      <c r="Q273" s="86"/>
      <c r="R273" s="86"/>
      <c r="S273" s="86"/>
      <c r="T273" s="87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T273" s="18" t="s">
        <v>209</v>
      </c>
      <c r="AU273" s="18" t="s">
        <v>88</v>
      </c>
    </row>
    <row r="274" s="13" customFormat="1">
      <c r="A274" s="13"/>
      <c r="B274" s="227"/>
      <c r="C274" s="228"/>
      <c r="D274" s="229" t="s">
        <v>211</v>
      </c>
      <c r="E274" s="230" t="s">
        <v>32</v>
      </c>
      <c r="F274" s="231" t="s">
        <v>481</v>
      </c>
      <c r="G274" s="228"/>
      <c r="H274" s="232">
        <v>0.18828</v>
      </c>
      <c r="I274" s="233"/>
      <c r="J274" s="228"/>
      <c r="K274" s="228"/>
      <c r="L274" s="234"/>
      <c r="M274" s="235"/>
      <c r="N274" s="236"/>
      <c r="O274" s="236"/>
      <c r="P274" s="236"/>
      <c r="Q274" s="236"/>
      <c r="R274" s="236"/>
      <c r="S274" s="236"/>
      <c r="T274" s="237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T274" s="238" t="s">
        <v>211</v>
      </c>
      <c r="AU274" s="238" t="s">
        <v>88</v>
      </c>
      <c r="AV274" s="13" t="s">
        <v>88</v>
      </c>
      <c r="AW274" s="13" t="s">
        <v>213</v>
      </c>
      <c r="AX274" s="13" t="s">
        <v>86</v>
      </c>
      <c r="AY274" s="238" t="s">
        <v>200</v>
      </c>
    </row>
    <row r="275" s="2" customFormat="1" ht="16.5" customHeight="1">
      <c r="A275" s="40"/>
      <c r="B275" s="41"/>
      <c r="C275" s="209" t="s">
        <v>482</v>
      </c>
      <c r="D275" s="209" t="s">
        <v>202</v>
      </c>
      <c r="E275" s="210" t="s">
        <v>483</v>
      </c>
      <c r="F275" s="211" t="s">
        <v>484</v>
      </c>
      <c r="G275" s="212" t="s">
        <v>205</v>
      </c>
      <c r="H275" s="213">
        <v>223.40000000000001</v>
      </c>
      <c r="I275" s="214"/>
      <c r="J275" s="215">
        <f>ROUND(I275*H275,1)</f>
        <v>0</v>
      </c>
      <c r="K275" s="211" t="s">
        <v>206</v>
      </c>
      <c r="L275" s="46"/>
      <c r="M275" s="216" t="s">
        <v>32</v>
      </c>
      <c r="N275" s="217" t="s">
        <v>49</v>
      </c>
      <c r="O275" s="86"/>
      <c r="P275" s="218">
        <f>O275*H275</f>
        <v>0</v>
      </c>
      <c r="Q275" s="218">
        <v>2.5018799999999999</v>
      </c>
      <c r="R275" s="218">
        <f>Q275*H275</f>
        <v>558.91999199999998</v>
      </c>
      <c r="S275" s="218">
        <v>0</v>
      </c>
      <c r="T275" s="219">
        <f>S275*H275</f>
        <v>0</v>
      </c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R275" s="220" t="s">
        <v>207</v>
      </c>
      <c r="AT275" s="220" t="s">
        <v>202</v>
      </c>
      <c r="AU275" s="220" t="s">
        <v>88</v>
      </c>
      <c r="AY275" s="18" t="s">
        <v>200</v>
      </c>
      <c r="BE275" s="221">
        <f>IF(N275="základní",J275,0)</f>
        <v>0</v>
      </c>
      <c r="BF275" s="221">
        <f>IF(N275="snížená",J275,0)</f>
        <v>0</v>
      </c>
      <c r="BG275" s="221">
        <f>IF(N275="zákl. přenesená",J275,0)</f>
        <v>0</v>
      </c>
      <c r="BH275" s="221">
        <f>IF(N275="sníž. přenesená",J275,0)</f>
        <v>0</v>
      </c>
      <c r="BI275" s="221">
        <f>IF(N275="nulová",J275,0)</f>
        <v>0</v>
      </c>
      <c r="BJ275" s="18" t="s">
        <v>86</v>
      </c>
      <c r="BK275" s="221">
        <f>ROUND(I275*H275,1)</f>
        <v>0</v>
      </c>
      <c r="BL275" s="18" t="s">
        <v>207</v>
      </c>
      <c r="BM275" s="220" t="s">
        <v>485</v>
      </c>
    </row>
    <row r="276" s="2" customFormat="1">
      <c r="A276" s="40"/>
      <c r="B276" s="41"/>
      <c r="C276" s="42"/>
      <c r="D276" s="222" t="s">
        <v>209</v>
      </c>
      <c r="E276" s="42"/>
      <c r="F276" s="223" t="s">
        <v>486</v>
      </c>
      <c r="G276" s="42"/>
      <c r="H276" s="42"/>
      <c r="I276" s="224"/>
      <c r="J276" s="42"/>
      <c r="K276" s="42"/>
      <c r="L276" s="46"/>
      <c r="M276" s="225"/>
      <c r="N276" s="226"/>
      <c r="O276" s="86"/>
      <c r="P276" s="86"/>
      <c r="Q276" s="86"/>
      <c r="R276" s="86"/>
      <c r="S276" s="86"/>
      <c r="T276" s="87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T276" s="18" t="s">
        <v>209</v>
      </c>
      <c r="AU276" s="18" t="s">
        <v>88</v>
      </c>
    </row>
    <row r="277" s="2" customFormat="1">
      <c r="A277" s="40"/>
      <c r="B277" s="41"/>
      <c r="C277" s="42"/>
      <c r="D277" s="229" t="s">
        <v>355</v>
      </c>
      <c r="E277" s="42"/>
      <c r="F277" s="281" t="s">
        <v>487</v>
      </c>
      <c r="G277" s="42"/>
      <c r="H277" s="42"/>
      <c r="I277" s="224"/>
      <c r="J277" s="42"/>
      <c r="K277" s="42"/>
      <c r="L277" s="46"/>
      <c r="M277" s="225"/>
      <c r="N277" s="226"/>
      <c r="O277" s="86"/>
      <c r="P277" s="86"/>
      <c r="Q277" s="86"/>
      <c r="R277" s="86"/>
      <c r="S277" s="86"/>
      <c r="T277" s="87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T277" s="18" t="s">
        <v>355</v>
      </c>
      <c r="AU277" s="18" t="s">
        <v>88</v>
      </c>
    </row>
    <row r="278" s="15" customFormat="1">
      <c r="A278" s="15"/>
      <c r="B278" s="250"/>
      <c r="C278" s="251"/>
      <c r="D278" s="229" t="s">
        <v>211</v>
      </c>
      <c r="E278" s="252" t="s">
        <v>32</v>
      </c>
      <c r="F278" s="253" t="s">
        <v>488</v>
      </c>
      <c r="G278" s="251"/>
      <c r="H278" s="252" t="s">
        <v>32</v>
      </c>
      <c r="I278" s="254"/>
      <c r="J278" s="251"/>
      <c r="K278" s="251"/>
      <c r="L278" s="255"/>
      <c r="M278" s="256"/>
      <c r="N278" s="257"/>
      <c r="O278" s="257"/>
      <c r="P278" s="257"/>
      <c r="Q278" s="257"/>
      <c r="R278" s="257"/>
      <c r="S278" s="257"/>
      <c r="T278" s="25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T278" s="259" t="s">
        <v>211</v>
      </c>
      <c r="AU278" s="259" t="s">
        <v>88</v>
      </c>
      <c r="AV278" s="15" t="s">
        <v>86</v>
      </c>
      <c r="AW278" s="15" t="s">
        <v>213</v>
      </c>
      <c r="AX278" s="15" t="s">
        <v>78</v>
      </c>
      <c r="AY278" s="259" t="s">
        <v>200</v>
      </c>
    </row>
    <row r="279" s="13" customFormat="1">
      <c r="A279" s="13"/>
      <c r="B279" s="227"/>
      <c r="C279" s="228"/>
      <c r="D279" s="229" t="s">
        <v>211</v>
      </c>
      <c r="E279" s="230" t="s">
        <v>32</v>
      </c>
      <c r="F279" s="231" t="s">
        <v>489</v>
      </c>
      <c r="G279" s="228"/>
      <c r="H279" s="232">
        <v>3</v>
      </c>
      <c r="I279" s="233"/>
      <c r="J279" s="228"/>
      <c r="K279" s="228"/>
      <c r="L279" s="234"/>
      <c r="M279" s="235"/>
      <c r="N279" s="236"/>
      <c r="O279" s="236"/>
      <c r="P279" s="236"/>
      <c r="Q279" s="236"/>
      <c r="R279" s="236"/>
      <c r="S279" s="236"/>
      <c r="T279" s="237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T279" s="238" t="s">
        <v>211</v>
      </c>
      <c r="AU279" s="238" t="s">
        <v>88</v>
      </c>
      <c r="AV279" s="13" t="s">
        <v>88</v>
      </c>
      <c r="AW279" s="13" t="s">
        <v>213</v>
      </c>
      <c r="AX279" s="13" t="s">
        <v>78</v>
      </c>
      <c r="AY279" s="238" t="s">
        <v>200</v>
      </c>
    </row>
    <row r="280" s="13" customFormat="1">
      <c r="A280" s="13"/>
      <c r="B280" s="227"/>
      <c r="C280" s="228"/>
      <c r="D280" s="229" t="s">
        <v>211</v>
      </c>
      <c r="E280" s="230" t="s">
        <v>32</v>
      </c>
      <c r="F280" s="231" t="s">
        <v>490</v>
      </c>
      <c r="G280" s="228"/>
      <c r="H280" s="232">
        <v>3.8999999999999999</v>
      </c>
      <c r="I280" s="233"/>
      <c r="J280" s="228"/>
      <c r="K280" s="228"/>
      <c r="L280" s="234"/>
      <c r="M280" s="235"/>
      <c r="N280" s="236"/>
      <c r="O280" s="236"/>
      <c r="P280" s="236"/>
      <c r="Q280" s="236"/>
      <c r="R280" s="236"/>
      <c r="S280" s="236"/>
      <c r="T280" s="237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T280" s="238" t="s">
        <v>211</v>
      </c>
      <c r="AU280" s="238" t="s">
        <v>88</v>
      </c>
      <c r="AV280" s="13" t="s">
        <v>88</v>
      </c>
      <c r="AW280" s="13" t="s">
        <v>213</v>
      </c>
      <c r="AX280" s="13" t="s">
        <v>78</v>
      </c>
      <c r="AY280" s="238" t="s">
        <v>200</v>
      </c>
    </row>
    <row r="281" s="13" customFormat="1">
      <c r="A281" s="13"/>
      <c r="B281" s="227"/>
      <c r="C281" s="228"/>
      <c r="D281" s="229" t="s">
        <v>211</v>
      </c>
      <c r="E281" s="230" t="s">
        <v>32</v>
      </c>
      <c r="F281" s="231" t="s">
        <v>491</v>
      </c>
      <c r="G281" s="228"/>
      <c r="H281" s="232">
        <v>8.75</v>
      </c>
      <c r="I281" s="233"/>
      <c r="J281" s="228"/>
      <c r="K281" s="228"/>
      <c r="L281" s="234"/>
      <c r="M281" s="235"/>
      <c r="N281" s="236"/>
      <c r="O281" s="236"/>
      <c r="P281" s="236"/>
      <c r="Q281" s="236"/>
      <c r="R281" s="236"/>
      <c r="S281" s="236"/>
      <c r="T281" s="237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T281" s="238" t="s">
        <v>211</v>
      </c>
      <c r="AU281" s="238" t="s">
        <v>88</v>
      </c>
      <c r="AV281" s="13" t="s">
        <v>88</v>
      </c>
      <c r="AW281" s="13" t="s">
        <v>213</v>
      </c>
      <c r="AX281" s="13" t="s">
        <v>78</v>
      </c>
      <c r="AY281" s="238" t="s">
        <v>200</v>
      </c>
    </row>
    <row r="282" s="13" customFormat="1">
      <c r="A282" s="13"/>
      <c r="B282" s="227"/>
      <c r="C282" s="228"/>
      <c r="D282" s="229" t="s">
        <v>211</v>
      </c>
      <c r="E282" s="230" t="s">
        <v>32</v>
      </c>
      <c r="F282" s="231" t="s">
        <v>492</v>
      </c>
      <c r="G282" s="228"/>
      <c r="H282" s="232">
        <v>0.75</v>
      </c>
      <c r="I282" s="233"/>
      <c r="J282" s="228"/>
      <c r="K282" s="228"/>
      <c r="L282" s="234"/>
      <c r="M282" s="235"/>
      <c r="N282" s="236"/>
      <c r="O282" s="236"/>
      <c r="P282" s="236"/>
      <c r="Q282" s="236"/>
      <c r="R282" s="236"/>
      <c r="S282" s="236"/>
      <c r="T282" s="237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T282" s="238" t="s">
        <v>211</v>
      </c>
      <c r="AU282" s="238" t="s">
        <v>88</v>
      </c>
      <c r="AV282" s="13" t="s">
        <v>88</v>
      </c>
      <c r="AW282" s="13" t="s">
        <v>213</v>
      </c>
      <c r="AX282" s="13" t="s">
        <v>78</v>
      </c>
      <c r="AY282" s="238" t="s">
        <v>200</v>
      </c>
    </row>
    <row r="283" s="13" customFormat="1">
      <c r="A283" s="13"/>
      <c r="B283" s="227"/>
      <c r="C283" s="228"/>
      <c r="D283" s="229" t="s">
        <v>211</v>
      </c>
      <c r="E283" s="230" t="s">
        <v>32</v>
      </c>
      <c r="F283" s="231" t="s">
        <v>493</v>
      </c>
      <c r="G283" s="228"/>
      <c r="H283" s="232">
        <v>8</v>
      </c>
      <c r="I283" s="233"/>
      <c r="J283" s="228"/>
      <c r="K283" s="228"/>
      <c r="L283" s="234"/>
      <c r="M283" s="235"/>
      <c r="N283" s="236"/>
      <c r="O283" s="236"/>
      <c r="P283" s="236"/>
      <c r="Q283" s="236"/>
      <c r="R283" s="236"/>
      <c r="S283" s="236"/>
      <c r="T283" s="237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T283" s="238" t="s">
        <v>211</v>
      </c>
      <c r="AU283" s="238" t="s">
        <v>88</v>
      </c>
      <c r="AV283" s="13" t="s">
        <v>88</v>
      </c>
      <c r="AW283" s="13" t="s">
        <v>213</v>
      </c>
      <c r="AX283" s="13" t="s">
        <v>78</v>
      </c>
      <c r="AY283" s="238" t="s">
        <v>200</v>
      </c>
    </row>
    <row r="284" s="13" customFormat="1">
      <c r="A284" s="13"/>
      <c r="B284" s="227"/>
      <c r="C284" s="228"/>
      <c r="D284" s="229" t="s">
        <v>211</v>
      </c>
      <c r="E284" s="230" t="s">
        <v>32</v>
      </c>
      <c r="F284" s="231" t="s">
        <v>494</v>
      </c>
      <c r="G284" s="228"/>
      <c r="H284" s="232">
        <v>7</v>
      </c>
      <c r="I284" s="233"/>
      <c r="J284" s="228"/>
      <c r="K284" s="228"/>
      <c r="L284" s="234"/>
      <c r="M284" s="235"/>
      <c r="N284" s="236"/>
      <c r="O284" s="236"/>
      <c r="P284" s="236"/>
      <c r="Q284" s="236"/>
      <c r="R284" s="236"/>
      <c r="S284" s="236"/>
      <c r="T284" s="237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T284" s="238" t="s">
        <v>211</v>
      </c>
      <c r="AU284" s="238" t="s">
        <v>88</v>
      </c>
      <c r="AV284" s="13" t="s">
        <v>88</v>
      </c>
      <c r="AW284" s="13" t="s">
        <v>213</v>
      </c>
      <c r="AX284" s="13" t="s">
        <v>78</v>
      </c>
      <c r="AY284" s="238" t="s">
        <v>200</v>
      </c>
    </row>
    <row r="285" s="13" customFormat="1">
      <c r="A285" s="13"/>
      <c r="B285" s="227"/>
      <c r="C285" s="228"/>
      <c r="D285" s="229" t="s">
        <v>211</v>
      </c>
      <c r="E285" s="230" t="s">
        <v>32</v>
      </c>
      <c r="F285" s="231" t="s">
        <v>495</v>
      </c>
      <c r="G285" s="228"/>
      <c r="H285" s="232">
        <v>8.4000000000000004</v>
      </c>
      <c r="I285" s="233"/>
      <c r="J285" s="228"/>
      <c r="K285" s="228"/>
      <c r="L285" s="234"/>
      <c r="M285" s="235"/>
      <c r="N285" s="236"/>
      <c r="O285" s="236"/>
      <c r="P285" s="236"/>
      <c r="Q285" s="236"/>
      <c r="R285" s="236"/>
      <c r="S285" s="236"/>
      <c r="T285" s="237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T285" s="238" t="s">
        <v>211</v>
      </c>
      <c r="AU285" s="238" t="s">
        <v>88</v>
      </c>
      <c r="AV285" s="13" t="s">
        <v>88</v>
      </c>
      <c r="AW285" s="13" t="s">
        <v>213</v>
      </c>
      <c r="AX285" s="13" t="s">
        <v>78</v>
      </c>
      <c r="AY285" s="238" t="s">
        <v>200</v>
      </c>
    </row>
    <row r="286" s="13" customFormat="1">
      <c r="A286" s="13"/>
      <c r="B286" s="227"/>
      <c r="C286" s="228"/>
      <c r="D286" s="229" t="s">
        <v>211</v>
      </c>
      <c r="E286" s="230" t="s">
        <v>32</v>
      </c>
      <c r="F286" s="231" t="s">
        <v>496</v>
      </c>
      <c r="G286" s="228"/>
      <c r="H286" s="232">
        <v>5.4000000000000004</v>
      </c>
      <c r="I286" s="233"/>
      <c r="J286" s="228"/>
      <c r="K286" s="228"/>
      <c r="L286" s="234"/>
      <c r="M286" s="235"/>
      <c r="N286" s="236"/>
      <c r="O286" s="236"/>
      <c r="P286" s="236"/>
      <c r="Q286" s="236"/>
      <c r="R286" s="236"/>
      <c r="S286" s="236"/>
      <c r="T286" s="237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T286" s="238" t="s">
        <v>211</v>
      </c>
      <c r="AU286" s="238" t="s">
        <v>88</v>
      </c>
      <c r="AV286" s="13" t="s">
        <v>88</v>
      </c>
      <c r="AW286" s="13" t="s">
        <v>213</v>
      </c>
      <c r="AX286" s="13" t="s">
        <v>78</v>
      </c>
      <c r="AY286" s="238" t="s">
        <v>200</v>
      </c>
    </row>
    <row r="287" s="13" customFormat="1">
      <c r="A287" s="13"/>
      <c r="B287" s="227"/>
      <c r="C287" s="228"/>
      <c r="D287" s="229" t="s">
        <v>211</v>
      </c>
      <c r="E287" s="230" t="s">
        <v>32</v>
      </c>
      <c r="F287" s="231" t="s">
        <v>497</v>
      </c>
      <c r="G287" s="228"/>
      <c r="H287" s="232">
        <v>12</v>
      </c>
      <c r="I287" s="233"/>
      <c r="J287" s="228"/>
      <c r="K287" s="228"/>
      <c r="L287" s="234"/>
      <c r="M287" s="235"/>
      <c r="N287" s="236"/>
      <c r="O287" s="236"/>
      <c r="P287" s="236"/>
      <c r="Q287" s="236"/>
      <c r="R287" s="236"/>
      <c r="S287" s="236"/>
      <c r="T287" s="237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T287" s="238" t="s">
        <v>211</v>
      </c>
      <c r="AU287" s="238" t="s">
        <v>88</v>
      </c>
      <c r="AV287" s="13" t="s">
        <v>88</v>
      </c>
      <c r="AW287" s="13" t="s">
        <v>213</v>
      </c>
      <c r="AX287" s="13" t="s">
        <v>78</v>
      </c>
      <c r="AY287" s="238" t="s">
        <v>200</v>
      </c>
    </row>
    <row r="288" s="13" customFormat="1">
      <c r="A288" s="13"/>
      <c r="B288" s="227"/>
      <c r="C288" s="228"/>
      <c r="D288" s="229" t="s">
        <v>211</v>
      </c>
      <c r="E288" s="230" t="s">
        <v>32</v>
      </c>
      <c r="F288" s="231" t="s">
        <v>498</v>
      </c>
      <c r="G288" s="228"/>
      <c r="H288" s="232">
        <v>18</v>
      </c>
      <c r="I288" s="233"/>
      <c r="J288" s="228"/>
      <c r="K288" s="228"/>
      <c r="L288" s="234"/>
      <c r="M288" s="235"/>
      <c r="N288" s="236"/>
      <c r="O288" s="236"/>
      <c r="P288" s="236"/>
      <c r="Q288" s="236"/>
      <c r="R288" s="236"/>
      <c r="S288" s="236"/>
      <c r="T288" s="237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T288" s="238" t="s">
        <v>211</v>
      </c>
      <c r="AU288" s="238" t="s">
        <v>88</v>
      </c>
      <c r="AV288" s="13" t="s">
        <v>88</v>
      </c>
      <c r="AW288" s="13" t="s">
        <v>213</v>
      </c>
      <c r="AX288" s="13" t="s">
        <v>78</v>
      </c>
      <c r="AY288" s="238" t="s">
        <v>200</v>
      </c>
    </row>
    <row r="289" s="13" customFormat="1">
      <c r="A289" s="13"/>
      <c r="B289" s="227"/>
      <c r="C289" s="228"/>
      <c r="D289" s="229" t="s">
        <v>211</v>
      </c>
      <c r="E289" s="230" t="s">
        <v>32</v>
      </c>
      <c r="F289" s="231" t="s">
        <v>499</v>
      </c>
      <c r="G289" s="228"/>
      <c r="H289" s="232">
        <v>19.800000000000001</v>
      </c>
      <c r="I289" s="233"/>
      <c r="J289" s="228"/>
      <c r="K289" s="228"/>
      <c r="L289" s="234"/>
      <c r="M289" s="235"/>
      <c r="N289" s="236"/>
      <c r="O289" s="236"/>
      <c r="P289" s="236"/>
      <c r="Q289" s="236"/>
      <c r="R289" s="236"/>
      <c r="S289" s="236"/>
      <c r="T289" s="237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T289" s="238" t="s">
        <v>211</v>
      </c>
      <c r="AU289" s="238" t="s">
        <v>88</v>
      </c>
      <c r="AV289" s="13" t="s">
        <v>88</v>
      </c>
      <c r="AW289" s="13" t="s">
        <v>213</v>
      </c>
      <c r="AX289" s="13" t="s">
        <v>78</v>
      </c>
      <c r="AY289" s="238" t="s">
        <v>200</v>
      </c>
    </row>
    <row r="290" s="13" customFormat="1">
      <c r="A290" s="13"/>
      <c r="B290" s="227"/>
      <c r="C290" s="228"/>
      <c r="D290" s="229" t="s">
        <v>211</v>
      </c>
      <c r="E290" s="230" t="s">
        <v>32</v>
      </c>
      <c r="F290" s="231" t="s">
        <v>500</v>
      </c>
      <c r="G290" s="228"/>
      <c r="H290" s="232">
        <v>19.199999999999999</v>
      </c>
      <c r="I290" s="233"/>
      <c r="J290" s="228"/>
      <c r="K290" s="228"/>
      <c r="L290" s="234"/>
      <c r="M290" s="235"/>
      <c r="N290" s="236"/>
      <c r="O290" s="236"/>
      <c r="P290" s="236"/>
      <c r="Q290" s="236"/>
      <c r="R290" s="236"/>
      <c r="S290" s="236"/>
      <c r="T290" s="237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T290" s="238" t="s">
        <v>211</v>
      </c>
      <c r="AU290" s="238" t="s">
        <v>88</v>
      </c>
      <c r="AV290" s="13" t="s">
        <v>88</v>
      </c>
      <c r="AW290" s="13" t="s">
        <v>213</v>
      </c>
      <c r="AX290" s="13" t="s">
        <v>78</v>
      </c>
      <c r="AY290" s="238" t="s">
        <v>200</v>
      </c>
    </row>
    <row r="291" s="13" customFormat="1">
      <c r="A291" s="13"/>
      <c r="B291" s="227"/>
      <c r="C291" s="228"/>
      <c r="D291" s="229" t="s">
        <v>211</v>
      </c>
      <c r="E291" s="230" t="s">
        <v>32</v>
      </c>
      <c r="F291" s="231" t="s">
        <v>501</v>
      </c>
      <c r="G291" s="228"/>
      <c r="H291" s="232">
        <v>14.699999999999999</v>
      </c>
      <c r="I291" s="233"/>
      <c r="J291" s="228"/>
      <c r="K291" s="228"/>
      <c r="L291" s="234"/>
      <c r="M291" s="235"/>
      <c r="N291" s="236"/>
      <c r="O291" s="236"/>
      <c r="P291" s="236"/>
      <c r="Q291" s="236"/>
      <c r="R291" s="236"/>
      <c r="S291" s="236"/>
      <c r="T291" s="237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T291" s="238" t="s">
        <v>211</v>
      </c>
      <c r="AU291" s="238" t="s">
        <v>88</v>
      </c>
      <c r="AV291" s="13" t="s">
        <v>88</v>
      </c>
      <c r="AW291" s="13" t="s">
        <v>213</v>
      </c>
      <c r="AX291" s="13" t="s">
        <v>78</v>
      </c>
      <c r="AY291" s="238" t="s">
        <v>200</v>
      </c>
    </row>
    <row r="292" s="16" customFormat="1">
      <c r="A292" s="16"/>
      <c r="B292" s="270"/>
      <c r="C292" s="271"/>
      <c r="D292" s="229" t="s">
        <v>211</v>
      </c>
      <c r="E292" s="272" t="s">
        <v>32</v>
      </c>
      <c r="F292" s="273" t="s">
        <v>318</v>
      </c>
      <c r="G292" s="271"/>
      <c r="H292" s="274">
        <v>128.90000000000001</v>
      </c>
      <c r="I292" s="275"/>
      <c r="J292" s="271"/>
      <c r="K292" s="271"/>
      <c r="L292" s="276"/>
      <c r="M292" s="277"/>
      <c r="N292" s="278"/>
      <c r="O292" s="278"/>
      <c r="P292" s="278"/>
      <c r="Q292" s="278"/>
      <c r="R292" s="278"/>
      <c r="S292" s="278"/>
      <c r="T292" s="279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T292" s="280" t="s">
        <v>211</v>
      </c>
      <c r="AU292" s="280" t="s">
        <v>88</v>
      </c>
      <c r="AV292" s="16" t="s">
        <v>148</v>
      </c>
      <c r="AW292" s="16" t="s">
        <v>213</v>
      </c>
      <c r="AX292" s="16" t="s">
        <v>78</v>
      </c>
      <c r="AY292" s="280" t="s">
        <v>200</v>
      </c>
    </row>
    <row r="293" s="13" customFormat="1">
      <c r="A293" s="13"/>
      <c r="B293" s="227"/>
      <c r="C293" s="228"/>
      <c r="D293" s="229" t="s">
        <v>211</v>
      </c>
      <c r="E293" s="230" t="s">
        <v>32</v>
      </c>
      <c r="F293" s="231" t="s">
        <v>502</v>
      </c>
      <c r="G293" s="228"/>
      <c r="H293" s="232">
        <v>3</v>
      </c>
      <c r="I293" s="233"/>
      <c r="J293" s="228"/>
      <c r="K293" s="228"/>
      <c r="L293" s="234"/>
      <c r="M293" s="235"/>
      <c r="N293" s="236"/>
      <c r="O293" s="236"/>
      <c r="P293" s="236"/>
      <c r="Q293" s="236"/>
      <c r="R293" s="236"/>
      <c r="S293" s="236"/>
      <c r="T293" s="237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T293" s="238" t="s">
        <v>211</v>
      </c>
      <c r="AU293" s="238" t="s">
        <v>88</v>
      </c>
      <c r="AV293" s="13" t="s">
        <v>88</v>
      </c>
      <c r="AW293" s="13" t="s">
        <v>213</v>
      </c>
      <c r="AX293" s="13" t="s">
        <v>78</v>
      </c>
      <c r="AY293" s="238" t="s">
        <v>200</v>
      </c>
    </row>
    <row r="294" s="13" customFormat="1">
      <c r="A294" s="13"/>
      <c r="B294" s="227"/>
      <c r="C294" s="228"/>
      <c r="D294" s="229" t="s">
        <v>211</v>
      </c>
      <c r="E294" s="230" t="s">
        <v>32</v>
      </c>
      <c r="F294" s="231" t="s">
        <v>503</v>
      </c>
      <c r="G294" s="228"/>
      <c r="H294" s="232">
        <v>3</v>
      </c>
      <c r="I294" s="233"/>
      <c r="J294" s="228"/>
      <c r="K294" s="228"/>
      <c r="L294" s="234"/>
      <c r="M294" s="235"/>
      <c r="N294" s="236"/>
      <c r="O294" s="236"/>
      <c r="P294" s="236"/>
      <c r="Q294" s="236"/>
      <c r="R294" s="236"/>
      <c r="S294" s="236"/>
      <c r="T294" s="237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T294" s="238" t="s">
        <v>211</v>
      </c>
      <c r="AU294" s="238" t="s">
        <v>88</v>
      </c>
      <c r="AV294" s="13" t="s">
        <v>88</v>
      </c>
      <c r="AW294" s="13" t="s">
        <v>213</v>
      </c>
      <c r="AX294" s="13" t="s">
        <v>78</v>
      </c>
      <c r="AY294" s="238" t="s">
        <v>200</v>
      </c>
    </row>
    <row r="295" s="13" customFormat="1">
      <c r="A295" s="13"/>
      <c r="B295" s="227"/>
      <c r="C295" s="228"/>
      <c r="D295" s="229" t="s">
        <v>211</v>
      </c>
      <c r="E295" s="230" t="s">
        <v>32</v>
      </c>
      <c r="F295" s="231" t="s">
        <v>504</v>
      </c>
      <c r="G295" s="228"/>
      <c r="H295" s="232">
        <v>5.5</v>
      </c>
      <c r="I295" s="233"/>
      <c r="J295" s="228"/>
      <c r="K295" s="228"/>
      <c r="L295" s="234"/>
      <c r="M295" s="235"/>
      <c r="N295" s="236"/>
      <c r="O295" s="236"/>
      <c r="P295" s="236"/>
      <c r="Q295" s="236"/>
      <c r="R295" s="236"/>
      <c r="S295" s="236"/>
      <c r="T295" s="237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T295" s="238" t="s">
        <v>211</v>
      </c>
      <c r="AU295" s="238" t="s">
        <v>88</v>
      </c>
      <c r="AV295" s="13" t="s">
        <v>88</v>
      </c>
      <c r="AW295" s="13" t="s">
        <v>213</v>
      </c>
      <c r="AX295" s="13" t="s">
        <v>78</v>
      </c>
      <c r="AY295" s="238" t="s">
        <v>200</v>
      </c>
    </row>
    <row r="296" s="13" customFormat="1">
      <c r="A296" s="13"/>
      <c r="B296" s="227"/>
      <c r="C296" s="228"/>
      <c r="D296" s="229" t="s">
        <v>211</v>
      </c>
      <c r="E296" s="230" t="s">
        <v>32</v>
      </c>
      <c r="F296" s="231" t="s">
        <v>505</v>
      </c>
      <c r="G296" s="228"/>
      <c r="H296" s="232">
        <v>7</v>
      </c>
      <c r="I296" s="233"/>
      <c r="J296" s="228"/>
      <c r="K296" s="228"/>
      <c r="L296" s="234"/>
      <c r="M296" s="235"/>
      <c r="N296" s="236"/>
      <c r="O296" s="236"/>
      <c r="P296" s="236"/>
      <c r="Q296" s="236"/>
      <c r="R296" s="236"/>
      <c r="S296" s="236"/>
      <c r="T296" s="237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T296" s="238" t="s">
        <v>211</v>
      </c>
      <c r="AU296" s="238" t="s">
        <v>88</v>
      </c>
      <c r="AV296" s="13" t="s">
        <v>88</v>
      </c>
      <c r="AW296" s="13" t="s">
        <v>213</v>
      </c>
      <c r="AX296" s="13" t="s">
        <v>78</v>
      </c>
      <c r="AY296" s="238" t="s">
        <v>200</v>
      </c>
    </row>
    <row r="297" s="13" customFormat="1">
      <c r="A297" s="13"/>
      <c r="B297" s="227"/>
      <c r="C297" s="228"/>
      <c r="D297" s="229" t="s">
        <v>211</v>
      </c>
      <c r="E297" s="230" t="s">
        <v>32</v>
      </c>
      <c r="F297" s="231" t="s">
        <v>506</v>
      </c>
      <c r="G297" s="228"/>
      <c r="H297" s="232">
        <v>3</v>
      </c>
      <c r="I297" s="233"/>
      <c r="J297" s="228"/>
      <c r="K297" s="228"/>
      <c r="L297" s="234"/>
      <c r="M297" s="235"/>
      <c r="N297" s="236"/>
      <c r="O297" s="236"/>
      <c r="P297" s="236"/>
      <c r="Q297" s="236"/>
      <c r="R297" s="236"/>
      <c r="S297" s="236"/>
      <c r="T297" s="237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T297" s="238" t="s">
        <v>211</v>
      </c>
      <c r="AU297" s="238" t="s">
        <v>88</v>
      </c>
      <c r="AV297" s="13" t="s">
        <v>88</v>
      </c>
      <c r="AW297" s="13" t="s">
        <v>213</v>
      </c>
      <c r="AX297" s="13" t="s">
        <v>78</v>
      </c>
      <c r="AY297" s="238" t="s">
        <v>200</v>
      </c>
    </row>
    <row r="298" s="13" customFormat="1">
      <c r="A298" s="13"/>
      <c r="B298" s="227"/>
      <c r="C298" s="228"/>
      <c r="D298" s="229" t="s">
        <v>211</v>
      </c>
      <c r="E298" s="230" t="s">
        <v>32</v>
      </c>
      <c r="F298" s="231" t="s">
        <v>507</v>
      </c>
      <c r="G298" s="228"/>
      <c r="H298" s="232">
        <v>4</v>
      </c>
      <c r="I298" s="233"/>
      <c r="J298" s="228"/>
      <c r="K298" s="228"/>
      <c r="L298" s="234"/>
      <c r="M298" s="235"/>
      <c r="N298" s="236"/>
      <c r="O298" s="236"/>
      <c r="P298" s="236"/>
      <c r="Q298" s="236"/>
      <c r="R298" s="236"/>
      <c r="S298" s="236"/>
      <c r="T298" s="237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T298" s="238" t="s">
        <v>211</v>
      </c>
      <c r="AU298" s="238" t="s">
        <v>88</v>
      </c>
      <c r="AV298" s="13" t="s">
        <v>88</v>
      </c>
      <c r="AW298" s="13" t="s">
        <v>213</v>
      </c>
      <c r="AX298" s="13" t="s">
        <v>78</v>
      </c>
      <c r="AY298" s="238" t="s">
        <v>200</v>
      </c>
    </row>
    <row r="299" s="13" customFormat="1">
      <c r="A299" s="13"/>
      <c r="B299" s="227"/>
      <c r="C299" s="228"/>
      <c r="D299" s="229" t="s">
        <v>211</v>
      </c>
      <c r="E299" s="230" t="s">
        <v>32</v>
      </c>
      <c r="F299" s="231" t="s">
        <v>508</v>
      </c>
      <c r="G299" s="228"/>
      <c r="H299" s="232">
        <v>24.899999999999999</v>
      </c>
      <c r="I299" s="233"/>
      <c r="J299" s="228"/>
      <c r="K299" s="228"/>
      <c r="L299" s="234"/>
      <c r="M299" s="235"/>
      <c r="N299" s="236"/>
      <c r="O299" s="236"/>
      <c r="P299" s="236"/>
      <c r="Q299" s="236"/>
      <c r="R299" s="236"/>
      <c r="S299" s="236"/>
      <c r="T299" s="237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T299" s="238" t="s">
        <v>211</v>
      </c>
      <c r="AU299" s="238" t="s">
        <v>88</v>
      </c>
      <c r="AV299" s="13" t="s">
        <v>88</v>
      </c>
      <c r="AW299" s="13" t="s">
        <v>213</v>
      </c>
      <c r="AX299" s="13" t="s">
        <v>78</v>
      </c>
      <c r="AY299" s="238" t="s">
        <v>200</v>
      </c>
    </row>
    <row r="300" s="13" customFormat="1">
      <c r="A300" s="13"/>
      <c r="B300" s="227"/>
      <c r="C300" s="228"/>
      <c r="D300" s="229" t="s">
        <v>211</v>
      </c>
      <c r="E300" s="230" t="s">
        <v>32</v>
      </c>
      <c r="F300" s="231" t="s">
        <v>509</v>
      </c>
      <c r="G300" s="228"/>
      <c r="H300" s="232">
        <v>24.300000000000001</v>
      </c>
      <c r="I300" s="233"/>
      <c r="J300" s="228"/>
      <c r="K300" s="228"/>
      <c r="L300" s="234"/>
      <c r="M300" s="235"/>
      <c r="N300" s="236"/>
      <c r="O300" s="236"/>
      <c r="P300" s="236"/>
      <c r="Q300" s="236"/>
      <c r="R300" s="236"/>
      <c r="S300" s="236"/>
      <c r="T300" s="237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T300" s="238" t="s">
        <v>211</v>
      </c>
      <c r="AU300" s="238" t="s">
        <v>88</v>
      </c>
      <c r="AV300" s="13" t="s">
        <v>88</v>
      </c>
      <c r="AW300" s="13" t="s">
        <v>213</v>
      </c>
      <c r="AX300" s="13" t="s">
        <v>78</v>
      </c>
      <c r="AY300" s="238" t="s">
        <v>200</v>
      </c>
    </row>
    <row r="301" s="13" customFormat="1">
      <c r="A301" s="13"/>
      <c r="B301" s="227"/>
      <c r="C301" s="228"/>
      <c r="D301" s="229" t="s">
        <v>211</v>
      </c>
      <c r="E301" s="230" t="s">
        <v>32</v>
      </c>
      <c r="F301" s="231" t="s">
        <v>510</v>
      </c>
      <c r="G301" s="228"/>
      <c r="H301" s="232">
        <v>19.800000000000001</v>
      </c>
      <c r="I301" s="233"/>
      <c r="J301" s="228"/>
      <c r="K301" s="228"/>
      <c r="L301" s="234"/>
      <c r="M301" s="235"/>
      <c r="N301" s="236"/>
      <c r="O301" s="236"/>
      <c r="P301" s="236"/>
      <c r="Q301" s="236"/>
      <c r="R301" s="236"/>
      <c r="S301" s="236"/>
      <c r="T301" s="237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T301" s="238" t="s">
        <v>211</v>
      </c>
      <c r="AU301" s="238" t="s">
        <v>88</v>
      </c>
      <c r="AV301" s="13" t="s">
        <v>88</v>
      </c>
      <c r="AW301" s="13" t="s">
        <v>213</v>
      </c>
      <c r="AX301" s="13" t="s">
        <v>78</v>
      </c>
      <c r="AY301" s="238" t="s">
        <v>200</v>
      </c>
    </row>
    <row r="302" s="16" customFormat="1">
      <c r="A302" s="16"/>
      <c r="B302" s="270"/>
      <c r="C302" s="271"/>
      <c r="D302" s="229" t="s">
        <v>211</v>
      </c>
      <c r="E302" s="272" t="s">
        <v>32</v>
      </c>
      <c r="F302" s="273" t="s">
        <v>318</v>
      </c>
      <c r="G302" s="271"/>
      <c r="H302" s="274">
        <v>94.5</v>
      </c>
      <c r="I302" s="275"/>
      <c r="J302" s="271"/>
      <c r="K302" s="271"/>
      <c r="L302" s="276"/>
      <c r="M302" s="277"/>
      <c r="N302" s="278"/>
      <c r="O302" s="278"/>
      <c r="P302" s="278"/>
      <c r="Q302" s="278"/>
      <c r="R302" s="278"/>
      <c r="S302" s="278"/>
      <c r="T302" s="279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T302" s="280" t="s">
        <v>211</v>
      </c>
      <c r="AU302" s="280" t="s">
        <v>88</v>
      </c>
      <c r="AV302" s="16" t="s">
        <v>148</v>
      </c>
      <c r="AW302" s="16" t="s">
        <v>213</v>
      </c>
      <c r="AX302" s="16" t="s">
        <v>78</v>
      </c>
      <c r="AY302" s="280" t="s">
        <v>200</v>
      </c>
    </row>
    <row r="303" s="14" customFormat="1">
      <c r="A303" s="14"/>
      <c r="B303" s="239"/>
      <c r="C303" s="240"/>
      <c r="D303" s="229" t="s">
        <v>211</v>
      </c>
      <c r="E303" s="241" t="s">
        <v>32</v>
      </c>
      <c r="F303" s="242" t="s">
        <v>220</v>
      </c>
      <c r="G303" s="240"/>
      <c r="H303" s="243">
        <v>223.40000000000001</v>
      </c>
      <c r="I303" s="244"/>
      <c r="J303" s="240"/>
      <c r="K303" s="240"/>
      <c r="L303" s="245"/>
      <c r="M303" s="246"/>
      <c r="N303" s="247"/>
      <c r="O303" s="247"/>
      <c r="P303" s="247"/>
      <c r="Q303" s="247"/>
      <c r="R303" s="247"/>
      <c r="S303" s="247"/>
      <c r="T303" s="248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T303" s="249" t="s">
        <v>211</v>
      </c>
      <c r="AU303" s="249" t="s">
        <v>88</v>
      </c>
      <c r="AV303" s="14" t="s">
        <v>207</v>
      </c>
      <c r="AW303" s="14" t="s">
        <v>213</v>
      </c>
      <c r="AX303" s="14" t="s">
        <v>86</v>
      </c>
      <c r="AY303" s="249" t="s">
        <v>200</v>
      </c>
    </row>
    <row r="304" s="2" customFormat="1" ht="16.5" customHeight="1">
      <c r="A304" s="40"/>
      <c r="B304" s="41"/>
      <c r="C304" s="209" t="s">
        <v>511</v>
      </c>
      <c r="D304" s="209" t="s">
        <v>202</v>
      </c>
      <c r="E304" s="210" t="s">
        <v>512</v>
      </c>
      <c r="F304" s="211" t="s">
        <v>513</v>
      </c>
      <c r="G304" s="212" t="s">
        <v>272</v>
      </c>
      <c r="H304" s="213">
        <v>1553.3820000000001</v>
      </c>
      <c r="I304" s="214"/>
      <c r="J304" s="215">
        <f>ROUND(I304*H304,1)</f>
        <v>0</v>
      </c>
      <c r="K304" s="211" t="s">
        <v>206</v>
      </c>
      <c r="L304" s="46"/>
      <c r="M304" s="216" t="s">
        <v>32</v>
      </c>
      <c r="N304" s="217" t="s">
        <v>49</v>
      </c>
      <c r="O304" s="86"/>
      <c r="P304" s="218">
        <f>O304*H304</f>
        <v>0</v>
      </c>
      <c r="Q304" s="218">
        <v>0.0027499999999999998</v>
      </c>
      <c r="R304" s="218">
        <f>Q304*H304</f>
        <v>4.2718005000000003</v>
      </c>
      <c r="S304" s="218">
        <v>0</v>
      </c>
      <c r="T304" s="219">
        <f>S304*H304</f>
        <v>0</v>
      </c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R304" s="220" t="s">
        <v>207</v>
      </c>
      <c r="AT304" s="220" t="s">
        <v>202</v>
      </c>
      <c r="AU304" s="220" t="s">
        <v>88</v>
      </c>
      <c r="AY304" s="18" t="s">
        <v>200</v>
      </c>
      <c r="BE304" s="221">
        <f>IF(N304="základní",J304,0)</f>
        <v>0</v>
      </c>
      <c r="BF304" s="221">
        <f>IF(N304="snížená",J304,0)</f>
        <v>0</v>
      </c>
      <c r="BG304" s="221">
        <f>IF(N304="zákl. přenesená",J304,0)</f>
        <v>0</v>
      </c>
      <c r="BH304" s="221">
        <f>IF(N304="sníž. přenesená",J304,0)</f>
        <v>0</v>
      </c>
      <c r="BI304" s="221">
        <f>IF(N304="nulová",J304,0)</f>
        <v>0</v>
      </c>
      <c r="BJ304" s="18" t="s">
        <v>86</v>
      </c>
      <c r="BK304" s="221">
        <f>ROUND(I304*H304,1)</f>
        <v>0</v>
      </c>
      <c r="BL304" s="18" t="s">
        <v>207</v>
      </c>
      <c r="BM304" s="220" t="s">
        <v>514</v>
      </c>
    </row>
    <row r="305" s="2" customFormat="1">
      <c r="A305" s="40"/>
      <c r="B305" s="41"/>
      <c r="C305" s="42"/>
      <c r="D305" s="222" t="s">
        <v>209</v>
      </c>
      <c r="E305" s="42"/>
      <c r="F305" s="223" t="s">
        <v>515</v>
      </c>
      <c r="G305" s="42"/>
      <c r="H305" s="42"/>
      <c r="I305" s="224"/>
      <c r="J305" s="42"/>
      <c r="K305" s="42"/>
      <c r="L305" s="46"/>
      <c r="M305" s="225"/>
      <c r="N305" s="226"/>
      <c r="O305" s="86"/>
      <c r="P305" s="86"/>
      <c r="Q305" s="86"/>
      <c r="R305" s="86"/>
      <c r="S305" s="86"/>
      <c r="T305" s="87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T305" s="18" t="s">
        <v>209</v>
      </c>
      <c r="AU305" s="18" t="s">
        <v>88</v>
      </c>
    </row>
    <row r="306" s="13" customFormat="1">
      <c r="A306" s="13"/>
      <c r="B306" s="227"/>
      <c r="C306" s="228"/>
      <c r="D306" s="229" t="s">
        <v>211</v>
      </c>
      <c r="E306" s="230" t="s">
        <v>32</v>
      </c>
      <c r="F306" s="231" t="s">
        <v>516</v>
      </c>
      <c r="G306" s="228"/>
      <c r="H306" s="232">
        <v>872</v>
      </c>
      <c r="I306" s="233"/>
      <c r="J306" s="228"/>
      <c r="K306" s="228"/>
      <c r="L306" s="234"/>
      <c r="M306" s="235"/>
      <c r="N306" s="236"/>
      <c r="O306" s="236"/>
      <c r="P306" s="236"/>
      <c r="Q306" s="236"/>
      <c r="R306" s="236"/>
      <c r="S306" s="236"/>
      <c r="T306" s="237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T306" s="238" t="s">
        <v>211</v>
      </c>
      <c r="AU306" s="238" t="s">
        <v>88</v>
      </c>
      <c r="AV306" s="13" t="s">
        <v>88</v>
      </c>
      <c r="AW306" s="13" t="s">
        <v>213</v>
      </c>
      <c r="AX306" s="13" t="s">
        <v>78</v>
      </c>
      <c r="AY306" s="238" t="s">
        <v>200</v>
      </c>
    </row>
    <row r="307" s="13" customFormat="1">
      <c r="A307" s="13"/>
      <c r="B307" s="227"/>
      <c r="C307" s="228"/>
      <c r="D307" s="229" t="s">
        <v>211</v>
      </c>
      <c r="E307" s="230" t="s">
        <v>32</v>
      </c>
      <c r="F307" s="231" t="s">
        <v>517</v>
      </c>
      <c r="G307" s="228"/>
      <c r="H307" s="232">
        <v>22.170000000000002</v>
      </c>
      <c r="I307" s="233"/>
      <c r="J307" s="228"/>
      <c r="K307" s="228"/>
      <c r="L307" s="234"/>
      <c r="M307" s="235"/>
      <c r="N307" s="236"/>
      <c r="O307" s="236"/>
      <c r="P307" s="236"/>
      <c r="Q307" s="236"/>
      <c r="R307" s="236"/>
      <c r="S307" s="236"/>
      <c r="T307" s="237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T307" s="238" t="s">
        <v>211</v>
      </c>
      <c r="AU307" s="238" t="s">
        <v>88</v>
      </c>
      <c r="AV307" s="13" t="s">
        <v>88</v>
      </c>
      <c r="AW307" s="13" t="s">
        <v>213</v>
      </c>
      <c r="AX307" s="13" t="s">
        <v>78</v>
      </c>
      <c r="AY307" s="238" t="s">
        <v>200</v>
      </c>
    </row>
    <row r="308" s="13" customFormat="1">
      <c r="A308" s="13"/>
      <c r="B308" s="227"/>
      <c r="C308" s="228"/>
      <c r="D308" s="229" t="s">
        <v>211</v>
      </c>
      <c r="E308" s="230" t="s">
        <v>32</v>
      </c>
      <c r="F308" s="231" t="s">
        <v>518</v>
      </c>
      <c r="G308" s="228"/>
      <c r="H308" s="232">
        <v>13.477499999999999</v>
      </c>
      <c r="I308" s="233"/>
      <c r="J308" s="228"/>
      <c r="K308" s="228"/>
      <c r="L308" s="234"/>
      <c r="M308" s="235"/>
      <c r="N308" s="236"/>
      <c r="O308" s="236"/>
      <c r="P308" s="236"/>
      <c r="Q308" s="236"/>
      <c r="R308" s="236"/>
      <c r="S308" s="236"/>
      <c r="T308" s="237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T308" s="238" t="s">
        <v>211</v>
      </c>
      <c r="AU308" s="238" t="s">
        <v>88</v>
      </c>
      <c r="AV308" s="13" t="s">
        <v>88</v>
      </c>
      <c r="AW308" s="13" t="s">
        <v>213</v>
      </c>
      <c r="AX308" s="13" t="s">
        <v>78</v>
      </c>
      <c r="AY308" s="238" t="s">
        <v>200</v>
      </c>
    </row>
    <row r="309" s="13" customFormat="1">
      <c r="A309" s="13"/>
      <c r="B309" s="227"/>
      <c r="C309" s="228"/>
      <c r="D309" s="229" t="s">
        <v>211</v>
      </c>
      <c r="E309" s="230" t="s">
        <v>32</v>
      </c>
      <c r="F309" s="231" t="s">
        <v>519</v>
      </c>
      <c r="G309" s="228"/>
      <c r="H309" s="232">
        <v>8.6522500000000004</v>
      </c>
      <c r="I309" s="233"/>
      <c r="J309" s="228"/>
      <c r="K309" s="228"/>
      <c r="L309" s="234"/>
      <c r="M309" s="235"/>
      <c r="N309" s="236"/>
      <c r="O309" s="236"/>
      <c r="P309" s="236"/>
      <c r="Q309" s="236"/>
      <c r="R309" s="236"/>
      <c r="S309" s="236"/>
      <c r="T309" s="237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T309" s="238" t="s">
        <v>211</v>
      </c>
      <c r="AU309" s="238" t="s">
        <v>88</v>
      </c>
      <c r="AV309" s="13" t="s">
        <v>88</v>
      </c>
      <c r="AW309" s="13" t="s">
        <v>213</v>
      </c>
      <c r="AX309" s="13" t="s">
        <v>78</v>
      </c>
      <c r="AY309" s="238" t="s">
        <v>200</v>
      </c>
    </row>
    <row r="310" s="13" customFormat="1">
      <c r="A310" s="13"/>
      <c r="B310" s="227"/>
      <c r="C310" s="228"/>
      <c r="D310" s="229" t="s">
        <v>211</v>
      </c>
      <c r="E310" s="230" t="s">
        <v>32</v>
      </c>
      <c r="F310" s="231" t="s">
        <v>520</v>
      </c>
      <c r="G310" s="228"/>
      <c r="H310" s="232">
        <v>620</v>
      </c>
      <c r="I310" s="233"/>
      <c r="J310" s="228"/>
      <c r="K310" s="228"/>
      <c r="L310" s="234"/>
      <c r="M310" s="235"/>
      <c r="N310" s="236"/>
      <c r="O310" s="236"/>
      <c r="P310" s="236"/>
      <c r="Q310" s="236"/>
      <c r="R310" s="236"/>
      <c r="S310" s="236"/>
      <c r="T310" s="237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T310" s="238" t="s">
        <v>211</v>
      </c>
      <c r="AU310" s="238" t="s">
        <v>88</v>
      </c>
      <c r="AV310" s="13" t="s">
        <v>88</v>
      </c>
      <c r="AW310" s="13" t="s">
        <v>213</v>
      </c>
      <c r="AX310" s="13" t="s">
        <v>78</v>
      </c>
      <c r="AY310" s="238" t="s">
        <v>200</v>
      </c>
    </row>
    <row r="311" s="13" customFormat="1">
      <c r="A311" s="13"/>
      <c r="B311" s="227"/>
      <c r="C311" s="228"/>
      <c r="D311" s="229" t="s">
        <v>211</v>
      </c>
      <c r="E311" s="230" t="s">
        <v>32</v>
      </c>
      <c r="F311" s="231" t="s">
        <v>521</v>
      </c>
      <c r="G311" s="228"/>
      <c r="H311" s="232">
        <v>7.1849999999999996</v>
      </c>
      <c r="I311" s="233"/>
      <c r="J311" s="228"/>
      <c r="K311" s="228"/>
      <c r="L311" s="234"/>
      <c r="M311" s="235"/>
      <c r="N311" s="236"/>
      <c r="O311" s="236"/>
      <c r="P311" s="236"/>
      <c r="Q311" s="236"/>
      <c r="R311" s="236"/>
      <c r="S311" s="236"/>
      <c r="T311" s="237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T311" s="238" t="s">
        <v>211</v>
      </c>
      <c r="AU311" s="238" t="s">
        <v>88</v>
      </c>
      <c r="AV311" s="13" t="s">
        <v>88</v>
      </c>
      <c r="AW311" s="13" t="s">
        <v>213</v>
      </c>
      <c r="AX311" s="13" t="s">
        <v>78</v>
      </c>
      <c r="AY311" s="238" t="s">
        <v>200</v>
      </c>
    </row>
    <row r="312" s="13" customFormat="1">
      <c r="A312" s="13"/>
      <c r="B312" s="227"/>
      <c r="C312" s="228"/>
      <c r="D312" s="229" t="s">
        <v>211</v>
      </c>
      <c r="E312" s="230" t="s">
        <v>32</v>
      </c>
      <c r="F312" s="231" t="s">
        <v>522</v>
      </c>
      <c r="G312" s="228"/>
      <c r="H312" s="232">
        <v>9.8970000000000002</v>
      </c>
      <c r="I312" s="233"/>
      <c r="J312" s="228"/>
      <c r="K312" s="228"/>
      <c r="L312" s="234"/>
      <c r="M312" s="235"/>
      <c r="N312" s="236"/>
      <c r="O312" s="236"/>
      <c r="P312" s="236"/>
      <c r="Q312" s="236"/>
      <c r="R312" s="236"/>
      <c r="S312" s="236"/>
      <c r="T312" s="237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T312" s="238" t="s">
        <v>211</v>
      </c>
      <c r="AU312" s="238" t="s">
        <v>88</v>
      </c>
      <c r="AV312" s="13" t="s">
        <v>88</v>
      </c>
      <c r="AW312" s="13" t="s">
        <v>213</v>
      </c>
      <c r="AX312" s="13" t="s">
        <v>78</v>
      </c>
      <c r="AY312" s="238" t="s">
        <v>200</v>
      </c>
    </row>
    <row r="313" s="14" customFormat="1">
      <c r="A313" s="14"/>
      <c r="B313" s="239"/>
      <c r="C313" s="240"/>
      <c r="D313" s="229" t="s">
        <v>211</v>
      </c>
      <c r="E313" s="241" t="s">
        <v>32</v>
      </c>
      <c r="F313" s="242" t="s">
        <v>220</v>
      </c>
      <c r="G313" s="240"/>
      <c r="H313" s="243">
        <v>1553.38175</v>
      </c>
      <c r="I313" s="244"/>
      <c r="J313" s="240"/>
      <c r="K313" s="240"/>
      <c r="L313" s="245"/>
      <c r="M313" s="246"/>
      <c r="N313" s="247"/>
      <c r="O313" s="247"/>
      <c r="P313" s="247"/>
      <c r="Q313" s="247"/>
      <c r="R313" s="247"/>
      <c r="S313" s="247"/>
      <c r="T313" s="248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T313" s="249" t="s">
        <v>211</v>
      </c>
      <c r="AU313" s="249" t="s">
        <v>88</v>
      </c>
      <c r="AV313" s="14" t="s">
        <v>207</v>
      </c>
      <c r="AW313" s="14" t="s">
        <v>213</v>
      </c>
      <c r="AX313" s="14" t="s">
        <v>86</v>
      </c>
      <c r="AY313" s="249" t="s">
        <v>200</v>
      </c>
    </row>
    <row r="314" s="2" customFormat="1" ht="16.5" customHeight="1">
      <c r="A314" s="40"/>
      <c r="B314" s="41"/>
      <c r="C314" s="209" t="s">
        <v>523</v>
      </c>
      <c r="D314" s="209" t="s">
        <v>202</v>
      </c>
      <c r="E314" s="210" t="s">
        <v>524</v>
      </c>
      <c r="F314" s="211" t="s">
        <v>525</v>
      </c>
      <c r="G314" s="212" t="s">
        <v>272</v>
      </c>
      <c r="H314" s="213">
        <v>1553.3820000000001</v>
      </c>
      <c r="I314" s="214"/>
      <c r="J314" s="215">
        <f>ROUND(I314*H314,1)</f>
        <v>0</v>
      </c>
      <c r="K314" s="211" t="s">
        <v>206</v>
      </c>
      <c r="L314" s="46"/>
      <c r="M314" s="216" t="s">
        <v>32</v>
      </c>
      <c r="N314" s="217" t="s">
        <v>49</v>
      </c>
      <c r="O314" s="86"/>
      <c r="P314" s="218">
        <f>O314*H314</f>
        <v>0</v>
      </c>
      <c r="Q314" s="218">
        <v>0</v>
      </c>
      <c r="R314" s="218">
        <f>Q314*H314</f>
        <v>0</v>
      </c>
      <c r="S314" s="218">
        <v>0</v>
      </c>
      <c r="T314" s="219">
        <f>S314*H314</f>
        <v>0</v>
      </c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R314" s="220" t="s">
        <v>207</v>
      </c>
      <c r="AT314" s="220" t="s">
        <v>202</v>
      </c>
      <c r="AU314" s="220" t="s">
        <v>88</v>
      </c>
      <c r="AY314" s="18" t="s">
        <v>200</v>
      </c>
      <c r="BE314" s="221">
        <f>IF(N314="základní",J314,0)</f>
        <v>0</v>
      </c>
      <c r="BF314" s="221">
        <f>IF(N314="snížená",J314,0)</f>
        <v>0</v>
      </c>
      <c r="BG314" s="221">
        <f>IF(N314="zákl. přenesená",J314,0)</f>
        <v>0</v>
      </c>
      <c r="BH314" s="221">
        <f>IF(N314="sníž. přenesená",J314,0)</f>
        <v>0</v>
      </c>
      <c r="BI314" s="221">
        <f>IF(N314="nulová",J314,0)</f>
        <v>0</v>
      </c>
      <c r="BJ314" s="18" t="s">
        <v>86</v>
      </c>
      <c r="BK314" s="221">
        <f>ROUND(I314*H314,1)</f>
        <v>0</v>
      </c>
      <c r="BL314" s="18" t="s">
        <v>207</v>
      </c>
      <c r="BM314" s="220" t="s">
        <v>526</v>
      </c>
    </row>
    <row r="315" s="2" customFormat="1">
      <c r="A315" s="40"/>
      <c r="B315" s="41"/>
      <c r="C315" s="42"/>
      <c r="D315" s="222" t="s">
        <v>209</v>
      </c>
      <c r="E315" s="42"/>
      <c r="F315" s="223" t="s">
        <v>527</v>
      </c>
      <c r="G315" s="42"/>
      <c r="H315" s="42"/>
      <c r="I315" s="224"/>
      <c r="J315" s="42"/>
      <c r="K315" s="42"/>
      <c r="L315" s="46"/>
      <c r="M315" s="225"/>
      <c r="N315" s="226"/>
      <c r="O315" s="86"/>
      <c r="P315" s="86"/>
      <c r="Q315" s="86"/>
      <c r="R315" s="86"/>
      <c r="S315" s="86"/>
      <c r="T315" s="87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T315" s="18" t="s">
        <v>209</v>
      </c>
      <c r="AU315" s="18" t="s">
        <v>88</v>
      </c>
    </row>
    <row r="316" s="2" customFormat="1" ht="24.15" customHeight="1">
      <c r="A316" s="40"/>
      <c r="B316" s="41"/>
      <c r="C316" s="209" t="s">
        <v>528</v>
      </c>
      <c r="D316" s="209" t="s">
        <v>202</v>
      </c>
      <c r="E316" s="210" t="s">
        <v>529</v>
      </c>
      <c r="F316" s="211" t="s">
        <v>530</v>
      </c>
      <c r="G316" s="212" t="s">
        <v>250</v>
      </c>
      <c r="H316" s="213">
        <v>40.212000000000003</v>
      </c>
      <c r="I316" s="214"/>
      <c r="J316" s="215">
        <f>ROUND(I316*H316,1)</f>
        <v>0</v>
      </c>
      <c r="K316" s="211" t="s">
        <v>206</v>
      </c>
      <c r="L316" s="46"/>
      <c r="M316" s="216" t="s">
        <v>32</v>
      </c>
      <c r="N316" s="217" t="s">
        <v>49</v>
      </c>
      <c r="O316" s="86"/>
      <c r="P316" s="218">
        <f>O316*H316</f>
        <v>0</v>
      </c>
      <c r="Q316" s="218">
        <v>1.0463199999999999</v>
      </c>
      <c r="R316" s="218">
        <f>Q316*H316</f>
        <v>42.074619839999997</v>
      </c>
      <c r="S316" s="218">
        <v>0</v>
      </c>
      <c r="T316" s="219">
        <f>S316*H316</f>
        <v>0</v>
      </c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R316" s="220" t="s">
        <v>207</v>
      </c>
      <c r="AT316" s="220" t="s">
        <v>202</v>
      </c>
      <c r="AU316" s="220" t="s">
        <v>88</v>
      </c>
      <c r="AY316" s="18" t="s">
        <v>200</v>
      </c>
      <c r="BE316" s="221">
        <f>IF(N316="základní",J316,0)</f>
        <v>0</v>
      </c>
      <c r="BF316" s="221">
        <f>IF(N316="snížená",J316,0)</f>
        <v>0</v>
      </c>
      <c r="BG316" s="221">
        <f>IF(N316="zákl. přenesená",J316,0)</f>
        <v>0</v>
      </c>
      <c r="BH316" s="221">
        <f>IF(N316="sníž. přenesená",J316,0)</f>
        <v>0</v>
      </c>
      <c r="BI316" s="221">
        <f>IF(N316="nulová",J316,0)</f>
        <v>0</v>
      </c>
      <c r="BJ316" s="18" t="s">
        <v>86</v>
      </c>
      <c r="BK316" s="221">
        <f>ROUND(I316*H316,1)</f>
        <v>0</v>
      </c>
      <c r="BL316" s="18" t="s">
        <v>207</v>
      </c>
      <c r="BM316" s="220" t="s">
        <v>531</v>
      </c>
    </row>
    <row r="317" s="2" customFormat="1">
      <c r="A317" s="40"/>
      <c r="B317" s="41"/>
      <c r="C317" s="42"/>
      <c r="D317" s="222" t="s">
        <v>209</v>
      </c>
      <c r="E317" s="42"/>
      <c r="F317" s="223" t="s">
        <v>532</v>
      </c>
      <c r="G317" s="42"/>
      <c r="H317" s="42"/>
      <c r="I317" s="224"/>
      <c r="J317" s="42"/>
      <c r="K317" s="42"/>
      <c r="L317" s="46"/>
      <c r="M317" s="225"/>
      <c r="N317" s="226"/>
      <c r="O317" s="86"/>
      <c r="P317" s="86"/>
      <c r="Q317" s="86"/>
      <c r="R317" s="86"/>
      <c r="S317" s="86"/>
      <c r="T317" s="87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T317" s="18" t="s">
        <v>209</v>
      </c>
      <c r="AU317" s="18" t="s">
        <v>88</v>
      </c>
    </row>
    <row r="318" s="13" customFormat="1">
      <c r="A318" s="13"/>
      <c r="B318" s="227"/>
      <c r="C318" s="228"/>
      <c r="D318" s="229" t="s">
        <v>211</v>
      </c>
      <c r="E318" s="230" t="s">
        <v>32</v>
      </c>
      <c r="F318" s="231" t="s">
        <v>533</v>
      </c>
      <c r="G318" s="228"/>
      <c r="H318" s="232">
        <v>40.212000000000003</v>
      </c>
      <c r="I318" s="233"/>
      <c r="J318" s="228"/>
      <c r="K318" s="228"/>
      <c r="L318" s="234"/>
      <c r="M318" s="235"/>
      <c r="N318" s="236"/>
      <c r="O318" s="236"/>
      <c r="P318" s="236"/>
      <c r="Q318" s="236"/>
      <c r="R318" s="236"/>
      <c r="S318" s="236"/>
      <c r="T318" s="237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T318" s="238" t="s">
        <v>211</v>
      </c>
      <c r="AU318" s="238" t="s">
        <v>88</v>
      </c>
      <c r="AV318" s="13" t="s">
        <v>88</v>
      </c>
      <c r="AW318" s="13" t="s">
        <v>213</v>
      </c>
      <c r="AX318" s="13" t="s">
        <v>86</v>
      </c>
      <c r="AY318" s="238" t="s">
        <v>200</v>
      </c>
    </row>
    <row r="319" s="2" customFormat="1" ht="24.15" customHeight="1">
      <c r="A319" s="40"/>
      <c r="B319" s="41"/>
      <c r="C319" s="209" t="s">
        <v>534</v>
      </c>
      <c r="D319" s="209" t="s">
        <v>202</v>
      </c>
      <c r="E319" s="210" t="s">
        <v>535</v>
      </c>
      <c r="F319" s="211" t="s">
        <v>536</v>
      </c>
      <c r="G319" s="212" t="s">
        <v>272</v>
      </c>
      <c r="H319" s="213">
        <v>244.828</v>
      </c>
      <c r="I319" s="214"/>
      <c r="J319" s="215">
        <f>ROUND(I319*H319,1)</f>
        <v>0</v>
      </c>
      <c r="K319" s="211" t="s">
        <v>206</v>
      </c>
      <c r="L319" s="46"/>
      <c r="M319" s="216" t="s">
        <v>32</v>
      </c>
      <c r="N319" s="217" t="s">
        <v>49</v>
      </c>
      <c r="O319" s="86"/>
      <c r="P319" s="218">
        <f>O319*H319</f>
        <v>0</v>
      </c>
      <c r="Q319" s="218">
        <v>0.068479999999999999</v>
      </c>
      <c r="R319" s="218">
        <f>Q319*H319</f>
        <v>16.76582144</v>
      </c>
      <c r="S319" s="218">
        <v>0</v>
      </c>
      <c r="T319" s="219">
        <f>S319*H319</f>
        <v>0</v>
      </c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R319" s="220" t="s">
        <v>207</v>
      </c>
      <c r="AT319" s="220" t="s">
        <v>202</v>
      </c>
      <c r="AU319" s="220" t="s">
        <v>88</v>
      </c>
      <c r="AY319" s="18" t="s">
        <v>200</v>
      </c>
      <c r="BE319" s="221">
        <f>IF(N319="základní",J319,0)</f>
        <v>0</v>
      </c>
      <c r="BF319" s="221">
        <f>IF(N319="snížená",J319,0)</f>
        <v>0</v>
      </c>
      <c r="BG319" s="221">
        <f>IF(N319="zákl. přenesená",J319,0)</f>
        <v>0</v>
      </c>
      <c r="BH319" s="221">
        <f>IF(N319="sníž. přenesená",J319,0)</f>
        <v>0</v>
      </c>
      <c r="BI319" s="221">
        <f>IF(N319="nulová",J319,0)</f>
        <v>0</v>
      </c>
      <c r="BJ319" s="18" t="s">
        <v>86</v>
      </c>
      <c r="BK319" s="221">
        <f>ROUND(I319*H319,1)</f>
        <v>0</v>
      </c>
      <c r="BL319" s="18" t="s">
        <v>207</v>
      </c>
      <c r="BM319" s="220" t="s">
        <v>537</v>
      </c>
    </row>
    <row r="320" s="2" customFormat="1">
      <c r="A320" s="40"/>
      <c r="B320" s="41"/>
      <c r="C320" s="42"/>
      <c r="D320" s="222" t="s">
        <v>209</v>
      </c>
      <c r="E320" s="42"/>
      <c r="F320" s="223" t="s">
        <v>538</v>
      </c>
      <c r="G320" s="42"/>
      <c r="H320" s="42"/>
      <c r="I320" s="224"/>
      <c r="J320" s="42"/>
      <c r="K320" s="42"/>
      <c r="L320" s="46"/>
      <c r="M320" s="225"/>
      <c r="N320" s="226"/>
      <c r="O320" s="86"/>
      <c r="P320" s="86"/>
      <c r="Q320" s="86"/>
      <c r="R320" s="86"/>
      <c r="S320" s="86"/>
      <c r="T320" s="87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T320" s="18" t="s">
        <v>209</v>
      </c>
      <c r="AU320" s="18" t="s">
        <v>88</v>
      </c>
    </row>
    <row r="321" s="13" customFormat="1">
      <c r="A321" s="13"/>
      <c r="B321" s="227"/>
      <c r="C321" s="228"/>
      <c r="D321" s="229" t="s">
        <v>211</v>
      </c>
      <c r="E321" s="230" t="s">
        <v>32</v>
      </c>
      <c r="F321" s="231" t="s">
        <v>539</v>
      </c>
      <c r="G321" s="228"/>
      <c r="H321" s="232">
        <v>249.0325</v>
      </c>
      <c r="I321" s="233"/>
      <c r="J321" s="228"/>
      <c r="K321" s="228"/>
      <c r="L321" s="234"/>
      <c r="M321" s="235"/>
      <c r="N321" s="236"/>
      <c r="O321" s="236"/>
      <c r="P321" s="236"/>
      <c r="Q321" s="236"/>
      <c r="R321" s="236"/>
      <c r="S321" s="236"/>
      <c r="T321" s="237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T321" s="238" t="s">
        <v>211</v>
      </c>
      <c r="AU321" s="238" t="s">
        <v>88</v>
      </c>
      <c r="AV321" s="13" t="s">
        <v>88</v>
      </c>
      <c r="AW321" s="13" t="s">
        <v>213</v>
      </c>
      <c r="AX321" s="13" t="s">
        <v>78</v>
      </c>
      <c r="AY321" s="238" t="s">
        <v>200</v>
      </c>
    </row>
    <row r="322" s="13" customFormat="1">
      <c r="A322" s="13"/>
      <c r="B322" s="227"/>
      <c r="C322" s="228"/>
      <c r="D322" s="229" t="s">
        <v>211</v>
      </c>
      <c r="E322" s="230" t="s">
        <v>32</v>
      </c>
      <c r="F322" s="231" t="s">
        <v>540</v>
      </c>
      <c r="G322" s="228"/>
      <c r="H322" s="232">
        <v>29.795000000000002</v>
      </c>
      <c r="I322" s="233"/>
      <c r="J322" s="228"/>
      <c r="K322" s="228"/>
      <c r="L322" s="234"/>
      <c r="M322" s="235"/>
      <c r="N322" s="236"/>
      <c r="O322" s="236"/>
      <c r="P322" s="236"/>
      <c r="Q322" s="236"/>
      <c r="R322" s="236"/>
      <c r="S322" s="236"/>
      <c r="T322" s="237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T322" s="238" t="s">
        <v>211</v>
      </c>
      <c r="AU322" s="238" t="s">
        <v>88</v>
      </c>
      <c r="AV322" s="13" t="s">
        <v>88</v>
      </c>
      <c r="AW322" s="13" t="s">
        <v>213</v>
      </c>
      <c r="AX322" s="13" t="s">
        <v>78</v>
      </c>
      <c r="AY322" s="238" t="s">
        <v>200</v>
      </c>
    </row>
    <row r="323" s="13" customFormat="1">
      <c r="A323" s="13"/>
      <c r="B323" s="227"/>
      <c r="C323" s="228"/>
      <c r="D323" s="229" t="s">
        <v>211</v>
      </c>
      <c r="E323" s="230" t="s">
        <v>32</v>
      </c>
      <c r="F323" s="231" t="s">
        <v>541</v>
      </c>
      <c r="G323" s="228"/>
      <c r="H323" s="232">
        <v>-34</v>
      </c>
      <c r="I323" s="233"/>
      <c r="J323" s="228"/>
      <c r="K323" s="228"/>
      <c r="L323" s="234"/>
      <c r="M323" s="235"/>
      <c r="N323" s="236"/>
      <c r="O323" s="236"/>
      <c r="P323" s="236"/>
      <c r="Q323" s="236"/>
      <c r="R323" s="236"/>
      <c r="S323" s="236"/>
      <c r="T323" s="237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T323" s="238" t="s">
        <v>211</v>
      </c>
      <c r="AU323" s="238" t="s">
        <v>88</v>
      </c>
      <c r="AV323" s="13" t="s">
        <v>88</v>
      </c>
      <c r="AW323" s="13" t="s">
        <v>213</v>
      </c>
      <c r="AX323" s="13" t="s">
        <v>78</v>
      </c>
      <c r="AY323" s="238" t="s">
        <v>200</v>
      </c>
    </row>
    <row r="324" s="14" customFormat="1">
      <c r="A324" s="14"/>
      <c r="B324" s="239"/>
      <c r="C324" s="240"/>
      <c r="D324" s="229" t="s">
        <v>211</v>
      </c>
      <c r="E324" s="241" t="s">
        <v>32</v>
      </c>
      <c r="F324" s="242" t="s">
        <v>220</v>
      </c>
      <c r="G324" s="240"/>
      <c r="H324" s="243">
        <v>244.82749999999999</v>
      </c>
      <c r="I324" s="244"/>
      <c r="J324" s="240"/>
      <c r="K324" s="240"/>
      <c r="L324" s="245"/>
      <c r="M324" s="246"/>
      <c r="N324" s="247"/>
      <c r="O324" s="247"/>
      <c r="P324" s="247"/>
      <c r="Q324" s="247"/>
      <c r="R324" s="247"/>
      <c r="S324" s="247"/>
      <c r="T324" s="248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T324" s="249" t="s">
        <v>211</v>
      </c>
      <c r="AU324" s="249" t="s">
        <v>88</v>
      </c>
      <c r="AV324" s="14" t="s">
        <v>207</v>
      </c>
      <c r="AW324" s="14" t="s">
        <v>213</v>
      </c>
      <c r="AX324" s="14" t="s">
        <v>86</v>
      </c>
      <c r="AY324" s="249" t="s">
        <v>200</v>
      </c>
    </row>
    <row r="325" s="2" customFormat="1" ht="24.15" customHeight="1">
      <c r="A325" s="40"/>
      <c r="B325" s="41"/>
      <c r="C325" s="209" t="s">
        <v>542</v>
      </c>
      <c r="D325" s="209" t="s">
        <v>202</v>
      </c>
      <c r="E325" s="210" t="s">
        <v>543</v>
      </c>
      <c r="F325" s="211" t="s">
        <v>544</v>
      </c>
      <c r="G325" s="212" t="s">
        <v>272</v>
      </c>
      <c r="H325" s="213">
        <v>41.890000000000001</v>
      </c>
      <c r="I325" s="214"/>
      <c r="J325" s="215">
        <f>ROUND(I325*H325,1)</f>
        <v>0</v>
      </c>
      <c r="K325" s="211" t="s">
        <v>206</v>
      </c>
      <c r="L325" s="46"/>
      <c r="M325" s="216" t="s">
        <v>32</v>
      </c>
      <c r="N325" s="217" t="s">
        <v>49</v>
      </c>
      <c r="O325" s="86"/>
      <c r="P325" s="218">
        <f>O325*H325</f>
        <v>0</v>
      </c>
      <c r="Q325" s="218">
        <v>0.11396000000000001</v>
      </c>
      <c r="R325" s="218">
        <f>Q325*H325</f>
        <v>4.7737844000000003</v>
      </c>
      <c r="S325" s="218">
        <v>0</v>
      </c>
      <c r="T325" s="219">
        <f>S325*H325</f>
        <v>0</v>
      </c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R325" s="220" t="s">
        <v>207</v>
      </c>
      <c r="AT325" s="220" t="s">
        <v>202</v>
      </c>
      <c r="AU325" s="220" t="s">
        <v>88</v>
      </c>
      <c r="AY325" s="18" t="s">
        <v>200</v>
      </c>
      <c r="BE325" s="221">
        <f>IF(N325="základní",J325,0)</f>
        <v>0</v>
      </c>
      <c r="BF325" s="221">
        <f>IF(N325="snížená",J325,0)</f>
        <v>0</v>
      </c>
      <c r="BG325" s="221">
        <f>IF(N325="zákl. přenesená",J325,0)</f>
        <v>0</v>
      </c>
      <c r="BH325" s="221">
        <f>IF(N325="sníž. přenesená",J325,0)</f>
        <v>0</v>
      </c>
      <c r="BI325" s="221">
        <f>IF(N325="nulová",J325,0)</f>
        <v>0</v>
      </c>
      <c r="BJ325" s="18" t="s">
        <v>86</v>
      </c>
      <c r="BK325" s="221">
        <f>ROUND(I325*H325,1)</f>
        <v>0</v>
      </c>
      <c r="BL325" s="18" t="s">
        <v>207</v>
      </c>
      <c r="BM325" s="220" t="s">
        <v>545</v>
      </c>
    </row>
    <row r="326" s="2" customFormat="1">
      <c r="A326" s="40"/>
      <c r="B326" s="41"/>
      <c r="C326" s="42"/>
      <c r="D326" s="222" t="s">
        <v>209</v>
      </c>
      <c r="E326" s="42"/>
      <c r="F326" s="223" t="s">
        <v>546</v>
      </c>
      <c r="G326" s="42"/>
      <c r="H326" s="42"/>
      <c r="I326" s="224"/>
      <c r="J326" s="42"/>
      <c r="K326" s="42"/>
      <c r="L326" s="46"/>
      <c r="M326" s="225"/>
      <c r="N326" s="226"/>
      <c r="O326" s="86"/>
      <c r="P326" s="86"/>
      <c r="Q326" s="86"/>
      <c r="R326" s="86"/>
      <c r="S326" s="86"/>
      <c r="T326" s="87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T326" s="18" t="s">
        <v>209</v>
      </c>
      <c r="AU326" s="18" t="s">
        <v>88</v>
      </c>
    </row>
    <row r="327" s="13" customFormat="1">
      <c r="A327" s="13"/>
      <c r="B327" s="227"/>
      <c r="C327" s="228"/>
      <c r="D327" s="229" t="s">
        <v>211</v>
      </c>
      <c r="E327" s="230" t="s">
        <v>32</v>
      </c>
      <c r="F327" s="231" t="s">
        <v>547</v>
      </c>
      <c r="G327" s="228"/>
      <c r="H327" s="232">
        <v>41.890000000000001</v>
      </c>
      <c r="I327" s="233"/>
      <c r="J327" s="228"/>
      <c r="K327" s="228"/>
      <c r="L327" s="234"/>
      <c r="M327" s="235"/>
      <c r="N327" s="236"/>
      <c r="O327" s="236"/>
      <c r="P327" s="236"/>
      <c r="Q327" s="236"/>
      <c r="R327" s="236"/>
      <c r="S327" s="236"/>
      <c r="T327" s="237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T327" s="238" t="s">
        <v>211</v>
      </c>
      <c r="AU327" s="238" t="s">
        <v>88</v>
      </c>
      <c r="AV327" s="13" t="s">
        <v>88</v>
      </c>
      <c r="AW327" s="13" t="s">
        <v>213</v>
      </c>
      <c r="AX327" s="13" t="s">
        <v>86</v>
      </c>
      <c r="AY327" s="238" t="s">
        <v>200</v>
      </c>
    </row>
    <row r="328" s="12" customFormat="1" ht="22.8" customHeight="1">
      <c r="A328" s="12"/>
      <c r="B328" s="193"/>
      <c r="C328" s="194"/>
      <c r="D328" s="195" t="s">
        <v>77</v>
      </c>
      <c r="E328" s="207" t="s">
        <v>207</v>
      </c>
      <c r="F328" s="207" t="s">
        <v>548</v>
      </c>
      <c r="G328" s="194"/>
      <c r="H328" s="194"/>
      <c r="I328" s="197"/>
      <c r="J328" s="208">
        <f>BK328</f>
        <v>0</v>
      </c>
      <c r="K328" s="194"/>
      <c r="L328" s="199"/>
      <c r="M328" s="200"/>
      <c r="N328" s="201"/>
      <c r="O328" s="201"/>
      <c r="P328" s="202">
        <f>SUM(P329:P347)</f>
        <v>0</v>
      </c>
      <c r="Q328" s="201"/>
      <c r="R328" s="202">
        <f>SUM(R329:R347)</f>
        <v>285.56404544999998</v>
      </c>
      <c r="S328" s="201"/>
      <c r="T328" s="203">
        <f>SUM(T329:T347)</f>
        <v>0</v>
      </c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R328" s="204" t="s">
        <v>86</v>
      </c>
      <c r="AT328" s="205" t="s">
        <v>77</v>
      </c>
      <c r="AU328" s="205" t="s">
        <v>86</v>
      </c>
      <c r="AY328" s="204" t="s">
        <v>200</v>
      </c>
      <c r="BK328" s="206">
        <f>SUM(BK329:BK347)</f>
        <v>0</v>
      </c>
    </row>
    <row r="329" s="2" customFormat="1" ht="24.15" customHeight="1">
      <c r="A329" s="40"/>
      <c r="B329" s="41"/>
      <c r="C329" s="209" t="s">
        <v>549</v>
      </c>
      <c r="D329" s="209" t="s">
        <v>202</v>
      </c>
      <c r="E329" s="210" t="s">
        <v>550</v>
      </c>
      <c r="F329" s="211" t="s">
        <v>551</v>
      </c>
      <c r="G329" s="212" t="s">
        <v>205</v>
      </c>
      <c r="H329" s="213">
        <v>105.05</v>
      </c>
      <c r="I329" s="214"/>
      <c r="J329" s="215">
        <f>ROUND(I329*H329,1)</f>
        <v>0</v>
      </c>
      <c r="K329" s="211" t="s">
        <v>206</v>
      </c>
      <c r="L329" s="46"/>
      <c r="M329" s="216" t="s">
        <v>32</v>
      </c>
      <c r="N329" s="217" t="s">
        <v>49</v>
      </c>
      <c r="O329" s="86"/>
      <c r="P329" s="218">
        <f>O329*H329</f>
        <v>0</v>
      </c>
      <c r="Q329" s="218">
        <v>2.5020099999999998</v>
      </c>
      <c r="R329" s="218">
        <f>Q329*H329</f>
        <v>262.83615049999997</v>
      </c>
      <c r="S329" s="218">
        <v>0</v>
      </c>
      <c r="T329" s="219">
        <f>S329*H329</f>
        <v>0</v>
      </c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R329" s="220" t="s">
        <v>207</v>
      </c>
      <c r="AT329" s="220" t="s">
        <v>202</v>
      </c>
      <c r="AU329" s="220" t="s">
        <v>88</v>
      </c>
      <c r="AY329" s="18" t="s">
        <v>200</v>
      </c>
      <c r="BE329" s="221">
        <f>IF(N329="základní",J329,0)</f>
        <v>0</v>
      </c>
      <c r="BF329" s="221">
        <f>IF(N329="snížená",J329,0)</f>
        <v>0</v>
      </c>
      <c r="BG329" s="221">
        <f>IF(N329="zákl. přenesená",J329,0)</f>
        <v>0</v>
      </c>
      <c r="BH329" s="221">
        <f>IF(N329="sníž. přenesená",J329,0)</f>
        <v>0</v>
      </c>
      <c r="BI329" s="221">
        <f>IF(N329="nulová",J329,0)</f>
        <v>0</v>
      </c>
      <c r="BJ329" s="18" t="s">
        <v>86</v>
      </c>
      <c r="BK329" s="221">
        <f>ROUND(I329*H329,1)</f>
        <v>0</v>
      </c>
      <c r="BL329" s="18" t="s">
        <v>207</v>
      </c>
      <c r="BM329" s="220" t="s">
        <v>552</v>
      </c>
    </row>
    <row r="330" s="2" customFormat="1">
      <c r="A330" s="40"/>
      <c r="B330" s="41"/>
      <c r="C330" s="42"/>
      <c r="D330" s="222" t="s">
        <v>209</v>
      </c>
      <c r="E330" s="42"/>
      <c r="F330" s="223" t="s">
        <v>553</v>
      </c>
      <c r="G330" s="42"/>
      <c r="H330" s="42"/>
      <c r="I330" s="224"/>
      <c r="J330" s="42"/>
      <c r="K330" s="42"/>
      <c r="L330" s="46"/>
      <c r="M330" s="225"/>
      <c r="N330" s="226"/>
      <c r="O330" s="86"/>
      <c r="P330" s="86"/>
      <c r="Q330" s="86"/>
      <c r="R330" s="86"/>
      <c r="S330" s="86"/>
      <c r="T330" s="87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T330" s="18" t="s">
        <v>209</v>
      </c>
      <c r="AU330" s="18" t="s">
        <v>88</v>
      </c>
    </row>
    <row r="331" s="13" customFormat="1">
      <c r="A331" s="13"/>
      <c r="B331" s="227"/>
      <c r="C331" s="228"/>
      <c r="D331" s="229" t="s">
        <v>211</v>
      </c>
      <c r="E331" s="230" t="s">
        <v>32</v>
      </c>
      <c r="F331" s="231" t="s">
        <v>554</v>
      </c>
      <c r="G331" s="228"/>
      <c r="H331" s="232">
        <v>105.05</v>
      </c>
      <c r="I331" s="233"/>
      <c r="J331" s="228"/>
      <c r="K331" s="228"/>
      <c r="L331" s="234"/>
      <c r="M331" s="235"/>
      <c r="N331" s="236"/>
      <c r="O331" s="236"/>
      <c r="P331" s="236"/>
      <c r="Q331" s="236"/>
      <c r="R331" s="236"/>
      <c r="S331" s="236"/>
      <c r="T331" s="237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T331" s="238" t="s">
        <v>211</v>
      </c>
      <c r="AU331" s="238" t="s">
        <v>88</v>
      </c>
      <c r="AV331" s="13" t="s">
        <v>88</v>
      </c>
      <c r="AW331" s="13" t="s">
        <v>213</v>
      </c>
      <c r="AX331" s="13" t="s">
        <v>86</v>
      </c>
      <c r="AY331" s="238" t="s">
        <v>200</v>
      </c>
    </row>
    <row r="332" s="2" customFormat="1" ht="21.75" customHeight="1">
      <c r="A332" s="40"/>
      <c r="B332" s="41"/>
      <c r="C332" s="209" t="s">
        <v>555</v>
      </c>
      <c r="D332" s="209" t="s">
        <v>202</v>
      </c>
      <c r="E332" s="210" t="s">
        <v>556</v>
      </c>
      <c r="F332" s="211" t="s">
        <v>557</v>
      </c>
      <c r="G332" s="212" t="s">
        <v>272</v>
      </c>
      <c r="H332" s="213">
        <v>382</v>
      </c>
      <c r="I332" s="214"/>
      <c r="J332" s="215">
        <f>ROUND(I332*H332,1)</f>
        <v>0</v>
      </c>
      <c r="K332" s="211" t="s">
        <v>206</v>
      </c>
      <c r="L332" s="46"/>
      <c r="M332" s="216" t="s">
        <v>32</v>
      </c>
      <c r="N332" s="217" t="s">
        <v>49</v>
      </c>
      <c r="O332" s="86"/>
      <c r="P332" s="218">
        <f>O332*H332</f>
        <v>0</v>
      </c>
      <c r="Q332" s="218">
        <v>0.0055199999999999997</v>
      </c>
      <c r="R332" s="218">
        <f>Q332*H332</f>
        <v>2.1086399999999998</v>
      </c>
      <c r="S332" s="218">
        <v>0</v>
      </c>
      <c r="T332" s="219">
        <f>S332*H332</f>
        <v>0</v>
      </c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R332" s="220" t="s">
        <v>207</v>
      </c>
      <c r="AT332" s="220" t="s">
        <v>202</v>
      </c>
      <c r="AU332" s="220" t="s">
        <v>88</v>
      </c>
      <c r="AY332" s="18" t="s">
        <v>200</v>
      </c>
      <c r="BE332" s="221">
        <f>IF(N332="základní",J332,0)</f>
        <v>0</v>
      </c>
      <c r="BF332" s="221">
        <f>IF(N332="snížená",J332,0)</f>
        <v>0</v>
      </c>
      <c r="BG332" s="221">
        <f>IF(N332="zákl. přenesená",J332,0)</f>
        <v>0</v>
      </c>
      <c r="BH332" s="221">
        <f>IF(N332="sníž. přenesená",J332,0)</f>
        <v>0</v>
      </c>
      <c r="BI332" s="221">
        <f>IF(N332="nulová",J332,0)</f>
        <v>0</v>
      </c>
      <c r="BJ332" s="18" t="s">
        <v>86</v>
      </c>
      <c r="BK332" s="221">
        <f>ROUND(I332*H332,1)</f>
        <v>0</v>
      </c>
      <c r="BL332" s="18" t="s">
        <v>207</v>
      </c>
      <c r="BM332" s="220" t="s">
        <v>558</v>
      </c>
    </row>
    <row r="333" s="2" customFormat="1">
      <c r="A333" s="40"/>
      <c r="B333" s="41"/>
      <c r="C333" s="42"/>
      <c r="D333" s="222" t="s">
        <v>209</v>
      </c>
      <c r="E333" s="42"/>
      <c r="F333" s="223" t="s">
        <v>559</v>
      </c>
      <c r="G333" s="42"/>
      <c r="H333" s="42"/>
      <c r="I333" s="224"/>
      <c r="J333" s="42"/>
      <c r="K333" s="42"/>
      <c r="L333" s="46"/>
      <c r="M333" s="225"/>
      <c r="N333" s="226"/>
      <c r="O333" s="86"/>
      <c r="P333" s="86"/>
      <c r="Q333" s="86"/>
      <c r="R333" s="86"/>
      <c r="S333" s="86"/>
      <c r="T333" s="87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T333" s="18" t="s">
        <v>209</v>
      </c>
      <c r="AU333" s="18" t="s">
        <v>88</v>
      </c>
    </row>
    <row r="334" s="2" customFormat="1" ht="24.15" customHeight="1">
      <c r="A334" s="40"/>
      <c r="B334" s="41"/>
      <c r="C334" s="209" t="s">
        <v>560</v>
      </c>
      <c r="D334" s="209" t="s">
        <v>202</v>
      </c>
      <c r="E334" s="210" t="s">
        <v>561</v>
      </c>
      <c r="F334" s="211" t="s">
        <v>562</v>
      </c>
      <c r="G334" s="212" t="s">
        <v>272</v>
      </c>
      <c r="H334" s="213">
        <v>382</v>
      </c>
      <c r="I334" s="214"/>
      <c r="J334" s="215">
        <f>ROUND(I334*H334,1)</f>
        <v>0</v>
      </c>
      <c r="K334" s="211" t="s">
        <v>206</v>
      </c>
      <c r="L334" s="46"/>
      <c r="M334" s="216" t="s">
        <v>32</v>
      </c>
      <c r="N334" s="217" t="s">
        <v>49</v>
      </c>
      <c r="O334" s="86"/>
      <c r="P334" s="218">
        <f>O334*H334</f>
        <v>0</v>
      </c>
      <c r="Q334" s="218">
        <v>0</v>
      </c>
      <c r="R334" s="218">
        <f>Q334*H334</f>
        <v>0</v>
      </c>
      <c r="S334" s="218">
        <v>0</v>
      </c>
      <c r="T334" s="219">
        <f>S334*H334</f>
        <v>0</v>
      </c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R334" s="220" t="s">
        <v>207</v>
      </c>
      <c r="AT334" s="220" t="s">
        <v>202</v>
      </c>
      <c r="AU334" s="220" t="s">
        <v>88</v>
      </c>
      <c r="AY334" s="18" t="s">
        <v>200</v>
      </c>
      <c r="BE334" s="221">
        <f>IF(N334="základní",J334,0)</f>
        <v>0</v>
      </c>
      <c r="BF334" s="221">
        <f>IF(N334="snížená",J334,0)</f>
        <v>0</v>
      </c>
      <c r="BG334" s="221">
        <f>IF(N334="zákl. přenesená",J334,0)</f>
        <v>0</v>
      </c>
      <c r="BH334" s="221">
        <f>IF(N334="sníž. přenesená",J334,0)</f>
        <v>0</v>
      </c>
      <c r="BI334" s="221">
        <f>IF(N334="nulová",J334,0)</f>
        <v>0</v>
      </c>
      <c r="BJ334" s="18" t="s">
        <v>86</v>
      </c>
      <c r="BK334" s="221">
        <f>ROUND(I334*H334,1)</f>
        <v>0</v>
      </c>
      <c r="BL334" s="18" t="s">
        <v>207</v>
      </c>
      <c r="BM334" s="220" t="s">
        <v>563</v>
      </c>
    </row>
    <row r="335" s="2" customFormat="1">
      <c r="A335" s="40"/>
      <c r="B335" s="41"/>
      <c r="C335" s="42"/>
      <c r="D335" s="222" t="s">
        <v>209</v>
      </c>
      <c r="E335" s="42"/>
      <c r="F335" s="223" t="s">
        <v>564</v>
      </c>
      <c r="G335" s="42"/>
      <c r="H335" s="42"/>
      <c r="I335" s="224"/>
      <c r="J335" s="42"/>
      <c r="K335" s="42"/>
      <c r="L335" s="46"/>
      <c r="M335" s="225"/>
      <c r="N335" s="226"/>
      <c r="O335" s="86"/>
      <c r="P335" s="86"/>
      <c r="Q335" s="86"/>
      <c r="R335" s="86"/>
      <c r="S335" s="86"/>
      <c r="T335" s="87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T335" s="18" t="s">
        <v>209</v>
      </c>
      <c r="AU335" s="18" t="s">
        <v>88</v>
      </c>
    </row>
    <row r="336" s="2" customFormat="1" ht="24.15" customHeight="1">
      <c r="A336" s="40"/>
      <c r="B336" s="41"/>
      <c r="C336" s="209" t="s">
        <v>565</v>
      </c>
      <c r="D336" s="209" t="s">
        <v>202</v>
      </c>
      <c r="E336" s="210" t="s">
        <v>566</v>
      </c>
      <c r="F336" s="211" t="s">
        <v>567</v>
      </c>
      <c r="G336" s="212" t="s">
        <v>272</v>
      </c>
      <c r="H336" s="213">
        <v>382</v>
      </c>
      <c r="I336" s="214"/>
      <c r="J336" s="215">
        <f>ROUND(I336*H336,1)</f>
        <v>0</v>
      </c>
      <c r="K336" s="211" t="s">
        <v>206</v>
      </c>
      <c r="L336" s="46"/>
      <c r="M336" s="216" t="s">
        <v>32</v>
      </c>
      <c r="N336" s="217" t="s">
        <v>49</v>
      </c>
      <c r="O336" s="86"/>
      <c r="P336" s="218">
        <f>O336*H336</f>
        <v>0</v>
      </c>
      <c r="Q336" s="218">
        <v>0.001</v>
      </c>
      <c r="R336" s="218">
        <f>Q336*H336</f>
        <v>0.38200000000000001</v>
      </c>
      <c r="S336" s="218">
        <v>0</v>
      </c>
      <c r="T336" s="219">
        <f>S336*H336</f>
        <v>0</v>
      </c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R336" s="220" t="s">
        <v>207</v>
      </c>
      <c r="AT336" s="220" t="s">
        <v>202</v>
      </c>
      <c r="AU336" s="220" t="s">
        <v>88</v>
      </c>
      <c r="AY336" s="18" t="s">
        <v>200</v>
      </c>
      <c r="BE336" s="221">
        <f>IF(N336="základní",J336,0)</f>
        <v>0</v>
      </c>
      <c r="BF336" s="221">
        <f>IF(N336="snížená",J336,0)</f>
        <v>0</v>
      </c>
      <c r="BG336" s="221">
        <f>IF(N336="zákl. přenesená",J336,0)</f>
        <v>0</v>
      </c>
      <c r="BH336" s="221">
        <f>IF(N336="sníž. přenesená",J336,0)</f>
        <v>0</v>
      </c>
      <c r="BI336" s="221">
        <f>IF(N336="nulová",J336,0)</f>
        <v>0</v>
      </c>
      <c r="BJ336" s="18" t="s">
        <v>86</v>
      </c>
      <c r="BK336" s="221">
        <f>ROUND(I336*H336,1)</f>
        <v>0</v>
      </c>
      <c r="BL336" s="18" t="s">
        <v>207</v>
      </c>
      <c r="BM336" s="220" t="s">
        <v>568</v>
      </c>
    </row>
    <row r="337" s="2" customFormat="1">
      <c r="A337" s="40"/>
      <c r="B337" s="41"/>
      <c r="C337" s="42"/>
      <c r="D337" s="222" t="s">
        <v>209</v>
      </c>
      <c r="E337" s="42"/>
      <c r="F337" s="223" t="s">
        <v>569</v>
      </c>
      <c r="G337" s="42"/>
      <c r="H337" s="42"/>
      <c r="I337" s="224"/>
      <c r="J337" s="42"/>
      <c r="K337" s="42"/>
      <c r="L337" s="46"/>
      <c r="M337" s="225"/>
      <c r="N337" s="226"/>
      <c r="O337" s="86"/>
      <c r="P337" s="86"/>
      <c r="Q337" s="86"/>
      <c r="R337" s="86"/>
      <c r="S337" s="86"/>
      <c r="T337" s="87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T337" s="18" t="s">
        <v>209</v>
      </c>
      <c r="AU337" s="18" t="s">
        <v>88</v>
      </c>
    </row>
    <row r="338" s="2" customFormat="1" ht="24.15" customHeight="1">
      <c r="A338" s="40"/>
      <c r="B338" s="41"/>
      <c r="C338" s="209" t="s">
        <v>570</v>
      </c>
      <c r="D338" s="209" t="s">
        <v>202</v>
      </c>
      <c r="E338" s="210" t="s">
        <v>571</v>
      </c>
      <c r="F338" s="211" t="s">
        <v>572</v>
      </c>
      <c r="G338" s="212" t="s">
        <v>272</v>
      </c>
      <c r="H338" s="213">
        <v>382</v>
      </c>
      <c r="I338" s="214"/>
      <c r="J338" s="215">
        <f>ROUND(I338*H338,1)</f>
        <v>0</v>
      </c>
      <c r="K338" s="211" t="s">
        <v>206</v>
      </c>
      <c r="L338" s="46"/>
      <c r="M338" s="216" t="s">
        <v>32</v>
      </c>
      <c r="N338" s="217" t="s">
        <v>49</v>
      </c>
      <c r="O338" s="86"/>
      <c r="P338" s="218">
        <f>O338*H338</f>
        <v>0</v>
      </c>
      <c r="Q338" s="218">
        <v>0</v>
      </c>
      <c r="R338" s="218">
        <f>Q338*H338</f>
        <v>0</v>
      </c>
      <c r="S338" s="218">
        <v>0</v>
      </c>
      <c r="T338" s="219">
        <f>S338*H338</f>
        <v>0</v>
      </c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R338" s="220" t="s">
        <v>207</v>
      </c>
      <c r="AT338" s="220" t="s">
        <v>202</v>
      </c>
      <c r="AU338" s="220" t="s">
        <v>88</v>
      </c>
      <c r="AY338" s="18" t="s">
        <v>200</v>
      </c>
      <c r="BE338" s="221">
        <f>IF(N338="základní",J338,0)</f>
        <v>0</v>
      </c>
      <c r="BF338" s="221">
        <f>IF(N338="snížená",J338,0)</f>
        <v>0</v>
      </c>
      <c r="BG338" s="221">
        <f>IF(N338="zákl. přenesená",J338,0)</f>
        <v>0</v>
      </c>
      <c r="BH338" s="221">
        <f>IF(N338="sníž. přenesená",J338,0)</f>
        <v>0</v>
      </c>
      <c r="BI338" s="221">
        <f>IF(N338="nulová",J338,0)</f>
        <v>0</v>
      </c>
      <c r="BJ338" s="18" t="s">
        <v>86</v>
      </c>
      <c r="BK338" s="221">
        <f>ROUND(I338*H338,1)</f>
        <v>0</v>
      </c>
      <c r="BL338" s="18" t="s">
        <v>207</v>
      </c>
      <c r="BM338" s="220" t="s">
        <v>573</v>
      </c>
    </row>
    <row r="339" s="2" customFormat="1">
      <c r="A339" s="40"/>
      <c r="B339" s="41"/>
      <c r="C339" s="42"/>
      <c r="D339" s="222" t="s">
        <v>209</v>
      </c>
      <c r="E339" s="42"/>
      <c r="F339" s="223" t="s">
        <v>574</v>
      </c>
      <c r="G339" s="42"/>
      <c r="H339" s="42"/>
      <c r="I339" s="224"/>
      <c r="J339" s="42"/>
      <c r="K339" s="42"/>
      <c r="L339" s="46"/>
      <c r="M339" s="225"/>
      <c r="N339" s="226"/>
      <c r="O339" s="86"/>
      <c r="P339" s="86"/>
      <c r="Q339" s="86"/>
      <c r="R339" s="86"/>
      <c r="S339" s="86"/>
      <c r="T339" s="87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T339" s="18" t="s">
        <v>209</v>
      </c>
      <c r="AU339" s="18" t="s">
        <v>88</v>
      </c>
    </row>
    <row r="340" s="2" customFormat="1" ht="44.25" customHeight="1">
      <c r="A340" s="40"/>
      <c r="B340" s="41"/>
      <c r="C340" s="209" t="s">
        <v>575</v>
      </c>
      <c r="D340" s="209" t="s">
        <v>202</v>
      </c>
      <c r="E340" s="210" t="s">
        <v>576</v>
      </c>
      <c r="F340" s="211" t="s">
        <v>577</v>
      </c>
      <c r="G340" s="212" t="s">
        <v>250</v>
      </c>
      <c r="H340" s="213">
        <v>18.908999999999999</v>
      </c>
      <c r="I340" s="214"/>
      <c r="J340" s="215">
        <f>ROUND(I340*H340,1)</f>
        <v>0</v>
      </c>
      <c r="K340" s="211" t="s">
        <v>206</v>
      </c>
      <c r="L340" s="46"/>
      <c r="M340" s="216" t="s">
        <v>32</v>
      </c>
      <c r="N340" s="217" t="s">
        <v>49</v>
      </c>
      <c r="O340" s="86"/>
      <c r="P340" s="218">
        <f>O340*H340</f>
        <v>0</v>
      </c>
      <c r="Q340" s="218">
        <v>1.05555</v>
      </c>
      <c r="R340" s="218">
        <f>Q340*H340</f>
        <v>19.95939495</v>
      </c>
      <c r="S340" s="218">
        <v>0</v>
      </c>
      <c r="T340" s="219">
        <f>S340*H340</f>
        <v>0</v>
      </c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R340" s="220" t="s">
        <v>207</v>
      </c>
      <c r="AT340" s="220" t="s">
        <v>202</v>
      </c>
      <c r="AU340" s="220" t="s">
        <v>88</v>
      </c>
      <c r="AY340" s="18" t="s">
        <v>200</v>
      </c>
      <c r="BE340" s="221">
        <f>IF(N340="základní",J340,0)</f>
        <v>0</v>
      </c>
      <c r="BF340" s="221">
        <f>IF(N340="snížená",J340,0)</f>
        <v>0</v>
      </c>
      <c r="BG340" s="221">
        <f>IF(N340="zákl. přenesená",J340,0)</f>
        <v>0</v>
      </c>
      <c r="BH340" s="221">
        <f>IF(N340="sníž. přenesená",J340,0)</f>
        <v>0</v>
      </c>
      <c r="BI340" s="221">
        <f>IF(N340="nulová",J340,0)</f>
        <v>0</v>
      </c>
      <c r="BJ340" s="18" t="s">
        <v>86</v>
      </c>
      <c r="BK340" s="221">
        <f>ROUND(I340*H340,1)</f>
        <v>0</v>
      </c>
      <c r="BL340" s="18" t="s">
        <v>207</v>
      </c>
      <c r="BM340" s="220" t="s">
        <v>578</v>
      </c>
    </row>
    <row r="341" s="2" customFormat="1">
      <c r="A341" s="40"/>
      <c r="B341" s="41"/>
      <c r="C341" s="42"/>
      <c r="D341" s="222" t="s">
        <v>209</v>
      </c>
      <c r="E341" s="42"/>
      <c r="F341" s="223" t="s">
        <v>579</v>
      </c>
      <c r="G341" s="42"/>
      <c r="H341" s="42"/>
      <c r="I341" s="224"/>
      <c r="J341" s="42"/>
      <c r="K341" s="42"/>
      <c r="L341" s="46"/>
      <c r="M341" s="225"/>
      <c r="N341" s="226"/>
      <c r="O341" s="86"/>
      <c r="P341" s="86"/>
      <c r="Q341" s="86"/>
      <c r="R341" s="86"/>
      <c r="S341" s="86"/>
      <c r="T341" s="87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T341" s="18" t="s">
        <v>209</v>
      </c>
      <c r="AU341" s="18" t="s">
        <v>88</v>
      </c>
    </row>
    <row r="342" s="13" customFormat="1">
      <c r="A342" s="13"/>
      <c r="B342" s="227"/>
      <c r="C342" s="228"/>
      <c r="D342" s="229" t="s">
        <v>211</v>
      </c>
      <c r="E342" s="230" t="s">
        <v>32</v>
      </c>
      <c r="F342" s="231" t="s">
        <v>580</v>
      </c>
      <c r="G342" s="228"/>
      <c r="H342" s="232">
        <v>18.908999999999999</v>
      </c>
      <c r="I342" s="233"/>
      <c r="J342" s="228"/>
      <c r="K342" s="228"/>
      <c r="L342" s="234"/>
      <c r="M342" s="235"/>
      <c r="N342" s="236"/>
      <c r="O342" s="236"/>
      <c r="P342" s="236"/>
      <c r="Q342" s="236"/>
      <c r="R342" s="236"/>
      <c r="S342" s="236"/>
      <c r="T342" s="237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T342" s="238" t="s">
        <v>211</v>
      </c>
      <c r="AU342" s="238" t="s">
        <v>88</v>
      </c>
      <c r="AV342" s="13" t="s">
        <v>88</v>
      </c>
      <c r="AW342" s="13" t="s">
        <v>213</v>
      </c>
      <c r="AX342" s="13" t="s">
        <v>86</v>
      </c>
      <c r="AY342" s="238" t="s">
        <v>200</v>
      </c>
    </row>
    <row r="343" s="2" customFormat="1" ht="16.5" customHeight="1">
      <c r="A343" s="40"/>
      <c r="B343" s="41"/>
      <c r="C343" s="209" t="s">
        <v>581</v>
      </c>
      <c r="D343" s="209" t="s">
        <v>202</v>
      </c>
      <c r="E343" s="210" t="s">
        <v>582</v>
      </c>
      <c r="F343" s="211" t="s">
        <v>583</v>
      </c>
      <c r="G343" s="212" t="s">
        <v>272</v>
      </c>
      <c r="H343" s="213">
        <v>33</v>
      </c>
      <c r="I343" s="214"/>
      <c r="J343" s="215">
        <f>ROUND(I343*H343,1)</f>
        <v>0</v>
      </c>
      <c r="K343" s="211" t="s">
        <v>206</v>
      </c>
      <c r="L343" s="46"/>
      <c r="M343" s="216" t="s">
        <v>32</v>
      </c>
      <c r="N343" s="217" t="s">
        <v>49</v>
      </c>
      <c r="O343" s="86"/>
      <c r="P343" s="218">
        <f>O343*H343</f>
        <v>0</v>
      </c>
      <c r="Q343" s="218">
        <v>0.0084200000000000004</v>
      </c>
      <c r="R343" s="218">
        <f>Q343*H343</f>
        <v>0.27786</v>
      </c>
      <c r="S343" s="218">
        <v>0</v>
      </c>
      <c r="T343" s="219">
        <f>S343*H343</f>
        <v>0</v>
      </c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R343" s="220" t="s">
        <v>207</v>
      </c>
      <c r="AT343" s="220" t="s">
        <v>202</v>
      </c>
      <c r="AU343" s="220" t="s">
        <v>88</v>
      </c>
      <c r="AY343" s="18" t="s">
        <v>200</v>
      </c>
      <c r="BE343" s="221">
        <f>IF(N343="základní",J343,0)</f>
        <v>0</v>
      </c>
      <c r="BF343" s="221">
        <f>IF(N343="snížená",J343,0)</f>
        <v>0</v>
      </c>
      <c r="BG343" s="221">
        <f>IF(N343="zákl. přenesená",J343,0)</f>
        <v>0</v>
      </c>
      <c r="BH343" s="221">
        <f>IF(N343="sníž. přenesená",J343,0)</f>
        <v>0</v>
      </c>
      <c r="BI343" s="221">
        <f>IF(N343="nulová",J343,0)</f>
        <v>0</v>
      </c>
      <c r="BJ343" s="18" t="s">
        <v>86</v>
      </c>
      <c r="BK343" s="221">
        <f>ROUND(I343*H343,1)</f>
        <v>0</v>
      </c>
      <c r="BL343" s="18" t="s">
        <v>207</v>
      </c>
      <c r="BM343" s="220" t="s">
        <v>584</v>
      </c>
    </row>
    <row r="344" s="2" customFormat="1">
      <c r="A344" s="40"/>
      <c r="B344" s="41"/>
      <c r="C344" s="42"/>
      <c r="D344" s="222" t="s">
        <v>209</v>
      </c>
      <c r="E344" s="42"/>
      <c r="F344" s="223" t="s">
        <v>585</v>
      </c>
      <c r="G344" s="42"/>
      <c r="H344" s="42"/>
      <c r="I344" s="224"/>
      <c r="J344" s="42"/>
      <c r="K344" s="42"/>
      <c r="L344" s="46"/>
      <c r="M344" s="225"/>
      <c r="N344" s="226"/>
      <c r="O344" s="86"/>
      <c r="P344" s="86"/>
      <c r="Q344" s="86"/>
      <c r="R344" s="86"/>
      <c r="S344" s="86"/>
      <c r="T344" s="87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T344" s="18" t="s">
        <v>209</v>
      </c>
      <c r="AU344" s="18" t="s">
        <v>88</v>
      </c>
    </row>
    <row r="345" s="13" customFormat="1">
      <c r="A345" s="13"/>
      <c r="B345" s="227"/>
      <c r="C345" s="228"/>
      <c r="D345" s="229" t="s">
        <v>211</v>
      </c>
      <c r="E345" s="230" t="s">
        <v>32</v>
      </c>
      <c r="F345" s="231" t="s">
        <v>586</v>
      </c>
      <c r="G345" s="228"/>
      <c r="H345" s="232">
        <v>33</v>
      </c>
      <c r="I345" s="233"/>
      <c r="J345" s="228"/>
      <c r="K345" s="228"/>
      <c r="L345" s="234"/>
      <c r="M345" s="235"/>
      <c r="N345" s="236"/>
      <c r="O345" s="236"/>
      <c r="P345" s="236"/>
      <c r="Q345" s="236"/>
      <c r="R345" s="236"/>
      <c r="S345" s="236"/>
      <c r="T345" s="237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T345" s="238" t="s">
        <v>211</v>
      </c>
      <c r="AU345" s="238" t="s">
        <v>88</v>
      </c>
      <c r="AV345" s="13" t="s">
        <v>88</v>
      </c>
      <c r="AW345" s="13" t="s">
        <v>213</v>
      </c>
      <c r="AX345" s="13" t="s">
        <v>86</v>
      </c>
      <c r="AY345" s="238" t="s">
        <v>200</v>
      </c>
    </row>
    <row r="346" s="2" customFormat="1" ht="16.5" customHeight="1">
      <c r="A346" s="40"/>
      <c r="B346" s="41"/>
      <c r="C346" s="209" t="s">
        <v>587</v>
      </c>
      <c r="D346" s="209" t="s">
        <v>202</v>
      </c>
      <c r="E346" s="210" t="s">
        <v>588</v>
      </c>
      <c r="F346" s="211" t="s">
        <v>589</v>
      </c>
      <c r="G346" s="212" t="s">
        <v>272</v>
      </c>
      <c r="H346" s="213">
        <v>33</v>
      </c>
      <c r="I346" s="214"/>
      <c r="J346" s="215">
        <f>ROUND(I346*H346,1)</f>
        <v>0</v>
      </c>
      <c r="K346" s="211" t="s">
        <v>206</v>
      </c>
      <c r="L346" s="46"/>
      <c r="M346" s="216" t="s">
        <v>32</v>
      </c>
      <c r="N346" s="217" t="s">
        <v>49</v>
      </c>
      <c r="O346" s="86"/>
      <c r="P346" s="218">
        <f>O346*H346</f>
        <v>0</v>
      </c>
      <c r="Q346" s="218">
        <v>0</v>
      </c>
      <c r="R346" s="218">
        <f>Q346*H346</f>
        <v>0</v>
      </c>
      <c r="S346" s="218">
        <v>0</v>
      </c>
      <c r="T346" s="219">
        <f>S346*H346</f>
        <v>0</v>
      </c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R346" s="220" t="s">
        <v>207</v>
      </c>
      <c r="AT346" s="220" t="s">
        <v>202</v>
      </c>
      <c r="AU346" s="220" t="s">
        <v>88</v>
      </c>
      <c r="AY346" s="18" t="s">
        <v>200</v>
      </c>
      <c r="BE346" s="221">
        <f>IF(N346="základní",J346,0)</f>
        <v>0</v>
      </c>
      <c r="BF346" s="221">
        <f>IF(N346="snížená",J346,0)</f>
        <v>0</v>
      </c>
      <c r="BG346" s="221">
        <f>IF(N346="zákl. přenesená",J346,0)</f>
        <v>0</v>
      </c>
      <c r="BH346" s="221">
        <f>IF(N346="sníž. přenesená",J346,0)</f>
        <v>0</v>
      </c>
      <c r="BI346" s="221">
        <f>IF(N346="nulová",J346,0)</f>
        <v>0</v>
      </c>
      <c r="BJ346" s="18" t="s">
        <v>86</v>
      </c>
      <c r="BK346" s="221">
        <f>ROUND(I346*H346,1)</f>
        <v>0</v>
      </c>
      <c r="BL346" s="18" t="s">
        <v>207</v>
      </c>
      <c r="BM346" s="220" t="s">
        <v>590</v>
      </c>
    </row>
    <row r="347" s="2" customFormat="1">
      <c r="A347" s="40"/>
      <c r="B347" s="41"/>
      <c r="C347" s="42"/>
      <c r="D347" s="222" t="s">
        <v>209</v>
      </c>
      <c r="E347" s="42"/>
      <c r="F347" s="223" t="s">
        <v>591</v>
      </c>
      <c r="G347" s="42"/>
      <c r="H347" s="42"/>
      <c r="I347" s="224"/>
      <c r="J347" s="42"/>
      <c r="K347" s="42"/>
      <c r="L347" s="46"/>
      <c r="M347" s="225"/>
      <c r="N347" s="226"/>
      <c r="O347" s="86"/>
      <c r="P347" s="86"/>
      <c r="Q347" s="86"/>
      <c r="R347" s="86"/>
      <c r="S347" s="86"/>
      <c r="T347" s="87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T347" s="18" t="s">
        <v>209</v>
      </c>
      <c r="AU347" s="18" t="s">
        <v>88</v>
      </c>
    </row>
    <row r="348" s="12" customFormat="1" ht="22.8" customHeight="1">
      <c r="A348" s="12"/>
      <c r="B348" s="193"/>
      <c r="C348" s="194"/>
      <c r="D348" s="195" t="s">
        <v>77</v>
      </c>
      <c r="E348" s="207" t="s">
        <v>241</v>
      </c>
      <c r="F348" s="207" t="s">
        <v>592</v>
      </c>
      <c r="G348" s="194"/>
      <c r="H348" s="194"/>
      <c r="I348" s="197"/>
      <c r="J348" s="208">
        <f>BK348</f>
        <v>0</v>
      </c>
      <c r="K348" s="194"/>
      <c r="L348" s="199"/>
      <c r="M348" s="200"/>
      <c r="N348" s="201"/>
      <c r="O348" s="201"/>
      <c r="P348" s="202">
        <f>SUM(P349:P444)</f>
        <v>0</v>
      </c>
      <c r="Q348" s="201"/>
      <c r="R348" s="202">
        <f>SUM(R349:R444)</f>
        <v>133.73116107999999</v>
      </c>
      <c r="S348" s="201"/>
      <c r="T348" s="203">
        <f>SUM(T349:T444)</f>
        <v>0</v>
      </c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R348" s="204" t="s">
        <v>86</v>
      </c>
      <c r="AT348" s="205" t="s">
        <v>77</v>
      </c>
      <c r="AU348" s="205" t="s">
        <v>86</v>
      </c>
      <c r="AY348" s="204" t="s">
        <v>200</v>
      </c>
      <c r="BK348" s="206">
        <f>SUM(BK349:BK444)</f>
        <v>0</v>
      </c>
    </row>
    <row r="349" s="2" customFormat="1" ht="24.15" customHeight="1">
      <c r="A349" s="40"/>
      <c r="B349" s="41"/>
      <c r="C349" s="209" t="s">
        <v>593</v>
      </c>
      <c r="D349" s="209" t="s">
        <v>202</v>
      </c>
      <c r="E349" s="210" t="s">
        <v>594</v>
      </c>
      <c r="F349" s="211" t="s">
        <v>595</v>
      </c>
      <c r="G349" s="212" t="s">
        <v>272</v>
      </c>
      <c r="H349" s="213">
        <v>59.32</v>
      </c>
      <c r="I349" s="214"/>
      <c r="J349" s="215">
        <f>ROUND(I349*H349,1)</f>
        <v>0</v>
      </c>
      <c r="K349" s="211" t="s">
        <v>206</v>
      </c>
      <c r="L349" s="46"/>
      <c r="M349" s="216" t="s">
        <v>32</v>
      </c>
      <c r="N349" s="217" t="s">
        <v>49</v>
      </c>
      <c r="O349" s="86"/>
      <c r="P349" s="218">
        <f>O349*H349</f>
        <v>0</v>
      </c>
      <c r="Q349" s="218">
        <v>0.016279999999999999</v>
      </c>
      <c r="R349" s="218">
        <f>Q349*H349</f>
        <v>0.96572959999999997</v>
      </c>
      <c r="S349" s="218">
        <v>0</v>
      </c>
      <c r="T349" s="219">
        <f>S349*H349</f>
        <v>0</v>
      </c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R349" s="220" t="s">
        <v>207</v>
      </c>
      <c r="AT349" s="220" t="s">
        <v>202</v>
      </c>
      <c r="AU349" s="220" t="s">
        <v>88</v>
      </c>
      <c r="AY349" s="18" t="s">
        <v>200</v>
      </c>
      <c r="BE349" s="221">
        <f>IF(N349="základní",J349,0)</f>
        <v>0</v>
      </c>
      <c r="BF349" s="221">
        <f>IF(N349="snížená",J349,0)</f>
        <v>0</v>
      </c>
      <c r="BG349" s="221">
        <f>IF(N349="zákl. přenesená",J349,0)</f>
        <v>0</v>
      </c>
      <c r="BH349" s="221">
        <f>IF(N349="sníž. přenesená",J349,0)</f>
        <v>0</v>
      </c>
      <c r="BI349" s="221">
        <f>IF(N349="nulová",J349,0)</f>
        <v>0</v>
      </c>
      <c r="BJ349" s="18" t="s">
        <v>86</v>
      </c>
      <c r="BK349" s="221">
        <f>ROUND(I349*H349,1)</f>
        <v>0</v>
      </c>
      <c r="BL349" s="18" t="s">
        <v>207</v>
      </c>
      <c r="BM349" s="220" t="s">
        <v>596</v>
      </c>
    </row>
    <row r="350" s="2" customFormat="1">
      <c r="A350" s="40"/>
      <c r="B350" s="41"/>
      <c r="C350" s="42"/>
      <c r="D350" s="222" t="s">
        <v>209</v>
      </c>
      <c r="E350" s="42"/>
      <c r="F350" s="223" t="s">
        <v>597</v>
      </c>
      <c r="G350" s="42"/>
      <c r="H350" s="42"/>
      <c r="I350" s="224"/>
      <c r="J350" s="42"/>
      <c r="K350" s="42"/>
      <c r="L350" s="46"/>
      <c r="M350" s="225"/>
      <c r="N350" s="226"/>
      <c r="O350" s="86"/>
      <c r="P350" s="86"/>
      <c r="Q350" s="86"/>
      <c r="R350" s="86"/>
      <c r="S350" s="86"/>
      <c r="T350" s="87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T350" s="18" t="s">
        <v>209</v>
      </c>
      <c r="AU350" s="18" t="s">
        <v>88</v>
      </c>
    </row>
    <row r="351" s="13" customFormat="1">
      <c r="A351" s="13"/>
      <c r="B351" s="227"/>
      <c r="C351" s="228"/>
      <c r="D351" s="229" t="s">
        <v>211</v>
      </c>
      <c r="E351" s="230" t="s">
        <v>32</v>
      </c>
      <c r="F351" s="231" t="s">
        <v>598</v>
      </c>
      <c r="G351" s="228"/>
      <c r="H351" s="232">
        <v>59.32</v>
      </c>
      <c r="I351" s="233"/>
      <c r="J351" s="228"/>
      <c r="K351" s="228"/>
      <c r="L351" s="234"/>
      <c r="M351" s="235"/>
      <c r="N351" s="236"/>
      <c r="O351" s="236"/>
      <c r="P351" s="236"/>
      <c r="Q351" s="236"/>
      <c r="R351" s="236"/>
      <c r="S351" s="236"/>
      <c r="T351" s="237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T351" s="238" t="s">
        <v>211</v>
      </c>
      <c r="AU351" s="238" t="s">
        <v>88</v>
      </c>
      <c r="AV351" s="13" t="s">
        <v>88</v>
      </c>
      <c r="AW351" s="13" t="s">
        <v>213</v>
      </c>
      <c r="AX351" s="13" t="s">
        <v>86</v>
      </c>
      <c r="AY351" s="238" t="s">
        <v>200</v>
      </c>
    </row>
    <row r="352" s="2" customFormat="1" ht="24.15" customHeight="1">
      <c r="A352" s="40"/>
      <c r="B352" s="41"/>
      <c r="C352" s="209" t="s">
        <v>599</v>
      </c>
      <c r="D352" s="209" t="s">
        <v>202</v>
      </c>
      <c r="E352" s="210" t="s">
        <v>600</v>
      </c>
      <c r="F352" s="211" t="s">
        <v>601</v>
      </c>
      <c r="G352" s="212" t="s">
        <v>272</v>
      </c>
      <c r="H352" s="213">
        <v>59.32</v>
      </c>
      <c r="I352" s="214"/>
      <c r="J352" s="215">
        <f>ROUND(I352*H352,1)</f>
        <v>0</v>
      </c>
      <c r="K352" s="211" t="s">
        <v>206</v>
      </c>
      <c r="L352" s="46"/>
      <c r="M352" s="216" t="s">
        <v>32</v>
      </c>
      <c r="N352" s="217" t="s">
        <v>49</v>
      </c>
      <c r="O352" s="86"/>
      <c r="P352" s="218">
        <f>O352*H352</f>
        <v>0</v>
      </c>
      <c r="Q352" s="218">
        <v>0.0067999999999999996</v>
      </c>
      <c r="R352" s="218">
        <f>Q352*H352</f>
        <v>0.40337599999999996</v>
      </c>
      <c r="S352" s="218">
        <v>0</v>
      </c>
      <c r="T352" s="219">
        <f>S352*H352</f>
        <v>0</v>
      </c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R352" s="220" t="s">
        <v>207</v>
      </c>
      <c r="AT352" s="220" t="s">
        <v>202</v>
      </c>
      <c r="AU352" s="220" t="s">
        <v>88</v>
      </c>
      <c r="AY352" s="18" t="s">
        <v>200</v>
      </c>
      <c r="BE352" s="221">
        <f>IF(N352="základní",J352,0)</f>
        <v>0</v>
      </c>
      <c r="BF352" s="221">
        <f>IF(N352="snížená",J352,0)</f>
        <v>0</v>
      </c>
      <c r="BG352" s="221">
        <f>IF(N352="zákl. přenesená",J352,0)</f>
        <v>0</v>
      </c>
      <c r="BH352" s="221">
        <f>IF(N352="sníž. přenesená",J352,0)</f>
        <v>0</v>
      </c>
      <c r="BI352" s="221">
        <f>IF(N352="nulová",J352,0)</f>
        <v>0</v>
      </c>
      <c r="BJ352" s="18" t="s">
        <v>86</v>
      </c>
      <c r="BK352" s="221">
        <f>ROUND(I352*H352,1)</f>
        <v>0</v>
      </c>
      <c r="BL352" s="18" t="s">
        <v>207</v>
      </c>
      <c r="BM352" s="220" t="s">
        <v>602</v>
      </c>
    </row>
    <row r="353" s="2" customFormat="1">
      <c r="A353" s="40"/>
      <c r="B353" s="41"/>
      <c r="C353" s="42"/>
      <c r="D353" s="222" t="s">
        <v>209</v>
      </c>
      <c r="E353" s="42"/>
      <c r="F353" s="223" t="s">
        <v>603</v>
      </c>
      <c r="G353" s="42"/>
      <c r="H353" s="42"/>
      <c r="I353" s="224"/>
      <c r="J353" s="42"/>
      <c r="K353" s="42"/>
      <c r="L353" s="46"/>
      <c r="M353" s="225"/>
      <c r="N353" s="226"/>
      <c r="O353" s="86"/>
      <c r="P353" s="86"/>
      <c r="Q353" s="86"/>
      <c r="R353" s="86"/>
      <c r="S353" s="86"/>
      <c r="T353" s="87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T353" s="18" t="s">
        <v>209</v>
      </c>
      <c r="AU353" s="18" t="s">
        <v>88</v>
      </c>
    </row>
    <row r="354" s="2" customFormat="1" ht="24.15" customHeight="1">
      <c r="A354" s="40"/>
      <c r="B354" s="41"/>
      <c r="C354" s="209" t="s">
        <v>604</v>
      </c>
      <c r="D354" s="209" t="s">
        <v>202</v>
      </c>
      <c r="E354" s="210" t="s">
        <v>605</v>
      </c>
      <c r="F354" s="211" t="s">
        <v>606</v>
      </c>
      <c r="G354" s="212" t="s">
        <v>272</v>
      </c>
      <c r="H354" s="213">
        <v>284.43000000000001</v>
      </c>
      <c r="I354" s="214"/>
      <c r="J354" s="215">
        <f>ROUND(I354*H354,1)</f>
        <v>0</v>
      </c>
      <c r="K354" s="211" t="s">
        <v>206</v>
      </c>
      <c r="L354" s="46"/>
      <c r="M354" s="216" t="s">
        <v>32</v>
      </c>
      <c r="N354" s="217" t="s">
        <v>49</v>
      </c>
      <c r="O354" s="86"/>
      <c r="P354" s="218">
        <f>O354*H354</f>
        <v>0</v>
      </c>
      <c r="Q354" s="218">
        <v>0.013599999999999999</v>
      </c>
      <c r="R354" s="218">
        <f>Q354*H354</f>
        <v>3.8682479999999999</v>
      </c>
      <c r="S354" s="218">
        <v>0</v>
      </c>
      <c r="T354" s="219">
        <f>S354*H354</f>
        <v>0</v>
      </c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R354" s="220" t="s">
        <v>207</v>
      </c>
      <c r="AT354" s="220" t="s">
        <v>202</v>
      </c>
      <c r="AU354" s="220" t="s">
        <v>88</v>
      </c>
      <c r="AY354" s="18" t="s">
        <v>200</v>
      </c>
      <c r="BE354" s="221">
        <f>IF(N354="základní",J354,0)</f>
        <v>0</v>
      </c>
      <c r="BF354" s="221">
        <f>IF(N354="snížená",J354,0)</f>
        <v>0</v>
      </c>
      <c r="BG354" s="221">
        <f>IF(N354="zákl. přenesená",J354,0)</f>
        <v>0</v>
      </c>
      <c r="BH354" s="221">
        <f>IF(N354="sníž. přenesená",J354,0)</f>
        <v>0</v>
      </c>
      <c r="BI354" s="221">
        <f>IF(N354="nulová",J354,0)</f>
        <v>0</v>
      </c>
      <c r="BJ354" s="18" t="s">
        <v>86</v>
      </c>
      <c r="BK354" s="221">
        <f>ROUND(I354*H354,1)</f>
        <v>0</v>
      </c>
      <c r="BL354" s="18" t="s">
        <v>207</v>
      </c>
      <c r="BM354" s="220" t="s">
        <v>607</v>
      </c>
    </row>
    <row r="355" s="2" customFormat="1">
      <c r="A355" s="40"/>
      <c r="B355" s="41"/>
      <c r="C355" s="42"/>
      <c r="D355" s="222" t="s">
        <v>209</v>
      </c>
      <c r="E355" s="42"/>
      <c r="F355" s="223" t="s">
        <v>608</v>
      </c>
      <c r="G355" s="42"/>
      <c r="H355" s="42"/>
      <c r="I355" s="224"/>
      <c r="J355" s="42"/>
      <c r="K355" s="42"/>
      <c r="L355" s="46"/>
      <c r="M355" s="225"/>
      <c r="N355" s="226"/>
      <c r="O355" s="86"/>
      <c r="P355" s="86"/>
      <c r="Q355" s="86"/>
      <c r="R355" s="86"/>
      <c r="S355" s="86"/>
      <c r="T355" s="87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T355" s="18" t="s">
        <v>209</v>
      </c>
      <c r="AU355" s="18" t="s">
        <v>88</v>
      </c>
    </row>
    <row r="356" s="13" customFormat="1">
      <c r="A356" s="13"/>
      <c r="B356" s="227"/>
      <c r="C356" s="228"/>
      <c r="D356" s="229" t="s">
        <v>211</v>
      </c>
      <c r="E356" s="230" t="s">
        <v>32</v>
      </c>
      <c r="F356" s="231" t="s">
        <v>128</v>
      </c>
      <c r="G356" s="228"/>
      <c r="H356" s="232">
        <v>284.43000000000001</v>
      </c>
      <c r="I356" s="233"/>
      <c r="J356" s="228"/>
      <c r="K356" s="228"/>
      <c r="L356" s="234"/>
      <c r="M356" s="235"/>
      <c r="N356" s="236"/>
      <c r="O356" s="236"/>
      <c r="P356" s="236"/>
      <c r="Q356" s="236"/>
      <c r="R356" s="236"/>
      <c r="S356" s="236"/>
      <c r="T356" s="237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T356" s="238" t="s">
        <v>211</v>
      </c>
      <c r="AU356" s="238" t="s">
        <v>88</v>
      </c>
      <c r="AV356" s="13" t="s">
        <v>88</v>
      </c>
      <c r="AW356" s="13" t="s">
        <v>213</v>
      </c>
      <c r="AX356" s="13" t="s">
        <v>86</v>
      </c>
      <c r="AY356" s="238" t="s">
        <v>200</v>
      </c>
    </row>
    <row r="357" s="2" customFormat="1" ht="24.15" customHeight="1">
      <c r="A357" s="40"/>
      <c r="B357" s="41"/>
      <c r="C357" s="209" t="s">
        <v>609</v>
      </c>
      <c r="D357" s="209" t="s">
        <v>202</v>
      </c>
      <c r="E357" s="210" t="s">
        <v>610</v>
      </c>
      <c r="F357" s="211" t="s">
        <v>611</v>
      </c>
      <c r="G357" s="212" t="s">
        <v>272</v>
      </c>
      <c r="H357" s="213">
        <v>1005.4160000000001</v>
      </c>
      <c r="I357" s="214"/>
      <c r="J357" s="215">
        <f>ROUND(I357*H357,1)</f>
        <v>0</v>
      </c>
      <c r="K357" s="211" t="s">
        <v>206</v>
      </c>
      <c r="L357" s="46"/>
      <c r="M357" s="216" t="s">
        <v>32</v>
      </c>
      <c r="N357" s="217" t="s">
        <v>49</v>
      </c>
      <c r="O357" s="86"/>
      <c r="P357" s="218">
        <f>O357*H357</f>
        <v>0</v>
      </c>
      <c r="Q357" s="218">
        <v>0.016279999999999999</v>
      </c>
      <c r="R357" s="218">
        <f>Q357*H357</f>
        <v>16.368172480000002</v>
      </c>
      <c r="S357" s="218">
        <v>0</v>
      </c>
      <c r="T357" s="219">
        <f>S357*H357</f>
        <v>0</v>
      </c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R357" s="220" t="s">
        <v>207</v>
      </c>
      <c r="AT357" s="220" t="s">
        <v>202</v>
      </c>
      <c r="AU357" s="220" t="s">
        <v>88</v>
      </c>
      <c r="AY357" s="18" t="s">
        <v>200</v>
      </c>
      <c r="BE357" s="221">
        <f>IF(N357="základní",J357,0)</f>
        <v>0</v>
      </c>
      <c r="BF357" s="221">
        <f>IF(N357="snížená",J357,0)</f>
        <v>0</v>
      </c>
      <c r="BG357" s="221">
        <f>IF(N357="zákl. přenesená",J357,0)</f>
        <v>0</v>
      </c>
      <c r="BH357" s="221">
        <f>IF(N357="sníž. přenesená",J357,0)</f>
        <v>0</v>
      </c>
      <c r="BI357" s="221">
        <f>IF(N357="nulová",J357,0)</f>
        <v>0</v>
      </c>
      <c r="BJ357" s="18" t="s">
        <v>86</v>
      </c>
      <c r="BK357" s="221">
        <f>ROUND(I357*H357,1)</f>
        <v>0</v>
      </c>
      <c r="BL357" s="18" t="s">
        <v>207</v>
      </c>
      <c r="BM357" s="220" t="s">
        <v>612</v>
      </c>
    </row>
    <row r="358" s="2" customFormat="1">
      <c r="A358" s="40"/>
      <c r="B358" s="41"/>
      <c r="C358" s="42"/>
      <c r="D358" s="222" t="s">
        <v>209</v>
      </c>
      <c r="E358" s="42"/>
      <c r="F358" s="223" t="s">
        <v>613</v>
      </c>
      <c r="G358" s="42"/>
      <c r="H358" s="42"/>
      <c r="I358" s="224"/>
      <c r="J358" s="42"/>
      <c r="K358" s="42"/>
      <c r="L358" s="46"/>
      <c r="M358" s="225"/>
      <c r="N358" s="226"/>
      <c r="O358" s="86"/>
      <c r="P358" s="86"/>
      <c r="Q358" s="86"/>
      <c r="R358" s="86"/>
      <c r="S358" s="86"/>
      <c r="T358" s="87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T358" s="18" t="s">
        <v>209</v>
      </c>
      <c r="AU358" s="18" t="s">
        <v>88</v>
      </c>
    </row>
    <row r="359" s="15" customFormat="1">
      <c r="A359" s="15"/>
      <c r="B359" s="250"/>
      <c r="C359" s="251"/>
      <c r="D359" s="229" t="s">
        <v>211</v>
      </c>
      <c r="E359" s="252" t="s">
        <v>32</v>
      </c>
      <c r="F359" s="253" t="s">
        <v>614</v>
      </c>
      <c r="G359" s="251"/>
      <c r="H359" s="252" t="s">
        <v>32</v>
      </c>
      <c r="I359" s="254"/>
      <c r="J359" s="251"/>
      <c r="K359" s="251"/>
      <c r="L359" s="255"/>
      <c r="M359" s="256"/>
      <c r="N359" s="257"/>
      <c r="O359" s="257"/>
      <c r="P359" s="257"/>
      <c r="Q359" s="257"/>
      <c r="R359" s="257"/>
      <c r="S359" s="257"/>
      <c r="T359" s="25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T359" s="259" t="s">
        <v>211</v>
      </c>
      <c r="AU359" s="259" t="s">
        <v>88</v>
      </c>
      <c r="AV359" s="15" t="s">
        <v>86</v>
      </c>
      <c r="AW359" s="15" t="s">
        <v>213</v>
      </c>
      <c r="AX359" s="15" t="s">
        <v>78</v>
      </c>
      <c r="AY359" s="259" t="s">
        <v>200</v>
      </c>
    </row>
    <row r="360" s="13" customFormat="1">
      <c r="A360" s="13"/>
      <c r="B360" s="227"/>
      <c r="C360" s="228"/>
      <c r="D360" s="229" t="s">
        <v>211</v>
      </c>
      <c r="E360" s="230" t="s">
        <v>32</v>
      </c>
      <c r="F360" s="231" t="s">
        <v>615</v>
      </c>
      <c r="G360" s="228"/>
      <c r="H360" s="232">
        <v>205.666</v>
      </c>
      <c r="I360" s="233"/>
      <c r="J360" s="228"/>
      <c r="K360" s="228"/>
      <c r="L360" s="234"/>
      <c r="M360" s="235"/>
      <c r="N360" s="236"/>
      <c r="O360" s="236"/>
      <c r="P360" s="236"/>
      <c r="Q360" s="236"/>
      <c r="R360" s="236"/>
      <c r="S360" s="236"/>
      <c r="T360" s="237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T360" s="238" t="s">
        <v>211</v>
      </c>
      <c r="AU360" s="238" t="s">
        <v>88</v>
      </c>
      <c r="AV360" s="13" t="s">
        <v>88</v>
      </c>
      <c r="AW360" s="13" t="s">
        <v>213</v>
      </c>
      <c r="AX360" s="13" t="s">
        <v>78</v>
      </c>
      <c r="AY360" s="238" t="s">
        <v>200</v>
      </c>
    </row>
    <row r="361" s="13" customFormat="1">
      <c r="A361" s="13"/>
      <c r="B361" s="227"/>
      <c r="C361" s="228"/>
      <c r="D361" s="229" t="s">
        <v>211</v>
      </c>
      <c r="E361" s="230" t="s">
        <v>32</v>
      </c>
      <c r="F361" s="231" t="s">
        <v>616</v>
      </c>
      <c r="G361" s="228"/>
      <c r="H361" s="232">
        <v>186.23500000000001</v>
      </c>
      <c r="I361" s="233"/>
      <c r="J361" s="228"/>
      <c r="K361" s="228"/>
      <c r="L361" s="234"/>
      <c r="M361" s="235"/>
      <c r="N361" s="236"/>
      <c r="O361" s="236"/>
      <c r="P361" s="236"/>
      <c r="Q361" s="236"/>
      <c r="R361" s="236"/>
      <c r="S361" s="236"/>
      <c r="T361" s="237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T361" s="238" t="s">
        <v>211</v>
      </c>
      <c r="AU361" s="238" t="s">
        <v>88</v>
      </c>
      <c r="AV361" s="13" t="s">
        <v>88</v>
      </c>
      <c r="AW361" s="13" t="s">
        <v>213</v>
      </c>
      <c r="AX361" s="13" t="s">
        <v>78</v>
      </c>
      <c r="AY361" s="238" t="s">
        <v>200</v>
      </c>
    </row>
    <row r="362" s="13" customFormat="1">
      <c r="A362" s="13"/>
      <c r="B362" s="227"/>
      <c r="C362" s="228"/>
      <c r="D362" s="229" t="s">
        <v>211</v>
      </c>
      <c r="E362" s="230" t="s">
        <v>32</v>
      </c>
      <c r="F362" s="231" t="s">
        <v>617</v>
      </c>
      <c r="G362" s="228"/>
      <c r="H362" s="232">
        <v>533.596</v>
      </c>
      <c r="I362" s="233"/>
      <c r="J362" s="228"/>
      <c r="K362" s="228"/>
      <c r="L362" s="234"/>
      <c r="M362" s="235"/>
      <c r="N362" s="236"/>
      <c r="O362" s="236"/>
      <c r="P362" s="236"/>
      <c r="Q362" s="236"/>
      <c r="R362" s="236"/>
      <c r="S362" s="236"/>
      <c r="T362" s="237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T362" s="238" t="s">
        <v>211</v>
      </c>
      <c r="AU362" s="238" t="s">
        <v>88</v>
      </c>
      <c r="AV362" s="13" t="s">
        <v>88</v>
      </c>
      <c r="AW362" s="13" t="s">
        <v>213</v>
      </c>
      <c r="AX362" s="13" t="s">
        <v>78</v>
      </c>
      <c r="AY362" s="238" t="s">
        <v>200</v>
      </c>
    </row>
    <row r="363" s="13" customFormat="1">
      <c r="A363" s="13"/>
      <c r="B363" s="227"/>
      <c r="C363" s="228"/>
      <c r="D363" s="229" t="s">
        <v>211</v>
      </c>
      <c r="E363" s="230" t="s">
        <v>32</v>
      </c>
      <c r="F363" s="231" t="s">
        <v>618</v>
      </c>
      <c r="G363" s="228"/>
      <c r="H363" s="232">
        <v>198.69345000000001</v>
      </c>
      <c r="I363" s="233"/>
      <c r="J363" s="228"/>
      <c r="K363" s="228"/>
      <c r="L363" s="234"/>
      <c r="M363" s="235"/>
      <c r="N363" s="236"/>
      <c r="O363" s="236"/>
      <c r="P363" s="236"/>
      <c r="Q363" s="236"/>
      <c r="R363" s="236"/>
      <c r="S363" s="236"/>
      <c r="T363" s="237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T363" s="238" t="s">
        <v>211</v>
      </c>
      <c r="AU363" s="238" t="s">
        <v>88</v>
      </c>
      <c r="AV363" s="13" t="s">
        <v>88</v>
      </c>
      <c r="AW363" s="13" t="s">
        <v>213</v>
      </c>
      <c r="AX363" s="13" t="s">
        <v>78</v>
      </c>
      <c r="AY363" s="238" t="s">
        <v>200</v>
      </c>
    </row>
    <row r="364" s="13" customFormat="1">
      <c r="A364" s="13"/>
      <c r="B364" s="227"/>
      <c r="C364" s="228"/>
      <c r="D364" s="229" t="s">
        <v>211</v>
      </c>
      <c r="E364" s="230" t="s">
        <v>32</v>
      </c>
      <c r="F364" s="231" t="s">
        <v>619</v>
      </c>
      <c r="G364" s="228"/>
      <c r="H364" s="232">
        <v>144.36000000000001</v>
      </c>
      <c r="I364" s="233"/>
      <c r="J364" s="228"/>
      <c r="K364" s="228"/>
      <c r="L364" s="234"/>
      <c r="M364" s="235"/>
      <c r="N364" s="236"/>
      <c r="O364" s="236"/>
      <c r="P364" s="236"/>
      <c r="Q364" s="236"/>
      <c r="R364" s="236"/>
      <c r="S364" s="236"/>
      <c r="T364" s="237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T364" s="238" t="s">
        <v>211</v>
      </c>
      <c r="AU364" s="238" t="s">
        <v>88</v>
      </c>
      <c r="AV364" s="13" t="s">
        <v>88</v>
      </c>
      <c r="AW364" s="13" t="s">
        <v>213</v>
      </c>
      <c r="AX364" s="13" t="s">
        <v>78</v>
      </c>
      <c r="AY364" s="238" t="s">
        <v>200</v>
      </c>
    </row>
    <row r="365" s="15" customFormat="1">
      <c r="A365" s="15"/>
      <c r="B365" s="250"/>
      <c r="C365" s="251"/>
      <c r="D365" s="229" t="s">
        <v>211</v>
      </c>
      <c r="E365" s="252" t="s">
        <v>32</v>
      </c>
      <c r="F365" s="253" t="s">
        <v>620</v>
      </c>
      <c r="G365" s="251"/>
      <c r="H365" s="252" t="s">
        <v>32</v>
      </c>
      <c r="I365" s="254"/>
      <c r="J365" s="251"/>
      <c r="K365" s="251"/>
      <c r="L365" s="255"/>
      <c r="M365" s="256"/>
      <c r="N365" s="257"/>
      <c r="O365" s="257"/>
      <c r="P365" s="257"/>
      <c r="Q365" s="257"/>
      <c r="R365" s="257"/>
      <c r="S365" s="257"/>
      <c r="T365" s="25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T365" s="259" t="s">
        <v>211</v>
      </c>
      <c r="AU365" s="259" t="s">
        <v>88</v>
      </c>
      <c r="AV365" s="15" t="s">
        <v>86</v>
      </c>
      <c r="AW365" s="15" t="s">
        <v>213</v>
      </c>
      <c r="AX365" s="15" t="s">
        <v>78</v>
      </c>
      <c r="AY365" s="259" t="s">
        <v>200</v>
      </c>
    </row>
    <row r="366" s="13" customFormat="1">
      <c r="A366" s="13"/>
      <c r="B366" s="227"/>
      <c r="C366" s="228"/>
      <c r="D366" s="229" t="s">
        <v>211</v>
      </c>
      <c r="E366" s="230" t="s">
        <v>32</v>
      </c>
      <c r="F366" s="231" t="s">
        <v>621</v>
      </c>
      <c r="G366" s="228"/>
      <c r="H366" s="232">
        <v>112.03125</v>
      </c>
      <c r="I366" s="233"/>
      <c r="J366" s="228"/>
      <c r="K366" s="228"/>
      <c r="L366" s="234"/>
      <c r="M366" s="235"/>
      <c r="N366" s="236"/>
      <c r="O366" s="236"/>
      <c r="P366" s="236"/>
      <c r="Q366" s="236"/>
      <c r="R366" s="236"/>
      <c r="S366" s="236"/>
      <c r="T366" s="237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T366" s="238" t="s">
        <v>211</v>
      </c>
      <c r="AU366" s="238" t="s">
        <v>88</v>
      </c>
      <c r="AV366" s="13" t="s">
        <v>88</v>
      </c>
      <c r="AW366" s="13" t="s">
        <v>213</v>
      </c>
      <c r="AX366" s="13" t="s">
        <v>78</v>
      </c>
      <c r="AY366" s="238" t="s">
        <v>200</v>
      </c>
    </row>
    <row r="367" s="13" customFormat="1">
      <c r="A367" s="13"/>
      <c r="B367" s="227"/>
      <c r="C367" s="228"/>
      <c r="D367" s="229" t="s">
        <v>211</v>
      </c>
      <c r="E367" s="230" t="s">
        <v>32</v>
      </c>
      <c r="F367" s="231" t="s">
        <v>622</v>
      </c>
      <c r="G367" s="228"/>
      <c r="H367" s="232">
        <v>150.578125</v>
      </c>
      <c r="I367" s="233"/>
      <c r="J367" s="228"/>
      <c r="K367" s="228"/>
      <c r="L367" s="234"/>
      <c r="M367" s="235"/>
      <c r="N367" s="236"/>
      <c r="O367" s="236"/>
      <c r="P367" s="236"/>
      <c r="Q367" s="236"/>
      <c r="R367" s="236"/>
      <c r="S367" s="236"/>
      <c r="T367" s="237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T367" s="238" t="s">
        <v>211</v>
      </c>
      <c r="AU367" s="238" t="s">
        <v>88</v>
      </c>
      <c r="AV367" s="13" t="s">
        <v>88</v>
      </c>
      <c r="AW367" s="13" t="s">
        <v>213</v>
      </c>
      <c r="AX367" s="13" t="s">
        <v>78</v>
      </c>
      <c r="AY367" s="238" t="s">
        <v>200</v>
      </c>
    </row>
    <row r="368" s="13" customFormat="1">
      <c r="A368" s="13"/>
      <c r="B368" s="227"/>
      <c r="C368" s="228"/>
      <c r="D368" s="229" t="s">
        <v>211</v>
      </c>
      <c r="E368" s="230" t="s">
        <v>32</v>
      </c>
      <c r="F368" s="231" t="s">
        <v>623</v>
      </c>
      <c r="G368" s="228"/>
      <c r="H368" s="232">
        <v>50.369999999999997</v>
      </c>
      <c r="I368" s="233"/>
      <c r="J368" s="228"/>
      <c r="K368" s="228"/>
      <c r="L368" s="234"/>
      <c r="M368" s="235"/>
      <c r="N368" s="236"/>
      <c r="O368" s="236"/>
      <c r="P368" s="236"/>
      <c r="Q368" s="236"/>
      <c r="R368" s="236"/>
      <c r="S368" s="236"/>
      <c r="T368" s="237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T368" s="238" t="s">
        <v>211</v>
      </c>
      <c r="AU368" s="238" t="s">
        <v>88</v>
      </c>
      <c r="AV368" s="13" t="s">
        <v>88</v>
      </c>
      <c r="AW368" s="13" t="s">
        <v>213</v>
      </c>
      <c r="AX368" s="13" t="s">
        <v>78</v>
      </c>
      <c r="AY368" s="238" t="s">
        <v>200</v>
      </c>
    </row>
    <row r="369" s="13" customFormat="1">
      <c r="A369" s="13"/>
      <c r="B369" s="227"/>
      <c r="C369" s="228"/>
      <c r="D369" s="229" t="s">
        <v>211</v>
      </c>
      <c r="E369" s="230" t="s">
        <v>32</v>
      </c>
      <c r="F369" s="231" t="s">
        <v>624</v>
      </c>
      <c r="G369" s="228"/>
      <c r="H369" s="232">
        <v>-10.185000000000001</v>
      </c>
      <c r="I369" s="233"/>
      <c r="J369" s="228"/>
      <c r="K369" s="228"/>
      <c r="L369" s="234"/>
      <c r="M369" s="235"/>
      <c r="N369" s="236"/>
      <c r="O369" s="236"/>
      <c r="P369" s="236"/>
      <c r="Q369" s="236"/>
      <c r="R369" s="236"/>
      <c r="S369" s="236"/>
      <c r="T369" s="237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T369" s="238" t="s">
        <v>211</v>
      </c>
      <c r="AU369" s="238" t="s">
        <v>88</v>
      </c>
      <c r="AV369" s="13" t="s">
        <v>88</v>
      </c>
      <c r="AW369" s="13" t="s">
        <v>213</v>
      </c>
      <c r="AX369" s="13" t="s">
        <v>78</v>
      </c>
      <c r="AY369" s="238" t="s">
        <v>200</v>
      </c>
    </row>
    <row r="370" s="13" customFormat="1">
      <c r="A370" s="13"/>
      <c r="B370" s="227"/>
      <c r="C370" s="228"/>
      <c r="D370" s="229" t="s">
        <v>211</v>
      </c>
      <c r="E370" s="230" t="s">
        <v>32</v>
      </c>
      <c r="F370" s="231" t="s">
        <v>625</v>
      </c>
      <c r="G370" s="228"/>
      <c r="H370" s="232">
        <v>5.4124999999999996</v>
      </c>
      <c r="I370" s="233"/>
      <c r="J370" s="228"/>
      <c r="K370" s="228"/>
      <c r="L370" s="234"/>
      <c r="M370" s="235"/>
      <c r="N370" s="236"/>
      <c r="O370" s="236"/>
      <c r="P370" s="236"/>
      <c r="Q370" s="236"/>
      <c r="R370" s="236"/>
      <c r="S370" s="236"/>
      <c r="T370" s="237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T370" s="238" t="s">
        <v>211</v>
      </c>
      <c r="AU370" s="238" t="s">
        <v>88</v>
      </c>
      <c r="AV370" s="13" t="s">
        <v>88</v>
      </c>
      <c r="AW370" s="13" t="s">
        <v>213</v>
      </c>
      <c r="AX370" s="13" t="s">
        <v>78</v>
      </c>
      <c r="AY370" s="238" t="s">
        <v>200</v>
      </c>
    </row>
    <row r="371" s="13" customFormat="1">
      <c r="A371" s="13"/>
      <c r="B371" s="227"/>
      <c r="C371" s="228"/>
      <c r="D371" s="229" t="s">
        <v>211</v>
      </c>
      <c r="E371" s="230" t="s">
        <v>32</v>
      </c>
      <c r="F371" s="231" t="s">
        <v>626</v>
      </c>
      <c r="G371" s="228"/>
      <c r="H371" s="232">
        <v>-148.49138461538499</v>
      </c>
      <c r="I371" s="233"/>
      <c r="J371" s="228"/>
      <c r="K371" s="228"/>
      <c r="L371" s="234"/>
      <c r="M371" s="235"/>
      <c r="N371" s="236"/>
      <c r="O371" s="236"/>
      <c r="P371" s="236"/>
      <c r="Q371" s="236"/>
      <c r="R371" s="236"/>
      <c r="S371" s="236"/>
      <c r="T371" s="237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T371" s="238" t="s">
        <v>211</v>
      </c>
      <c r="AU371" s="238" t="s">
        <v>88</v>
      </c>
      <c r="AV371" s="13" t="s">
        <v>88</v>
      </c>
      <c r="AW371" s="13" t="s">
        <v>213</v>
      </c>
      <c r="AX371" s="13" t="s">
        <v>78</v>
      </c>
      <c r="AY371" s="238" t="s">
        <v>200</v>
      </c>
    </row>
    <row r="372" s="13" customFormat="1">
      <c r="A372" s="13"/>
      <c r="B372" s="227"/>
      <c r="C372" s="228"/>
      <c r="D372" s="229" t="s">
        <v>211</v>
      </c>
      <c r="E372" s="230" t="s">
        <v>32</v>
      </c>
      <c r="F372" s="231" t="s">
        <v>627</v>
      </c>
      <c r="G372" s="228"/>
      <c r="H372" s="232">
        <v>25.737500000000001</v>
      </c>
      <c r="I372" s="233"/>
      <c r="J372" s="228"/>
      <c r="K372" s="228"/>
      <c r="L372" s="234"/>
      <c r="M372" s="235"/>
      <c r="N372" s="236"/>
      <c r="O372" s="236"/>
      <c r="P372" s="236"/>
      <c r="Q372" s="236"/>
      <c r="R372" s="236"/>
      <c r="S372" s="236"/>
      <c r="T372" s="237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T372" s="238" t="s">
        <v>211</v>
      </c>
      <c r="AU372" s="238" t="s">
        <v>88</v>
      </c>
      <c r="AV372" s="13" t="s">
        <v>88</v>
      </c>
      <c r="AW372" s="13" t="s">
        <v>213</v>
      </c>
      <c r="AX372" s="13" t="s">
        <v>78</v>
      </c>
      <c r="AY372" s="238" t="s">
        <v>200</v>
      </c>
    </row>
    <row r="373" s="13" customFormat="1">
      <c r="A373" s="13"/>
      <c r="B373" s="227"/>
      <c r="C373" s="228"/>
      <c r="D373" s="229" t="s">
        <v>211</v>
      </c>
      <c r="E373" s="230" t="s">
        <v>32</v>
      </c>
      <c r="F373" s="231" t="s">
        <v>628</v>
      </c>
      <c r="G373" s="228"/>
      <c r="H373" s="232">
        <v>-31.350000000000001</v>
      </c>
      <c r="I373" s="233"/>
      <c r="J373" s="228"/>
      <c r="K373" s="228"/>
      <c r="L373" s="234"/>
      <c r="M373" s="235"/>
      <c r="N373" s="236"/>
      <c r="O373" s="236"/>
      <c r="P373" s="236"/>
      <c r="Q373" s="236"/>
      <c r="R373" s="236"/>
      <c r="S373" s="236"/>
      <c r="T373" s="237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T373" s="238" t="s">
        <v>211</v>
      </c>
      <c r="AU373" s="238" t="s">
        <v>88</v>
      </c>
      <c r="AV373" s="13" t="s">
        <v>88</v>
      </c>
      <c r="AW373" s="13" t="s">
        <v>213</v>
      </c>
      <c r="AX373" s="13" t="s">
        <v>78</v>
      </c>
      <c r="AY373" s="238" t="s">
        <v>200</v>
      </c>
    </row>
    <row r="374" s="13" customFormat="1">
      <c r="A374" s="13"/>
      <c r="B374" s="227"/>
      <c r="C374" s="228"/>
      <c r="D374" s="229" t="s">
        <v>211</v>
      </c>
      <c r="E374" s="230" t="s">
        <v>32</v>
      </c>
      <c r="F374" s="231" t="s">
        <v>629</v>
      </c>
      <c r="G374" s="228"/>
      <c r="H374" s="232">
        <v>11.725</v>
      </c>
      <c r="I374" s="233"/>
      <c r="J374" s="228"/>
      <c r="K374" s="228"/>
      <c r="L374" s="234"/>
      <c r="M374" s="235"/>
      <c r="N374" s="236"/>
      <c r="O374" s="236"/>
      <c r="P374" s="236"/>
      <c r="Q374" s="236"/>
      <c r="R374" s="236"/>
      <c r="S374" s="236"/>
      <c r="T374" s="237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T374" s="238" t="s">
        <v>211</v>
      </c>
      <c r="AU374" s="238" t="s">
        <v>88</v>
      </c>
      <c r="AV374" s="13" t="s">
        <v>88</v>
      </c>
      <c r="AW374" s="13" t="s">
        <v>213</v>
      </c>
      <c r="AX374" s="13" t="s">
        <v>78</v>
      </c>
      <c r="AY374" s="238" t="s">
        <v>200</v>
      </c>
    </row>
    <row r="375" s="13" customFormat="1">
      <c r="A375" s="13"/>
      <c r="B375" s="227"/>
      <c r="C375" s="228"/>
      <c r="D375" s="229" t="s">
        <v>211</v>
      </c>
      <c r="E375" s="230" t="s">
        <v>32</v>
      </c>
      <c r="F375" s="231" t="s">
        <v>630</v>
      </c>
      <c r="G375" s="228"/>
      <c r="H375" s="232">
        <v>-144.53280000000001</v>
      </c>
      <c r="I375" s="233"/>
      <c r="J375" s="228"/>
      <c r="K375" s="228"/>
      <c r="L375" s="234"/>
      <c r="M375" s="235"/>
      <c r="N375" s="236"/>
      <c r="O375" s="236"/>
      <c r="P375" s="236"/>
      <c r="Q375" s="236"/>
      <c r="R375" s="236"/>
      <c r="S375" s="236"/>
      <c r="T375" s="237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T375" s="238" t="s">
        <v>211</v>
      </c>
      <c r="AU375" s="238" t="s">
        <v>88</v>
      </c>
      <c r="AV375" s="13" t="s">
        <v>88</v>
      </c>
      <c r="AW375" s="13" t="s">
        <v>213</v>
      </c>
      <c r="AX375" s="13" t="s">
        <v>78</v>
      </c>
      <c r="AY375" s="238" t="s">
        <v>200</v>
      </c>
    </row>
    <row r="376" s="13" customFormat="1">
      <c r="A376" s="13"/>
      <c r="B376" s="227"/>
      <c r="C376" s="228"/>
      <c r="D376" s="229" t="s">
        <v>211</v>
      </c>
      <c r="E376" s="230" t="s">
        <v>32</v>
      </c>
      <c r="F376" s="231" t="s">
        <v>631</v>
      </c>
      <c r="G376" s="228"/>
      <c r="H376" s="232">
        <v>-284.43000000000001</v>
      </c>
      <c r="I376" s="233"/>
      <c r="J376" s="228"/>
      <c r="K376" s="228"/>
      <c r="L376" s="234"/>
      <c r="M376" s="235"/>
      <c r="N376" s="236"/>
      <c r="O376" s="236"/>
      <c r="P376" s="236"/>
      <c r="Q376" s="236"/>
      <c r="R376" s="236"/>
      <c r="S376" s="236"/>
      <c r="T376" s="237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T376" s="238" t="s">
        <v>211</v>
      </c>
      <c r="AU376" s="238" t="s">
        <v>88</v>
      </c>
      <c r="AV376" s="13" t="s">
        <v>88</v>
      </c>
      <c r="AW376" s="13" t="s">
        <v>213</v>
      </c>
      <c r="AX376" s="13" t="s">
        <v>78</v>
      </c>
      <c r="AY376" s="238" t="s">
        <v>200</v>
      </c>
    </row>
    <row r="377" s="14" customFormat="1">
      <c r="A377" s="14"/>
      <c r="B377" s="239"/>
      <c r="C377" s="240"/>
      <c r="D377" s="229" t="s">
        <v>211</v>
      </c>
      <c r="E377" s="241" t="s">
        <v>32</v>
      </c>
      <c r="F377" s="242" t="s">
        <v>220</v>
      </c>
      <c r="G377" s="240"/>
      <c r="H377" s="243">
        <v>1005.41564038461</v>
      </c>
      <c r="I377" s="244"/>
      <c r="J377" s="240"/>
      <c r="K377" s="240"/>
      <c r="L377" s="245"/>
      <c r="M377" s="246"/>
      <c r="N377" s="247"/>
      <c r="O377" s="247"/>
      <c r="P377" s="247"/>
      <c r="Q377" s="247"/>
      <c r="R377" s="247"/>
      <c r="S377" s="247"/>
      <c r="T377" s="248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T377" s="249" t="s">
        <v>211</v>
      </c>
      <c r="AU377" s="249" t="s">
        <v>88</v>
      </c>
      <c r="AV377" s="14" t="s">
        <v>207</v>
      </c>
      <c r="AW377" s="14" t="s">
        <v>213</v>
      </c>
      <c r="AX377" s="14" t="s">
        <v>86</v>
      </c>
      <c r="AY377" s="249" t="s">
        <v>200</v>
      </c>
    </row>
    <row r="378" s="2" customFormat="1" ht="24.15" customHeight="1">
      <c r="A378" s="40"/>
      <c r="B378" s="41"/>
      <c r="C378" s="209" t="s">
        <v>632</v>
      </c>
      <c r="D378" s="209" t="s">
        <v>202</v>
      </c>
      <c r="E378" s="210" t="s">
        <v>633</v>
      </c>
      <c r="F378" s="211" t="s">
        <v>634</v>
      </c>
      <c r="G378" s="212" t="s">
        <v>272</v>
      </c>
      <c r="H378" s="213">
        <v>1289.846</v>
      </c>
      <c r="I378" s="214"/>
      <c r="J378" s="215">
        <f>ROUND(I378*H378,1)</f>
        <v>0</v>
      </c>
      <c r="K378" s="211" t="s">
        <v>206</v>
      </c>
      <c r="L378" s="46"/>
      <c r="M378" s="216" t="s">
        <v>32</v>
      </c>
      <c r="N378" s="217" t="s">
        <v>49</v>
      </c>
      <c r="O378" s="86"/>
      <c r="P378" s="218">
        <f>O378*H378</f>
        <v>0</v>
      </c>
      <c r="Q378" s="218">
        <v>0.0067999999999999996</v>
      </c>
      <c r="R378" s="218">
        <f>Q378*H378</f>
        <v>8.7709527999999999</v>
      </c>
      <c r="S378" s="218">
        <v>0</v>
      </c>
      <c r="T378" s="219">
        <f>S378*H378</f>
        <v>0</v>
      </c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R378" s="220" t="s">
        <v>207</v>
      </c>
      <c r="AT378" s="220" t="s">
        <v>202</v>
      </c>
      <c r="AU378" s="220" t="s">
        <v>88</v>
      </c>
      <c r="AY378" s="18" t="s">
        <v>200</v>
      </c>
      <c r="BE378" s="221">
        <f>IF(N378="základní",J378,0)</f>
        <v>0</v>
      </c>
      <c r="BF378" s="221">
        <f>IF(N378="snížená",J378,0)</f>
        <v>0</v>
      </c>
      <c r="BG378" s="221">
        <f>IF(N378="zákl. přenesená",J378,0)</f>
        <v>0</v>
      </c>
      <c r="BH378" s="221">
        <f>IF(N378="sníž. přenesená",J378,0)</f>
        <v>0</v>
      </c>
      <c r="BI378" s="221">
        <f>IF(N378="nulová",J378,0)</f>
        <v>0</v>
      </c>
      <c r="BJ378" s="18" t="s">
        <v>86</v>
      </c>
      <c r="BK378" s="221">
        <f>ROUND(I378*H378,1)</f>
        <v>0</v>
      </c>
      <c r="BL378" s="18" t="s">
        <v>207</v>
      </c>
      <c r="BM378" s="220" t="s">
        <v>635</v>
      </c>
    </row>
    <row r="379" s="2" customFormat="1">
      <c r="A379" s="40"/>
      <c r="B379" s="41"/>
      <c r="C379" s="42"/>
      <c r="D379" s="222" t="s">
        <v>209</v>
      </c>
      <c r="E379" s="42"/>
      <c r="F379" s="223" t="s">
        <v>636</v>
      </c>
      <c r="G379" s="42"/>
      <c r="H379" s="42"/>
      <c r="I379" s="224"/>
      <c r="J379" s="42"/>
      <c r="K379" s="42"/>
      <c r="L379" s="46"/>
      <c r="M379" s="225"/>
      <c r="N379" s="226"/>
      <c r="O379" s="86"/>
      <c r="P379" s="86"/>
      <c r="Q379" s="86"/>
      <c r="R379" s="86"/>
      <c r="S379" s="86"/>
      <c r="T379" s="87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T379" s="18" t="s">
        <v>209</v>
      </c>
      <c r="AU379" s="18" t="s">
        <v>88</v>
      </c>
    </row>
    <row r="380" s="13" customFormat="1">
      <c r="A380" s="13"/>
      <c r="B380" s="227"/>
      <c r="C380" s="228"/>
      <c r="D380" s="229" t="s">
        <v>211</v>
      </c>
      <c r="E380" s="230" t="s">
        <v>32</v>
      </c>
      <c r="F380" s="231" t="s">
        <v>637</v>
      </c>
      <c r="G380" s="228"/>
      <c r="H380" s="232">
        <v>1289.846</v>
      </c>
      <c r="I380" s="233"/>
      <c r="J380" s="228"/>
      <c r="K380" s="228"/>
      <c r="L380" s="234"/>
      <c r="M380" s="235"/>
      <c r="N380" s="236"/>
      <c r="O380" s="236"/>
      <c r="P380" s="236"/>
      <c r="Q380" s="236"/>
      <c r="R380" s="236"/>
      <c r="S380" s="236"/>
      <c r="T380" s="237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T380" s="238" t="s">
        <v>211</v>
      </c>
      <c r="AU380" s="238" t="s">
        <v>88</v>
      </c>
      <c r="AV380" s="13" t="s">
        <v>88</v>
      </c>
      <c r="AW380" s="13" t="s">
        <v>213</v>
      </c>
      <c r="AX380" s="13" t="s">
        <v>86</v>
      </c>
      <c r="AY380" s="238" t="s">
        <v>200</v>
      </c>
    </row>
    <row r="381" s="2" customFormat="1" ht="16.5" customHeight="1">
      <c r="A381" s="40"/>
      <c r="B381" s="41"/>
      <c r="C381" s="209" t="s">
        <v>638</v>
      </c>
      <c r="D381" s="209" t="s">
        <v>202</v>
      </c>
      <c r="E381" s="210" t="s">
        <v>639</v>
      </c>
      <c r="F381" s="211" t="s">
        <v>640</v>
      </c>
      <c r="G381" s="212" t="s">
        <v>272</v>
      </c>
      <c r="H381" s="213">
        <v>32.399999999999999</v>
      </c>
      <c r="I381" s="214"/>
      <c r="J381" s="215">
        <f>ROUND(I381*H381,1)</f>
        <v>0</v>
      </c>
      <c r="K381" s="211" t="s">
        <v>206</v>
      </c>
      <c r="L381" s="46"/>
      <c r="M381" s="216" t="s">
        <v>32</v>
      </c>
      <c r="N381" s="217" t="s">
        <v>49</v>
      </c>
      <c r="O381" s="86"/>
      <c r="P381" s="218">
        <f>O381*H381</f>
        <v>0</v>
      </c>
      <c r="Q381" s="218">
        <v>0.00018000000000000001</v>
      </c>
      <c r="R381" s="218">
        <f>Q381*H381</f>
        <v>0.0058320000000000004</v>
      </c>
      <c r="S381" s="218">
        <v>0</v>
      </c>
      <c r="T381" s="219">
        <f>S381*H381</f>
        <v>0</v>
      </c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R381" s="220" t="s">
        <v>207</v>
      </c>
      <c r="AT381" s="220" t="s">
        <v>202</v>
      </c>
      <c r="AU381" s="220" t="s">
        <v>88</v>
      </c>
      <c r="AY381" s="18" t="s">
        <v>200</v>
      </c>
      <c r="BE381" s="221">
        <f>IF(N381="základní",J381,0)</f>
        <v>0</v>
      </c>
      <c r="BF381" s="221">
        <f>IF(N381="snížená",J381,0)</f>
        <v>0</v>
      </c>
      <c r="BG381" s="221">
        <f>IF(N381="zákl. přenesená",J381,0)</f>
        <v>0</v>
      </c>
      <c r="BH381" s="221">
        <f>IF(N381="sníž. přenesená",J381,0)</f>
        <v>0</v>
      </c>
      <c r="BI381" s="221">
        <f>IF(N381="nulová",J381,0)</f>
        <v>0</v>
      </c>
      <c r="BJ381" s="18" t="s">
        <v>86</v>
      </c>
      <c r="BK381" s="221">
        <f>ROUND(I381*H381,1)</f>
        <v>0</v>
      </c>
      <c r="BL381" s="18" t="s">
        <v>207</v>
      </c>
      <c r="BM381" s="220" t="s">
        <v>641</v>
      </c>
    </row>
    <row r="382" s="2" customFormat="1">
      <c r="A382" s="40"/>
      <c r="B382" s="41"/>
      <c r="C382" s="42"/>
      <c r="D382" s="222" t="s">
        <v>209</v>
      </c>
      <c r="E382" s="42"/>
      <c r="F382" s="223" t="s">
        <v>642</v>
      </c>
      <c r="G382" s="42"/>
      <c r="H382" s="42"/>
      <c r="I382" s="224"/>
      <c r="J382" s="42"/>
      <c r="K382" s="42"/>
      <c r="L382" s="46"/>
      <c r="M382" s="225"/>
      <c r="N382" s="226"/>
      <c r="O382" s="86"/>
      <c r="P382" s="86"/>
      <c r="Q382" s="86"/>
      <c r="R382" s="86"/>
      <c r="S382" s="86"/>
      <c r="T382" s="87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T382" s="18" t="s">
        <v>209</v>
      </c>
      <c r="AU382" s="18" t="s">
        <v>88</v>
      </c>
    </row>
    <row r="383" s="13" customFormat="1">
      <c r="A383" s="13"/>
      <c r="B383" s="227"/>
      <c r="C383" s="228"/>
      <c r="D383" s="229" t="s">
        <v>211</v>
      </c>
      <c r="E383" s="230" t="s">
        <v>32</v>
      </c>
      <c r="F383" s="231" t="s">
        <v>643</v>
      </c>
      <c r="G383" s="228"/>
      <c r="H383" s="232">
        <v>32.399999999999999</v>
      </c>
      <c r="I383" s="233"/>
      <c r="J383" s="228"/>
      <c r="K383" s="228"/>
      <c r="L383" s="234"/>
      <c r="M383" s="235"/>
      <c r="N383" s="236"/>
      <c r="O383" s="236"/>
      <c r="P383" s="236"/>
      <c r="Q383" s="236"/>
      <c r="R383" s="236"/>
      <c r="S383" s="236"/>
      <c r="T383" s="237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T383" s="238" t="s">
        <v>211</v>
      </c>
      <c r="AU383" s="238" t="s">
        <v>88</v>
      </c>
      <c r="AV383" s="13" t="s">
        <v>88</v>
      </c>
      <c r="AW383" s="13" t="s">
        <v>213</v>
      </c>
      <c r="AX383" s="13" t="s">
        <v>86</v>
      </c>
      <c r="AY383" s="238" t="s">
        <v>200</v>
      </c>
    </row>
    <row r="384" s="2" customFormat="1" ht="16.5" customHeight="1">
      <c r="A384" s="40"/>
      <c r="B384" s="41"/>
      <c r="C384" s="209" t="s">
        <v>644</v>
      </c>
      <c r="D384" s="209" t="s">
        <v>202</v>
      </c>
      <c r="E384" s="210" t="s">
        <v>645</v>
      </c>
      <c r="F384" s="211" t="s">
        <v>646</v>
      </c>
      <c r="G384" s="212" t="s">
        <v>272</v>
      </c>
      <c r="H384" s="213">
        <v>299.084</v>
      </c>
      <c r="I384" s="214"/>
      <c r="J384" s="215">
        <f>ROUND(I384*H384,1)</f>
        <v>0</v>
      </c>
      <c r="K384" s="211" t="s">
        <v>206</v>
      </c>
      <c r="L384" s="46"/>
      <c r="M384" s="216" t="s">
        <v>32</v>
      </c>
      <c r="N384" s="217" t="s">
        <v>49</v>
      </c>
      <c r="O384" s="86"/>
      <c r="P384" s="218">
        <f>O384*H384</f>
        <v>0</v>
      </c>
      <c r="Q384" s="218">
        <v>0.00013999999999999999</v>
      </c>
      <c r="R384" s="218">
        <f>Q384*H384</f>
        <v>0.041871759999999994</v>
      </c>
      <c r="S384" s="218">
        <v>0</v>
      </c>
      <c r="T384" s="219">
        <f>S384*H384</f>
        <v>0</v>
      </c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R384" s="220" t="s">
        <v>207</v>
      </c>
      <c r="AT384" s="220" t="s">
        <v>202</v>
      </c>
      <c r="AU384" s="220" t="s">
        <v>88</v>
      </c>
      <c r="AY384" s="18" t="s">
        <v>200</v>
      </c>
      <c r="BE384" s="221">
        <f>IF(N384="základní",J384,0)</f>
        <v>0</v>
      </c>
      <c r="BF384" s="221">
        <f>IF(N384="snížená",J384,0)</f>
        <v>0</v>
      </c>
      <c r="BG384" s="221">
        <f>IF(N384="zákl. přenesená",J384,0)</f>
        <v>0</v>
      </c>
      <c r="BH384" s="221">
        <f>IF(N384="sníž. přenesená",J384,0)</f>
        <v>0</v>
      </c>
      <c r="BI384" s="221">
        <f>IF(N384="nulová",J384,0)</f>
        <v>0</v>
      </c>
      <c r="BJ384" s="18" t="s">
        <v>86</v>
      </c>
      <c r="BK384" s="221">
        <f>ROUND(I384*H384,1)</f>
        <v>0</v>
      </c>
      <c r="BL384" s="18" t="s">
        <v>207</v>
      </c>
      <c r="BM384" s="220" t="s">
        <v>647</v>
      </c>
    </row>
    <row r="385" s="2" customFormat="1">
      <c r="A385" s="40"/>
      <c r="B385" s="41"/>
      <c r="C385" s="42"/>
      <c r="D385" s="222" t="s">
        <v>209</v>
      </c>
      <c r="E385" s="42"/>
      <c r="F385" s="223" t="s">
        <v>648</v>
      </c>
      <c r="G385" s="42"/>
      <c r="H385" s="42"/>
      <c r="I385" s="224"/>
      <c r="J385" s="42"/>
      <c r="K385" s="42"/>
      <c r="L385" s="46"/>
      <c r="M385" s="225"/>
      <c r="N385" s="226"/>
      <c r="O385" s="86"/>
      <c r="P385" s="86"/>
      <c r="Q385" s="86"/>
      <c r="R385" s="86"/>
      <c r="S385" s="86"/>
      <c r="T385" s="87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T385" s="18" t="s">
        <v>209</v>
      </c>
      <c r="AU385" s="18" t="s">
        <v>88</v>
      </c>
    </row>
    <row r="386" s="13" customFormat="1">
      <c r="A386" s="13"/>
      <c r="B386" s="227"/>
      <c r="C386" s="228"/>
      <c r="D386" s="229" t="s">
        <v>211</v>
      </c>
      <c r="E386" s="230" t="s">
        <v>32</v>
      </c>
      <c r="F386" s="231" t="s">
        <v>649</v>
      </c>
      <c r="G386" s="228"/>
      <c r="H386" s="232">
        <v>482.41399999999999</v>
      </c>
      <c r="I386" s="233"/>
      <c r="J386" s="228"/>
      <c r="K386" s="228"/>
      <c r="L386" s="234"/>
      <c r="M386" s="235"/>
      <c r="N386" s="236"/>
      <c r="O386" s="236"/>
      <c r="P386" s="236"/>
      <c r="Q386" s="236"/>
      <c r="R386" s="236"/>
      <c r="S386" s="236"/>
      <c r="T386" s="237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T386" s="238" t="s">
        <v>211</v>
      </c>
      <c r="AU386" s="238" t="s">
        <v>88</v>
      </c>
      <c r="AV386" s="13" t="s">
        <v>88</v>
      </c>
      <c r="AW386" s="13" t="s">
        <v>213</v>
      </c>
      <c r="AX386" s="13" t="s">
        <v>78</v>
      </c>
      <c r="AY386" s="238" t="s">
        <v>200</v>
      </c>
    </row>
    <row r="387" s="13" customFormat="1">
      <c r="A387" s="13"/>
      <c r="B387" s="227"/>
      <c r="C387" s="228"/>
      <c r="D387" s="229" t="s">
        <v>211</v>
      </c>
      <c r="E387" s="230" t="s">
        <v>32</v>
      </c>
      <c r="F387" s="231" t="s">
        <v>650</v>
      </c>
      <c r="G387" s="228"/>
      <c r="H387" s="232">
        <v>-183.33000000000001</v>
      </c>
      <c r="I387" s="233"/>
      <c r="J387" s="228"/>
      <c r="K387" s="228"/>
      <c r="L387" s="234"/>
      <c r="M387" s="235"/>
      <c r="N387" s="236"/>
      <c r="O387" s="236"/>
      <c r="P387" s="236"/>
      <c r="Q387" s="236"/>
      <c r="R387" s="236"/>
      <c r="S387" s="236"/>
      <c r="T387" s="237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T387" s="238" t="s">
        <v>211</v>
      </c>
      <c r="AU387" s="238" t="s">
        <v>88</v>
      </c>
      <c r="AV387" s="13" t="s">
        <v>88</v>
      </c>
      <c r="AW387" s="13" t="s">
        <v>213</v>
      </c>
      <c r="AX387" s="13" t="s">
        <v>78</v>
      </c>
      <c r="AY387" s="238" t="s">
        <v>200</v>
      </c>
    </row>
    <row r="388" s="14" customFormat="1">
      <c r="A388" s="14"/>
      <c r="B388" s="239"/>
      <c r="C388" s="240"/>
      <c r="D388" s="229" t="s">
        <v>211</v>
      </c>
      <c r="E388" s="241" t="s">
        <v>32</v>
      </c>
      <c r="F388" s="242" t="s">
        <v>220</v>
      </c>
      <c r="G388" s="240"/>
      <c r="H388" s="243">
        <v>299.084</v>
      </c>
      <c r="I388" s="244"/>
      <c r="J388" s="240"/>
      <c r="K388" s="240"/>
      <c r="L388" s="245"/>
      <c r="M388" s="246"/>
      <c r="N388" s="247"/>
      <c r="O388" s="247"/>
      <c r="P388" s="247"/>
      <c r="Q388" s="247"/>
      <c r="R388" s="247"/>
      <c r="S388" s="247"/>
      <c r="T388" s="248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T388" s="249" t="s">
        <v>211</v>
      </c>
      <c r="AU388" s="249" t="s">
        <v>88</v>
      </c>
      <c r="AV388" s="14" t="s">
        <v>207</v>
      </c>
      <c r="AW388" s="14" t="s">
        <v>213</v>
      </c>
      <c r="AX388" s="14" t="s">
        <v>86</v>
      </c>
      <c r="AY388" s="249" t="s">
        <v>200</v>
      </c>
    </row>
    <row r="389" s="2" customFormat="1" ht="37.8" customHeight="1">
      <c r="A389" s="40"/>
      <c r="B389" s="41"/>
      <c r="C389" s="209" t="s">
        <v>651</v>
      </c>
      <c r="D389" s="209" t="s">
        <v>202</v>
      </c>
      <c r="E389" s="210" t="s">
        <v>652</v>
      </c>
      <c r="F389" s="211" t="s">
        <v>653</v>
      </c>
      <c r="G389" s="212" t="s">
        <v>272</v>
      </c>
      <c r="H389" s="213">
        <v>482.41399999999999</v>
      </c>
      <c r="I389" s="214"/>
      <c r="J389" s="215">
        <f>ROUND(I389*H389,1)</f>
        <v>0</v>
      </c>
      <c r="K389" s="211" t="s">
        <v>206</v>
      </c>
      <c r="L389" s="46"/>
      <c r="M389" s="216" t="s">
        <v>32</v>
      </c>
      <c r="N389" s="217" t="s">
        <v>49</v>
      </c>
      <c r="O389" s="86"/>
      <c r="P389" s="218">
        <f>O389*H389</f>
        <v>0</v>
      </c>
      <c r="Q389" s="218">
        <v>0.0086</v>
      </c>
      <c r="R389" s="218">
        <f>Q389*H389</f>
        <v>4.1487603999999996</v>
      </c>
      <c r="S389" s="218">
        <v>0</v>
      </c>
      <c r="T389" s="219">
        <f>S389*H389</f>
        <v>0</v>
      </c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R389" s="220" t="s">
        <v>207</v>
      </c>
      <c r="AT389" s="220" t="s">
        <v>202</v>
      </c>
      <c r="AU389" s="220" t="s">
        <v>88</v>
      </c>
      <c r="AY389" s="18" t="s">
        <v>200</v>
      </c>
      <c r="BE389" s="221">
        <f>IF(N389="základní",J389,0)</f>
        <v>0</v>
      </c>
      <c r="BF389" s="221">
        <f>IF(N389="snížená",J389,0)</f>
        <v>0</v>
      </c>
      <c r="BG389" s="221">
        <f>IF(N389="zákl. přenesená",J389,0)</f>
        <v>0</v>
      </c>
      <c r="BH389" s="221">
        <f>IF(N389="sníž. přenesená",J389,0)</f>
        <v>0</v>
      </c>
      <c r="BI389" s="221">
        <f>IF(N389="nulová",J389,0)</f>
        <v>0</v>
      </c>
      <c r="BJ389" s="18" t="s">
        <v>86</v>
      </c>
      <c r="BK389" s="221">
        <f>ROUND(I389*H389,1)</f>
        <v>0</v>
      </c>
      <c r="BL389" s="18" t="s">
        <v>207</v>
      </c>
      <c r="BM389" s="220" t="s">
        <v>654</v>
      </c>
    </row>
    <row r="390" s="2" customFormat="1">
      <c r="A390" s="40"/>
      <c r="B390" s="41"/>
      <c r="C390" s="42"/>
      <c r="D390" s="222" t="s">
        <v>209</v>
      </c>
      <c r="E390" s="42"/>
      <c r="F390" s="223" t="s">
        <v>655</v>
      </c>
      <c r="G390" s="42"/>
      <c r="H390" s="42"/>
      <c r="I390" s="224"/>
      <c r="J390" s="42"/>
      <c r="K390" s="42"/>
      <c r="L390" s="46"/>
      <c r="M390" s="225"/>
      <c r="N390" s="226"/>
      <c r="O390" s="86"/>
      <c r="P390" s="86"/>
      <c r="Q390" s="86"/>
      <c r="R390" s="86"/>
      <c r="S390" s="86"/>
      <c r="T390" s="87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T390" s="18" t="s">
        <v>209</v>
      </c>
      <c r="AU390" s="18" t="s">
        <v>88</v>
      </c>
    </row>
    <row r="391" s="13" customFormat="1">
      <c r="A391" s="13"/>
      <c r="B391" s="227"/>
      <c r="C391" s="228"/>
      <c r="D391" s="229" t="s">
        <v>211</v>
      </c>
      <c r="E391" s="230" t="s">
        <v>32</v>
      </c>
      <c r="F391" s="231" t="s">
        <v>656</v>
      </c>
      <c r="G391" s="228"/>
      <c r="H391" s="232">
        <v>645</v>
      </c>
      <c r="I391" s="233"/>
      <c r="J391" s="228"/>
      <c r="K391" s="228"/>
      <c r="L391" s="234"/>
      <c r="M391" s="235"/>
      <c r="N391" s="236"/>
      <c r="O391" s="236"/>
      <c r="P391" s="236"/>
      <c r="Q391" s="236"/>
      <c r="R391" s="236"/>
      <c r="S391" s="236"/>
      <c r="T391" s="237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T391" s="238" t="s">
        <v>211</v>
      </c>
      <c r="AU391" s="238" t="s">
        <v>88</v>
      </c>
      <c r="AV391" s="13" t="s">
        <v>88</v>
      </c>
      <c r="AW391" s="13" t="s">
        <v>213</v>
      </c>
      <c r="AX391" s="13" t="s">
        <v>78</v>
      </c>
      <c r="AY391" s="238" t="s">
        <v>200</v>
      </c>
    </row>
    <row r="392" s="13" customFormat="1">
      <c r="A392" s="13"/>
      <c r="B392" s="227"/>
      <c r="C392" s="228"/>
      <c r="D392" s="229" t="s">
        <v>211</v>
      </c>
      <c r="E392" s="230" t="s">
        <v>32</v>
      </c>
      <c r="F392" s="231" t="s">
        <v>624</v>
      </c>
      <c r="G392" s="228"/>
      <c r="H392" s="232">
        <v>-10.185000000000001</v>
      </c>
      <c r="I392" s="233"/>
      <c r="J392" s="228"/>
      <c r="K392" s="228"/>
      <c r="L392" s="234"/>
      <c r="M392" s="235"/>
      <c r="N392" s="236"/>
      <c r="O392" s="236"/>
      <c r="P392" s="236"/>
      <c r="Q392" s="236"/>
      <c r="R392" s="236"/>
      <c r="S392" s="236"/>
      <c r="T392" s="237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T392" s="238" t="s">
        <v>211</v>
      </c>
      <c r="AU392" s="238" t="s">
        <v>88</v>
      </c>
      <c r="AV392" s="13" t="s">
        <v>88</v>
      </c>
      <c r="AW392" s="13" t="s">
        <v>213</v>
      </c>
      <c r="AX392" s="13" t="s">
        <v>78</v>
      </c>
      <c r="AY392" s="238" t="s">
        <v>200</v>
      </c>
    </row>
    <row r="393" s="13" customFormat="1">
      <c r="A393" s="13"/>
      <c r="B393" s="227"/>
      <c r="C393" s="228"/>
      <c r="D393" s="229" t="s">
        <v>211</v>
      </c>
      <c r="E393" s="230" t="s">
        <v>32</v>
      </c>
      <c r="F393" s="231" t="s">
        <v>657</v>
      </c>
      <c r="G393" s="228"/>
      <c r="H393" s="232">
        <v>3.464</v>
      </c>
      <c r="I393" s="233"/>
      <c r="J393" s="228"/>
      <c r="K393" s="228"/>
      <c r="L393" s="234"/>
      <c r="M393" s="235"/>
      <c r="N393" s="236"/>
      <c r="O393" s="236"/>
      <c r="P393" s="236"/>
      <c r="Q393" s="236"/>
      <c r="R393" s="236"/>
      <c r="S393" s="236"/>
      <c r="T393" s="237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T393" s="238" t="s">
        <v>211</v>
      </c>
      <c r="AU393" s="238" t="s">
        <v>88</v>
      </c>
      <c r="AV393" s="13" t="s">
        <v>88</v>
      </c>
      <c r="AW393" s="13" t="s">
        <v>213</v>
      </c>
      <c r="AX393" s="13" t="s">
        <v>78</v>
      </c>
      <c r="AY393" s="238" t="s">
        <v>200</v>
      </c>
    </row>
    <row r="394" s="13" customFormat="1">
      <c r="A394" s="13"/>
      <c r="B394" s="227"/>
      <c r="C394" s="228"/>
      <c r="D394" s="229" t="s">
        <v>211</v>
      </c>
      <c r="E394" s="230" t="s">
        <v>32</v>
      </c>
      <c r="F394" s="231" t="s">
        <v>626</v>
      </c>
      <c r="G394" s="228"/>
      <c r="H394" s="232">
        <v>-148.49138461538499</v>
      </c>
      <c r="I394" s="233"/>
      <c r="J394" s="228"/>
      <c r="K394" s="228"/>
      <c r="L394" s="234"/>
      <c r="M394" s="235"/>
      <c r="N394" s="236"/>
      <c r="O394" s="236"/>
      <c r="P394" s="236"/>
      <c r="Q394" s="236"/>
      <c r="R394" s="236"/>
      <c r="S394" s="236"/>
      <c r="T394" s="237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T394" s="238" t="s">
        <v>211</v>
      </c>
      <c r="AU394" s="238" t="s">
        <v>88</v>
      </c>
      <c r="AV394" s="13" t="s">
        <v>88</v>
      </c>
      <c r="AW394" s="13" t="s">
        <v>213</v>
      </c>
      <c r="AX394" s="13" t="s">
        <v>78</v>
      </c>
      <c r="AY394" s="238" t="s">
        <v>200</v>
      </c>
    </row>
    <row r="395" s="13" customFormat="1">
      <c r="A395" s="13"/>
      <c r="B395" s="227"/>
      <c r="C395" s="228"/>
      <c r="D395" s="229" t="s">
        <v>211</v>
      </c>
      <c r="E395" s="230" t="s">
        <v>32</v>
      </c>
      <c r="F395" s="231" t="s">
        <v>658</v>
      </c>
      <c r="G395" s="228"/>
      <c r="H395" s="232">
        <v>16.472000000000001</v>
      </c>
      <c r="I395" s="233"/>
      <c r="J395" s="228"/>
      <c r="K395" s="228"/>
      <c r="L395" s="234"/>
      <c r="M395" s="235"/>
      <c r="N395" s="236"/>
      <c r="O395" s="236"/>
      <c r="P395" s="236"/>
      <c r="Q395" s="236"/>
      <c r="R395" s="236"/>
      <c r="S395" s="236"/>
      <c r="T395" s="237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T395" s="238" t="s">
        <v>211</v>
      </c>
      <c r="AU395" s="238" t="s">
        <v>88</v>
      </c>
      <c r="AV395" s="13" t="s">
        <v>88</v>
      </c>
      <c r="AW395" s="13" t="s">
        <v>213</v>
      </c>
      <c r="AX395" s="13" t="s">
        <v>78</v>
      </c>
      <c r="AY395" s="238" t="s">
        <v>200</v>
      </c>
    </row>
    <row r="396" s="13" customFormat="1">
      <c r="A396" s="13"/>
      <c r="B396" s="227"/>
      <c r="C396" s="228"/>
      <c r="D396" s="229" t="s">
        <v>211</v>
      </c>
      <c r="E396" s="230" t="s">
        <v>32</v>
      </c>
      <c r="F396" s="231" t="s">
        <v>628</v>
      </c>
      <c r="G396" s="228"/>
      <c r="H396" s="232">
        <v>-31.350000000000001</v>
      </c>
      <c r="I396" s="233"/>
      <c r="J396" s="228"/>
      <c r="K396" s="228"/>
      <c r="L396" s="234"/>
      <c r="M396" s="235"/>
      <c r="N396" s="236"/>
      <c r="O396" s="236"/>
      <c r="P396" s="236"/>
      <c r="Q396" s="236"/>
      <c r="R396" s="236"/>
      <c r="S396" s="236"/>
      <c r="T396" s="237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T396" s="238" t="s">
        <v>211</v>
      </c>
      <c r="AU396" s="238" t="s">
        <v>88</v>
      </c>
      <c r="AV396" s="13" t="s">
        <v>88</v>
      </c>
      <c r="AW396" s="13" t="s">
        <v>213</v>
      </c>
      <c r="AX396" s="13" t="s">
        <v>78</v>
      </c>
      <c r="AY396" s="238" t="s">
        <v>200</v>
      </c>
    </row>
    <row r="397" s="13" customFormat="1">
      <c r="A397" s="13"/>
      <c r="B397" s="227"/>
      <c r="C397" s="228"/>
      <c r="D397" s="229" t="s">
        <v>211</v>
      </c>
      <c r="E397" s="230" t="s">
        <v>32</v>
      </c>
      <c r="F397" s="231" t="s">
        <v>659</v>
      </c>
      <c r="G397" s="228"/>
      <c r="H397" s="232">
        <v>7.5039999999999996</v>
      </c>
      <c r="I397" s="233"/>
      <c r="J397" s="228"/>
      <c r="K397" s="228"/>
      <c r="L397" s="234"/>
      <c r="M397" s="235"/>
      <c r="N397" s="236"/>
      <c r="O397" s="236"/>
      <c r="P397" s="236"/>
      <c r="Q397" s="236"/>
      <c r="R397" s="236"/>
      <c r="S397" s="236"/>
      <c r="T397" s="237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T397" s="238" t="s">
        <v>211</v>
      </c>
      <c r="AU397" s="238" t="s">
        <v>88</v>
      </c>
      <c r="AV397" s="13" t="s">
        <v>88</v>
      </c>
      <c r="AW397" s="13" t="s">
        <v>213</v>
      </c>
      <c r="AX397" s="13" t="s">
        <v>78</v>
      </c>
      <c r="AY397" s="238" t="s">
        <v>200</v>
      </c>
    </row>
    <row r="398" s="14" customFormat="1">
      <c r="A398" s="14"/>
      <c r="B398" s="239"/>
      <c r="C398" s="240"/>
      <c r="D398" s="229" t="s">
        <v>211</v>
      </c>
      <c r="E398" s="241" t="s">
        <v>32</v>
      </c>
      <c r="F398" s="242" t="s">
        <v>220</v>
      </c>
      <c r="G398" s="240"/>
      <c r="H398" s="243">
        <v>482.41361538461501</v>
      </c>
      <c r="I398" s="244"/>
      <c r="J398" s="240"/>
      <c r="K398" s="240"/>
      <c r="L398" s="245"/>
      <c r="M398" s="246"/>
      <c r="N398" s="247"/>
      <c r="O398" s="247"/>
      <c r="P398" s="247"/>
      <c r="Q398" s="247"/>
      <c r="R398" s="247"/>
      <c r="S398" s="247"/>
      <c r="T398" s="248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T398" s="249" t="s">
        <v>211</v>
      </c>
      <c r="AU398" s="249" t="s">
        <v>88</v>
      </c>
      <c r="AV398" s="14" t="s">
        <v>207</v>
      </c>
      <c r="AW398" s="14" t="s">
        <v>213</v>
      </c>
      <c r="AX398" s="14" t="s">
        <v>86</v>
      </c>
      <c r="AY398" s="249" t="s">
        <v>200</v>
      </c>
    </row>
    <row r="399" s="2" customFormat="1" ht="16.5" customHeight="1">
      <c r="A399" s="40"/>
      <c r="B399" s="41"/>
      <c r="C399" s="260" t="s">
        <v>660</v>
      </c>
      <c r="D399" s="260" t="s">
        <v>292</v>
      </c>
      <c r="E399" s="261" t="s">
        <v>661</v>
      </c>
      <c r="F399" s="262" t="s">
        <v>662</v>
      </c>
      <c r="G399" s="263" t="s">
        <v>272</v>
      </c>
      <c r="H399" s="264">
        <v>506.53399999999999</v>
      </c>
      <c r="I399" s="265"/>
      <c r="J399" s="266">
        <f>ROUND(I399*H399,1)</f>
        <v>0</v>
      </c>
      <c r="K399" s="262" t="s">
        <v>206</v>
      </c>
      <c r="L399" s="267"/>
      <c r="M399" s="268" t="s">
        <v>32</v>
      </c>
      <c r="N399" s="269" t="s">
        <v>49</v>
      </c>
      <c r="O399" s="86"/>
      <c r="P399" s="218">
        <f>O399*H399</f>
        <v>0</v>
      </c>
      <c r="Q399" s="218">
        <v>0.0022399999999999998</v>
      </c>
      <c r="R399" s="218">
        <f>Q399*H399</f>
        <v>1.1346361599999999</v>
      </c>
      <c r="S399" s="218">
        <v>0</v>
      </c>
      <c r="T399" s="219">
        <f>S399*H399</f>
        <v>0</v>
      </c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R399" s="220" t="s">
        <v>254</v>
      </c>
      <c r="AT399" s="220" t="s">
        <v>292</v>
      </c>
      <c r="AU399" s="220" t="s">
        <v>88</v>
      </c>
      <c r="AY399" s="18" t="s">
        <v>200</v>
      </c>
      <c r="BE399" s="221">
        <f>IF(N399="základní",J399,0)</f>
        <v>0</v>
      </c>
      <c r="BF399" s="221">
        <f>IF(N399="snížená",J399,0)</f>
        <v>0</v>
      </c>
      <c r="BG399" s="221">
        <f>IF(N399="zákl. přenesená",J399,0)</f>
        <v>0</v>
      </c>
      <c r="BH399" s="221">
        <f>IF(N399="sníž. přenesená",J399,0)</f>
        <v>0</v>
      </c>
      <c r="BI399" s="221">
        <f>IF(N399="nulová",J399,0)</f>
        <v>0</v>
      </c>
      <c r="BJ399" s="18" t="s">
        <v>86</v>
      </c>
      <c r="BK399" s="221">
        <f>ROUND(I399*H399,1)</f>
        <v>0</v>
      </c>
      <c r="BL399" s="18" t="s">
        <v>207</v>
      </c>
      <c r="BM399" s="220" t="s">
        <v>663</v>
      </c>
    </row>
    <row r="400" s="13" customFormat="1">
      <c r="A400" s="13"/>
      <c r="B400" s="227"/>
      <c r="C400" s="228"/>
      <c r="D400" s="229" t="s">
        <v>211</v>
      </c>
      <c r="E400" s="228"/>
      <c r="F400" s="231" t="s">
        <v>664</v>
      </c>
      <c r="G400" s="228"/>
      <c r="H400" s="232">
        <v>506.53399999999999</v>
      </c>
      <c r="I400" s="233"/>
      <c r="J400" s="228"/>
      <c r="K400" s="228"/>
      <c r="L400" s="234"/>
      <c r="M400" s="235"/>
      <c r="N400" s="236"/>
      <c r="O400" s="236"/>
      <c r="P400" s="236"/>
      <c r="Q400" s="236"/>
      <c r="R400" s="236"/>
      <c r="S400" s="236"/>
      <c r="T400" s="237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T400" s="238" t="s">
        <v>211</v>
      </c>
      <c r="AU400" s="238" t="s">
        <v>88</v>
      </c>
      <c r="AV400" s="13" t="s">
        <v>88</v>
      </c>
      <c r="AW400" s="13" t="s">
        <v>4</v>
      </c>
      <c r="AX400" s="13" t="s">
        <v>86</v>
      </c>
      <c r="AY400" s="238" t="s">
        <v>200</v>
      </c>
    </row>
    <row r="401" s="2" customFormat="1" ht="16.5" customHeight="1">
      <c r="A401" s="40"/>
      <c r="B401" s="41"/>
      <c r="C401" s="209" t="s">
        <v>665</v>
      </c>
      <c r="D401" s="209" t="s">
        <v>202</v>
      </c>
      <c r="E401" s="210" t="s">
        <v>666</v>
      </c>
      <c r="F401" s="211" t="s">
        <v>667</v>
      </c>
      <c r="G401" s="212" t="s">
        <v>280</v>
      </c>
      <c r="H401" s="213">
        <v>103.14</v>
      </c>
      <c r="I401" s="214"/>
      <c r="J401" s="215">
        <f>ROUND(I401*H401,1)</f>
        <v>0</v>
      </c>
      <c r="K401" s="211" t="s">
        <v>206</v>
      </c>
      <c r="L401" s="46"/>
      <c r="M401" s="216" t="s">
        <v>32</v>
      </c>
      <c r="N401" s="217" t="s">
        <v>49</v>
      </c>
      <c r="O401" s="86"/>
      <c r="P401" s="218">
        <f>O401*H401</f>
        <v>0</v>
      </c>
      <c r="Q401" s="218">
        <v>3.0000000000000001E-05</v>
      </c>
      <c r="R401" s="218">
        <f>Q401*H401</f>
        <v>0.0030942000000000001</v>
      </c>
      <c r="S401" s="218">
        <v>0</v>
      </c>
      <c r="T401" s="219">
        <f>S401*H401</f>
        <v>0</v>
      </c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R401" s="220" t="s">
        <v>207</v>
      </c>
      <c r="AT401" s="220" t="s">
        <v>202</v>
      </c>
      <c r="AU401" s="220" t="s">
        <v>88</v>
      </c>
      <c r="AY401" s="18" t="s">
        <v>200</v>
      </c>
      <c r="BE401" s="221">
        <f>IF(N401="základní",J401,0)</f>
        <v>0</v>
      </c>
      <c r="BF401" s="221">
        <f>IF(N401="snížená",J401,0)</f>
        <v>0</v>
      </c>
      <c r="BG401" s="221">
        <f>IF(N401="zákl. přenesená",J401,0)</f>
        <v>0</v>
      </c>
      <c r="BH401" s="221">
        <f>IF(N401="sníž. přenesená",J401,0)</f>
        <v>0</v>
      </c>
      <c r="BI401" s="221">
        <f>IF(N401="nulová",J401,0)</f>
        <v>0</v>
      </c>
      <c r="BJ401" s="18" t="s">
        <v>86</v>
      </c>
      <c r="BK401" s="221">
        <f>ROUND(I401*H401,1)</f>
        <v>0</v>
      </c>
      <c r="BL401" s="18" t="s">
        <v>207</v>
      </c>
      <c r="BM401" s="220" t="s">
        <v>668</v>
      </c>
    </row>
    <row r="402" s="2" customFormat="1">
      <c r="A402" s="40"/>
      <c r="B402" s="41"/>
      <c r="C402" s="42"/>
      <c r="D402" s="222" t="s">
        <v>209</v>
      </c>
      <c r="E402" s="42"/>
      <c r="F402" s="223" t="s">
        <v>669</v>
      </c>
      <c r="G402" s="42"/>
      <c r="H402" s="42"/>
      <c r="I402" s="224"/>
      <c r="J402" s="42"/>
      <c r="K402" s="42"/>
      <c r="L402" s="46"/>
      <c r="M402" s="225"/>
      <c r="N402" s="226"/>
      <c r="O402" s="86"/>
      <c r="P402" s="86"/>
      <c r="Q402" s="86"/>
      <c r="R402" s="86"/>
      <c r="S402" s="86"/>
      <c r="T402" s="87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T402" s="18" t="s">
        <v>209</v>
      </c>
      <c r="AU402" s="18" t="s">
        <v>88</v>
      </c>
    </row>
    <row r="403" s="13" customFormat="1">
      <c r="A403" s="13"/>
      <c r="B403" s="227"/>
      <c r="C403" s="228"/>
      <c r="D403" s="229" t="s">
        <v>211</v>
      </c>
      <c r="E403" s="230" t="s">
        <v>32</v>
      </c>
      <c r="F403" s="231" t="s">
        <v>670</v>
      </c>
      <c r="G403" s="228"/>
      <c r="H403" s="232">
        <v>103.14</v>
      </c>
      <c r="I403" s="233"/>
      <c r="J403" s="228"/>
      <c r="K403" s="228"/>
      <c r="L403" s="234"/>
      <c r="M403" s="235"/>
      <c r="N403" s="236"/>
      <c r="O403" s="236"/>
      <c r="P403" s="236"/>
      <c r="Q403" s="236"/>
      <c r="R403" s="236"/>
      <c r="S403" s="236"/>
      <c r="T403" s="237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T403" s="238" t="s">
        <v>211</v>
      </c>
      <c r="AU403" s="238" t="s">
        <v>88</v>
      </c>
      <c r="AV403" s="13" t="s">
        <v>88</v>
      </c>
      <c r="AW403" s="13" t="s">
        <v>213</v>
      </c>
      <c r="AX403" s="13" t="s">
        <v>86</v>
      </c>
      <c r="AY403" s="238" t="s">
        <v>200</v>
      </c>
    </row>
    <row r="404" s="2" customFormat="1" ht="16.5" customHeight="1">
      <c r="A404" s="40"/>
      <c r="B404" s="41"/>
      <c r="C404" s="260" t="s">
        <v>671</v>
      </c>
      <c r="D404" s="260" t="s">
        <v>292</v>
      </c>
      <c r="E404" s="261" t="s">
        <v>672</v>
      </c>
      <c r="F404" s="262" t="s">
        <v>673</v>
      </c>
      <c r="G404" s="263" t="s">
        <v>280</v>
      </c>
      <c r="H404" s="264">
        <v>108.297</v>
      </c>
      <c r="I404" s="265"/>
      <c r="J404" s="266">
        <f>ROUND(I404*H404,1)</f>
        <v>0</v>
      </c>
      <c r="K404" s="262" t="s">
        <v>206</v>
      </c>
      <c r="L404" s="267"/>
      <c r="M404" s="268" t="s">
        <v>32</v>
      </c>
      <c r="N404" s="269" t="s">
        <v>49</v>
      </c>
      <c r="O404" s="86"/>
      <c r="P404" s="218">
        <f>O404*H404</f>
        <v>0</v>
      </c>
      <c r="Q404" s="218">
        <v>0.00059999999999999995</v>
      </c>
      <c r="R404" s="218">
        <f>Q404*H404</f>
        <v>0.064978199999999986</v>
      </c>
      <c r="S404" s="218">
        <v>0</v>
      </c>
      <c r="T404" s="219">
        <f>S404*H404</f>
        <v>0</v>
      </c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R404" s="220" t="s">
        <v>254</v>
      </c>
      <c r="AT404" s="220" t="s">
        <v>292</v>
      </c>
      <c r="AU404" s="220" t="s">
        <v>88</v>
      </c>
      <c r="AY404" s="18" t="s">
        <v>200</v>
      </c>
      <c r="BE404" s="221">
        <f>IF(N404="základní",J404,0)</f>
        <v>0</v>
      </c>
      <c r="BF404" s="221">
        <f>IF(N404="snížená",J404,0)</f>
        <v>0</v>
      </c>
      <c r="BG404" s="221">
        <f>IF(N404="zákl. přenesená",J404,0)</f>
        <v>0</v>
      </c>
      <c r="BH404" s="221">
        <f>IF(N404="sníž. přenesená",J404,0)</f>
        <v>0</v>
      </c>
      <c r="BI404" s="221">
        <f>IF(N404="nulová",J404,0)</f>
        <v>0</v>
      </c>
      <c r="BJ404" s="18" t="s">
        <v>86</v>
      </c>
      <c r="BK404" s="221">
        <f>ROUND(I404*H404,1)</f>
        <v>0</v>
      </c>
      <c r="BL404" s="18" t="s">
        <v>207</v>
      </c>
      <c r="BM404" s="220" t="s">
        <v>674</v>
      </c>
    </row>
    <row r="405" s="13" customFormat="1">
      <c r="A405" s="13"/>
      <c r="B405" s="227"/>
      <c r="C405" s="228"/>
      <c r="D405" s="229" t="s">
        <v>211</v>
      </c>
      <c r="E405" s="228"/>
      <c r="F405" s="231" t="s">
        <v>675</v>
      </c>
      <c r="G405" s="228"/>
      <c r="H405" s="232">
        <v>108.297</v>
      </c>
      <c r="I405" s="233"/>
      <c r="J405" s="228"/>
      <c r="K405" s="228"/>
      <c r="L405" s="234"/>
      <c r="M405" s="235"/>
      <c r="N405" s="236"/>
      <c r="O405" s="236"/>
      <c r="P405" s="236"/>
      <c r="Q405" s="236"/>
      <c r="R405" s="236"/>
      <c r="S405" s="236"/>
      <c r="T405" s="237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T405" s="238" t="s">
        <v>211</v>
      </c>
      <c r="AU405" s="238" t="s">
        <v>88</v>
      </c>
      <c r="AV405" s="13" t="s">
        <v>88</v>
      </c>
      <c r="AW405" s="13" t="s">
        <v>4</v>
      </c>
      <c r="AX405" s="13" t="s">
        <v>86</v>
      </c>
      <c r="AY405" s="238" t="s">
        <v>200</v>
      </c>
    </row>
    <row r="406" s="2" customFormat="1" ht="16.5" customHeight="1">
      <c r="A406" s="40"/>
      <c r="B406" s="41"/>
      <c r="C406" s="209" t="s">
        <v>676</v>
      </c>
      <c r="D406" s="209" t="s">
        <v>202</v>
      </c>
      <c r="E406" s="210" t="s">
        <v>677</v>
      </c>
      <c r="F406" s="211" t="s">
        <v>678</v>
      </c>
      <c r="G406" s="212" t="s">
        <v>280</v>
      </c>
      <c r="H406" s="213">
        <v>538.79999999999995</v>
      </c>
      <c r="I406" s="214"/>
      <c r="J406" s="215">
        <f>ROUND(I406*H406,1)</f>
        <v>0</v>
      </c>
      <c r="K406" s="211" t="s">
        <v>206</v>
      </c>
      <c r="L406" s="46"/>
      <c r="M406" s="216" t="s">
        <v>32</v>
      </c>
      <c r="N406" s="217" t="s">
        <v>49</v>
      </c>
      <c r="O406" s="86"/>
      <c r="P406" s="218">
        <f>O406*H406</f>
        <v>0</v>
      </c>
      <c r="Q406" s="218">
        <v>0</v>
      </c>
      <c r="R406" s="218">
        <f>Q406*H406</f>
        <v>0</v>
      </c>
      <c r="S406" s="218">
        <v>0</v>
      </c>
      <c r="T406" s="219">
        <f>S406*H406</f>
        <v>0</v>
      </c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R406" s="220" t="s">
        <v>207</v>
      </c>
      <c r="AT406" s="220" t="s">
        <v>202</v>
      </c>
      <c r="AU406" s="220" t="s">
        <v>88</v>
      </c>
      <c r="AY406" s="18" t="s">
        <v>200</v>
      </c>
      <c r="BE406" s="221">
        <f>IF(N406="základní",J406,0)</f>
        <v>0</v>
      </c>
      <c r="BF406" s="221">
        <f>IF(N406="snížená",J406,0)</f>
        <v>0</v>
      </c>
      <c r="BG406" s="221">
        <f>IF(N406="zákl. přenesená",J406,0)</f>
        <v>0</v>
      </c>
      <c r="BH406" s="221">
        <f>IF(N406="sníž. přenesená",J406,0)</f>
        <v>0</v>
      </c>
      <c r="BI406" s="221">
        <f>IF(N406="nulová",J406,0)</f>
        <v>0</v>
      </c>
      <c r="BJ406" s="18" t="s">
        <v>86</v>
      </c>
      <c r="BK406" s="221">
        <f>ROUND(I406*H406,1)</f>
        <v>0</v>
      </c>
      <c r="BL406" s="18" t="s">
        <v>207</v>
      </c>
      <c r="BM406" s="220" t="s">
        <v>679</v>
      </c>
    </row>
    <row r="407" s="2" customFormat="1">
      <c r="A407" s="40"/>
      <c r="B407" s="41"/>
      <c r="C407" s="42"/>
      <c r="D407" s="222" t="s">
        <v>209</v>
      </c>
      <c r="E407" s="42"/>
      <c r="F407" s="223" t="s">
        <v>680</v>
      </c>
      <c r="G407" s="42"/>
      <c r="H407" s="42"/>
      <c r="I407" s="224"/>
      <c r="J407" s="42"/>
      <c r="K407" s="42"/>
      <c r="L407" s="46"/>
      <c r="M407" s="225"/>
      <c r="N407" s="226"/>
      <c r="O407" s="86"/>
      <c r="P407" s="86"/>
      <c r="Q407" s="86"/>
      <c r="R407" s="86"/>
      <c r="S407" s="86"/>
      <c r="T407" s="87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T407" s="18" t="s">
        <v>209</v>
      </c>
      <c r="AU407" s="18" t="s">
        <v>88</v>
      </c>
    </row>
    <row r="408" s="15" customFormat="1">
      <c r="A408" s="15"/>
      <c r="B408" s="250"/>
      <c r="C408" s="251"/>
      <c r="D408" s="229" t="s">
        <v>211</v>
      </c>
      <c r="E408" s="252" t="s">
        <v>32</v>
      </c>
      <c r="F408" s="253" t="s">
        <v>681</v>
      </c>
      <c r="G408" s="251"/>
      <c r="H408" s="252" t="s">
        <v>32</v>
      </c>
      <c r="I408" s="254"/>
      <c r="J408" s="251"/>
      <c r="K408" s="251"/>
      <c r="L408" s="255"/>
      <c r="M408" s="256"/>
      <c r="N408" s="257"/>
      <c r="O408" s="257"/>
      <c r="P408" s="257"/>
      <c r="Q408" s="257"/>
      <c r="R408" s="257"/>
      <c r="S408" s="257"/>
      <c r="T408" s="25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T408" s="259" t="s">
        <v>211</v>
      </c>
      <c r="AU408" s="259" t="s">
        <v>88</v>
      </c>
      <c r="AV408" s="15" t="s">
        <v>86</v>
      </c>
      <c r="AW408" s="15" t="s">
        <v>213</v>
      </c>
      <c r="AX408" s="15" t="s">
        <v>78</v>
      </c>
      <c r="AY408" s="259" t="s">
        <v>200</v>
      </c>
    </row>
    <row r="409" s="13" customFormat="1">
      <c r="A409" s="13"/>
      <c r="B409" s="227"/>
      <c r="C409" s="228"/>
      <c r="D409" s="229" t="s">
        <v>211</v>
      </c>
      <c r="E409" s="230" t="s">
        <v>32</v>
      </c>
      <c r="F409" s="231" t="s">
        <v>682</v>
      </c>
      <c r="G409" s="228"/>
      <c r="H409" s="232">
        <v>26.5</v>
      </c>
      <c r="I409" s="233"/>
      <c r="J409" s="228"/>
      <c r="K409" s="228"/>
      <c r="L409" s="234"/>
      <c r="M409" s="235"/>
      <c r="N409" s="236"/>
      <c r="O409" s="236"/>
      <c r="P409" s="236"/>
      <c r="Q409" s="236"/>
      <c r="R409" s="236"/>
      <c r="S409" s="236"/>
      <c r="T409" s="237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T409" s="238" t="s">
        <v>211</v>
      </c>
      <c r="AU409" s="238" t="s">
        <v>88</v>
      </c>
      <c r="AV409" s="13" t="s">
        <v>88</v>
      </c>
      <c r="AW409" s="13" t="s">
        <v>213</v>
      </c>
      <c r="AX409" s="13" t="s">
        <v>78</v>
      </c>
      <c r="AY409" s="238" t="s">
        <v>200</v>
      </c>
    </row>
    <row r="410" s="13" customFormat="1">
      <c r="A410" s="13"/>
      <c r="B410" s="227"/>
      <c r="C410" s="228"/>
      <c r="D410" s="229" t="s">
        <v>211</v>
      </c>
      <c r="E410" s="230" t="s">
        <v>32</v>
      </c>
      <c r="F410" s="231" t="s">
        <v>683</v>
      </c>
      <c r="G410" s="228"/>
      <c r="H410" s="232">
        <v>155.69999999999999</v>
      </c>
      <c r="I410" s="233"/>
      <c r="J410" s="228"/>
      <c r="K410" s="228"/>
      <c r="L410" s="234"/>
      <c r="M410" s="235"/>
      <c r="N410" s="236"/>
      <c r="O410" s="236"/>
      <c r="P410" s="236"/>
      <c r="Q410" s="236"/>
      <c r="R410" s="236"/>
      <c r="S410" s="236"/>
      <c r="T410" s="237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T410" s="238" t="s">
        <v>211</v>
      </c>
      <c r="AU410" s="238" t="s">
        <v>88</v>
      </c>
      <c r="AV410" s="13" t="s">
        <v>88</v>
      </c>
      <c r="AW410" s="13" t="s">
        <v>213</v>
      </c>
      <c r="AX410" s="13" t="s">
        <v>78</v>
      </c>
      <c r="AY410" s="238" t="s">
        <v>200</v>
      </c>
    </row>
    <row r="411" s="13" customFormat="1">
      <c r="A411" s="13"/>
      <c r="B411" s="227"/>
      <c r="C411" s="228"/>
      <c r="D411" s="229" t="s">
        <v>211</v>
      </c>
      <c r="E411" s="230" t="s">
        <v>32</v>
      </c>
      <c r="F411" s="231" t="s">
        <v>684</v>
      </c>
      <c r="G411" s="228"/>
      <c r="H411" s="232">
        <v>65.200000000000003</v>
      </c>
      <c r="I411" s="233"/>
      <c r="J411" s="228"/>
      <c r="K411" s="228"/>
      <c r="L411" s="234"/>
      <c r="M411" s="235"/>
      <c r="N411" s="236"/>
      <c r="O411" s="236"/>
      <c r="P411" s="236"/>
      <c r="Q411" s="236"/>
      <c r="R411" s="236"/>
      <c r="S411" s="236"/>
      <c r="T411" s="237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T411" s="238" t="s">
        <v>211</v>
      </c>
      <c r="AU411" s="238" t="s">
        <v>88</v>
      </c>
      <c r="AV411" s="13" t="s">
        <v>88</v>
      </c>
      <c r="AW411" s="13" t="s">
        <v>213</v>
      </c>
      <c r="AX411" s="13" t="s">
        <v>78</v>
      </c>
      <c r="AY411" s="238" t="s">
        <v>200</v>
      </c>
    </row>
    <row r="412" s="13" customFormat="1">
      <c r="A412" s="13"/>
      <c r="B412" s="227"/>
      <c r="C412" s="228"/>
      <c r="D412" s="229" t="s">
        <v>211</v>
      </c>
      <c r="E412" s="230" t="s">
        <v>32</v>
      </c>
      <c r="F412" s="231" t="s">
        <v>685</v>
      </c>
      <c r="G412" s="228"/>
      <c r="H412" s="232">
        <v>44</v>
      </c>
      <c r="I412" s="233"/>
      <c r="J412" s="228"/>
      <c r="K412" s="228"/>
      <c r="L412" s="234"/>
      <c r="M412" s="235"/>
      <c r="N412" s="236"/>
      <c r="O412" s="236"/>
      <c r="P412" s="236"/>
      <c r="Q412" s="236"/>
      <c r="R412" s="236"/>
      <c r="S412" s="236"/>
      <c r="T412" s="237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T412" s="238" t="s">
        <v>211</v>
      </c>
      <c r="AU412" s="238" t="s">
        <v>88</v>
      </c>
      <c r="AV412" s="13" t="s">
        <v>88</v>
      </c>
      <c r="AW412" s="13" t="s">
        <v>213</v>
      </c>
      <c r="AX412" s="13" t="s">
        <v>78</v>
      </c>
      <c r="AY412" s="238" t="s">
        <v>200</v>
      </c>
    </row>
    <row r="413" s="16" customFormat="1">
      <c r="A413" s="16"/>
      <c r="B413" s="270"/>
      <c r="C413" s="271"/>
      <c r="D413" s="229" t="s">
        <v>211</v>
      </c>
      <c r="E413" s="272" t="s">
        <v>32</v>
      </c>
      <c r="F413" s="273" t="s">
        <v>318</v>
      </c>
      <c r="G413" s="271"/>
      <c r="H413" s="274">
        <v>291.39999999999998</v>
      </c>
      <c r="I413" s="275"/>
      <c r="J413" s="271"/>
      <c r="K413" s="271"/>
      <c r="L413" s="276"/>
      <c r="M413" s="277"/>
      <c r="N413" s="278"/>
      <c r="O413" s="278"/>
      <c r="P413" s="278"/>
      <c r="Q413" s="278"/>
      <c r="R413" s="278"/>
      <c r="S413" s="278"/>
      <c r="T413" s="279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T413" s="280" t="s">
        <v>211</v>
      </c>
      <c r="AU413" s="280" t="s">
        <v>88</v>
      </c>
      <c r="AV413" s="16" t="s">
        <v>148</v>
      </c>
      <c r="AW413" s="16" t="s">
        <v>213</v>
      </c>
      <c r="AX413" s="16" t="s">
        <v>78</v>
      </c>
      <c r="AY413" s="280" t="s">
        <v>200</v>
      </c>
    </row>
    <row r="414" s="15" customFormat="1">
      <c r="A414" s="15"/>
      <c r="B414" s="250"/>
      <c r="C414" s="251"/>
      <c r="D414" s="229" t="s">
        <v>211</v>
      </c>
      <c r="E414" s="252" t="s">
        <v>32</v>
      </c>
      <c r="F414" s="253" t="s">
        <v>686</v>
      </c>
      <c r="G414" s="251"/>
      <c r="H414" s="252" t="s">
        <v>32</v>
      </c>
      <c r="I414" s="254"/>
      <c r="J414" s="251"/>
      <c r="K414" s="251"/>
      <c r="L414" s="255"/>
      <c r="M414" s="256"/>
      <c r="N414" s="257"/>
      <c r="O414" s="257"/>
      <c r="P414" s="257"/>
      <c r="Q414" s="257"/>
      <c r="R414" s="257"/>
      <c r="S414" s="257"/>
      <c r="T414" s="25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T414" s="259" t="s">
        <v>211</v>
      </c>
      <c r="AU414" s="259" t="s">
        <v>88</v>
      </c>
      <c r="AV414" s="15" t="s">
        <v>86</v>
      </c>
      <c r="AW414" s="15" t="s">
        <v>213</v>
      </c>
      <c r="AX414" s="15" t="s">
        <v>78</v>
      </c>
      <c r="AY414" s="259" t="s">
        <v>200</v>
      </c>
    </row>
    <row r="415" s="13" customFormat="1">
      <c r="A415" s="13"/>
      <c r="B415" s="227"/>
      <c r="C415" s="228"/>
      <c r="D415" s="229" t="s">
        <v>211</v>
      </c>
      <c r="E415" s="230" t="s">
        <v>32</v>
      </c>
      <c r="F415" s="231" t="s">
        <v>687</v>
      </c>
      <c r="G415" s="228"/>
      <c r="H415" s="232">
        <v>247.40000000000001</v>
      </c>
      <c r="I415" s="233"/>
      <c r="J415" s="228"/>
      <c r="K415" s="228"/>
      <c r="L415" s="234"/>
      <c r="M415" s="235"/>
      <c r="N415" s="236"/>
      <c r="O415" s="236"/>
      <c r="P415" s="236"/>
      <c r="Q415" s="236"/>
      <c r="R415" s="236"/>
      <c r="S415" s="236"/>
      <c r="T415" s="237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T415" s="238" t="s">
        <v>211</v>
      </c>
      <c r="AU415" s="238" t="s">
        <v>88</v>
      </c>
      <c r="AV415" s="13" t="s">
        <v>88</v>
      </c>
      <c r="AW415" s="13" t="s">
        <v>213</v>
      </c>
      <c r="AX415" s="13" t="s">
        <v>78</v>
      </c>
      <c r="AY415" s="238" t="s">
        <v>200</v>
      </c>
    </row>
    <row r="416" s="14" customFormat="1">
      <c r="A416" s="14"/>
      <c r="B416" s="239"/>
      <c r="C416" s="240"/>
      <c r="D416" s="229" t="s">
        <v>211</v>
      </c>
      <c r="E416" s="241" t="s">
        <v>32</v>
      </c>
      <c r="F416" s="242" t="s">
        <v>220</v>
      </c>
      <c r="G416" s="240"/>
      <c r="H416" s="243">
        <v>538.79999999999995</v>
      </c>
      <c r="I416" s="244"/>
      <c r="J416" s="240"/>
      <c r="K416" s="240"/>
      <c r="L416" s="245"/>
      <c r="M416" s="246"/>
      <c r="N416" s="247"/>
      <c r="O416" s="247"/>
      <c r="P416" s="247"/>
      <c r="Q416" s="247"/>
      <c r="R416" s="247"/>
      <c r="S416" s="247"/>
      <c r="T416" s="248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T416" s="249" t="s">
        <v>211</v>
      </c>
      <c r="AU416" s="249" t="s">
        <v>88</v>
      </c>
      <c r="AV416" s="14" t="s">
        <v>207</v>
      </c>
      <c r="AW416" s="14" t="s">
        <v>213</v>
      </c>
      <c r="AX416" s="14" t="s">
        <v>86</v>
      </c>
      <c r="AY416" s="249" t="s">
        <v>200</v>
      </c>
    </row>
    <row r="417" s="2" customFormat="1" ht="16.5" customHeight="1">
      <c r="A417" s="40"/>
      <c r="B417" s="41"/>
      <c r="C417" s="260" t="s">
        <v>688</v>
      </c>
      <c r="D417" s="260" t="s">
        <v>292</v>
      </c>
      <c r="E417" s="261" t="s">
        <v>689</v>
      </c>
      <c r="F417" s="262" t="s">
        <v>690</v>
      </c>
      <c r="G417" s="263" t="s">
        <v>280</v>
      </c>
      <c r="H417" s="264">
        <v>259.76999999999998</v>
      </c>
      <c r="I417" s="265"/>
      <c r="J417" s="266">
        <f>ROUND(I417*H417,1)</f>
        <v>0</v>
      </c>
      <c r="K417" s="262" t="s">
        <v>206</v>
      </c>
      <c r="L417" s="267"/>
      <c r="M417" s="268" t="s">
        <v>32</v>
      </c>
      <c r="N417" s="269" t="s">
        <v>49</v>
      </c>
      <c r="O417" s="86"/>
      <c r="P417" s="218">
        <f>O417*H417</f>
        <v>0</v>
      </c>
      <c r="Q417" s="218">
        <v>4.0000000000000003E-05</v>
      </c>
      <c r="R417" s="218">
        <f>Q417*H417</f>
        <v>0.0103908</v>
      </c>
      <c r="S417" s="218">
        <v>0</v>
      </c>
      <c r="T417" s="219">
        <f>S417*H417</f>
        <v>0</v>
      </c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R417" s="220" t="s">
        <v>254</v>
      </c>
      <c r="AT417" s="220" t="s">
        <v>292</v>
      </c>
      <c r="AU417" s="220" t="s">
        <v>88</v>
      </c>
      <c r="AY417" s="18" t="s">
        <v>200</v>
      </c>
      <c r="BE417" s="221">
        <f>IF(N417="základní",J417,0)</f>
        <v>0</v>
      </c>
      <c r="BF417" s="221">
        <f>IF(N417="snížená",J417,0)</f>
        <v>0</v>
      </c>
      <c r="BG417" s="221">
        <f>IF(N417="zákl. přenesená",J417,0)</f>
        <v>0</v>
      </c>
      <c r="BH417" s="221">
        <f>IF(N417="sníž. přenesená",J417,0)</f>
        <v>0</v>
      </c>
      <c r="BI417" s="221">
        <f>IF(N417="nulová",J417,0)</f>
        <v>0</v>
      </c>
      <c r="BJ417" s="18" t="s">
        <v>86</v>
      </c>
      <c r="BK417" s="221">
        <f>ROUND(I417*H417,1)</f>
        <v>0</v>
      </c>
      <c r="BL417" s="18" t="s">
        <v>207</v>
      </c>
      <c r="BM417" s="220" t="s">
        <v>691</v>
      </c>
    </row>
    <row r="418" s="13" customFormat="1">
      <c r="A418" s="13"/>
      <c r="B418" s="227"/>
      <c r="C418" s="228"/>
      <c r="D418" s="229" t="s">
        <v>211</v>
      </c>
      <c r="E418" s="230" t="s">
        <v>32</v>
      </c>
      <c r="F418" s="231" t="s">
        <v>687</v>
      </c>
      <c r="G418" s="228"/>
      <c r="H418" s="232">
        <v>247.40000000000001</v>
      </c>
      <c r="I418" s="233"/>
      <c r="J418" s="228"/>
      <c r="K418" s="228"/>
      <c r="L418" s="234"/>
      <c r="M418" s="235"/>
      <c r="N418" s="236"/>
      <c r="O418" s="236"/>
      <c r="P418" s="236"/>
      <c r="Q418" s="236"/>
      <c r="R418" s="236"/>
      <c r="S418" s="236"/>
      <c r="T418" s="237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T418" s="238" t="s">
        <v>211</v>
      </c>
      <c r="AU418" s="238" t="s">
        <v>88</v>
      </c>
      <c r="AV418" s="13" t="s">
        <v>88</v>
      </c>
      <c r="AW418" s="13" t="s">
        <v>213</v>
      </c>
      <c r="AX418" s="13" t="s">
        <v>86</v>
      </c>
      <c r="AY418" s="238" t="s">
        <v>200</v>
      </c>
    </row>
    <row r="419" s="13" customFormat="1">
      <c r="A419" s="13"/>
      <c r="B419" s="227"/>
      <c r="C419" s="228"/>
      <c r="D419" s="229" t="s">
        <v>211</v>
      </c>
      <c r="E419" s="228"/>
      <c r="F419" s="231" t="s">
        <v>692</v>
      </c>
      <c r="G419" s="228"/>
      <c r="H419" s="232">
        <v>259.76999999999998</v>
      </c>
      <c r="I419" s="233"/>
      <c r="J419" s="228"/>
      <c r="K419" s="228"/>
      <c r="L419" s="234"/>
      <c r="M419" s="235"/>
      <c r="N419" s="236"/>
      <c r="O419" s="236"/>
      <c r="P419" s="236"/>
      <c r="Q419" s="236"/>
      <c r="R419" s="236"/>
      <c r="S419" s="236"/>
      <c r="T419" s="237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T419" s="238" t="s">
        <v>211</v>
      </c>
      <c r="AU419" s="238" t="s">
        <v>88</v>
      </c>
      <c r="AV419" s="13" t="s">
        <v>88</v>
      </c>
      <c r="AW419" s="13" t="s">
        <v>4</v>
      </c>
      <c r="AX419" s="13" t="s">
        <v>86</v>
      </c>
      <c r="AY419" s="238" t="s">
        <v>200</v>
      </c>
    </row>
    <row r="420" s="2" customFormat="1" ht="16.5" customHeight="1">
      <c r="A420" s="40"/>
      <c r="B420" s="41"/>
      <c r="C420" s="260" t="s">
        <v>693</v>
      </c>
      <c r="D420" s="260" t="s">
        <v>292</v>
      </c>
      <c r="E420" s="261" t="s">
        <v>694</v>
      </c>
      <c r="F420" s="262" t="s">
        <v>695</v>
      </c>
      <c r="G420" s="263" t="s">
        <v>280</v>
      </c>
      <c r="H420" s="264">
        <v>291.39999999999998</v>
      </c>
      <c r="I420" s="265"/>
      <c r="J420" s="266">
        <f>ROUND(I420*H420,1)</f>
        <v>0</v>
      </c>
      <c r="K420" s="262" t="s">
        <v>206</v>
      </c>
      <c r="L420" s="267"/>
      <c r="M420" s="268" t="s">
        <v>32</v>
      </c>
      <c r="N420" s="269" t="s">
        <v>49</v>
      </c>
      <c r="O420" s="86"/>
      <c r="P420" s="218">
        <f>O420*H420</f>
        <v>0</v>
      </c>
      <c r="Q420" s="218">
        <v>3.0000000000000001E-05</v>
      </c>
      <c r="R420" s="218">
        <f>Q420*H420</f>
        <v>0.0087419999999999998</v>
      </c>
      <c r="S420" s="218">
        <v>0</v>
      </c>
      <c r="T420" s="219">
        <f>S420*H420</f>
        <v>0</v>
      </c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R420" s="220" t="s">
        <v>254</v>
      </c>
      <c r="AT420" s="220" t="s">
        <v>292</v>
      </c>
      <c r="AU420" s="220" t="s">
        <v>88</v>
      </c>
      <c r="AY420" s="18" t="s">
        <v>200</v>
      </c>
      <c r="BE420" s="221">
        <f>IF(N420="základní",J420,0)</f>
        <v>0</v>
      </c>
      <c r="BF420" s="221">
        <f>IF(N420="snížená",J420,0)</f>
        <v>0</v>
      </c>
      <c r="BG420" s="221">
        <f>IF(N420="zákl. přenesená",J420,0)</f>
        <v>0</v>
      </c>
      <c r="BH420" s="221">
        <f>IF(N420="sníž. přenesená",J420,0)</f>
        <v>0</v>
      </c>
      <c r="BI420" s="221">
        <f>IF(N420="nulová",J420,0)</f>
        <v>0</v>
      </c>
      <c r="BJ420" s="18" t="s">
        <v>86</v>
      </c>
      <c r="BK420" s="221">
        <f>ROUND(I420*H420,1)</f>
        <v>0</v>
      </c>
      <c r="BL420" s="18" t="s">
        <v>207</v>
      </c>
      <c r="BM420" s="220" t="s">
        <v>696</v>
      </c>
    </row>
    <row r="421" s="13" customFormat="1">
      <c r="A421" s="13"/>
      <c r="B421" s="227"/>
      <c r="C421" s="228"/>
      <c r="D421" s="229" t="s">
        <v>211</v>
      </c>
      <c r="E421" s="230" t="s">
        <v>32</v>
      </c>
      <c r="F421" s="231" t="s">
        <v>697</v>
      </c>
      <c r="G421" s="228"/>
      <c r="H421" s="232">
        <v>291.39999999999998</v>
      </c>
      <c r="I421" s="233"/>
      <c r="J421" s="228"/>
      <c r="K421" s="228"/>
      <c r="L421" s="234"/>
      <c r="M421" s="235"/>
      <c r="N421" s="236"/>
      <c r="O421" s="236"/>
      <c r="P421" s="236"/>
      <c r="Q421" s="236"/>
      <c r="R421" s="236"/>
      <c r="S421" s="236"/>
      <c r="T421" s="237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T421" s="238" t="s">
        <v>211</v>
      </c>
      <c r="AU421" s="238" t="s">
        <v>88</v>
      </c>
      <c r="AV421" s="13" t="s">
        <v>88</v>
      </c>
      <c r="AW421" s="13" t="s">
        <v>213</v>
      </c>
      <c r="AX421" s="13" t="s">
        <v>86</v>
      </c>
      <c r="AY421" s="238" t="s">
        <v>200</v>
      </c>
    </row>
    <row r="422" s="2" customFormat="1" ht="21.75" customHeight="1">
      <c r="A422" s="40"/>
      <c r="B422" s="41"/>
      <c r="C422" s="209" t="s">
        <v>698</v>
      </c>
      <c r="D422" s="209" t="s">
        <v>202</v>
      </c>
      <c r="E422" s="210" t="s">
        <v>699</v>
      </c>
      <c r="F422" s="211" t="s">
        <v>700</v>
      </c>
      <c r="G422" s="212" t="s">
        <v>272</v>
      </c>
      <c r="H422" s="213">
        <v>32.399999999999999</v>
      </c>
      <c r="I422" s="214"/>
      <c r="J422" s="215">
        <f>ROUND(I422*H422,1)</f>
        <v>0</v>
      </c>
      <c r="K422" s="211" t="s">
        <v>206</v>
      </c>
      <c r="L422" s="46"/>
      <c r="M422" s="216" t="s">
        <v>32</v>
      </c>
      <c r="N422" s="217" t="s">
        <v>49</v>
      </c>
      <c r="O422" s="86"/>
      <c r="P422" s="218">
        <f>O422*H422</f>
        <v>0</v>
      </c>
      <c r="Q422" s="218">
        <v>0.0057000000000000002</v>
      </c>
      <c r="R422" s="218">
        <f>Q422*H422</f>
        <v>0.18468000000000001</v>
      </c>
      <c r="S422" s="218">
        <v>0</v>
      </c>
      <c r="T422" s="219">
        <f>S422*H422</f>
        <v>0</v>
      </c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R422" s="220" t="s">
        <v>207</v>
      </c>
      <c r="AT422" s="220" t="s">
        <v>202</v>
      </c>
      <c r="AU422" s="220" t="s">
        <v>88</v>
      </c>
      <c r="AY422" s="18" t="s">
        <v>200</v>
      </c>
      <c r="BE422" s="221">
        <f>IF(N422="základní",J422,0)</f>
        <v>0</v>
      </c>
      <c r="BF422" s="221">
        <f>IF(N422="snížená",J422,0)</f>
        <v>0</v>
      </c>
      <c r="BG422" s="221">
        <f>IF(N422="zákl. přenesená",J422,0)</f>
        <v>0</v>
      </c>
      <c r="BH422" s="221">
        <f>IF(N422="sníž. přenesená",J422,0)</f>
        <v>0</v>
      </c>
      <c r="BI422" s="221">
        <f>IF(N422="nulová",J422,0)</f>
        <v>0</v>
      </c>
      <c r="BJ422" s="18" t="s">
        <v>86</v>
      </c>
      <c r="BK422" s="221">
        <f>ROUND(I422*H422,1)</f>
        <v>0</v>
      </c>
      <c r="BL422" s="18" t="s">
        <v>207</v>
      </c>
      <c r="BM422" s="220" t="s">
        <v>701</v>
      </c>
    </row>
    <row r="423" s="2" customFormat="1">
      <c r="A423" s="40"/>
      <c r="B423" s="41"/>
      <c r="C423" s="42"/>
      <c r="D423" s="222" t="s">
        <v>209</v>
      </c>
      <c r="E423" s="42"/>
      <c r="F423" s="223" t="s">
        <v>702</v>
      </c>
      <c r="G423" s="42"/>
      <c r="H423" s="42"/>
      <c r="I423" s="224"/>
      <c r="J423" s="42"/>
      <c r="K423" s="42"/>
      <c r="L423" s="46"/>
      <c r="M423" s="225"/>
      <c r="N423" s="226"/>
      <c r="O423" s="86"/>
      <c r="P423" s="86"/>
      <c r="Q423" s="86"/>
      <c r="R423" s="86"/>
      <c r="S423" s="86"/>
      <c r="T423" s="87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T423" s="18" t="s">
        <v>209</v>
      </c>
      <c r="AU423" s="18" t="s">
        <v>88</v>
      </c>
    </row>
    <row r="424" s="2" customFormat="1" ht="24.15" customHeight="1">
      <c r="A424" s="40"/>
      <c r="B424" s="41"/>
      <c r="C424" s="209" t="s">
        <v>703</v>
      </c>
      <c r="D424" s="209" t="s">
        <v>202</v>
      </c>
      <c r="E424" s="210" t="s">
        <v>704</v>
      </c>
      <c r="F424" s="211" t="s">
        <v>705</v>
      </c>
      <c r="G424" s="212" t="s">
        <v>272</v>
      </c>
      <c r="H424" s="213">
        <v>299.084</v>
      </c>
      <c r="I424" s="214"/>
      <c r="J424" s="215">
        <f>ROUND(I424*H424,1)</f>
        <v>0</v>
      </c>
      <c r="K424" s="211" t="s">
        <v>206</v>
      </c>
      <c r="L424" s="46"/>
      <c r="M424" s="216" t="s">
        <v>32</v>
      </c>
      <c r="N424" s="217" t="s">
        <v>49</v>
      </c>
      <c r="O424" s="86"/>
      <c r="P424" s="218">
        <f>O424*H424</f>
        <v>0</v>
      </c>
      <c r="Q424" s="218">
        <v>0.0028500000000000001</v>
      </c>
      <c r="R424" s="218">
        <f>Q424*H424</f>
        <v>0.85238940000000007</v>
      </c>
      <c r="S424" s="218">
        <v>0</v>
      </c>
      <c r="T424" s="219">
        <f>S424*H424</f>
        <v>0</v>
      </c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R424" s="220" t="s">
        <v>207</v>
      </c>
      <c r="AT424" s="220" t="s">
        <v>202</v>
      </c>
      <c r="AU424" s="220" t="s">
        <v>88</v>
      </c>
      <c r="AY424" s="18" t="s">
        <v>200</v>
      </c>
      <c r="BE424" s="221">
        <f>IF(N424="základní",J424,0)</f>
        <v>0</v>
      </c>
      <c r="BF424" s="221">
        <f>IF(N424="snížená",J424,0)</f>
        <v>0</v>
      </c>
      <c r="BG424" s="221">
        <f>IF(N424="zákl. přenesená",J424,0)</f>
        <v>0</v>
      </c>
      <c r="BH424" s="221">
        <f>IF(N424="sníž. přenesená",J424,0)</f>
        <v>0</v>
      </c>
      <c r="BI424" s="221">
        <f>IF(N424="nulová",J424,0)</f>
        <v>0</v>
      </c>
      <c r="BJ424" s="18" t="s">
        <v>86</v>
      </c>
      <c r="BK424" s="221">
        <f>ROUND(I424*H424,1)</f>
        <v>0</v>
      </c>
      <c r="BL424" s="18" t="s">
        <v>207</v>
      </c>
      <c r="BM424" s="220" t="s">
        <v>706</v>
      </c>
    </row>
    <row r="425" s="2" customFormat="1">
      <c r="A425" s="40"/>
      <c r="B425" s="41"/>
      <c r="C425" s="42"/>
      <c r="D425" s="222" t="s">
        <v>209</v>
      </c>
      <c r="E425" s="42"/>
      <c r="F425" s="223" t="s">
        <v>707</v>
      </c>
      <c r="G425" s="42"/>
      <c r="H425" s="42"/>
      <c r="I425" s="224"/>
      <c r="J425" s="42"/>
      <c r="K425" s="42"/>
      <c r="L425" s="46"/>
      <c r="M425" s="225"/>
      <c r="N425" s="226"/>
      <c r="O425" s="86"/>
      <c r="P425" s="86"/>
      <c r="Q425" s="86"/>
      <c r="R425" s="86"/>
      <c r="S425" s="86"/>
      <c r="T425" s="87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T425" s="18" t="s">
        <v>209</v>
      </c>
      <c r="AU425" s="18" t="s">
        <v>88</v>
      </c>
    </row>
    <row r="426" s="2" customFormat="1" ht="21.75" customHeight="1">
      <c r="A426" s="40"/>
      <c r="B426" s="41"/>
      <c r="C426" s="209" t="s">
        <v>708</v>
      </c>
      <c r="D426" s="209" t="s">
        <v>202</v>
      </c>
      <c r="E426" s="210" t="s">
        <v>709</v>
      </c>
      <c r="F426" s="211" t="s">
        <v>710</v>
      </c>
      <c r="G426" s="212" t="s">
        <v>205</v>
      </c>
      <c r="H426" s="213">
        <v>36.893999999999998</v>
      </c>
      <c r="I426" s="214"/>
      <c r="J426" s="215">
        <f>ROUND(I426*H426,1)</f>
        <v>0</v>
      </c>
      <c r="K426" s="211" t="s">
        <v>206</v>
      </c>
      <c r="L426" s="46"/>
      <c r="M426" s="216" t="s">
        <v>32</v>
      </c>
      <c r="N426" s="217" t="s">
        <v>49</v>
      </c>
      <c r="O426" s="86"/>
      <c r="P426" s="218">
        <f>O426*H426</f>
        <v>0</v>
      </c>
      <c r="Q426" s="218">
        <v>2.5018699999999998</v>
      </c>
      <c r="R426" s="218">
        <f>Q426*H426</f>
        <v>92.30399177999999</v>
      </c>
      <c r="S426" s="218">
        <v>0</v>
      </c>
      <c r="T426" s="219">
        <f>S426*H426</f>
        <v>0</v>
      </c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R426" s="220" t="s">
        <v>207</v>
      </c>
      <c r="AT426" s="220" t="s">
        <v>202</v>
      </c>
      <c r="AU426" s="220" t="s">
        <v>88</v>
      </c>
      <c r="AY426" s="18" t="s">
        <v>200</v>
      </c>
      <c r="BE426" s="221">
        <f>IF(N426="základní",J426,0)</f>
        <v>0</v>
      </c>
      <c r="BF426" s="221">
        <f>IF(N426="snížená",J426,0)</f>
        <v>0</v>
      </c>
      <c r="BG426" s="221">
        <f>IF(N426="zákl. přenesená",J426,0)</f>
        <v>0</v>
      </c>
      <c r="BH426" s="221">
        <f>IF(N426="sníž. přenesená",J426,0)</f>
        <v>0</v>
      </c>
      <c r="BI426" s="221">
        <f>IF(N426="nulová",J426,0)</f>
        <v>0</v>
      </c>
      <c r="BJ426" s="18" t="s">
        <v>86</v>
      </c>
      <c r="BK426" s="221">
        <f>ROUND(I426*H426,1)</f>
        <v>0</v>
      </c>
      <c r="BL426" s="18" t="s">
        <v>207</v>
      </c>
      <c r="BM426" s="220" t="s">
        <v>711</v>
      </c>
    </row>
    <row r="427" s="2" customFormat="1">
      <c r="A427" s="40"/>
      <c r="B427" s="41"/>
      <c r="C427" s="42"/>
      <c r="D427" s="222" t="s">
        <v>209</v>
      </c>
      <c r="E427" s="42"/>
      <c r="F427" s="223" t="s">
        <v>712</v>
      </c>
      <c r="G427" s="42"/>
      <c r="H427" s="42"/>
      <c r="I427" s="224"/>
      <c r="J427" s="42"/>
      <c r="K427" s="42"/>
      <c r="L427" s="46"/>
      <c r="M427" s="225"/>
      <c r="N427" s="226"/>
      <c r="O427" s="86"/>
      <c r="P427" s="86"/>
      <c r="Q427" s="86"/>
      <c r="R427" s="86"/>
      <c r="S427" s="86"/>
      <c r="T427" s="87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T427" s="18" t="s">
        <v>209</v>
      </c>
      <c r="AU427" s="18" t="s">
        <v>88</v>
      </c>
    </row>
    <row r="428" s="15" customFormat="1">
      <c r="A428" s="15"/>
      <c r="B428" s="250"/>
      <c r="C428" s="251"/>
      <c r="D428" s="229" t="s">
        <v>211</v>
      </c>
      <c r="E428" s="252" t="s">
        <v>32</v>
      </c>
      <c r="F428" s="253" t="s">
        <v>713</v>
      </c>
      <c r="G428" s="251"/>
      <c r="H428" s="252" t="s">
        <v>32</v>
      </c>
      <c r="I428" s="254"/>
      <c r="J428" s="251"/>
      <c r="K428" s="251"/>
      <c r="L428" s="255"/>
      <c r="M428" s="256"/>
      <c r="N428" s="257"/>
      <c r="O428" s="257"/>
      <c r="P428" s="257"/>
      <c r="Q428" s="257"/>
      <c r="R428" s="257"/>
      <c r="S428" s="257"/>
      <c r="T428" s="25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T428" s="259" t="s">
        <v>211</v>
      </c>
      <c r="AU428" s="259" t="s">
        <v>88</v>
      </c>
      <c r="AV428" s="15" t="s">
        <v>86</v>
      </c>
      <c r="AW428" s="15" t="s">
        <v>213</v>
      </c>
      <c r="AX428" s="15" t="s">
        <v>78</v>
      </c>
      <c r="AY428" s="259" t="s">
        <v>200</v>
      </c>
    </row>
    <row r="429" s="13" customFormat="1">
      <c r="A429" s="13"/>
      <c r="B429" s="227"/>
      <c r="C429" s="228"/>
      <c r="D429" s="229" t="s">
        <v>211</v>
      </c>
      <c r="E429" s="230" t="s">
        <v>32</v>
      </c>
      <c r="F429" s="231" t="s">
        <v>714</v>
      </c>
      <c r="G429" s="228"/>
      <c r="H429" s="232">
        <v>35.094000000000001</v>
      </c>
      <c r="I429" s="233"/>
      <c r="J429" s="228"/>
      <c r="K429" s="228"/>
      <c r="L429" s="234"/>
      <c r="M429" s="235"/>
      <c r="N429" s="236"/>
      <c r="O429" s="236"/>
      <c r="P429" s="236"/>
      <c r="Q429" s="236"/>
      <c r="R429" s="236"/>
      <c r="S429" s="236"/>
      <c r="T429" s="237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T429" s="238" t="s">
        <v>211</v>
      </c>
      <c r="AU429" s="238" t="s">
        <v>88</v>
      </c>
      <c r="AV429" s="13" t="s">
        <v>88</v>
      </c>
      <c r="AW429" s="13" t="s">
        <v>213</v>
      </c>
      <c r="AX429" s="13" t="s">
        <v>78</v>
      </c>
      <c r="AY429" s="238" t="s">
        <v>200</v>
      </c>
    </row>
    <row r="430" s="13" customFormat="1">
      <c r="A430" s="13"/>
      <c r="B430" s="227"/>
      <c r="C430" s="228"/>
      <c r="D430" s="229" t="s">
        <v>211</v>
      </c>
      <c r="E430" s="230" t="s">
        <v>32</v>
      </c>
      <c r="F430" s="231" t="s">
        <v>715</v>
      </c>
      <c r="G430" s="228"/>
      <c r="H430" s="232">
        <v>1.6054200000000001</v>
      </c>
      <c r="I430" s="233"/>
      <c r="J430" s="228"/>
      <c r="K430" s="228"/>
      <c r="L430" s="234"/>
      <c r="M430" s="235"/>
      <c r="N430" s="236"/>
      <c r="O430" s="236"/>
      <c r="P430" s="236"/>
      <c r="Q430" s="236"/>
      <c r="R430" s="236"/>
      <c r="S430" s="236"/>
      <c r="T430" s="237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T430" s="238" t="s">
        <v>211</v>
      </c>
      <c r="AU430" s="238" t="s">
        <v>88</v>
      </c>
      <c r="AV430" s="13" t="s">
        <v>88</v>
      </c>
      <c r="AW430" s="13" t="s">
        <v>213</v>
      </c>
      <c r="AX430" s="13" t="s">
        <v>78</v>
      </c>
      <c r="AY430" s="238" t="s">
        <v>200</v>
      </c>
    </row>
    <row r="431" s="13" customFormat="1">
      <c r="A431" s="13"/>
      <c r="B431" s="227"/>
      <c r="C431" s="228"/>
      <c r="D431" s="229" t="s">
        <v>211</v>
      </c>
      <c r="E431" s="230" t="s">
        <v>32</v>
      </c>
      <c r="F431" s="231" t="s">
        <v>716</v>
      </c>
      <c r="G431" s="228"/>
      <c r="H431" s="232">
        <v>0.19439999999999999</v>
      </c>
      <c r="I431" s="233"/>
      <c r="J431" s="228"/>
      <c r="K431" s="228"/>
      <c r="L431" s="234"/>
      <c r="M431" s="235"/>
      <c r="N431" s="236"/>
      <c r="O431" s="236"/>
      <c r="P431" s="236"/>
      <c r="Q431" s="236"/>
      <c r="R431" s="236"/>
      <c r="S431" s="236"/>
      <c r="T431" s="237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T431" s="238" t="s">
        <v>211</v>
      </c>
      <c r="AU431" s="238" t="s">
        <v>88</v>
      </c>
      <c r="AV431" s="13" t="s">
        <v>88</v>
      </c>
      <c r="AW431" s="13" t="s">
        <v>213</v>
      </c>
      <c r="AX431" s="13" t="s">
        <v>78</v>
      </c>
      <c r="AY431" s="238" t="s">
        <v>200</v>
      </c>
    </row>
    <row r="432" s="14" customFormat="1">
      <c r="A432" s="14"/>
      <c r="B432" s="239"/>
      <c r="C432" s="240"/>
      <c r="D432" s="229" t="s">
        <v>211</v>
      </c>
      <c r="E432" s="241" t="s">
        <v>32</v>
      </c>
      <c r="F432" s="242" t="s">
        <v>220</v>
      </c>
      <c r="G432" s="240"/>
      <c r="H432" s="243">
        <v>36.893819999999998</v>
      </c>
      <c r="I432" s="244"/>
      <c r="J432" s="240"/>
      <c r="K432" s="240"/>
      <c r="L432" s="245"/>
      <c r="M432" s="246"/>
      <c r="N432" s="247"/>
      <c r="O432" s="247"/>
      <c r="P432" s="247"/>
      <c r="Q432" s="247"/>
      <c r="R432" s="247"/>
      <c r="S432" s="247"/>
      <c r="T432" s="248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T432" s="249" t="s">
        <v>211</v>
      </c>
      <c r="AU432" s="249" t="s">
        <v>88</v>
      </c>
      <c r="AV432" s="14" t="s">
        <v>207</v>
      </c>
      <c r="AW432" s="14" t="s">
        <v>213</v>
      </c>
      <c r="AX432" s="14" t="s">
        <v>86</v>
      </c>
      <c r="AY432" s="249" t="s">
        <v>200</v>
      </c>
    </row>
    <row r="433" s="2" customFormat="1" ht="16.5" customHeight="1">
      <c r="A433" s="40"/>
      <c r="B433" s="41"/>
      <c r="C433" s="209" t="s">
        <v>717</v>
      </c>
      <c r="D433" s="209" t="s">
        <v>202</v>
      </c>
      <c r="E433" s="210" t="s">
        <v>718</v>
      </c>
      <c r="F433" s="211" t="s">
        <v>719</v>
      </c>
      <c r="G433" s="212" t="s">
        <v>250</v>
      </c>
      <c r="H433" s="213">
        <v>1.04</v>
      </c>
      <c r="I433" s="214"/>
      <c r="J433" s="215">
        <f>ROUND(I433*H433,1)</f>
        <v>0</v>
      </c>
      <c r="K433" s="211" t="s">
        <v>206</v>
      </c>
      <c r="L433" s="46"/>
      <c r="M433" s="216" t="s">
        <v>32</v>
      </c>
      <c r="N433" s="217" t="s">
        <v>49</v>
      </c>
      <c r="O433" s="86"/>
      <c r="P433" s="218">
        <f>O433*H433</f>
        <v>0</v>
      </c>
      <c r="Q433" s="218">
        <v>1.06277</v>
      </c>
      <c r="R433" s="218">
        <f>Q433*H433</f>
        <v>1.1052808000000001</v>
      </c>
      <c r="S433" s="218">
        <v>0</v>
      </c>
      <c r="T433" s="219">
        <f>S433*H433</f>
        <v>0</v>
      </c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R433" s="220" t="s">
        <v>207</v>
      </c>
      <c r="AT433" s="220" t="s">
        <v>202</v>
      </c>
      <c r="AU433" s="220" t="s">
        <v>88</v>
      </c>
      <c r="AY433" s="18" t="s">
        <v>200</v>
      </c>
      <c r="BE433" s="221">
        <f>IF(N433="základní",J433,0)</f>
        <v>0</v>
      </c>
      <c r="BF433" s="221">
        <f>IF(N433="snížená",J433,0)</f>
        <v>0</v>
      </c>
      <c r="BG433" s="221">
        <f>IF(N433="zákl. přenesená",J433,0)</f>
        <v>0</v>
      </c>
      <c r="BH433" s="221">
        <f>IF(N433="sníž. přenesená",J433,0)</f>
        <v>0</v>
      </c>
      <c r="BI433" s="221">
        <f>IF(N433="nulová",J433,0)</f>
        <v>0</v>
      </c>
      <c r="BJ433" s="18" t="s">
        <v>86</v>
      </c>
      <c r="BK433" s="221">
        <f>ROUND(I433*H433,1)</f>
        <v>0</v>
      </c>
      <c r="BL433" s="18" t="s">
        <v>207</v>
      </c>
      <c r="BM433" s="220" t="s">
        <v>720</v>
      </c>
    </row>
    <row r="434" s="2" customFormat="1">
      <c r="A434" s="40"/>
      <c r="B434" s="41"/>
      <c r="C434" s="42"/>
      <c r="D434" s="222" t="s">
        <v>209</v>
      </c>
      <c r="E434" s="42"/>
      <c r="F434" s="223" t="s">
        <v>721</v>
      </c>
      <c r="G434" s="42"/>
      <c r="H434" s="42"/>
      <c r="I434" s="224"/>
      <c r="J434" s="42"/>
      <c r="K434" s="42"/>
      <c r="L434" s="46"/>
      <c r="M434" s="225"/>
      <c r="N434" s="226"/>
      <c r="O434" s="86"/>
      <c r="P434" s="86"/>
      <c r="Q434" s="86"/>
      <c r="R434" s="86"/>
      <c r="S434" s="86"/>
      <c r="T434" s="87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T434" s="18" t="s">
        <v>209</v>
      </c>
      <c r="AU434" s="18" t="s">
        <v>88</v>
      </c>
    </row>
    <row r="435" s="15" customFormat="1">
      <c r="A435" s="15"/>
      <c r="B435" s="250"/>
      <c r="C435" s="251"/>
      <c r="D435" s="229" t="s">
        <v>211</v>
      </c>
      <c r="E435" s="252" t="s">
        <v>32</v>
      </c>
      <c r="F435" s="253" t="s">
        <v>722</v>
      </c>
      <c r="G435" s="251"/>
      <c r="H435" s="252" t="s">
        <v>32</v>
      </c>
      <c r="I435" s="254"/>
      <c r="J435" s="251"/>
      <c r="K435" s="251"/>
      <c r="L435" s="255"/>
      <c r="M435" s="256"/>
      <c r="N435" s="257"/>
      <c r="O435" s="257"/>
      <c r="P435" s="257"/>
      <c r="Q435" s="257"/>
      <c r="R435" s="257"/>
      <c r="S435" s="257"/>
      <c r="T435" s="25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T435" s="259" t="s">
        <v>211</v>
      </c>
      <c r="AU435" s="259" t="s">
        <v>88</v>
      </c>
      <c r="AV435" s="15" t="s">
        <v>86</v>
      </c>
      <c r="AW435" s="15" t="s">
        <v>213</v>
      </c>
      <c r="AX435" s="15" t="s">
        <v>78</v>
      </c>
      <c r="AY435" s="259" t="s">
        <v>200</v>
      </c>
    </row>
    <row r="436" s="13" customFormat="1">
      <c r="A436" s="13"/>
      <c r="B436" s="227"/>
      <c r="C436" s="228"/>
      <c r="D436" s="229" t="s">
        <v>211</v>
      </c>
      <c r="E436" s="230" t="s">
        <v>32</v>
      </c>
      <c r="F436" s="231" t="s">
        <v>723</v>
      </c>
      <c r="G436" s="228"/>
      <c r="H436" s="232">
        <v>0.989212125</v>
      </c>
      <c r="I436" s="233"/>
      <c r="J436" s="228"/>
      <c r="K436" s="228"/>
      <c r="L436" s="234"/>
      <c r="M436" s="235"/>
      <c r="N436" s="236"/>
      <c r="O436" s="236"/>
      <c r="P436" s="236"/>
      <c r="Q436" s="236"/>
      <c r="R436" s="236"/>
      <c r="S436" s="236"/>
      <c r="T436" s="237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T436" s="238" t="s">
        <v>211</v>
      </c>
      <c r="AU436" s="238" t="s">
        <v>88</v>
      </c>
      <c r="AV436" s="13" t="s">
        <v>88</v>
      </c>
      <c r="AW436" s="13" t="s">
        <v>213</v>
      </c>
      <c r="AX436" s="13" t="s">
        <v>78</v>
      </c>
      <c r="AY436" s="238" t="s">
        <v>200</v>
      </c>
    </row>
    <row r="437" s="13" customFormat="1">
      <c r="A437" s="13"/>
      <c r="B437" s="227"/>
      <c r="C437" s="228"/>
      <c r="D437" s="229" t="s">
        <v>211</v>
      </c>
      <c r="E437" s="230" t="s">
        <v>32</v>
      </c>
      <c r="F437" s="231" t="s">
        <v>724</v>
      </c>
      <c r="G437" s="228"/>
      <c r="H437" s="232">
        <v>0.045252776250000001</v>
      </c>
      <c r="I437" s="233"/>
      <c r="J437" s="228"/>
      <c r="K437" s="228"/>
      <c r="L437" s="234"/>
      <c r="M437" s="235"/>
      <c r="N437" s="236"/>
      <c r="O437" s="236"/>
      <c r="P437" s="236"/>
      <c r="Q437" s="236"/>
      <c r="R437" s="236"/>
      <c r="S437" s="236"/>
      <c r="T437" s="237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T437" s="238" t="s">
        <v>211</v>
      </c>
      <c r="AU437" s="238" t="s">
        <v>88</v>
      </c>
      <c r="AV437" s="13" t="s">
        <v>88</v>
      </c>
      <c r="AW437" s="13" t="s">
        <v>213</v>
      </c>
      <c r="AX437" s="13" t="s">
        <v>78</v>
      </c>
      <c r="AY437" s="238" t="s">
        <v>200</v>
      </c>
    </row>
    <row r="438" s="13" customFormat="1">
      <c r="A438" s="13"/>
      <c r="B438" s="227"/>
      <c r="C438" s="228"/>
      <c r="D438" s="229" t="s">
        <v>211</v>
      </c>
      <c r="E438" s="230" t="s">
        <v>32</v>
      </c>
      <c r="F438" s="231" t="s">
        <v>725</v>
      </c>
      <c r="G438" s="228"/>
      <c r="H438" s="232">
        <v>0.00547965</v>
      </c>
      <c r="I438" s="233"/>
      <c r="J438" s="228"/>
      <c r="K438" s="228"/>
      <c r="L438" s="234"/>
      <c r="M438" s="235"/>
      <c r="N438" s="236"/>
      <c r="O438" s="236"/>
      <c r="P438" s="236"/>
      <c r="Q438" s="236"/>
      <c r="R438" s="236"/>
      <c r="S438" s="236"/>
      <c r="T438" s="237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T438" s="238" t="s">
        <v>211</v>
      </c>
      <c r="AU438" s="238" t="s">
        <v>88</v>
      </c>
      <c r="AV438" s="13" t="s">
        <v>88</v>
      </c>
      <c r="AW438" s="13" t="s">
        <v>213</v>
      </c>
      <c r="AX438" s="13" t="s">
        <v>78</v>
      </c>
      <c r="AY438" s="238" t="s">
        <v>200</v>
      </c>
    </row>
    <row r="439" s="14" customFormat="1">
      <c r="A439" s="14"/>
      <c r="B439" s="239"/>
      <c r="C439" s="240"/>
      <c r="D439" s="229" t="s">
        <v>211</v>
      </c>
      <c r="E439" s="241" t="s">
        <v>32</v>
      </c>
      <c r="F439" s="242" t="s">
        <v>220</v>
      </c>
      <c r="G439" s="240"/>
      <c r="H439" s="243">
        <v>1.0399445512500001</v>
      </c>
      <c r="I439" s="244"/>
      <c r="J439" s="240"/>
      <c r="K439" s="240"/>
      <c r="L439" s="245"/>
      <c r="M439" s="246"/>
      <c r="N439" s="247"/>
      <c r="O439" s="247"/>
      <c r="P439" s="247"/>
      <c r="Q439" s="247"/>
      <c r="R439" s="247"/>
      <c r="S439" s="247"/>
      <c r="T439" s="248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T439" s="249" t="s">
        <v>211</v>
      </c>
      <c r="AU439" s="249" t="s">
        <v>88</v>
      </c>
      <c r="AV439" s="14" t="s">
        <v>207</v>
      </c>
      <c r="AW439" s="14" t="s">
        <v>213</v>
      </c>
      <c r="AX439" s="14" t="s">
        <v>86</v>
      </c>
      <c r="AY439" s="249" t="s">
        <v>200</v>
      </c>
    </row>
    <row r="440" s="2" customFormat="1" ht="21.75" customHeight="1">
      <c r="A440" s="40"/>
      <c r="B440" s="41"/>
      <c r="C440" s="209" t="s">
        <v>726</v>
      </c>
      <c r="D440" s="209" t="s">
        <v>202</v>
      </c>
      <c r="E440" s="210" t="s">
        <v>727</v>
      </c>
      <c r="F440" s="211" t="s">
        <v>728</v>
      </c>
      <c r="G440" s="212" t="s">
        <v>272</v>
      </c>
      <c r="H440" s="213">
        <v>26.757000000000001</v>
      </c>
      <c r="I440" s="214"/>
      <c r="J440" s="215">
        <f>ROUND(I440*H440,1)</f>
        <v>0</v>
      </c>
      <c r="K440" s="211" t="s">
        <v>206</v>
      </c>
      <c r="L440" s="46"/>
      <c r="M440" s="216" t="s">
        <v>32</v>
      </c>
      <c r="N440" s="217" t="s">
        <v>49</v>
      </c>
      <c r="O440" s="86"/>
      <c r="P440" s="218">
        <f>O440*H440</f>
        <v>0</v>
      </c>
      <c r="Q440" s="218">
        <v>0.1231</v>
      </c>
      <c r="R440" s="218">
        <f>Q440*H440</f>
        <v>3.2937867000000001</v>
      </c>
      <c r="S440" s="218">
        <v>0</v>
      </c>
      <c r="T440" s="219">
        <f>S440*H440</f>
        <v>0</v>
      </c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R440" s="220" t="s">
        <v>207</v>
      </c>
      <c r="AT440" s="220" t="s">
        <v>202</v>
      </c>
      <c r="AU440" s="220" t="s">
        <v>88</v>
      </c>
      <c r="AY440" s="18" t="s">
        <v>200</v>
      </c>
      <c r="BE440" s="221">
        <f>IF(N440="základní",J440,0)</f>
        <v>0</v>
      </c>
      <c r="BF440" s="221">
        <f>IF(N440="snížená",J440,0)</f>
        <v>0</v>
      </c>
      <c r="BG440" s="221">
        <f>IF(N440="zákl. přenesená",J440,0)</f>
        <v>0</v>
      </c>
      <c r="BH440" s="221">
        <f>IF(N440="sníž. přenesená",J440,0)</f>
        <v>0</v>
      </c>
      <c r="BI440" s="221">
        <f>IF(N440="nulová",J440,0)</f>
        <v>0</v>
      </c>
      <c r="BJ440" s="18" t="s">
        <v>86</v>
      </c>
      <c r="BK440" s="221">
        <f>ROUND(I440*H440,1)</f>
        <v>0</v>
      </c>
      <c r="BL440" s="18" t="s">
        <v>207</v>
      </c>
      <c r="BM440" s="220" t="s">
        <v>729</v>
      </c>
    </row>
    <row r="441" s="2" customFormat="1">
      <c r="A441" s="40"/>
      <c r="B441" s="41"/>
      <c r="C441" s="42"/>
      <c r="D441" s="222" t="s">
        <v>209</v>
      </c>
      <c r="E441" s="42"/>
      <c r="F441" s="223" t="s">
        <v>730</v>
      </c>
      <c r="G441" s="42"/>
      <c r="H441" s="42"/>
      <c r="I441" s="224"/>
      <c r="J441" s="42"/>
      <c r="K441" s="42"/>
      <c r="L441" s="46"/>
      <c r="M441" s="225"/>
      <c r="N441" s="226"/>
      <c r="O441" s="86"/>
      <c r="P441" s="86"/>
      <c r="Q441" s="86"/>
      <c r="R441" s="86"/>
      <c r="S441" s="86"/>
      <c r="T441" s="87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T441" s="18" t="s">
        <v>209</v>
      </c>
      <c r="AU441" s="18" t="s">
        <v>88</v>
      </c>
    </row>
    <row r="442" s="13" customFormat="1">
      <c r="A442" s="13"/>
      <c r="B442" s="227"/>
      <c r="C442" s="228"/>
      <c r="D442" s="229" t="s">
        <v>211</v>
      </c>
      <c r="E442" s="230" t="s">
        <v>32</v>
      </c>
      <c r="F442" s="231" t="s">
        <v>731</v>
      </c>
      <c r="G442" s="228"/>
      <c r="H442" s="232">
        <v>26.757000000000001</v>
      </c>
      <c r="I442" s="233"/>
      <c r="J442" s="228"/>
      <c r="K442" s="228"/>
      <c r="L442" s="234"/>
      <c r="M442" s="235"/>
      <c r="N442" s="236"/>
      <c r="O442" s="236"/>
      <c r="P442" s="236"/>
      <c r="Q442" s="236"/>
      <c r="R442" s="236"/>
      <c r="S442" s="236"/>
      <c r="T442" s="237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T442" s="238" t="s">
        <v>211</v>
      </c>
      <c r="AU442" s="238" t="s">
        <v>88</v>
      </c>
      <c r="AV442" s="13" t="s">
        <v>88</v>
      </c>
      <c r="AW442" s="13" t="s">
        <v>213</v>
      </c>
      <c r="AX442" s="13" t="s">
        <v>86</v>
      </c>
      <c r="AY442" s="238" t="s">
        <v>200</v>
      </c>
    </row>
    <row r="443" s="2" customFormat="1" ht="16.5" customHeight="1">
      <c r="A443" s="40"/>
      <c r="B443" s="41"/>
      <c r="C443" s="209" t="s">
        <v>732</v>
      </c>
      <c r="D443" s="209" t="s">
        <v>202</v>
      </c>
      <c r="E443" s="210" t="s">
        <v>733</v>
      </c>
      <c r="F443" s="211" t="s">
        <v>734</v>
      </c>
      <c r="G443" s="212" t="s">
        <v>449</v>
      </c>
      <c r="H443" s="213">
        <v>7.7999999999999998</v>
      </c>
      <c r="I443" s="214"/>
      <c r="J443" s="215">
        <f>ROUND(I443*H443,1)</f>
        <v>0</v>
      </c>
      <c r="K443" s="211" t="s">
        <v>32</v>
      </c>
      <c r="L443" s="46"/>
      <c r="M443" s="216" t="s">
        <v>32</v>
      </c>
      <c r="N443" s="217" t="s">
        <v>49</v>
      </c>
      <c r="O443" s="86"/>
      <c r="P443" s="218">
        <f>O443*H443</f>
        <v>0</v>
      </c>
      <c r="Q443" s="218">
        <v>0.025159999999999998</v>
      </c>
      <c r="R443" s="218">
        <f>Q443*H443</f>
        <v>0.19624799999999998</v>
      </c>
      <c r="S443" s="218">
        <v>0</v>
      </c>
      <c r="T443" s="219">
        <f>S443*H443</f>
        <v>0</v>
      </c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R443" s="220" t="s">
        <v>207</v>
      </c>
      <c r="AT443" s="220" t="s">
        <v>202</v>
      </c>
      <c r="AU443" s="220" t="s">
        <v>88</v>
      </c>
      <c r="AY443" s="18" t="s">
        <v>200</v>
      </c>
      <c r="BE443" s="221">
        <f>IF(N443="základní",J443,0)</f>
        <v>0</v>
      </c>
      <c r="BF443" s="221">
        <f>IF(N443="snížená",J443,0)</f>
        <v>0</v>
      </c>
      <c r="BG443" s="221">
        <f>IF(N443="zákl. přenesená",J443,0)</f>
        <v>0</v>
      </c>
      <c r="BH443" s="221">
        <f>IF(N443="sníž. přenesená",J443,0)</f>
        <v>0</v>
      </c>
      <c r="BI443" s="221">
        <f>IF(N443="nulová",J443,0)</f>
        <v>0</v>
      </c>
      <c r="BJ443" s="18" t="s">
        <v>86</v>
      </c>
      <c r="BK443" s="221">
        <f>ROUND(I443*H443,1)</f>
        <v>0</v>
      </c>
      <c r="BL443" s="18" t="s">
        <v>207</v>
      </c>
      <c r="BM443" s="220" t="s">
        <v>735</v>
      </c>
    </row>
    <row r="444" s="13" customFormat="1">
      <c r="A444" s="13"/>
      <c r="B444" s="227"/>
      <c r="C444" s="228"/>
      <c r="D444" s="229" t="s">
        <v>211</v>
      </c>
      <c r="E444" s="230" t="s">
        <v>32</v>
      </c>
      <c r="F444" s="231" t="s">
        <v>736</v>
      </c>
      <c r="G444" s="228"/>
      <c r="H444" s="232">
        <v>7.7999999999999998</v>
      </c>
      <c r="I444" s="233"/>
      <c r="J444" s="228"/>
      <c r="K444" s="228"/>
      <c r="L444" s="234"/>
      <c r="M444" s="235"/>
      <c r="N444" s="236"/>
      <c r="O444" s="236"/>
      <c r="P444" s="236"/>
      <c r="Q444" s="236"/>
      <c r="R444" s="236"/>
      <c r="S444" s="236"/>
      <c r="T444" s="237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T444" s="238" t="s">
        <v>211</v>
      </c>
      <c r="AU444" s="238" t="s">
        <v>88</v>
      </c>
      <c r="AV444" s="13" t="s">
        <v>88</v>
      </c>
      <c r="AW444" s="13" t="s">
        <v>213</v>
      </c>
      <c r="AX444" s="13" t="s">
        <v>86</v>
      </c>
      <c r="AY444" s="238" t="s">
        <v>200</v>
      </c>
    </row>
    <row r="445" s="12" customFormat="1" ht="22.8" customHeight="1">
      <c r="A445" s="12"/>
      <c r="B445" s="193"/>
      <c r="C445" s="194"/>
      <c r="D445" s="195" t="s">
        <v>77</v>
      </c>
      <c r="E445" s="207" t="s">
        <v>254</v>
      </c>
      <c r="F445" s="207" t="s">
        <v>737</v>
      </c>
      <c r="G445" s="194"/>
      <c r="H445" s="194"/>
      <c r="I445" s="197"/>
      <c r="J445" s="208">
        <f>BK445</f>
        <v>0</v>
      </c>
      <c r="K445" s="194"/>
      <c r="L445" s="199"/>
      <c r="M445" s="200"/>
      <c r="N445" s="201"/>
      <c r="O445" s="201"/>
      <c r="P445" s="202">
        <f>SUM(P446:P449)</f>
        <v>0</v>
      </c>
      <c r="Q445" s="201"/>
      <c r="R445" s="202">
        <f>SUM(R446:R449)</f>
        <v>6.2816084000000005</v>
      </c>
      <c r="S445" s="201"/>
      <c r="T445" s="203">
        <f>SUM(T446:T449)</f>
        <v>0</v>
      </c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R445" s="204" t="s">
        <v>86</v>
      </c>
      <c r="AT445" s="205" t="s">
        <v>77</v>
      </c>
      <c r="AU445" s="205" t="s">
        <v>86</v>
      </c>
      <c r="AY445" s="204" t="s">
        <v>200</v>
      </c>
      <c r="BK445" s="206">
        <f>SUM(BK446:BK449)</f>
        <v>0</v>
      </c>
    </row>
    <row r="446" s="2" customFormat="1" ht="49.05" customHeight="1">
      <c r="A446" s="40"/>
      <c r="B446" s="41"/>
      <c r="C446" s="209" t="s">
        <v>738</v>
      </c>
      <c r="D446" s="209" t="s">
        <v>202</v>
      </c>
      <c r="E446" s="210" t="s">
        <v>739</v>
      </c>
      <c r="F446" s="211" t="s">
        <v>740</v>
      </c>
      <c r="G446" s="212" t="s">
        <v>205</v>
      </c>
      <c r="H446" s="213">
        <v>3.0800000000000001</v>
      </c>
      <c r="I446" s="214"/>
      <c r="J446" s="215">
        <f>ROUND(I446*H446,1)</f>
        <v>0</v>
      </c>
      <c r="K446" s="211" t="s">
        <v>32</v>
      </c>
      <c r="L446" s="46"/>
      <c r="M446" s="216" t="s">
        <v>32</v>
      </c>
      <c r="N446" s="217" t="s">
        <v>49</v>
      </c>
      <c r="O446" s="86"/>
      <c r="P446" s="218">
        <f>O446*H446</f>
        <v>0</v>
      </c>
      <c r="Q446" s="218">
        <v>1.05409</v>
      </c>
      <c r="R446" s="218">
        <f>Q446*H446</f>
        <v>3.2465972000000001</v>
      </c>
      <c r="S446" s="218">
        <v>0</v>
      </c>
      <c r="T446" s="219">
        <f>S446*H446</f>
        <v>0</v>
      </c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R446" s="220" t="s">
        <v>207</v>
      </c>
      <c r="AT446" s="220" t="s">
        <v>202</v>
      </c>
      <c r="AU446" s="220" t="s">
        <v>88</v>
      </c>
      <c r="AY446" s="18" t="s">
        <v>200</v>
      </c>
      <c r="BE446" s="221">
        <f>IF(N446="základní",J446,0)</f>
        <v>0</v>
      </c>
      <c r="BF446" s="221">
        <f>IF(N446="snížená",J446,0)</f>
        <v>0</v>
      </c>
      <c r="BG446" s="221">
        <f>IF(N446="zákl. přenesená",J446,0)</f>
        <v>0</v>
      </c>
      <c r="BH446" s="221">
        <f>IF(N446="sníž. přenesená",J446,0)</f>
        <v>0</v>
      </c>
      <c r="BI446" s="221">
        <f>IF(N446="nulová",J446,0)</f>
        <v>0</v>
      </c>
      <c r="BJ446" s="18" t="s">
        <v>86</v>
      </c>
      <c r="BK446" s="221">
        <f>ROUND(I446*H446,1)</f>
        <v>0</v>
      </c>
      <c r="BL446" s="18" t="s">
        <v>207</v>
      </c>
      <c r="BM446" s="220" t="s">
        <v>741</v>
      </c>
    </row>
    <row r="447" s="13" customFormat="1">
      <c r="A447" s="13"/>
      <c r="B447" s="227"/>
      <c r="C447" s="228"/>
      <c r="D447" s="229" t="s">
        <v>211</v>
      </c>
      <c r="E447" s="230" t="s">
        <v>32</v>
      </c>
      <c r="F447" s="231" t="s">
        <v>742</v>
      </c>
      <c r="G447" s="228"/>
      <c r="H447" s="232">
        <v>3.0800000000000001</v>
      </c>
      <c r="I447" s="233"/>
      <c r="J447" s="228"/>
      <c r="K447" s="228"/>
      <c r="L447" s="234"/>
      <c r="M447" s="235"/>
      <c r="N447" s="236"/>
      <c r="O447" s="236"/>
      <c r="P447" s="236"/>
      <c r="Q447" s="236"/>
      <c r="R447" s="236"/>
      <c r="S447" s="236"/>
      <c r="T447" s="237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T447" s="238" t="s">
        <v>211</v>
      </c>
      <c r="AU447" s="238" t="s">
        <v>88</v>
      </c>
      <c r="AV447" s="13" t="s">
        <v>88</v>
      </c>
      <c r="AW447" s="13" t="s">
        <v>213</v>
      </c>
      <c r="AX447" s="13" t="s">
        <v>86</v>
      </c>
      <c r="AY447" s="238" t="s">
        <v>200</v>
      </c>
    </row>
    <row r="448" s="2" customFormat="1" ht="49.05" customHeight="1">
      <c r="A448" s="40"/>
      <c r="B448" s="41"/>
      <c r="C448" s="209" t="s">
        <v>743</v>
      </c>
      <c r="D448" s="209" t="s">
        <v>202</v>
      </c>
      <c r="E448" s="210" t="s">
        <v>744</v>
      </c>
      <c r="F448" s="211" t="s">
        <v>745</v>
      </c>
      <c r="G448" s="212" t="s">
        <v>205</v>
      </c>
      <c r="H448" s="213">
        <v>2.0800000000000001</v>
      </c>
      <c r="I448" s="214"/>
      <c r="J448" s="215">
        <f>ROUND(I448*H448,1)</f>
        <v>0</v>
      </c>
      <c r="K448" s="211" t="s">
        <v>32</v>
      </c>
      <c r="L448" s="46"/>
      <c r="M448" s="216" t="s">
        <v>32</v>
      </c>
      <c r="N448" s="217" t="s">
        <v>49</v>
      </c>
      <c r="O448" s="86"/>
      <c r="P448" s="218">
        <f>O448*H448</f>
        <v>0</v>
      </c>
      <c r="Q448" s="218">
        <v>1.4591400000000001</v>
      </c>
      <c r="R448" s="218">
        <f>Q448*H448</f>
        <v>3.0350112000000005</v>
      </c>
      <c r="S448" s="218">
        <v>0</v>
      </c>
      <c r="T448" s="219">
        <f>S448*H448</f>
        <v>0</v>
      </c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R448" s="220" t="s">
        <v>207</v>
      </c>
      <c r="AT448" s="220" t="s">
        <v>202</v>
      </c>
      <c r="AU448" s="220" t="s">
        <v>88</v>
      </c>
      <c r="AY448" s="18" t="s">
        <v>200</v>
      </c>
      <c r="BE448" s="221">
        <f>IF(N448="základní",J448,0)</f>
        <v>0</v>
      </c>
      <c r="BF448" s="221">
        <f>IF(N448="snížená",J448,0)</f>
        <v>0</v>
      </c>
      <c r="BG448" s="221">
        <f>IF(N448="zákl. přenesená",J448,0)</f>
        <v>0</v>
      </c>
      <c r="BH448" s="221">
        <f>IF(N448="sníž. přenesená",J448,0)</f>
        <v>0</v>
      </c>
      <c r="BI448" s="221">
        <f>IF(N448="nulová",J448,0)</f>
        <v>0</v>
      </c>
      <c r="BJ448" s="18" t="s">
        <v>86</v>
      </c>
      <c r="BK448" s="221">
        <f>ROUND(I448*H448,1)</f>
        <v>0</v>
      </c>
      <c r="BL448" s="18" t="s">
        <v>207</v>
      </c>
      <c r="BM448" s="220" t="s">
        <v>746</v>
      </c>
    </row>
    <row r="449" s="13" customFormat="1">
      <c r="A449" s="13"/>
      <c r="B449" s="227"/>
      <c r="C449" s="228"/>
      <c r="D449" s="229" t="s">
        <v>211</v>
      </c>
      <c r="E449" s="230" t="s">
        <v>32</v>
      </c>
      <c r="F449" s="231" t="s">
        <v>747</v>
      </c>
      <c r="G449" s="228"/>
      <c r="H449" s="232">
        <v>2.0800000000000001</v>
      </c>
      <c r="I449" s="233"/>
      <c r="J449" s="228"/>
      <c r="K449" s="228"/>
      <c r="L449" s="234"/>
      <c r="M449" s="235"/>
      <c r="N449" s="236"/>
      <c r="O449" s="236"/>
      <c r="P449" s="236"/>
      <c r="Q449" s="236"/>
      <c r="R449" s="236"/>
      <c r="S449" s="236"/>
      <c r="T449" s="237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T449" s="238" t="s">
        <v>211</v>
      </c>
      <c r="AU449" s="238" t="s">
        <v>88</v>
      </c>
      <c r="AV449" s="13" t="s">
        <v>88</v>
      </c>
      <c r="AW449" s="13" t="s">
        <v>213</v>
      </c>
      <c r="AX449" s="13" t="s">
        <v>86</v>
      </c>
      <c r="AY449" s="238" t="s">
        <v>200</v>
      </c>
    </row>
    <row r="450" s="12" customFormat="1" ht="22.8" customHeight="1">
      <c r="A450" s="12"/>
      <c r="B450" s="193"/>
      <c r="C450" s="194"/>
      <c r="D450" s="195" t="s">
        <v>77</v>
      </c>
      <c r="E450" s="207" t="s">
        <v>261</v>
      </c>
      <c r="F450" s="207" t="s">
        <v>748</v>
      </c>
      <c r="G450" s="194"/>
      <c r="H450" s="194"/>
      <c r="I450" s="197"/>
      <c r="J450" s="208">
        <f>BK450</f>
        <v>0</v>
      </c>
      <c r="K450" s="194"/>
      <c r="L450" s="199"/>
      <c r="M450" s="200"/>
      <c r="N450" s="201"/>
      <c r="O450" s="201"/>
      <c r="P450" s="202">
        <f>SUM(P451:P613)</f>
        <v>0</v>
      </c>
      <c r="Q450" s="201"/>
      <c r="R450" s="202">
        <f>SUM(R451:R613)</f>
        <v>48.534364099999998</v>
      </c>
      <c r="S450" s="201"/>
      <c r="T450" s="203">
        <f>SUM(T451:T613)</f>
        <v>0</v>
      </c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R450" s="204" t="s">
        <v>86</v>
      </c>
      <c r="AT450" s="205" t="s">
        <v>77</v>
      </c>
      <c r="AU450" s="205" t="s">
        <v>86</v>
      </c>
      <c r="AY450" s="204" t="s">
        <v>200</v>
      </c>
      <c r="BK450" s="206">
        <f>SUM(BK451:BK613)</f>
        <v>0</v>
      </c>
    </row>
    <row r="451" s="2" customFormat="1" ht="24.15" customHeight="1">
      <c r="A451" s="40"/>
      <c r="B451" s="41"/>
      <c r="C451" s="209" t="s">
        <v>749</v>
      </c>
      <c r="D451" s="209" t="s">
        <v>202</v>
      </c>
      <c r="E451" s="210" t="s">
        <v>750</v>
      </c>
      <c r="F451" s="211" t="s">
        <v>751</v>
      </c>
      <c r="G451" s="212" t="s">
        <v>272</v>
      </c>
      <c r="H451" s="213">
        <v>1233.2819999999999</v>
      </c>
      <c r="I451" s="214"/>
      <c r="J451" s="215">
        <f>ROUND(I451*H451,1)</f>
        <v>0</v>
      </c>
      <c r="K451" s="211" t="s">
        <v>206</v>
      </c>
      <c r="L451" s="46"/>
      <c r="M451" s="216" t="s">
        <v>32</v>
      </c>
      <c r="N451" s="217" t="s">
        <v>49</v>
      </c>
      <c r="O451" s="86"/>
      <c r="P451" s="218">
        <f>O451*H451</f>
        <v>0</v>
      </c>
      <c r="Q451" s="218">
        <v>0</v>
      </c>
      <c r="R451" s="218">
        <f>Q451*H451</f>
        <v>0</v>
      </c>
      <c r="S451" s="218">
        <v>0</v>
      </c>
      <c r="T451" s="219">
        <f>S451*H451</f>
        <v>0</v>
      </c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R451" s="220" t="s">
        <v>207</v>
      </c>
      <c r="AT451" s="220" t="s">
        <v>202</v>
      </c>
      <c r="AU451" s="220" t="s">
        <v>88</v>
      </c>
      <c r="AY451" s="18" t="s">
        <v>200</v>
      </c>
      <c r="BE451" s="221">
        <f>IF(N451="základní",J451,0)</f>
        <v>0</v>
      </c>
      <c r="BF451" s="221">
        <f>IF(N451="snížená",J451,0)</f>
        <v>0</v>
      </c>
      <c r="BG451" s="221">
        <f>IF(N451="zákl. přenesená",J451,0)</f>
        <v>0</v>
      </c>
      <c r="BH451" s="221">
        <f>IF(N451="sníž. přenesená",J451,0)</f>
        <v>0</v>
      </c>
      <c r="BI451" s="221">
        <f>IF(N451="nulová",J451,0)</f>
        <v>0</v>
      </c>
      <c r="BJ451" s="18" t="s">
        <v>86</v>
      </c>
      <c r="BK451" s="221">
        <f>ROUND(I451*H451,1)</f>
        <v>0</v>
      </c>
      <c r="BL451" s="18" t="s">
        <v>207</v>
      </c>
      <c r="BM451" s="220" t="s">
        <v>752</v>
      </c>
    </row>
    <row r="452" s="2" customFormat="1">
      <c r="A452" s="40"/>
      <c r="B452" s="41"/>
      <c r="C452" s="42"/>
      <c r="D452" s="222" t="s">
        <v>209</v>
      </c>
      <c r="E452" s="42"/>
      <c r="F452" s="223" t="s">
        <v>753</v>
      </c>
      <c r="G452" s="42"/>
      <c r="H452" s="42"/>
      <c r="I452" s="224"/>
      <c r="J452" s="42"/>
      <c r="K452" s="42"/>
      <c r="L452" s="46"/>
      <c r="M452" s="225"/>
      <c r="N452" s="226"/>
      <c r="O452" s="86"/>
      <c r="P452" s="86"/>
      <c r="Q452" s="86"/>
      <c r="R452" s="86"/>
      <c r="S452" s="86"/>
      <c r="T452" s="87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T452" s="18" t="s">
        <v>209</v>
      </c>
      <c r="AU452" s="18" t="s">
        <v>88</v>
      </c>
    </row>
    <row r="453" s="13" customFormat="1">
      <c r="A453" s="13"/>
      <c r="B453" s="227"/>
      <c r="C453" s="228"/>
      <c r="D453" s="229" t="s">
        <v>211</v>
      </c>
      <c r="E453" s="230" t="s">
        <v>32</v>
      </c>
      <c r="F453" s="231" t="s">
        <v>754</v>
      </c>
      <c r="G453" s="228"/>
      <c r="H453" s="232">
        <v>1233.2819999999999</v>
      </c>
      <c r="I453" s="233"/>
      <c r="J453" s="228"/>
      <c r="K453" s="228"/>
      <c r="L453" s="234"/>
      <c r="M453" s="235"/>
      <c r="N453" s="236"/>
      <c r="O453" s="236"/>
      <c r="P453" s="236"/>
      <c r="Q453" s="236"/>
      <c r="R453" s="236"/>
      <c r="S453" s="236"/>
      <c r="T453" s="237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T453" s="238" t="s">
        <v>211</v>
      </c>
      <c r="AU453" s="238" t="s">
        <v>88</v>
      </c>
      <c r="AV453" s="13" t="s">
        <v>88</v>
      </c>
      <c r="AW453" s="13" t="s">
        <v>213</v>
      </c>
      <c r="AX453" s="13" t="s">
        <v>86</v>
      </c>
      <c r="AY453" s="238" t="s">
        <v>200</v>
      </c>
    </row>
    <row r="454" s="2" customFormat="1" ht="24.15" customHeight="1">
      <c r="A454" s="40"/>
      <c r="B454" s="41"/>
      <c r="C454" s="209" t="s">
        <v>755</v>
      </c>
      <c r="D454" s="209" t="s">
        <v>202</v>
      </c>
      <c r="E454" s="210" t="s">
        <v>756</v>
      </c>
      <c r="F454" s="211" t="s">
        <v>757</v>
      </c>
      <c r="G454" s="212" t="s">
        <v>272</v>
      </c>
      <c r="H454" s="213">
        <v>184992.29999999999</v>
      </c>
      <c r="I454" s="214"/>
      <c r="J454" s="215">
        <f>ROUND(I454*H454,1)</f>
        <v>0</v>
      </c>
      <c r="K454" s="211" t="s">
        <v>206</v>
      </c>
      <c r="L454" s="46"/>
      <c r="M454" s="216" t="s">
        <v>32</v>
      </c>
      <c r="N454" s="217" t="s">
        <v>49</v>
      </c>
      <c r="O454" s="86"/>
      <c r="P454" s="218">
        <f>O454*H454</f>
        <v>0</v>
      </c>
      <c r="Q454" s="218">
        <v>0</v>
      </c>
      <c r="R454" s="218">
        <f>Q454*H454</f>
        <v>0</v>
      </c>
      <c r="S454" s="218">
        <v>0</v>
      </c>
      <c r="T454" s="219">
        <f>S454*H454</f>
        <v>0</v>
      </c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R454" s="220" t="s">
        <v>207</v>
      </c>
      <c r="AT454" s="220" t="s">
        <v>202</v>
      </c>
      <c r="AU454" s="220" t="s">
        <v>88</v>
      </c>
      <c r="AY454" s="18" t="s">
        <v>200</v>
      </c>
      <c r="BE454" s="221">
        <f>IF(N454="základní",J454,0)</f>
        <v>0</v>
      </c>
      <c r="BF454" s="221">
        <f>IF(N454="snížená",J454,0)</f>
        <v>0</v>
      </c>
      <c r="BG454" s="221">
        <f>IF(N454="zákl. přenesená",J454,0)</f>
        <v>0</v>
      </c>
      <c r="BH454" s="221">
        <f>IF(N454="sníž. přenesená",J454,0)</f>
        <v>0</v>
      </c>
      <c r="BI454" s="221">
        <f>IF(N454="nulová",J454,0)</f>
        <v>0</v>
      </c>
      <c r="BJ454" s="18" t="s">
        <v>86</v>
      </c>
      <c r="BK454" s="221">
        <f>ROUND(I454*H454,1)</f>
        <v>0</v>
      </c>
      <c r="BL454" s="18" t="s">
        <v>207</v>
      </c>
      <c r="BM454" s="220" t="s">
        <v>758</v>
      </c>
    </row>
    <row r="455" s="2" customFormat="1">
      <c r="A455" s="40"/>
      <c r="B455" s="41"/>
      <c r="C455" s="42"/>
      <c r="D455" s="222" t="s">
        <v>209</v>
      </c>
      <c r="E455" s="42"/>
      <c r="F455" s="223" t="s">
        <v>759</v>
      </c>
      <c r="G455" s="42"/>
      <c r="H455" s="42"/>
      <c r="I455" s="224"/>
      <c r="J455" s="42"/>
      <c r="K455" s="42"/>
      <c r="L455" s="46"/>
      <c r="M455" s="225"/>
      <c r="N455" s="226"/>
      <c r="O455" s="86"/>
      <c r="P455" s="86"/>
      <c r="Q455" s="86"/>
      <c r="R455" s="86"/>
      <c r="S455" s="86"/>
      <c r="T455" s="87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T455" s="18" t="s">
        <v>209</v>
      </c>
      <c r="AU455" s="18" t="s">
        <v>88</v>
      </c>
    </row>
    <row r="456" s="13" customFormat="1">
      <c r="A456" s="13"/>
      <c r="B456" s="227"/>
      <c r="C456" s="228"/>
      <c r="D456" s="229" t="s">
        <v>211</v>
      </c>
      <c r="E456" s="230" t="s">
        <v>32</v>
      </c>
      <c r="F456" s="231" t="s">
        <v>760</v>
      </c>
      <c r="G456" s="228"/>
      <c r="H456" s="232">
        <v>184992.29999999999</v>
      </c>
      <c r="I456" s="233"/>
      <c r="J456" s="228"/>
      <c r="K456" s="228"/>
      <c r="L456" s="234"/>
      <c r="M456" s="235"/>
      <c r="N456" s="236"/>
      <c r="O456" s="236"/>
      <c r="P456" s="236"/>
      <c r="Q456" s="236"/>
      <c r="R456" s="236"/>
      <c r="S456" s="236"/>
      <c r="T456" s="237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T456" s="238" t="s">
        <v>211</v>
      </c>
      <c r="AU456" s="238" t="s">
        <v>88</v>
      </c>
      <c r="AV456" s="13" t="s">
        <v>88</v>
      </c>
      <c r="AW456" s="13" t="s">
        <v>213</v>
      </c>
      <c r="AX456" s="13" t="s">
        <v>86</v>
      </c>
      <c r="AY456" s="238" t="s">
        <v>200</v>
      </c>
    </row>
    <row r="457" s="2" customFormat="1" ht="24.15" customHeight="1">
      <c r="A457" s="40"/>
      <c r="B457" s="41"/>
      <c r="C457" s="209" t="s">
        <v>761</v>
      </c>
      <c r="D457" s="209" t="s">
        <v>202</v>
      </c>
      <c r="E457" s="210" t="s">
        <v>762</v>
      </c>
      <c r="F457" s="211" t="s">
        <v>763</v>
      </c>
      <c r="G457" s="212" t="s">
        <v>272</v>
      </c>
      <c r="H457" s="213">
        <v>1233.2819999999999</v>
      </c>
      <c r="I457" s="214"/>
      <c r="J457" s="215">
        <f>ROUND(I457*H457,1)</f>
        <v>0</v>
      </c>
      <c r="K457" s="211" t="s">
        <v>206</v>
      </c>
      <c r="L457" s="46"/>
      <c r="M457" s="216" t="s">
        <v>32</v>
      </c>
      <c r="N457" s="217" t="s">
        <v>49</v>
      </c>
      <c r="O457" s="86"/>
      <c r="P457" s="218">
        <f>O457*H457</f>
        <v>0</v>
      </c>
      <c r="Q457" s="218">
        <v>0</v>
      </c>
      <c r="R457" s="218">
        <f>Q457*H457</f>
        <v>0</v>
      </c>
      <c r="S457" s="218">
        <v>0</v>
      </c>
      <c r="T457" s="219">
        <f>S457*H457</f>
        <v>0</v>
      </c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R457" s="220" t="s">
        <v>207</v>
      </c>
      <c r="AT457" s="220" t="s">
        <v>202</v>
      </c>
      <c r="AU457" s="220" t="s">
        <v>88</v>
      </c>
      <c r="AY457" s="18" t="s">
        <v>200</v>
      </c>
      <c r="BE457" s="221">
        <f>IF(N457="základní",J457,0)</f>
        <v>0</v>
      </c>
      <c r="BF457" s="221">
        <f>IF(N457="snížená",J457,0)</f>
        <v>0</v>
      </c>
      <c r="BG457" s="221">
        <f>IF(N457="zákl. přenesená",J457,0)</f>
        <v>0</v>
      </c>
      <c r="BH457" s="221">
        <f>IF(N457="sníž. přenesená",J457,0)</f>
        <v>0</v>
      </c>
      <c r="BI457" s="221">
        <f>IF(N457="nulová",J457,0)</f>
        <v>0</v>
      </c>
      <c r="BJ457" s="18" t="s">
        <v>86</v>
      </c>
      <c r="BK457" s="221">
        <f>ROUND(I457*H457,1)</f>
        <v>0</v>
      </c>
      <c r="BL457" s="18" t="s">
        <v>207</v>
      </c>
      <c r="BM457" s="220" t="s">
        <v>764</v>
      </c>
    </row>
    <row r="458" s="2" customFormat="1">
      <c r="A458" s="40"/>
      <c r="B458" s="41"/>
      <c r="C458" s="42"/>
      <c r="D458" s="222" t="s">
        <v>209</v>
      </c>
      <c r="E458" s="42"/>
      <c r="F458" s="223" t="s">
        <v>765</v>
      </c>
      <c r="G458" s="42"/>
      <c r="H458" s="42"/>
      <c r="I458" s="224"/>
      <c r="J458" s="42"/>
      <c r="K458" s="42"/>
      <c r="L458" s="46"/>
      <c r="M458" s="225"/>
      <c r="N458" s="226"/>
      <c r="O458" s="86"/>
      <c r="P458" s="86"/>
      <c r="Q458" s="86"/>
      <c r="R458" s="86"/>
      <c r="S458" s="86"/>
      <c r="T458" s="87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T458" s="18" t="s">
        <v>209</v>
      </c>
      <c r="AU458" s="18" t="s">
        <v>88</v>
      </c>
    </row>
    <row r="459" s="2" customFormat="1" ht="24.15" customHeight="1">
      <c r="A459" s="40"/>
      <c r="B459" s="41"/>
      <c r="C459" s="209" t="s">
        <v>766</v>
      </c>
      <c r="D459" s="209" t="s">
        <v>202</v>
      </c>
      <c r="E459" s="210" t="s">
        <v>767</v>
      </c>
      <c r="F459" s="211" t="s">
        <v>768</v>
      </c>
      <c r="G459" s="212" t="s">
        <v>205</v>
      </c>
      <c r="H459" s="213">
        <v>1110.25</v>
      </c>
      <c r="I459" s="214"/>
      <c r="J459" s="215">
        <f>ROUND(I459*H459,1)</f>
        <v>0</v>
      </c>
      <c r="K459" s="211" t="s">
        <v>206</v>
      </c>
      <c r="L459" s="46"/>
      <c r="M459" s="216" t="s">
        <v>32</v>
      </c>
      <c r="N459" s="217" t="s">
        <v>49</v>
      </c>
      <c r="O459" s="86"/>
      <c r="P459" s="218">
        <f>O459*H459</f>
        <v>0</v>
      </c>
      <c r="Q459" s="218">
        <v>0</v>
      </c>
      <c r="R459" s="218">
        <f>Q459*H459</f>
        <v>0</v>
      </c>
      <c r="S459" s="218">
        <v>0</v>
      </c>
      <c r="T459" s="219">
        <f>S459*H459</f>
        <v>0</v>
      </c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R459" s="220" t="s">
        <v>207</v>
      </c>
      <c r="AT459" s="220" t="s">
        <v>202</v>
      </c>
      <c r="AU459" s="220" t="s">
        <v>88</v>
      </c>
      <c r="AY459" s="18" t="s">
        <v>200</v>
      </c>
      <c r="BE459" s="221">
        <f>IF(N459="základní",J459,0)</f>
        <v>0</v>
      </c>
      <c r="BF459" s="221">
        <f>IF(N459="snížená",J459,0)</f>
        <v>0</v>
      </c>
      <c r="BG459" s="221">
        <f>IF(N459="zákl. přenesená",J459,0)</f>
        <v>0</v>
      </c>
      <c r="BH459" s="221">
        <f>IF(N459="sníž. přenesená",J459,0)</f>
        <v>0</v>
      </c>
      <c r="BI459" s="221">
        <f>IF(N459="nulová",J459,0)</f>
        <v>0</v>
      </c>
      <c r="BJ459" s="18" t="s">
        <v>86</v>
      </c>
      <c r="BK459" s="221">
        <f>ROUND(I459*H459,1)</f>
        <v>0</v>
      </c>
      <c r="BL459" s="18" t="s">
        <v>207</v>
      </c>
      <c r="BM459" s="220" t="s">
        <v>769</v>
      </c>
    </row>
    <row r="460" s="2" customFormat="1">
      <c r="A460" s="40"/>
      <c r="B460" s="41"/>
      <c r="C460" s="42"/>
      <c r="D460" s="222" t="s">
        <v>209</v>
      </c>
      <c r="E460" s="42"/>
      <c r="F460" s="223" t="s">
        <v>770</v>
      </c>
      <c r="G460" s="42"/>
      <c r="H460" s="42"/>
      <c r="I460" s="224"/>
      <c r="J460" s="42"/>
      <c r="K460" s="42"/>
      <c r="L460" s="46"/>
      <c r="M460" s="225"/>
      <c r="N460" s="226"/>
      <c r="O460" s="86"/>
      <c r="P460" s="86"/>
      <c r="Q460" s="86"/>
      <c r="R460" s="86"/>
      <c r="S460" s="86"/>
      <c r="T460" s="87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T460" s="18" t="s">
        <v>209</v>
      </c>
      <c r="AU460" s="18" t="s">
        <v>88</v>
      </c>
    </row>
    <row r="461" s="13" customFormat="1">
      <c r="A461" s="13"/>
      <c r="B461" s="227"/>
      <c r="C461" s="228"/>
      <c r="D461" s="229" t="s">
        <v>211</v>
      </c>
      <c r="E461" s="230" t="s">
        <v>32</v>
      </c>
      <c r="F461" s="231" t="s">
        <v>771</v>
      </c>
      <c r="G461" s="228"/>
      <c r="H461" s="232">
        <v>378.94999999999999</v>
      </c>
      <c r="I461" s="233"/>
      <c r="J461" s="228"/>
      <c r="K461" s="228"/>
      <c r="L461" s="234"/>
      <c r="M461" s="235"/>
      <c r="N461" s="236"/>
      <c r="O461" s="236"/>
      <c r="P461" s="236"/>
      <c r="Q461" s="236"/>
      <c r="R461" s="236"/>
      <c r="S461" s="236"/>
      <c r="T461" s="237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T461" s="238" t="s">
        <v>211</v>
      </c>
      <c r="AU461" s="238" t="s">
        <v>88</v>
      </c>
      <c r="AV461" s="13" t="s">
        <v>88</v>
      </c>
      <c r="AW461" s="13" t="s">
        <v>213</v>
      </c>
      <c r="AX461" s="13" t="s">
        <v>78</v>
      </c>
      <c r="AY461" s="238" t="s">
        <v>200</v>
      </c>
    </row>
    <row r="462" s="13" customFormat="1">
      <c r="A462" s="13"/>
      <c r="B462" s="227"/>
      <c r="C462" s="228"/>
      <c r="D462" s="229" t="s">
        <v>211</v>
      </c>
      <c r="E462" s="230" t="s">
        <v>32</v>
      </c>
      <c r="F462" s="231" t="s">
        <v>772</v>
      </c>
      <c r="G462" s="228"/>
      <c r="H462" s="232">
        <v>731.29999999999995</v>
      </c>
      <c r="I462" s="233"/>
      <c r="J462" s="228"/>
      <c r="K462" s="228"/>
      <c r="L462" s="234"/>
      <c r="M462" s="235"/>
      <c r="N462" s="236"/>
      <c r="O462" s="236"/>
      <c r="P462" s="236"/>
      <c r="Q462" s="236"/>
      <c r="R462" s="236"/>
      <c r="S462" s="236"/>
      <c r="T462" s="237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T462" s="238" t="s">
        <v>211</v>
      </c>
      <c r="AU462" s="238" t="s">
        <v>88</v>
      </c>
      <c r="AV462" s="13" t="s">
        <v>88</v>
      </c>
      <c r="AW462" s="13" t="s">
        <v>213</v>
      </c>
      <c r="AX462" s="13" t="s">
        <v>78</v>
      </c>
      <c r="AY462" s="238" t="s">
        <v>200</v>
      </c>
    </row>
    <row r="463" s="14" customFormat="1">
      <c r="A463" s="14"/>
      <c r="B463" s="239"/>
      <c r="C463" s="240"/>
      <c r="D463" s="229" t="s">
        <v>211</v>
      </c>
      <c r="E463" s="241" t="s">
        <v>32</v>
      </c>
      <c r="F463" s="242" t="s">
        <v>220</v>
      </c>
      <c r="G463" s="240"/>
      <c r="H463" s="243">
        <v>1110.25</v>
      </c>
      <c r="I463" s="244"/>
      <c r="J463" s="240"/>
      <c r="K463" s="240"/>
      <c r="L463" s="245"/>
      <c r="M463" s="246"/>
      <c r="N463" s="247"/>
      <c r="O463" s="247"/>
      <c r="P463" s="247"/>
      <c r="Q463" s="247"/>
      <c r="R463" s="247"/>
      <c r="S463" s="247"/>
      <c r="T463" s="248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T463" s="249" t="s">
        <v>211</v>
      </c>
      <c r="AU463" s="249" t="s">
        <v>88</v>
      </c>
      <c r="AV463" s="14" t="s">
        <v>207</v>
      </c>
      <c r="AW463" s="14" t="s">
        <v>213</v>
      </c>
      <c r="AX463" s="14" t="s">
        <v>86</v>
      </c>
      <c r="AY463" s="249" t="s">
        <v>200</v>
      </c>
    </row>
    <row r="464" s="2" customFormat="1" ht="24.15" customHeight="1">
      <c r="A464" s="40"/>
      <c r="B464" s="41"/>
      <c r="C464" s="209" t="s">
        <v>773</v>
      </c>
      <c r="D464" s="209" t="s">
        <v>202</v>
      </c>
      <c r="E464" s="210" t="s">
        <v>774</v>
      </c>
      <c r="F464" s="211" t="s">
        <v>775</v>
      </c>
      <c r="G464" s="212" t="s">
        <v>205</v>
      </c>
      <c r="H464" s="213">
        <v>66615</v>
      </c>
      <c r="I464" s="214"/>
      <c r="J464" s="215">
        <f>ROUND(I464*H464,1)</f>
        <v>0</v>
      </c>
      <c r="K464" s="211" t="s">
        <v>206</v>
      </c>
      <c r="L464" s="46"/>
      <c r="M464" s="216" t="s">
        <v>32</v>
      </c>
      <c r="N464" s="217" t="s">
        <v>49</v>
      </c>
      <c r="O464" s="86"/>
      <c r="P464" s="218">
        <f>O464*H464</f>
        <v>0</v>
      </c>
      <c r="Q464" s="218">
        <v>0</v>
      </c>
      <c r="R464" s="218">
        <f>Q464*H464</f>
        <v>0</v>
      </c>
      <c r="S464" s="218">
        <v>0</v>
      </c>
      <c r="T464" s="219">
        <f>S464*H464</f>
        <v>0</v>
      </c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R464" s="220" t="s">
        <v>207</v>
      </c>
      <c r="AT464" s="220" t="s">
        <v>202</v>
      </c>
      <c r="AU464" s="220" t="s">
        <v>88</v>
      </c>
      <c r="AY464" s="18" t="s">
        <v>200</v>
      </c>
      <c r="BE464" s="221">
        <f>IF(N464="základní",J464,0)</f>
        <v>0</v>
      </c>
      <c r="BF464" s="221">
        <f>IF(N464="snížená",J464,0)</f>
        <v>0</v>
      </c>
      <c r="BG464" s="221">
        <f>IF(N464="zákl. přenesená",J464,0)</f>
        <v>0</v>
      </c>
      <c r="BH464" s="221">
        <f>IF(N464="sníž. přenesená",J464,0)</f>
        <v>0</v>
      </c>
      <c r="BI464" s="221">
        <f>IF(N464="nulová",J464,0)</f>
        <v>0</v>
      </c>
      <c r="BJ464" s="18" t="s">
        <v>86</v>
      </c>
      <c r="BK464" s="221">
        <f>ROUND(I464*H464,1)</f>
        <v>0</v>
      </c>
      <c r="BL464" s="18" t="s">
        <v>207</v>
      </c>
      <c r="BM464" s="220" t="s">
        <v>776</v>
      </c>
    </row>
    <row r="465" s="2" customFormat="1">
      <c r="A465" s="40"/>
      <c r="B465" s="41"/>
      <c r="C465" s="42"/>
      <c r="D465" s="222" t="s">
        <v>209</v>
      </c>
      <c r="E465" s="42"/>
      <c r="F465" s="223" t="s">
        <v>777</v>
      </c>
      <c r="G465" s="42"/>
      <c r="H465" s="42"/>
      <c r="I465" s="224"/>
      <c r="J465" s="42"/>
      <c r="K465" s="42"/>
      <c r="L465" s="46"/>
      <c r="M465" s="225"/>
      <c r="N465" s="226"/>
      <c r="O465" s="86"/>
      <c r="P465" s="86"/>
      <c r="Q465" s="86"/>
      <c r="R465" s="86"/>
      <c r="S465" s="86"/>
      <c r="T465" s="87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T465" s="18" t="s">
        <v>209</v>
      </c>
      <c r="AU465" s="18" t="s">
        <v>88</v>
      </c>
    </row>
    <row r="466" s="13" customFormat="1">
      <c r="A466" s="13"/>
      <c r="B466" s="227"/>
      <c r="C466" s="228"/>
      <c r="D466" s="229" t="s">
        <v>211</v>
      </c>
      <c r="E466" s="230" t="s">
        <v>32</v>
      </c>
      <c r="F466" s="231" t="s">
        <v>778</v>
      </c>
      <c r="G466" s="228"/>
      <c r="H466" s="232">
        <v>66615</v>
      </c>
      <c r="I466" s="233"/>
      <c r="J466" s="228"/>
      <c r="K466" s="228"/>
      <c r="L466" s="234"/>
      <c r="M466" s="235"/>
      <c r="N466" s="236"/>
      <c r="O466" s="236"/>
      <c r="P466" s="236"/>
      <c r="Q466" s="236"/>
      <c r="R466" s="236"/>
      <c r="S466" s="236"/>
      <c r="T466" s="237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T466" s="238" t="s">
        <v>211</v>
      </c>
      <c r="AU466" s="238" t="s">
        <v>88</v>
      </c>
      <c r="AV466" s="13" t="s">
        <v>88</v>
      </c>
      <c r="AW466" s="13" t="s">
        <v>213</v>
      </c>
      <c r="AX466" s="13" t="s">
        <v>86</v>
      </c>
      <c r="AY466" s="238" t="s">
        <v>200</v>
      </c>
    </row>
    <row r="467" s="2" customFormat="1" ht="24.15" customHeight="1">
      <c r="A467" s="40"/>
      <c r="B467" s="41"/>
      <c r="C467" s="209" t="s">
        <v>779</v>
      </c>
      <c r="D467" s="209" t="s">
        <v>202</v>
      </c>
      <c r="E467" s="210" t="s">
        <v>780</v>
      </c>
      <c r="F467" s="211" t="s">
        <v>781</v>
      </c>
      <c r="G467" s="212" t="s">
        <v>205</v>
      </c>
      <c r="H467" s="213">
        <v>1110.25</v>
      </c>
      <c r="I467" s="214"/>
      <c r="J467" s="215">
        <f>ROUND(I467*H467,1)</f>
        <v>0</v>
      </c>
      <c r="K467" s="211" t="s">
        <v>206</v>
      </c>
      <c r="L467" s="46"/>
      <c r="M467" s="216" t="s">
        <v>32</v>
      </c>
      <c r="N467" s="217" t="s">
        <v>49</v>
      </c>
      <c r="O467" s="86"/>
      <c r="P467" s="218">
        <f>O467*H467</f>
        <v>0</v>
      </c>
      <c r="Q467" s="218">
        <v>0</v>
      </c>
      <c r="R467" s="218">
        <f>Q467*H467</f>
        <v>0</v>
      </c>
      <c r="S467" s="218">
        <v>0</v>
      </c>
      <c r="T467" s="219">
        <f>S467*H467</f>
        <v>0</v>
      </c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R467" s="220" t="s">
        <v>207</v>
      </c>
      <c r="AT467" s="220" t="s">
        <v>202</v>
      </c>
      <c r="AU467" s="220" t="s">
        <v>88</v>
      </c>
      <c r="AY467" s="18" t="s">
        <v>200</v>
      </c>
      <c r="BE467" s="221">
        <f>IF(N467="základní",J467,0)</f>
        <v>0</v>
      </c>
      <c r="BF467" s="221">
        <f>IF(N467="snížená",J467,0)</f>
        <v>0</v>
      </c>
      <c r="BG467" s="221">
        <f>IF(N467="zákl. přenesená",J467,0)</f>
        <v>0</v>
      </c>
      <c r="BH467" s="221">
        <f>IF(N467="sníž. přenesená",J467,0)</f>
        <v>0</v>
      </c>
      <c r="BI467" s="221">
        <f>IF(N467="nulová",J467,0)</f>
        <v>0</v>
      </c>
      <c r="BJ467" s="18" t="s">
        <v>86</v>
      </c>
      <c r="BK467" s="221">
        <f>ROUND(I467*H467,1)</f>
        <v>0</v>
      </c>
      <c r="BL467" s="18" t="s">
        <v>207</v>
      </c>
      <c r="BM467" s="220" t="s">
        <v>782</v>
      </c>
    </row>
    <row r="468" s="2" customFormat="1">
      <c r="A468" s="40"/>
      <c r="B468" s="41"/>
      <c r="C468" s="42"/>
      <c r="D468" s="222" t="s">
        <v>209</v>
      </c>
      <c r="E468" s="42"/>
      <c r="F468" s="223" t="s">
        <v>783</v>
      </c>
      <c r="G468" s="42"/>
      <c r="H468" s="42"/>
      <c r="I468" s="224"/>
      <c r="J468" s="42"/>
      <c r="K468" s="42"/>
      <c r="L468" s="46"/>
      <c r="M468" s="225"/>
      <c r="N468" s="226"/>
      <c r="O468" s="86"/>
      <c r="P468" s="86"/>
      <c r="Q468" s="86"/>
      <c r="R468" s="86"/>
      <c r="S468" s="86"/>
      <c r="T468" s="87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T468" s="18" t="s">
        <v>209</v>
      </c>
      <c r="AU468" s="18" t="s">
        <v>88</v>
      </c>
    </row>
    <row r="469" s="2" customFormat="1" ht="24.15" customHeight="1">
      <c r="A469" s="40"/>
      <c r="B469" s="41"/>
      <c r="C469" s="209" t="s">
        <v>784</v>
      </c>
      <c r="D469" s="209" t="s">
        <v>202</v>
      </c>
      <c r="E469" s="210" t="s">
        <v>785</v>
      </c>
      <c r="F469" s="211" t="s">
        <v>786</v>
      </c>
      <c r="G469" s="212" t="s">
        <v>272</v>
      </c>
      <c r="H469" s="213">
        <v>683.80999999999995</v>
      </c>
      <c r="I469" s="214"/>
      <c r="J469" s="215">
        <f>ROUND(I469*H469,1)</f>
        <v>0</v>
      </c>
      <c r="K469" s="211" t="s">
        <v>206</v>
      </c>
      <c r="L469" s="46"/>
      <c r="M469" s="216" t="s">
        <v>32</v>
      </c>
      <c r="N469" s="217" t="s">
        <v>49</v>
      </c>
      <c r="O469" s="86"/>
      <c r="P469" s="218">
        <f>O469*H469</f>
        <v>0</v>
      </c>
      <c r="Q469" s="218">
        <v>0.00012999999999999999</v>
      </c>
      <c r="R469" s="218">
        <f>Q469*H469</f>
        <v>0.088895299999999983</v>
      </c>
      <c r="S469" s="218">
        <v>0</v>
      </c>
      <c r="T469" s="219">
        <f>S469*H469</f>
        <v>0</v>
      </c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R469" s="220" t="s">
        <v>207</v>
      </c>
      <c r="AT469" s="220" t="s">
        <v>202</v>
      </c>
      <c r="AU469" s="220" t="s">
        <v>88</v>
      </c>
      <c r="AY469" s="18" t="s">
        <v>200</v>
      </c>
      <c r="BE469" s="221">
        <f>IF(N469="základní",J469,0)</f>
        <v>0</v>
      </c>
      <c r="BF469" s="221">
        <f>IF(N469="snížená",J469,0)</f>
        <v>0</v>
      </c>
      <c r="BG469" s="221">
        <f>IF(N469="zákl. přenesená",J469,0)</f>
        <v>0</v>
      </c>
      <c r="BH469" s="221">
        <f>IF(N469="sníž. přenesená",J469,0)</f>
        <v>0</v>
      </c>
      <c r="BI469" s="221">
        <f>IF(N469="nulová",J469,0)</f>
        <v>0</v>
      </c>
      <c r="BJ469" s="18" t="s">
        <v>86</v>
      </c>
      <c r="BK469" s="221">
        <f>ROUND(I469*H469,1)</f>
        <v>0</v>
      </c>
      <c r="BL469" s="18" t="s">
        <v>207</v>
      </c>
      <c r="BM469" s="220" t="s">
        <v>787</v>
      </c>
    </row>
    <row r="470" s="2" customFormat="1">
      <c r="A470" s="40"/>
      <c r="B470" s="41"/>
      <c r="C470" s="42"/>
      <c r="D470" s="222" t="s">
        <v>209</v>
      </c>
      <c r="E470" s="42"/>
      <c r="F470" s="223" t="s">
        <v>788</v>
      </c>
      <c r="G470" s="42"/>
      <c r="H470" s="42"/>
      <c r="I470" s="224"/>
      <c r="J470" s="42"/>
      <c r="K470" s="42"/>
      <c r="L470" s="46"/>
      <c r="M470" s="225"/>
      <c r="N470" s="226"/>
      <c r="O470" s="86"/>
      <c r="P470" s="86"/>
      <c r="Q470" s="86"/>
      <c r="R470" s="86"/>
      <c r="S470" s="86"/>
      <c r="T470" s="87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T470" s="18" t="s">
        <v>209</v>
      </c>
      <c r="AU470" s="18" t="s">
        <v>88</v>
      </c>
    </row>
    <row r="471" s="13" customFormat="1">
      <c r="A471" s="13"/>
      <c r="B471" s="227"/>
      <c r="C471" s="228"/>
      <c r="D471" s="229" t="s">
        <v>211</v>
      </c>
      <c r="E471" s="230" t="s">
        <v>32</v>
      </c>
      <c r="F471" s="231" t="s">
        <v>789</v>
      </c>
      <c r="G471" s="228"/>
      <c r="H471" s="232">
        <v>839.80999999999995</v>
      </c>
      <c r="I471" s="233"/>
      <c r="J471" s="228"/>
      <c r="K471" s="228"/>
      <c r="L471" s="234"/>
      <c r="M471" s="235"/>
      <c r="N471" s="236"/>
      <c r="O471" s="236"/>
      <c r="P471" s="236"/>
      <c r="Q471" s="236"/>
      <c r="R471" s="236"/>
      <c r="S471" s="236"/>
      <c r="T471" s="237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T471" s="238" t="s">
        <v>211</v>
      </c>
      <c r="AU471" s="238" t="s">
        <v>88</v>
      </c>
      <c r="AV471" s="13" t="s">
        <v>88</v>
      </c>
      <c r="AW471" s="13" t="s">
        <v>213</v>
      </c>
      <c r="AX471" s="13" t="s">
        <v>78</v>
      </c>
      <c r="AY471" s="238" t="s">
        <v>200</v>
      </c>
    </row>
    <row r="472" s="13" customFormat="1">
      <c r="A472" s="13"/>
      <c r="B472" s="227"/>
      <c r="C472" s="228"/>
      <c r="D472" s="229" t="s">
        <v>211</v>
      </c>
      <c r="E472" s="230" t="s">
        <v>32</v>
      </c>
      <c r="F472" s="231" t="s">
        <v>790</v>
      </c>
      <c r="G472" s="228"/>
      <c r="H472" s="232">
        <v>-156</v>
      </c>
      <c r="I472" s="233"/>
      <c r="J472" s="228"/>
      <c r="K472" s="228"/>
      <c r="L472" s="234"/>
      <c r="M472" s="235"/>
      <c r="N472" s="236"/>
      <c r="O472" s="236"/>
      <c r="P472" s="236"/>
      <c r="Q472" s="236"/>
      <c r="R472" s="236"/>
      <c r="S472" s="236"/>
      <c r="T472" s="237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T472" s="238" t="s">
        <v>211</v>
      </c>
      <c r="AU472" s="238" t="s">
        <v>88</v>
      </c>
      <c r="AV472" s="13" t="s">
        <v>88</v>
      </c>
      <c r="AW472" s="13" t="s">
        <v>213</v>
      </c>
      <c r="AX472" s="13" t="s">
        <v>78</v>
      </c>
      <c r="AY472" s="238" t="s">
        <v>200</v>
      </c>
    </row>
    <row r="473" s="14" customFormat="1">
      <c r="A473" s="14"/>
      <c r="B473" s="239"/>
      <c r="C473" s="240"/>
      <c r="D473" s="229" t="s">
        <v>211</v>
      </c>
      <c r="E473" s="241" t="s">
        <v>32</v>
      </c>
      <c r="F473" s="242" t="s">
        <v>220</v>
      </c>
      <c r="G473" s="240"/>
      <c r="H473" s="243">
        <v>683.80999999999995</v>
      </c>
      <c r="I473" s="244"/>
      <c r="J473" s="240"/>
      <c r="K473" s="240"/>
      <c r="L473" s="245"/>
      <c r="M473" s="246"/>
      <c r="N473" s="247"/>
      <c r="O473" s="247"/>
      <c r="P473" s="247"/>
      <c r="Q473" s="247"/>
      <c r="R473" s="247"/>
      <c r="S473" s="247"/>
      <c r="T473" s="248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T473" s="249" t="s">
        <v>211</v>
      </c>
      <c r="AU473" s="249" t="s">
        <v>88</v>
      </c>
      <c r="AV473" s="14" t="s">
        <v>207</v>
      </c>
      <c r="AW473" s="14" t="s">
        <v>213</v>
      </c>
      <c r="AX473" s="14" t="s">
        <v>86</v>
      </c>
      <c r="AY473" s="249" t="s">
        <v>200</v>
      </c>
    </row>
    <row r="474" s="2" customFormat="1" ht="24.15" customHeight="1">
      <c r="A474" s="40"/>
      <c r="B474" s="41"/>
      <c r="C474" s="209" t="s">
        <v>791</v>
      </c>
      <c r="D474" s="209" t="s">
        <v>202</v>
      </c>
      <c r="E474" s="210" t="s">
        <v>792</v>
      </c>
      <c r="F474" s="211" t="s">
        <v>793</v>
      </c>
      <c r="G474" s="212" t="s">
        <v>272</v>
      </c>
      <c r="H474" s="213">
        <v>717</v>
      </c>
      <c r="I474" s="214"/>
      <c r="J474" s="215">
        <f>ROUND(I474*H474,1)</f>
        <v>0</v>
      </c>
      <c r="K474" s="211" t="s">
        <v>206</v>
      </c>
      <c r="L474" s="46"/>
      <c r="M474" s="216" t="s">
        <v>32</v>
      </c>
      <c r="N474" s="217" t="s">
        <v>49</v>
      </c>
      <c r="O474" s="86"/>
      <c r="P474" s="218">
        <f>O474*H474</f>
        <v>0</v>
      </c>
      <c r="Q474" s="218">
        <v>4.0000000000000003E-05</v>
      </c>
      <c r="R474" s="218">
        <f>Q474*H474</f>
        <v>0.028680000000000001</v>
      </c>
      <c r="S474" s="218">
        <v>0</v>
      </c>
      <c r="T474" s="219">
        <f>S474*H474</f>
        <v>0</v>
      </c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R474" s="220" t="s">
        <v>207</v>
      </c>
      <c r="AT474" s="220" t="s">
        <v>202</v>
      </c>
      <c r="AU474" s="220" t="s">
        <v>88</v>
      </c>
      <c r="AY474" s="18" t="s">
        <v>200</v>
      </c>
      <c r="BE474" s="221">
        <f>IF(N474="základní",J474,0)</f>
        <v>0</v>
      </c>
      <c r="BF474" s="221">
        <f>IF(N474="snížená",J474,0)</f>
        <v>0</v>
      </c>
      <c r="BG474" s="221">
        <f>IF(N474="zákl. přenesená",J474,0)</f>
        <v>0</v>
      </c>
      <c r="BH474" s="221">
        <f>IF(N474="sníž. přenesená",J474,0)</f>
        <v>0</v>
      </c>
      <c r="BI474" s="221">
        <f>IF(N474="nulová",J474,0)</f>
        <v>0</v>
      </c>
      <c r="BJ474" s="18" t="s">
        <v>86</v>
      </c>
      <c r="BK474" s="221">
        <f>ROUND(I474*H474,1)</f>
        <v>0</v>
      </c>
      <c r="BL474" s="18" t="s">
        <v>207</v>
      </c>
      <c r="BM474" s="220" t="s">
        <v>794</v>
      </c>
    </row>
    <row r="475" s="2" customFormat="1">
      <c r="A475" s="40"/>
      <c r="B475" s="41"/>
      <c r="C475" s="42"/>
      <c r="D475" s="222" t="s">
        <v>209</v>
      </c>
      <c r="E475" s="42"/>
      <c r="F475" s="223" t="s">
        <v>795</v>
      </c>
      <c r="G475" s="42"/>
      <c r="H475" s="42"/>
      <c r="I475" s="224"/>
      <c r="J475" s="42"/>
      <c r="K475" s="42"/>
      <c r="L475" s="46"/>
      <c r="M475" s="225"/>
      <c r="N475" s="226"/>
      <c r="O475" s="86"/>
      <c r="P475" s="86"/>
      <c r="Q475" s="86"/>
      <c r="R475" s="86"/>
      <c r="S475" s="86"/>
      <c r="T475" s="87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T475" s="18" t="s">
        <v>209</v>
      </c>
      <c r="AU475" s="18" t="s">
        <v>88</v>
      </c>
    </row>
    <row r="476" s="13" customFormat="1">
      <c r="A476" s="13"/>
      <c r="B476" s="227"/>
      <c r="C476" s="228"/>
      <c r="D476" s="229" t="s">
        <v>211</v>
      </c>
      <c r="E476" s="230" t="s">
        <v>32</v>
      </c>
      <c r="F476" s="231" t="s">
        <v>796</v>
      </c>
      <c r="G476" s="228"/>
      <c r="H476" s="232">
        <v>717</v>
      </c>
      <c r="I476" s="233"/>
      <c r="J476" s="228"/>
      <c r="K476" s="228"/>
      <c r="L476" s="234"/>
      <c r="M476" s="235"/>
      <c r="N476" s="236"/>
      <c r="O476" s="236"/>
      <c r="P476" s="236"/>
      <c r="Q476" s="236"/>
      <c r="R476" s="236"/>
      <c r="S476" s="236"/>
      <c r="T476" s="237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T476" s="238" t="s">
        <v>211</v>
      </c>
      <c r="AU476" s="238" t="s">
        <v>88</v>
      </c>
      <c r="AV476" s="13" t="s">
        <v>88</v>
      </c>
      <c r="AW476" s="13" t="s">
        <v>213</v>
      </c>
      <c r="AX476" s="13" t="s">
        <v>86</v>
      </c>
      <c r="AY476" s="238" t="s">
        <v>200</v>
      </c>
    </row>
    <row r="477" s="2" customFormat="1" ht="24.15" customHeight="1">
      <c r="A477" s="40"/>
      <c r="B477" s="41"/>
      <c r="C477" s="209" t="s">
        <v>797</v>
      </c>
      <c r="D477" s="209" t="s">
        <v>202</v>
      </c>
      <c r="E477" s="210" t="s">
        <v>798</v>
      </c>
      <c r="F477" s="211" t="s">
        <v>799</v>
      </c>
      <c r="G477" s="212" t="s">
        <v>272</v>
      </c>
      <c r="H477" s="213">
        <v>207</v>
      </c>
      <c r="I477" s="214"/>
      <c r="J477" s="215">
        <f>ROUND(I477*H477,1)</f>
        <v>0</v>
      </c>
      <c r="K477" s="211" t="s">
        <v>206</v>
      </c>
      <c r="L477" s="46"/>
      <c r="M477" s="216" t="s">
        <v>32</v>
      </c>
      <c r="N477" s="217" t="s">
        <v>49</v>
      </c>
      <c r="O477" s="86"/>
      <c r="P477" s="218">
        <f>O477*H477</f>
        <v>0</v>
      </c>
      <c r="Q477" s="218">
        <v>4.0000000000000003E-05</v>
      </c>
      <c r="R477" s="218">
        <f>Q477*H477</f>
        <v>0.0082800000000000009</v>
      </c>
      <c r="S477" s="218">
        <v>0</v>
      </c>
      <c r="T477" s="219">
        <f>S477*H477</f>
        <v>0</v>
      </c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R477" s="220" t="s">
        <v>207</v>
      </c>
      <c r="AT477" s="220" t="s">
        <v>202</v>
      </c>
      <c r="AU477" s="220" t="s">
        <v>88</v>
      </c>
      <c r="AY477" s="18" t="s">
        <v>200</v>
      </c>
      <c r="BE477" s="221">
        <f>IF(N477="základní",J477,0)</f>
        <v>0</v>
      </c>
      <c r="BF477" s="221">
        <f>IF(N477="snížená",J477,0)</f>
        <v>0</v>
      </c>
      <c r="BG477" s="221">
        <f>IF(N477="zákl. přenesená",J477,0)</f>
        <v>0</v>
      </c>
      <c r="BH477" s="221">
        <f>IF(N477="sníž. přenesená",J477,0)</f>
        <v>0</v>
      </c>
      <c r="BI477" s="221">
        <f>IF(N477="nulová",J477,0)</f>
        <v>0</v>
      </c>
      <c r="BJ477" s="18" t="s">
        <v>86</v>
      </c>
      <c r="BK477" s="221">
        <f>ROUND(I477*H477,1)</f>
        <v>0</v>
      </c>
      <c r="BL477" s="18" t="s">
        <v>207</v>
      </c>
      <c r="BM477" s="220" t="s">
        <v>800</v>
      </c>
    </row>
    <row r="478" s="2" customFormat="1">
      <c r="A478" s="40"/>
      <c r="B478" s="41"/>
      <c r="C478" s="42"/>
      <c r="D478" s="222" t="s">
        <v>209</v>
      </c>
      <c r="E478" s="42"/>
      <c r="F478" s="223" t="s">
        <v>801</v>
      </c>
      <c r="G478" s="42"/>
      <c r="H478" s="42"/>
      <c r="I478" s="224"/>
      <c r="J478" s="42"/>
      <c r="K478" s="42"/>
      <c r="L478" s="46"/>
      <c r="M478" s="225"/>
      <c r="N478" s="226"/>
      <c r="O478" s="86"/>
      <c r="P478" s="86"/>
      <c r="Q478" s="86"/>
      <c r="R478" s="86"/>
      <c r="S478" s="86"/>
      <c r="T478" s="87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T478" s="18" t="s">
        <v>209</v>
      </c>
      <c r="AU478" s="18" t="s">
        <v>88</v>
      </c>
    </row>
    <row r="479" s="13" customFormat="1">
      <c r="A479" s="13"/>
      <c r="B479" s="227"/>
      <c r="C479" s="228"/>
      <c r="D479" s="229" t="s">
        <v>211</v>
      </c>
      <c r="E479" s="230" t="s">
        <v>32</v>
      </c>
      <c r="F479" s="231" t="s">
        <v>802</v>
      </c>
      <c r="G479" s="228"/>
      <c r="H479" s="232">
        <v>207</v>
      </c>
      <c r="I479" s="233"/>
      <c r="J479" s="228"/>
      <c r="K479" s="228"/>
      <c r="L479" s="234"/>
      <c r="M479" s="235"/>
      <c r="N479" s="236"/>
      <c r="O479" s="236"/>
      <c r="P479" s="236"/>
      <c r="Q479" s="236"/>
      <c r="R479" s="236"/>
      <c r="S479" s="236"/>
      <c r="T479" s="237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T479" s="238" t="s">
        <v>211</v>
      </c>
      <c r="AU479" s="238" t="s">
        <v>88</v>
      </c>
      <c r="AV479" s="13" t="s">
        <v>88</v>
      </c>
      <c r="AW479" s="13" t="s">
        <v>213</v>
      </c>
      <c r="AX479" s="13" t="s">
        <v>86</v>
      </c>
      <c r="AY479" s="238" t="s">
        <v>200</v>
      </c>
    </row>
    <row r="480" s="2" customFormat="1" ht="24.15" customHeight="1">
      <c r="A480" s="40"/>
      <c r="B480" s="41"/>
      <c r="C480" s="209" t="s">
        <v>803</v>
      </c>
      <c r="D480" s="209" t="s">
        <v>202</v>
      </c>
      <c r="E480" s="210" t="s">
        <v>804</v>
      </c>
      <c r="F480" s="211" t="s">
        <v>805</v>
      </c>
      <c r="G480" s="212" t="s">
        <v>272</v>
      </c>
      <c r="H480" s="213">
        <v>3.2799999999999998</v>
      </c>
      <c r="I480" s="214"/>
      <c r="J480" s="215">
        <f>ROUND(I480*H480,1)</f>
        <v>0</v>
      </c>
      <c r="K480" s="211" t="s">
        <v>206</v>
      </c>
      <c r="L480" s="46"/>
      <c r="M480" s="216" t="s">
        <v>32</v>
      </c>
      <c r="N480" s="217" t="s">
        <v>49</v>
      </c>
      <c r="O480" s="86"/>
      <c r="P480" s="218">
        <f>O480*H480</f>
        <v>0</v>
      </c>
      <c r="Q480" s="218">
        <v>0.0012099999999999999</v>
      </c>
      <c r="R480" s="218">
        <f>Q480*H480</f>
        <v>0.0039687999999999998</v>
      </c>
      <c r="S480" s="218">
        <v>0</v>
      </c>
      <c r="T480" s="219">
        <f>S480*H480</f>
        <v>0</v>
      </c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R480" s="220" t="s">
        <v>207</v>
      </c>
      <c r="AT480" s="220" t="s">
        <v>202</v>
      </c>
      <c r="AU480" s="220" t="s">
        <v>88</v>
      </c>
      <c r="AY480" s="18" t="s">
        <v>200</v>
      </c>
      <c r="BE480" s="221">
        <f>IF(N480="základní",J480,0)</f>
        <v>0</v>
      </c>
      <c r="BF480" s="221">
        <f>IF(N480="snížená",J480,0)</f>
        <v>0</v>
      </c>
      <c r="BG480" s="221">
        <f>IF(N480="zákl. přenesená",J480,0)</f>
        <v>0</v>
      </c>
      <c r="BH480" s="221">
        <f>IF(N480="sníž. přenesená",J480,0)</f>
        <v>0</v>
      </c>
      <c r="BI480" s="221">
        <f>IF(N480="nulová",J480,0)</f>
        <v>0</v>
      </c>
      <c r="BJ480" s="18" t="s">
        <v>86</v>
      </c>
      <c r="BK480" s="221">
        <f>ROUND(I480*H480,1)</f>
        <v>0</v>
      </c>
      <c r="BL480" s="18" t="s">
        <v>207</v>
      </c>
      <c r="BM480" s="220" t="s">
        <v>806</v>
      </c>
    </row>
    <row r="481" s="2" customFormat="1">
      <c r="A481" s="40"/>
      <c r="B481" s="41"/>
      <c r="C481" s="42"/>
      <c r="D481" s="222" t="s">
        <v>209</v>
      </c>
      <c r="E481" s="42"/>
      <c r="F481" s="223" t="s">
        <v>807</v>
      </c>
      <c r="G481" s="42"/>
      <c r="H481" s="42"/>
      <c r="I481" s="224"/>
      <c r="J481" s="42"/>
      <c r="K481" s="42"/>
      <c r="L481" s="46"/>
      <c r="M481" s="225"/>
      <c r="N481" s="226"/>
      <c r="O481" s="86"/>
      <c r="P481" s="86"/>
      <c r="Q481" s="86"/>
      <c r="R481" s="86"/>
      <c r="S481" s="86"/>
      <c r="T481" s="87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T481" s="18" t="s">
        <v>209</v>
      </c>
      <c r="AU481" s="18" t="s">
        <v>88</v>
      </c>
    </row>
    <row r="482" s="15" customFormat="1">
      <c r="A482" s="15"/>
      <c r="B482" s="250"/>
      <c r="C482" s="251"/>
      <c r="D482" s="229" t="s">
        <v>211</v>
      </c>
      <c r="E482" s="252" t="s">
        <v>32</v>
      </c>
      <c r="F482" s="253" t="s">
        <v>808</v>
      </c>
      <c r="G482" s="251"/>
      <c r="H482" s="252" t="s">
        <v>32</v>
      </c>
      <c r="I482" s="254"/>
      <c r="J482" s="251"/>
      <c r="K482" s="251"/>
      <c r="L482" s="255"/>
      <c r="M482" s="256"/>
      <c r="N482" s="257"/>
      <c r="O482" s="257"/>
      <c r="P482" s="257"/>
      <c r="Q482" s="257"/>
      <c r="R482" s="257"/>
      <c r="S482" s="257"/>
      <c r="T482" s="25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T482" s="259" t="s">
        <v>211</v>
      </c>
      <c r="AU482" s="259" t="s">
        <v>88</v>
      </c>
      <c r="AV482" s="15" t="s">
        <v>86</v>
      </c>
      <c r="AW482" s="15" t="s">
        <v>213</v>
      </c>
      <c r="AX482" s="15" t="s">
        <v>78</v>
      </c>
      <c r="AY482" s="259" t="s">
        <v>200</v>
      </c>
    </row>
    <row r="483" s="13" customFormat="1">
      <c r="A483" s="13"/>
      <c r="B483" s="227"/>
      <c r="C483" s="228"/>
      <c r="D483" s="229" t="s">
        <v>211</v>
      </c>
      <c r="E483" s="230" t="s">
        <v>32</v>
      </c>
      <c r="F483" s="231" t="s">
        <v>809</v>
      </c>
      <c r="G483" s="228"/>
      <c r="H483" s="232">
        <v>2.2000000000000002</v>
      </c>
      <c r="I483" s="233"/>
      <c r="J483" s="228"/>
      <c r="K483" s="228"/>
      <c r="L483" s="234"/>
      <c r="M483" s="235"/>
      <c r="N483" s="236"/>
      <c r="O483" s="236"/>
      <c r="P483" s="236"/>
      <c r="Q483" s="236"/>
      <c r="R483" s="236"/>
      <c r="S483" s="236"/>
      <c r="T483" s="237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T483" s="238" t="s">
        <v>211</v>
      </c>
      <c r="AU483" s="238" t="s">
        <v>88</v>
      </c>
      <c r="AV483" s="13" t="s">
        <v>88</v>
      </c>
      <c r="AW483" s="13" t="s">
        <v>213</v>
      </c>
      <c r="AX483" s="13" t="s">
        <v>78</v>
      </c>
      <c r="AY483" s="238" t="s">
        <v>200</v>
      </c>
    </row>
    <row r="484" s="15" customFormat="1">
      <c r="A484" s="15"/>
      <c r="B484" s="250"/>
      <c r="C484" s="251"/>
      <c r="D484" s="229" t="s">
        <v>211</v>
      </c>
      <c r="E484" s="252" t="s">
        <v>32</v>
      </c>
      <c r="F484" s="253" t="s">
        <v>810</v>
      </c>
      <c r="G484" s="251"/>
      <c r="H484" s="252" t="s">
        <v>32</v>
      </c>
      <c r="I484" s="254"/>
      <c r="J484" s="251"/>
      <c r="K484" s="251"/>
      <c r="L484" s="255"/>
      <c r="M484" s="256"/>
      <c r="N484" s="257"/>
      <c r="O484" s="257"/>
      <c r="P484" s="257"/>
      <c r="Q484" s="257"/>
      <c r="R484" s="257"/>
      <c r="S484" s="257"/>
      <c r="T484" s="25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T484" s="259" t="s">
        <v>211</v>
      </c>
      <c r="AU484" s="259" t="s">
        <v>88</v>
      </c>
      <c r="AV484" s="15" t="s">
        <v>86</v>
      </c>
      <c r="AW484" s="15" t="s">
        <v>213</v>
      </c>
      <c r="AX484" s="15" t="s">
        <v>78</v>
      </c>
      <c r="AY484" s="259" t="s">
        <v>200</v>
      </c>
    </row>
    <row r="485" s="13" customFormat="1">
      <c r="A485" s="13"/>
      <c r="B485" s="227"/>
      <c r="C485" s="228"/>
      <c r="D485" s="229" t="s">
        <v>211</v>
      </c>
      <c r="E485" s="230" t="s">
        <v>32</v>
      </c>
      <c r="F485" s="231" t="s">
        <v>811</v>
      </c>
      <c r="G485" s="228"/>
      <c r="H485" s="232">
        <v>0.23999999999999999</v>
      </c>
      <c r="I485" s="233"/>
      <c r="J485" s="228"/>
      <c r="K485" s="228"/>
      <c r="L485" s="234"/>
      <c r="M485" s="235"/>
      <c r="N485" s="236"/>
      <c r="O485" s="236"/>
      <c r="P485" s="236"/>
      <c r="Q485" s="236"/>
      <c r="R485" s="236"/>
      <c r="S485" s="236"/>
      <c r="T485" s="237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T485" s="238" t="s">
        <v>211</v>
      </c>
      <c r="AU485" s="238" t="s">
        <v>88</v>
      </c>
      <c r="AV485" s="13" t="s">
        <v>88</v>
      </c>
      <c r="AW485" s="13" t="s">
        <v>213</v>
      </c>
      <c r="AX485" s="13" t="s">
        <v>78</v>
      </c>
      <c r="AY485" s="238" t="s">
        <v>200</v>
      </c>
    </row>
    <row r="486" s="13" customFormat="1">
      <c r="A486" s="13"/>
      <c r="B486" s="227"/>
      <c r="C486" s="228"/>
      <c r="D486" s="229" t="s">
        <v>211</v>
      </c>
      <c r="E486" s="230" t="s">
        <v>32</v>
      </c>
      <c r="F486" s="231" t="s">
        <v>812</v>
      </c>
      <c r="G486" s="228"/>
      <c r="H486" s="232">
        <v>0.83999999999999997</v>
      </c>
      <c r="I486" s="233"/>
      <c r="J486" s="228"/>
      <c r="K486" s="228"/>
      <c r="L486" s="234"/>
      <c r="M486" s="235"/>
      <c r="N486" s="236"/>
      <c r="O486" s="236"/>
      <c r="P486" s="236"/>
      <c r="Q486" s="236"/>
      <c r="R486" s="236"/>
      <c r="S486" s="236"/>
      <c r="T486" s="237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T486" s="238" t="s">
        <v>211</v>
      </c>
      <c r="AU486" s="238" t="s">
        <v>88</v>
      </c>
      <c r="AV486" s="13" t="s">
        <v>88</v>
      </c>
      <c r="AW486" s="13" t="s">
        <v>213</v>
      </c>
      <c r="AX486" s="13" t="s">
        <v>78</v>
      </c>
      <c r="AY486" s="238" t="s">
        <v>200</v>
      </c>
    </row>
    <row r="487" s="14" customFormat="1">
      <c r="A487" s="14"/>
      <c r="B487" s="239"/>
      <c r="C487" s="240"/>
      <c r="D487" s="229" t="s">
        <v>211</v>
      </c>
      <c r="E487" s="241" t="s">
        <v>32</v>
      </c>
      <c r="F487" s="242" t="s">
        <v>220</v>
      </c>
      <c r="G487" s="240"/>
      <c r="H487" s="243">
        <v>3.2799999999999998</v>
      </c>
      <c r="I487" s="244"/>
      <c r="J487" s="240"/>
      <c r="K487" s="240"/>
      <c r="L487" s="245"/>
      <c r="M487" s="246"/>
      <c r="N487" s="247"/>
      <c r="O487" s="247"/>
      <c r="P487" s="247"/>
      <c r="Q487" s="247"/>
      <c r="R487" s="247"/>
      <c r="S487" s="247"/>
      <c r="T487" s="248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T487" s="249" t="s">
        <v>211</v>
      </c>
      <c r="AU487" s="249" t="s">
        <v>88</v>
      </c>
      <c r="AV487" s="14" t="s">
        <v>207</v>
      </c>
      <c r="AW487" s="14" t="s">
        <v>213</v>
      </c>
      <c r="AX487" s="14" t="s">
        <v>86</v>
      </c>
      <c r="AY487" s="249" t="s">
        <v>200</v>
      </c>
    </row>
    <row r="488" s="2" customFormat="1" ht="24.15" customHeight="1">
      <c r="A488" s="40"/>
      <c r="B488" s="41"/>
      <c r="C488" s="209" t="s">
        <v>813</v>
      </c>
      <c r="D488" s="209" t="s">
        <v>202</v>
      </c>
      <c r="E488" s="210" t="s">
        <v>814</v>
      </c>
      <c r="F488" s="211" t="s">
        <v>815</v>
      </c>
      <c r="G488" s="212" t="s">
        <v>250</v>
      </c>
      <c r="H488" s="213">
        <v>20.193999999999999</v>
      </c>
      <c r="I488" s="214"/>
      <c r="J488" s="215">
        <f>ROUND(I488*H488,1)</f>
        <v>0</v>
      </c>
      <c r="K488" s="211" t="s">
        <v>206</v>
      </c>
      <c r="L488" s="46"/>
      <c r="M488" s="216" t="s">
        <v>32</v>
      </c>
      <c r="N488" s="217" t="s">
        <v>49</v>
      </c>
      <c r="O488" s="86"/>
      <c r="P488" s="218">
        <f>O488*H488</f>
        <v>0</v>
      </c>
      <c r="Q488" s="218">
        <v>0</v>
      </c>
      <c r="R488" s="218">
        <f>Q488*H488</f>
        <v>0</v>
      </c>
      <c r="S488" s="218">
        <v>0</v>
      </c>
      <c r="T488" s="219">
        <f>S488*H488</f>
        <v>0</v>
      </c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R488" s="220" t="s">
        <v>207</v>
      </c>
      <c r="AT488" s="220" t="s">
        <v>202</v>
      </c>
      <c r="AU488" s="220" t="s">
        <v>88</v>
      </c>
      <c r="AY488" s="18" t="s">
        <v>200</v>
      </c>
      <c r="BE488" s="221">
        <f>IF(N488="základní",J488,0)</f>
        <v>0</v>
      </c>
      <c r="BF488" s="221">
        <f>IF(N488="snížená",J488,0)</f>
        <v>0</v>
      </c>
      <c r="BG488" s="221">
        <f>IF(N488="zákl. přenesená",J488,0)</f>
        <v>0</v>
      </c>
      <c r="BH488" s="221">
        <f>IF(N488="sníž. přenesená",J488,0)</f>
        <v>0</v>
      </c>
      <c r="BI488" s="221">
        <f>IF(N488="nulová",J488,0)</f>
        <v>0</v>
      </c>
      <c r="BJ488" s="18" t="s">
        <v>86</v>
      </c>
      <c r="BK488" s="221">
        <f>ROUND(I488*H488,1)</f>
        <v>0</v>
      </c>
      <c r="BL488" s="18" t="s">
        <v>207</v>
      </c>
      <c r="BM488" s="220" t="s">
        <v>816</v>
      </c>
    </row>
    <row r="489" s="2" customFormat="1">
      <c r="A489" s="40"/>
      <c r="B489" s="41"/>
      <c r="C489" s="42"/>
      <c r="D489" s="222" t="s">
        <v>209</v>
      </c>
      <c r="E489" s="42"/>
      <c r="F489" s="223" t="s">
        <v>817</v>
      </c>
      <c r="G489" s="42"/>
      <c r="H489" s="42"/>
      <c r="I489" s="224"/>
      <c r="J489" s="42"/>
      <c r="K489" s="42"/>
      <c r="L489" s="46"/>
      <c r="M489" s="225"/>
      <c r="N489" s="226"/>
      <c r="O489" s="86"/>
      <c r="P489" s="86"/>
      <c r="Q489" s="86"/>
      <c r="R489" s="86"/>
      <c r="S489" s="86"/>
      <c r="T489" s="87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T489" s="18" t="s">
        <v>209</v>
      </c>
      <c r="AU489" s="18" t="s">
        <v>88</v>
      </c>
    </row>
    <row r="490" s="15" customFormat="1">
      <c r="A490" s="15"/>
      <c r="B490" s="250"/>
      <c r="C490" s="251"/>
      <c r="D490" s="229" t="s">
        <v>211</v>
      </c>
      <c r="E490" s="252" t="s">
        <v>32</v>
      </c>
      <c r="F490" s="253" t="s">
        <v>818</v>
      </c>
      <c r="G490" s="251"/>
      <c r="H490" s="252" t="s">
        <v>32</v>
      </c>
      <c r="I490" s="254"/>
      <c r="J490" s="251"/>
      <c r="K490" s="251"/>
      <c r="L490" s="255"/>
      <c r="M490" s="256"/>
      <c r="N490" s="257"/>
      <c r="O490" s="257"/>
      <c r="P490" s="257"/>
      <c r="Q490" s="257"/>
      <c r="R490" s="257"/>
      <c r="S490" s="257"/>
      <c r="T490" s="25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T490" s="259" t="s">
        <v>211</v>
      </c>
      <c r="AU490" s="259" t="s">
        <v>88</v>
      </c>
      <c r="AV490" s="15" t="s">
        <v>86</v>
      </c>
      <c r="AW490" s="15" t="s">
        <v>213</v>
      </c>
      <c r="AX490" s="15" t="s">
        <v>78</v>
      </c>
      <c r="AY490" s="259" t="s">
        <v>200</v>
      </c>
    </row>
    <row r="491" s="13" customFormat="1">
      <c r="A491" s="13"/>
      <c r="B491" s="227"/>
      <c r="C491" s="228"/>
      <c r="D491" s="229" t="s">
        <v>211</v>
      </c>
      <c r="E491" s="230" t="s">
        <v>32</v>
      </c>
      <c r="F491" s="231" t="s">
        <v>819</v>
      </c>
      <c r="G491" s="228"/>
      <c r="H491" s="232">
        <v>0.57599999999999996</v>
      </c>
      <c r="I491" s="233"/>
      <c r="J491" s="228"/>
      <c r="K491" s="228"/>
      <c r="L491" s="234"/>
      <c r="M491" s="235"/>
      <c r="N491" s="236"/>
      <c r="O491" s="236"/>
      <c r="P491" s="236"/>
      <c r="Q491" s="236"/>
      <c r="R491" s="236"/>
      <c r="S491" s="236"/>
      <c r="T491" s="237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T491" s="238" t="s">
        <v>211</v>
      </c>
      <c r="AU491" s="238" t="s">
        <v>88</v>
      </c>
      <c r="AV491" s="13" t="s">
        <v>88</v>
      </c>
      <c r="AW491" s="13" t="s">
        <v>213</v>
      </c>
      <c r="AX491" s="13" t="s">
        <v>78</v>
      </c>
      <c r="AY491" s="238" t="s">
        <v>200</v>
      </c>
    </row>
    <row r="492" s="13" customFormat="1">
      <c r="A492" s="13"/>
      <c r="B492" s="227"/>
      <c r="C492" s="228"/>
      <c r="D492" s="229" t="s">
        <v>211</v>
      </c>
      <c r="E492" s="230" t="s">
        <v>32</v>
      </c>
      <c r="F492" s="231" t="s">
        <v>820</v>
      </c>
      <c r="G492" s="228"/>
      <c r="H492" s="232">
        <v>0.48199999999999998</v>
      </c>
      <c r="I492" s="233"/>
      <c r="J492" s="228"/>
      <c r="K492" s="228"/>
      <c r="L492" s="234"/>
      <c r="M492" s="235"/>
      <c r="N492" s="236"/>
      <c r="O492" s="236"/>
      <c r="P492" s="236"/>
      <c r="Q492" s="236"/>
      <c r="R492" s="236"/>
      <c r="S492" s="236"/>
      <c r="T492" s="237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T492" s="238" t="s">
        <v>211</v>
      </c>
      <c r="AU492" s="238" t="s">
        <v>88</v>
      </c>
      <c r="AV492" s="13" t="s">
        <v>88</v>
      </c>
      <c r="AW492" s="13" t="s">
        <v>213</v>
      </c>
      <c r="AX492" s="13" t="s">
        <v>78</v>
      </c>
      <c r="AY492" s="238" t="s">
        <v>200</v>
      </c>
    </row>
    <row r="493" s="13" customFormat="1">
      <c r="A493" s="13"/>
      <c r="B493" s="227"/>
      <c r="C493" s="228"/>
      <c r="D493" s="229" t="s">
        <v>211</v>
      </c>
      <c r="E493" s="230" t="s">
        <v>32</v>
      </c>
      <c r="F493" s="231" t="s">
        <v>821</v>
      </c>
      <c r="G493" s="228"/>
      <c r="H493" s="232">
        <v>0.42599999999999999</v>
      </c>
      <c r="I493" s="233"/>
      <c r="J493" s="228"/>
      <c r="K493" s="228"/>
      <c r="L493" s="234"/>
      <c r="M493" s="235"/>
      <c r="N493" s="236"/>
      <c r="O493" s="236"/>
      <c r="P493" s="236"/>
      <c r="Q493" s="236"/>
      <c r="R493" s="236"/>
      <c r="S493" s="236"/>
      <c r="T493" s="237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T493" s="238" t="s">
        <v>211</v>
      </c>
      <c r="AU493" s="238" t="s">
        <v>88</v>
      </c>
      <c r="AV493" s="13" t="s">
        <v>88</v>
      </c>
      <c r="AW493" s="13" t="s">
        <v>213</v>
      </c>
      <c r="AX493" s="13" t="s">
        <v>78</v>
      </c>
      <c r="AY493" s="238" t="s">
        <v>200</v>
      </c>
    </row>
    <row r="494" s="15" customFormat="1">
      <c r="A494" s="15"/>
      <c r="B494" s="250"/>
      <c r="C494" s="251"/>
      <c r="D494" s="229" t="s">
        <v>211</v>
      </c>
      <c r="E494" s="252" t="s">
        <v>32</v>
      </c>
      <c r="F494" s="253" t="s">
        <v>822</v>
      </c>
      <c r="G494" s="251"/>
      <c r="H494" s="252" t="s">
        <v>32</v>
      </c>
      <c r="I494" s="254"/>
      <c r="J494" s="251"/>
      <c r="K494" s="251"/>
      <c r="L494" s="255"/>
      <c r="M494" s="256"/>
      <c r="N494" s="257"/>
      <c r="O494" s="257"/>
      <c r="P494" s="257"/>
      <c r="Q494" s="257"/>
      <c r="R494" s="257"/>
      <c r="S494" s="257"/>
      <c r="T494" s="25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T494" s="259" t="s">
        <v>211</v>
      </c>
      <c r="AU494" s="259" t="s">
        <v>88</v>
      </c>
      <c r="AV494" s="15" t="s">
        <v>86</v>
      </c>
      <c r="AW494" s="15" t="s">
        <v>213</v>
      </c>
      <c r="AX494" s="15" t="s">
        <v>78</v>
      </c>
      <c r="AY494" s="259" t="s">
        <v>200</v>
      </c>
    </row>
    <row r="495" s="13" customFormat="1">
      <c r="A495" s="13"/>
      <c r="B495" s="227"/>
      <c r="C495" s="228"/>
      <c r="D495" s="229" t="s">
        <v>211</v>
      </c>
      <c r="E495" s="230" t="s">
        <v>32</v>
      </c>
      <c r="F495" s="231" t="s">
        <v>823</v>
      </c>
      <c r="G495" s="228"/>
      <c r="H495" s="232">
        <v>7.1820000000000004</v>
      </c>
      <c r="I495" s="233"/>
      <c r="J495" s="228"/>
      <c r="K495" s="228"/>
      <c r="L495" s="234"/>
      <c r="M495" s="235"/>
      <c r="N495" s="236"/>
      <c r="O495" s="236"/>
      <c r="P495" s="236"/>
      <c r="Q495" s="236"/>
      <c r="R495" s="236"/>
      <c r="S495" s="236"/>
      <c r="T495" s="237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T495" s="238" t="s">
        <v>211</v>
      </c>
      <c r="AU495" s="238" t="s">
        <v>88</v>
      </c>
      <c r="AV495" s="13" t="s">
        <v>88</v>
      </c>
      <c r="AW495" s="13" t="s">
        <v>213</v>
      </c>
      <c r="AX495" s="13" t="s">
        <v>78</v>
      </c>
      <c r="AY495" s="238" t="s">
        <v>200</v>
      </c>
    </row>
    <row r="496" s="13" customFormat="1">
      <c r="A496" s="13"/>
      <c r="B496" s="227"/>
      <c r="C496" s="228"/>
      <c r="D496" s="229" t="s">
        <v>211</v>
      </c>
      <c r="E496" s="230" t="s">
        <v>32</v>
      </c>
      <c r="F496" s="231" t="s">
        <v>824</v>
      </c>
      <c r="G496" s="228"/>
      <c r="H496" s="232">
        <v>4.1230000000000002</v>
      </c>
      <c r="I496" s="233"/>
      <c r="J496" s="228"/>
      <c r="K496" s="228"/>
      <c r="L496" s="234"/>
      <c r="M496" s="235"/>
      <c r="N496" s="236"/>
      <c r="O496" s="236"/>
      <c r="P496" s="236"/>
      <c r="Q496" s="236"/>
      <c r="R496" s="236"/>
      <c r="S496" s="236"/>
      <c r="T496" s="237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T496" s="238" t="s">
        <v>211</v>
      </c>
      <c r="AU496" s="238" t="s">
        <v>88</v>
      </c>
      <c r="AV496" s="13" t="s">
        <v>88</v>
      </c>
      <c r="AW496" s="13" t="s">
        <v>213</v>
      </c>
      <c r="AX496" s="13" t="s">
        <v>78</v>
      </c>
      <c r="AY496" s="238" t="s">
        <v>200</v>
      </c>
    </row>
    <row r="497" s="13" customFormat="1">
      <c r="A497" s="13"/>
      <c r="B497" s="227"/>
      <c r="C497" s="228"/>
      <c r="D497" s="229" t="s">
        <v>211</v>
      </c>
      <c r="E497" s="230" t="s">
        <v>32</v>
      </c>
      <c r="F497" s="231" t="s">
        <v>825</v>
      </c>
      <c r="G497" s="228"/>
      <c r="H497" s="232">
        <v>2.1480000000000001</v>
      </c>
      <c r="I497" s="233"/>
      <c r="J497" s="228"/>
      <c r="K497" s="228"/>
      <c r="L497" s="234"/>
      <c r="M497" s="235"/>
      <c r="N497" s="236"/>
      <c r="O497" s="236"/>
      <c r="P497" s="236"/>
      <c r="Q497" s="236"/>
      <c r="R497" s="236"/>
      <c r="S497" s="236"/>
      <c r="T497" s="237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T497" s="238" t="s">
        <v>211</v>
      </c>
      <c r="AU497" s="238" t="s">
        <v>88</v>
      </c>
      <c r="AV497" s="13" t="s">
        <v>88</v>
      </c>
      <c r="AW497" s="13" t="s">
        <v>213</v>
      </c>
      <c r="AX497" s="13" t="s">
        <v>78</v>
      </c>
      <c r="AY497" s="238" t="s">
        <v>200</v>
      </c>
    </row>
    <row r="498" s="13" customFormat="1">
      <c r="A498" s="13"/>
      <c r="B498" s="227"/>
      <c r="C498" s="228"/>
      <c r="D498" s="229" t="s">
        <v>211</v>
      </c>
      <c r="E498" s="230" t="s">
        <v>32</v>
      </c>
      <c r="F498" s="231" t="s">
        <v>826</v>
      </c>
      <c r="G498" s="228"/>
      <c r="H498" s="232">
        <v>0.31900000000000001</v>
      </c>
      <c r="I498" s="233"/>
      <c r="J498" s="228"/>
      <c r="K498" s="228"/>
      <c r="L498" s="234"/>
      <c r="M498" s="235"/>
      <c r="N498" s="236"/>
      <c r="O498" s="236"/>
      <c r="P498" s="236"/>
      <c r="Q498" s="236"/>
      <c r="R498" s="236"/>
      <c r="S498" s="236"/>
      <c r="T498" s="237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T498" s="238" t="s">
        <v>211</v>
      </c>
      <c r="AU498" s="238" t="s">
        <v>88</v>
      </c>
      <c r="AV498" s="13" t="s">
        <v>88</v>
      </c>
      <c r="AW498" s="13" t="s">
        <v>213</v>
      </c>
      <c r="AX498" s="13" t="s">
        <v>78</v>
      </c>
      <c r="AY498" s="238" t="s">
        <v>200</v>
      </c>
    </row>
    <row r="499" s="13" customFormat="1">
      <c r="A499" s="13"/>
      <c r="B499" s="227"/>
      <c r="C499" s="228"/>
      <c r="D499" s="229" t="s">
        <v>211</v>
      </c>
      <c r="E499" s="230" t="s">
        <v>32</v>
      </c>
      <c r="F499" s="231" t="s">
        <v>827</v>
      </c>
      <c r="G499" s="228"/>
      <c r="H499" s="232">
        <v>0.39200000000000002</v>
      </c>
      <c r="I499" s="233"/>
      <c r="J499" s="228"/>
      <c r="K499" s="228"/>
      <c r="L499" s="234"/>
      <c r="M499" s="235"/>
      <c r="N499" s="236"/>
      <c r="O499" s="236"/>
      <c r="P499" s="236"/>
      <c r="Q499" s="236"/>
      <c r="R499" s="236"/>
      <c r="S499" s="236"/>
      <c r="T499" s="237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T499" s="238" t="s">
        <v>211</v>
      </c>
      <c r="AU499" s="238" t="s">
        <v>88</v>
      </c>
      <c r="AV499" s="13" t="s">
        <v>88</v>
      </c>
      <c r="AW499" s="13" t="s">
        <v>213</v>
      </c>
      <c r="AX499" s="13" t="s">
        <v>78</v>
      </c>
      <c r="AY499" s="238" t="s">
        <v>200</v>
      </c>
    </row>
    <row r="500" s="13" customFormat="1">
      <c r="A500" s="13"/>
      <c r="B500" s="227"/>
      <c r="C500" s="228"/>
      <c r="D500" s="229" t="s">
        <v>211</v>
      </c>
      <c r="E500" s="230" t="s">
        <v>32</v>
      </c>
      <c r="F500" s="231" t="s">
        <v>828</v>
      </c>
      <c r="G500" s="228"/>
      <c r="H500" s="232">
        <v>1.506</v>
      </c>
      <c r="I500" s="233"/>
      <c r="J500" s="228"/>
      <c r="K500" s="228"/>
      <c r="L500" s="234"/>
      <c r="M500" s="235"/>
      <c r="N500" s="236"/>
      <c r="O500" s="236"/>
      <c r="P500" s="236"/>
      <c r="Q500" s="236"/>
      <c r="R500" s="236"/>
      <c r="S500" s="236"/>
      <c r="T500" s="237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T500" s="238" t="s">
        <v>211</v>
      </c>
      <c r="AU500" s="238" t="s">
        <v>88</v>
      </c>
      <c r="AV500" s="13" t="s">
        <v>88</v>
      </c>
      <c r="AW500" s="13" t="s">
        <v>213</v>
      </c>
      <c r="AX500" s="13" t="s">
        <v>78</v>
      </c>
      <c r="AY500" s="238" t="s">
        <v>200</v>
      </c>
    </row>
    <row r="501" s="13" customFormat="1">
      <c r="A501" s="13"/>
      <c r="B501" s="227"/>
      <c r="C501" s="228"/>
      <c r="D501" s="229" t="s">
        <v>211</v>
      </c>
      <c r="E501" s="230" t="s">
        <v>32</v>
      </c>
      <c r="F501" s="231" t="s">
        <v>829</v>
      </c>
      <c r="G501" s="228"/>
      <c r="H501" s="232">
        <v>0.38400000000000001</v>
      </c>
      <c r="I501" s="233"/>
      <c r="J501" s="228"/>
      <c r="K501" s="228"/>
      <c r="L501" s="234"/>
      <c r="M501" s="235"/>
      <c r="N501" s="236"/>
      <c r="O501" s="236"/>
      <c r="P501" s="236"/>
      <c r="Q501" s="236"/>
      <c r="R501" s="236"/>
      <c r="S501" s="236"/>
      <c r="T501" s="237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T501" s="238" t="s">
        <v>211</v>
      </c>
      <c r="AU501" s="238" t="s">
        <v>88</v>
      </c>
      <c r="AV501" s="13" t="s">
        <v>88</v>
      </c>
      <c r="AW501" s="13" t="s">
        <v>213</v>
      </c>
      <c r="AX501" s="13" t="s">
        <v>78</v>
      </c>
      <c r="AY501" s="238" t="s">
        <v>200</v>
      </c>
    </row>
    <row r="502" s="13" customFormat="1">
      <c r="A502" s="13"/>
      <c r="B502" s="227"/>
      <c r="C502" s="228"/>
      <c r="D502" s="229" t="s">
        <v>211</v>
      </c>
      <c r="E502" s="230" t="s">
        <v>32</v>
      </c>
      <c r="F502" s="231" t="s">
        <v>830</v>
      </c>
      <c r="G502" s="228"/>
      <c r="H502" s="232">
        <v>0.19400000000000001</v>
      </c>
      <c r="I502" s="233"/>
      <c r="J502" s="228"/>
      <c r="K502" s="228"/>
      <c r="L502" s="234"/>
      <c r="M502" s="235"/>
      <c r="N502" s="236"/>
      <c r="O502" s="236"/>
      <c r="P502" s="236"/>
      <c r="Q502" s="236"/>
      <c r="R502" s="236"/>
      <c r="S502" s="236"/>
      <c r="T502" s="237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T502" s="238" t="s">
        <v>211</v>
      </c>
      <c r="AU502" s="238" t="s">
        <v>88</v>
      </c>
      <c r="AV502" s="13" t="s">
        <v>88</v>
      </c>
      <c r="AW502" s="13" t="s">
        <v>213</v>
      </c>
      <c r="AX502" s="13" t="s">
        <v>78</v>
      </c>
      <c r="AY502" s="238" t="s">
        <v>200</v>
      </c>
    </row>
    <row r="503" s="13" customFormat="1">
      <c r="A503" s="13"/>
      <c r="B503" s="227"/>
      <c r="C503" s="228"/>
      <c r="D503" s="229" t="s">
        <v>211</v>
      </c>
      <c r="E503" s="230" t="s">
        <v>32</v>
      </c>
      <c r="F503" s="231" t="s">
        <v>831</v>
      </c>
      <c r="G503" s="228"/>
      <c r="H503" s="232">
        <v>0.214</v>
      </c>
      <c r="I503" s="233"/>
      <c r="J503" s="228"/>
      <c r="K503" s="228"/>
      <c r="L503" s="234"/>
      <c r="M503" s="235"/>
      <c r="N503" s="236"/>
      <c r="O503" s="236"/>
      <c r="P503" s="236"/>
      <c r="Q503" s="236"/>
      <c r="R503" s="236"/>
      <c r="S503" s="236"/>
      <c r="T503" s="237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T503" s="238" t="s">
        <v>211</v>
      </c>
      <c r="AU503" s="238" t="s">
        <v>88</v>
      </c>
      <c r="AV503" s="13" t="s">
        <v>88</v>
      </c>
      <c r="AW503" s="13" t="s">
        <v>213</v>
      </c>
      <c r="AX503" s="13" t="s">
        <v>78</v>
      </c>
      <c r="AY503" s="238" t="s">
        <v>200</v>
      </c>
    </row>
    <row r="504" s="13" customFormat="1">
      <c r="A504" s="13"/>
      <c r="B504" s="227"/>
      <c r="C504" s="228"/>
      <c r="D504" s="229" t="s">
        <v>211</v>
      </c>
      <c r="E504" s="230" t="s">
        <v>32</v>
      </c>
      <c r="F504" s="231" t="s">
        <v>832</v>
      </c>
      <c r="G504" s="228"/>
      <c r="H504" s="232">
        <v>0.42799999999999999</v>
      </c>
      <c r="I504" s="233"/>
      <c r="J504" s="228"/>
      <c r="K504" s="228"/>
      <c r="L504" s="234"/>
      <c r="M504" s="235"/>
      <c r="N504" s="236"/>
      <c r="O504" s="236"/>
      <c r="P504" s="236"/>
      <c r="Q504" s="236"/>
      <c r="R504" s="236"/>
      <c r="S504" s="236"/>
      <c r="T504" s="237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T504" s="238" t="s">
        <v>211</v>
      </c>
      <c r="AU504" s="238" t="s">
        <v>88</v>
      </c>
      <c r="AV504" s="13" t="s">
        <v>88</v>
      </c>
      <c r="AW504" s="13" t="s">
        <v>213</v>
      </c>
      <c r="AX504" s="13" t="s">
        <v>78</v>
      </c>
      <c r="AY504" s="238" t="s">
        <v>200</v>
      </c>
    </row>
    <row r="505" s="13" customFormat="1">
      <c r="A505" s="13"/>
      <c r="B505" s="227"/>
      <c r="C505" s="228"/>
      <c r="D505" s="229" t="s">
        <v>211</v>
      </c>
      <c r="E505" s="230" t="s">
        <v>32</v>
      </c>
      <c r="F505" s="231" t="s">
        <v>833</v>
      </c>
      <c r="G505" s="228"/>
      <c r="H505" s="232">
        <v>1.4119999999999999</v>
      </c>
      <c r="I505" s="233"/>
      <c r="J505" s="228"/>
      <c r="K505" s="228"/>
      <c r="L505" s="234"/>
      <c r="M505" s="235"/>
      <c r="N505" s="236"/>
      <c r="O505" s="236"/>
      <c r="P505" s="236"/>
      <c r="Q505" s="236"/>
      <c r="R505" s="236"/>
      <c r="S505" s="236"/>
      <c r="T505" s="237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T505" s="238" t="s">
        <v>211</v>
      </c>
      <c r="AU505" s="238" t="s">
        <v>88</v>
      </c>
      <c r="AV505" s="13" t="s">
        <v>88</v>
      </c>
      <c r="AW505" s="13" t="s">
        <v>213</v>
      </c>
      <c r="AX505" s="13" t="s">
        <v>78</v>
      </c>
      <c r="AY505" s="238" t="s">
        <v>200</v>
      </c>
    </row>
    <row r="506" s="13" customFormat="1">
      <c r="A506" s="13"/>
      <c r="B506" s="227"/>
      <c r="C506" s="228"/>
      <c r="D506" s="229" t="s">
        <v>211</v>
      </c>
      <c r="E506" s="230" t="s">
        <v>32</v>
      </c>
      <c r="F506" s="231" t="s">
        <v>834</v>
      </c>
      <c r="G506" s="228"/>
      <c r="H506" s="232">
        <v>0.40799999999999997</v>
      </c>
      <c r="I506" s="233"/>
      <c r="J506" s="228"/>
      <c r="K506" s="228"/>
      <c r="L506" s="234"/>
      <c r="M506" s="235"/>
      <c r="N506" s="236"/>
      <c r="O506" s="236"/>
      <c r="P506" s="236"/>
      <c r="Q506" s="236"/>
      <c r="R506" s="236"/>
      <c r="S506" s="236"/>
      <c r="T506" s="237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T506" s="238" t="s">
        <v>211</v>
      </c>
      <c r="AU506" s="238" t="s">
        <v>88</v>
      </c>
      <c r="AV506" s="13" t="s">
        <v>88</v>
      </c>
      <c r="AW506" s="13" t="s">
        <v>213</v>
      </c>
      <c r="AX506" s="13" t="s">
        <v>78</v>
      </c>
      <c r="AY506" s="238" t="s">
        <v>200</v>
      </c>
    </row>
    <row r="507" s="14" customFormat="1">
      <c r="A507" s="14"/>
      <c r="B507" s="239"/>
      <c r="C507" s="240"/>
      <c r="D507" s="229" t="s">
        <v>211</v>
      </c>
      <c r="E507" s="241" t="s">
        <v>32</v>
      </c>
      <c r="F507" s="242" t="s">
        <v>220</v>
      </c>
      <c r="G507" s="240"/>
      <c r="H507" s="243">
        <v>20.193999999999999</v>
      </c>
      <c r="I507" s="244"/>
      <c r="J507" s="240"/>
      <c r="K507" s="240"/>
      <c r="L507" s="245"/>
      <c r="M507" s="246"/>
      <c r="N507" s="247"/>
      <c r="O507" s="247"/>
      <c r="P507" s="247"/>
      <c r="Q507" s="247"/>
      <c r="R507" s="247"/>
      <c r="S507" s="247"/>
      <c r="T507" s="248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T507" s="249" t="s">
        <v>211</v>
      </c>
      <c r="AU507" s="249" t="s">
        <v>88</v>
      </c>
      <c r="AV507" s="14" t="s">
        <v>207</v>
      </c>
      <c r="AW507" s="14" t="s">
        <v>213</v>
      </c>
      <c r="AX507" s="14" t="s">
        <v>86</v>
      </c>
      <c r="AY507" s="249" t="s">
        <v>200</v>
      </c>
    </row>
    <row r="508" s="2" customFormat="1" ht="16.5" customHeight="1">
      <c r="A508" s="40"/>
      <c r="B508" s="41"/>
      <c r="C508" s="260" t="s">
        <v>835</v>
      </c>
      <c r="D508" s="260" t="s">
        <v>292</v>
      </c>
      <c r="E508" s="261" t="s">
        <v>836</v>
      </c>
      <c r="F508" s="262" t="s">
        <v>837</v>
      </c>
      <c r="G508" s="263" t="s">
        <v>250</v>
      </c>
      <c r="H508" s="264">
        <v>21.745000000000001</v>
      </c>
      <c r="I508" s="265"/>
      <c r="J508" s="266">
        <f>ROUND(I508*H508,1)</f>
        <v>0</v>
      </c>
      <c r="K508" s="262" t="s">
        <v>206</v>
      </c>
      <c r="L508" s="267"/>
      <c r="M508" s="268" t="s">
        <v>32</v>
      </c>
      <c r="N508" s="269" t="s">
        <v>49</v>
      </c>
      <c r="O508" s="86"/>
      <c r="P508" s="218">
        <f>O508*H508</f>
        <v>0</v>
      </c>
      <c r="Q508" s="218">
        <v>1</v>
      </c>
      <c r="R508" s="218">
        <f>Q508*H508</f>
        <v>21.745000000000001</v>
      </c>
      <c r="S508" s="218">
        <v>0</v>
      </c>
      <c r="T508" s="219">
        <f>S508*H508</f>
        <v>0</v>
      </c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R508" s="220" t="s">
        <v>254</v>
      </c>
      <c r="AT508" s="220" t="s">
        <v>292</v>
      </c>
      <c r="AU508" s="220" t="s">
        <v>88</v>
      </c>
      <c r="AY508" s="18" t="s">
        <v>200</v>
      </c>
      <c r="BE508" s="221">
        <f>IF(N508="základní",J508,0)</f>
        <v>0</v>
      </c>
      <c r="BF508" s="221">
        <f>IF(N508="snížená",J508,0)</f>
        <v>0</v>
      </c>
      <c r="BG508" s="221">
        <f>IF(N508="zákl. přenesená",J508,0)</f>
        <v>0</v>
      </c>
      <c r="BH508" s="221">
        <f>IF(N508="sníž. přenesená",J508,0)</f>
        <v>0</v>
      </c>
      <c r="BI508" s="221">
        <f>IF(N508="nulová",J508,0)</f>
        <v>0</v>
      </c>
      <c r="BJ508" s="18" t="s">
        <v>86</v>
      </c>
      <c r="BK508" s="221">
        <f>ROUND(I508*H508,1)</f>
        <v>0</v>
      </c>
      <c r="BL508" s="18" t="s">
        <v>207</v>
      </c>
      <c r="BM508" s="220" t="s">
        <v>838</v>
      </c>
    </row>
    <row r="509" s="15" customFormat="1">
      <c r="A509" s="15"/>
      <c r="B509" s="250"/>
      <c r="C509" s="251"/>
      <c r="D509" s="229" t="s">
        <v>211</v>
      </c>
      <c r="E509" s="252" t="s">
        <v>32</v>
      </c>
      <c r="F509" s="253" t="s">
        <v>818</v>
      </c>
      <c r="G509" s="251"/>
      <c r="H509" s="252" t="s">
        <v>32</v>
      </c>
      <c r="I509" s="254"/>
      <c r="J509" s="251"/>
      <c r="K509" s="251"/>
      <c r="L509" s="255"/>
      <c r="M509" s="256"/>
      <c r="N509" s="257"/>
      <c r="O509" s="257"/>
      <c r="P509" s="257"/>
      <c r="Q509" s="257"/>
      <c r="R509" s="257"/>
      <c r="S509" s="257"/>
      <c r="T509" s="25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T509" s="259" t="s">
        <v>211</v>
      </c>
      <c r="AU509" s="259" t="s">
        <v>88</v>
      </c>
      <c r="AV509" s="15" t="s">
        <v>86</v>
      </c>
      <c r="AW509" s="15" t="s">
        <v>213</v>
      </c>
      <c r="AX509" s="15" t="s">
        <v>78</v>
      </c>
      <c r="AY509" s="259" t="s">
        <v>200</v>
      </c>
    </row>
    <row r="510" s="13" customFormat="1">
      <c r="A510" s="13"/>
      <c r="B510" s="227"/>
      <c r="C510" s="228"/>
      <c r="D510" s="229" t="s">
        <v>211</v>
      </c>
      <c r="E510" s="230" t="s">
        <v>32</v>
      </c>
      <c r="F510" s="231" t="s">
        <v>819</v>
      </c>
      <c r="G510" s="228"/>
      <c r="H510" s="232">
        <v>0.57599999999999996</v>
      </c>
      <c r="I510" s="233"/>
      <c r="J510" s="228"/>
      <c r="K510" s="228"/>
      <c r="L510" s="234"/>
      <c r="M510" s="235"/>
      <c r="N510" s="236"/>
      <c r="O510" s="236"/>
      <c r="P510" s="236"/>
      <c r="Q510" s="236"/>
      <c r="R510" s="236"/>
      <c r="S510" s="236"/>
      <c r="T510" s="237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T510" s="238" t="s">
        <v>211</v>
      </c>
      <c r="AU510" s="238" t="s">
        <v>88</v>
      </c>
      <c r="AV510" s="13" t="s">
        <v>88</v>
      </c>
      <c r="AW510" s="13" t="s">
        <v>213</v>
      </c>
      <c r="AX510" s="13" t="s">
        <v>78</v>
      </c>
      <c r="AY510" s="238" t="s">
        <v>200</v>
      </c>
    </row>
    <row r="511" s="13" customFormat="1">
      <c r="A511" s="13"/>
      <c r="B511" s="227"/>
      <c r="C511" s="228"/>
      <c r="D511" s="229" t="s">
        <v>211</v>
      </c>
      <c r="E511" s="230" t="s">
        <v>32</v>
      </c>
      <c r="F511" s="231" t="s">
        <v>820</v>
      </c>
      <c r="G511" s="228"/>
      <c r="H511" s="232">
        <v>0.48199999999999998</v>
      </c>
      <c r="I511" s="233"/>
      <c r="J511" s="228"/>
      <c r="K511" s="228"/>
      <c r="L511" s="234"/>
      <c r="M511" s="235"/>
      <c r="N511" s="236"/>
      <c r="O511" s="236"/>
      <c r="P511" s="236"/>
      <c r="Q511" s="236"/>
      <c r="R511" s="236"/>
      <c r="S511" s="236"/>
      <c r="T511" s="237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T511" s="238" t="s">
        <v>211</v>
      </c>
      <c r="AU511" s="238" t="s">
        <v>88</v>
      </c>
      <c r="AV511" s="13" t="s">
        <v>88</v>
      </c>
      <c r="AW511" s="13" t="s">
        <v>213</v>
      </c>
      <c r="AX511" s="13" t="s">
        <v>78</v>
      </c>
      <c r="AY511" s="238" t="s">
        <v>200</v>
      </c>
    </row>
    <row r="512" s="15" customFormat="1">
      <c r="A512" s="15"/>
      <c r="B512" s="250"/>
      <c r="C512" s="251"/>
      <c r="D512" s="229" t="s">
        <v>211</v>
      </c>
      <c r="E512" s="252" t="s">
        <v>32</v>
      </c>
      <c r="F512" s="253" t="s">
        <v>822</v>
      </c>
      <c r="G512" s="251"/>
      <c r="H512" s="252" t="s">
        <v>32</v>
      </c>
      <c r="I512" s="254"/>
      <c r="J512" s="251"/>
      <c r="K512" s="251"/>
      <c r="L512" s="255"/>
      <c r="M512" s="256"/>
      <c r="N512" s="257"/>
      <c r="O512" s="257"/>
      <c r="P512" s="257"/>
      <c r="Q512" s="257"/>
      <c r="R512" s="257"/>
      <c r="S512" s="257"/>
      <c r="T512" s="25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T512" s="259" t="s">
        <v>211</v>
      </c>
      <c r="AU512" s="259" t="s">
        <v>88</v>
      </c>
      <c r="AV512" s="15" t="s">
        <v>86</v>
      </c>
      <c r="AW512" s="15" t="s">
        <v>213</v>
      </c>
      <c r="AX512" s="15" t="s">
        <v>78</v>
      </c>
      <c r="AY512" s="259" t="s">
        <v>200</v>
      </c>
    </row>
    <row r="513" s="13" customFormat="1">
      <c r="A513" s="13"/>
      <c r="B513" s="227"/>
      <c r="C513" s="228"/>
      <c r="D513" s="229" t="s">
        <v>211</v>
      </c>
      <c r="E513" s="230" t="s">
        <v>32</v>
      </c>
      <c r="F513" s="231" t="s">
        <v>823</v>
      </c>
      <c r="G513" s="228"/>
      <c r="H513" s="232">
        <v>7.1820000000000004</v>
      </c>
      <c r="I513" s="233"/>
      <c r="J513" s="228"/>
      <c r="K513" s="228"/>
      <c r="L513" s="234"/>
      <c r="M513" s="235"/>
      <c r="N513" s="236"/>
      <c r="O513" s="236"/>
      <c r="P513" s="236"/>
      <c r="Q513" s="236"/>
      <c r="R513" s="236"/>
      <c r="S513" s="236"/>
      <c r="T513" s="237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T513" s="238" t="s">
        <v>211</v>
      </c>
      <c r="AU513" s="238" t="s">
        <v>88</v>
      </c>
      <c r="AV513" s="13" t="s">
        <v>88</v>
      </c>
      <c r="AW513" s="13" t="s">
        <v>213</v>
      </c>
      <c r="AX513" s="13" t="s">
        <v>78</v>
      </c>
      <c r="AY513" s="238" t="s">
        <v>200</v>
      </c>
    </row>
    <row r="514" s="13" customFormat="1">
      <c r="A514" s="13"/>
      <c r="B514" s="227"/>
      <c r="C514" s="228"/>
      <c r="D514" s="229" t="s">
        <v>211</v>
      </c>
      <c r="E514" s="230" t="s">
        <v>32</v>
      </c>
      <c r="F514" s="231" t="s">
        <v>824</v>
      </c>
      <c r="G514" s="228"/>
      <c r="H514" s="232">
        <v>4.1230000000000002</v>
      </c>
      <c r="I514" s="233"/>
      <c r="J514" s="228"/>
      <c r="K514" s="228"/>
      <c r="L514" s="234"/>
      <c r="M514" s="235"/>
      <c r="N514" s="236"/>
      <c r="O514" s="236"/>
      <c r="P514" s="236"/>
      <c r="Q514" s="236"/>
      <c r="R514" s="236"/>
      <c r="S514" s="236"/>
      <c r="T514" s="237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T514" s="238" t="s">
        <v>211</v>
      </c>
      <c r="AU514" s="238" t="s">
        <v>88</v>
      </c>
      <c r="AV514" s="13" t="s">
        <v>88</v>
      </c>
      <c r="AW514" s="13" t="s">
        <v>213</v>
      </c>
      <c r="AX514" s="13" t="s">
        <v>78</v>
      </c>
      <c r="AY514" s="238" t="s">
        <v>200</v>
      </c>
    </row>
    <row r="515" s="13" customFormat="1">
      <c r="A515" s="13"/>
      <c r="B515" s="227"/>
      <c r="C515" s="228"/>
      <c r="D515" s="229" t="s">
        <v>211</v>
      </c>
      <c r="E515" s="230" t="s">
        <v>32</v>
      </c>
      <c r="F515" s="231" t="s">
        <v>825</v>
      </c>
      <c r="G515" s="228"/>
      <c r="H515" s="232">
        <v>2.1480000000000001</v>
      </c>
      <c r="I515" s="233"/>
      <c r="J515" s="228"/>
      <c r="K515" s="228"/>
      <c r="L515" s="234"/>
      <c r="M515" s="235"/>
      <c r="N515" s="236"/>
      <c r="O515" s="236"/>
      <c r="P515" s="236"/>
      <c r="Q515" s="236"/>
      <c r="R515" s="236"/>
      <c r="S515" s="236"/>
      <c r="T515" s="237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T515" s="238" t="s">
        <v>211</v>
      </c>
      <c r="AU515" s="238" t="s">
        <v>88</v>
      </c>
      <c r="AV515" s="13" t="s">
        <v>88</v>
      </c>
      <c r="AW515" s="13" t="s">
        <v>213</v>
      </c>
      <c r="AX515" s="13" t="s">
        <v>78</v>
      </c>
      <c r="AY515" s="238" t="s">
        <v>200</v>
      </c>
    </row>
    <row r="516" s="13" customFormat="1">
      <c r="A516" s="13"/>
      <c r="B516" s="227"/>
      <c r="C516" s="228"/>
      <c r="D516" s="229" t="s">
        <v>211</v>
      </c>
      <c r="E516" s="230" t="s">
        <v>32</v>
      </c>
      <c r="F516" s="231" t="s">
        <v>826</v>
      </c>
      <c r="G516" s="228"/>
      <c r="H516" s="232">
        <v>0.31900000000000001</v>
      </c>
      <c r="I516" s="233"/>
      <c r="J516" s="228"/>
      <c r="K516" s="228"/>
      <c r="L516" s="234"/>
      <c r="M516" s="235"/>
      <c r="N516" s="236"/>
      <c r="O516" s="236"/>
      <c r="P516" s="236"/>
      <c r="Q516" s="236"/>
      <c r="R516" s="236"/>
      <c r="S516" s="236"/>
      <c r="T516" s="237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T516" s="238" t="s">
        <v>211</v>
      </c>
      <c r="AU516" s="238" t="s">
        <v>88</v>
      </c>
      <c r="AV516" s="13" t="s">
        <v>88</v>
      </c>
      <c r="AW516" s="13" t="s">
        <v>213</v>
      </c>
      <c r="AX516" s="13" t="s">
        <v>78</v>
      </c>
      <c r="AY516" s="238" t="s">
        <v>200</v>
      </c>
    </row>
    <row r="517" s="13" customFormat="1">
      <c r="A517" s="13"/>
      <c r="B517" s="227"/>
      <c r="C517" s="228"/>
      <c r="D517" s="229" t="s">
        <v>211</v>
      </c>
      <c r="E517" s="230" t="s">
        <v>32</v>
      </c>
      <c r="F517" s="231" t="s">
        <v>827</v>
      </c>
      <c r="G517" s="228"/>
      <c r="H517" s="232">
        <v>0.39200000000000002</v>
      </c>
      <c r="I517" s="233"/>
      <c r="J517" s="228"/>
      <c r="K517" s="228"/>
      <c r="L517" s="234"/>
      <c r="M517" s="235"/>
      <c r="N517" s="236"/>
      <c r="O517" s="236"/>
      <c r="P517" s="236"/>
      <c r="Q517" s="236"/>
      <c r="R517" s="236"/>
      <c r="S517" s="236"/>
      <c r="T517" s="237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T517" s="238" t="s">
        <v>211</v>
      </c>
      <c r="AU517" s="238" t="s">
        <v>88</v>
      </c>
      <c r="AV517" s="13" t="s">
        <v>88</v>
      </c>
      <c r="AW517" s="13" t="s">
        <v>213</v>
      </c>
      <c r="AX517" s="13" t="s">
        <v>78</v>
      </c>
      <c r="AY517" s="238" t="s">
        <v>200</v>
      </c>
    </row>
    <row r="518" s="13" customFormat="1">
      <c r="A518" s="13"/>
      <c r="B518" s="227"/>
      <c r="C518" s="228"/>
      <c r="D518" s="229" t="s">
        <v>211</v>
      </c>
      <c r="E518" s="230" t="s">
        <v>32</v>
      </c>
      <c r="F518" s="231" t="s">
        <v>828</v>
      </c>
      <c r="G518" s="228"/>
      <c r="H518" s="232">
        <v>1.506</v>
      </c>
      <c r="I518" s="233"/>
      <c r="J518" s="228"/>
      <c r="K518" s="228"/>
      <c r="L518" s="234"/>
      <c r="M518" s="235"/>
      <c r="N518" s="236"/>
      <c r="O518" s="236"/>
      <c r="P518" s="236"/>
      <c r="Q518" s="236"/>
      <c r="R518" s="236"/>
      <c r="S518" s="236"/>
      <c r="T518" s="237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T518" s="238" t="s">
        <v>211</v>
      </c>
      <c r="AU518" s="238" t="s">
        <v>88</v>
      </c>
      <c r="AV518" s="13" t="s">
        <v>88</v>
      </c>
      <c r="AW518" s="13" t="s">
        <v>213</v>
      </c>
      <c r="AX518" s="13" t="s">
        <v>78</v>
      </c>
      <c r="AY518" s="238" t="s">
        <v>200</v>
      </c>
    </row>
    <row r="519" s="13" customFormat="1">
      <c r="A519" s="13"/>
      <c r="B519" s="227"/>
      <c r="C519" s="228"/>
      <c r="D519" s="229" t="s">
        <v>211</v>
      </c>
      <c r="E519" s="230" t="s">
        <v>32</v>
      </c>
      <c r="F519" s="231" t="s">
        <v>829</v>
      </c>
      <c r="G519" s="228"/>
      <c r="H519" s="232">
        <v>0.38400000000000001</v>
      </c>
      <c r="I519" s="233"/>
      <c r="J519" s="228"/>
      <c r="K519" s="228"/>
      <c r="L519" s="234"/>
      <c r="M519" s="235"/>
      <c r="N519" s="236"/>
      <c r="O519" s="236"/>
      <c r="P519" s="236"/>
      <c r="Q519" s="236"/>
      <c r="R519" s="236"/>
      <c r="S519" s="236"/>
      <c r="T519" s="237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T519" s="238" t="s">
        <v>211</v>
      </c>
      <c r="AU519" s="238" t="s">
        <v>88</v>
      </c>
      <c r="AV519" s="13" t="s">
        <v>88</v>
      </c>
      <c r="AW519" s="13" t="s">
        <v>213</v>
      </c>
      <c r="AX519" s="13" t="s">
        <v>78</v>
      </c>
      <c r="AY519" s="238" t="s">
        <v>200</v>
      </c>
    </row>
    <row r="520" s="13" customFormat="1">
      <c r="A520" s="13"/>
      <c r="B520" s="227"/>
      <c r="C520" s="228"/>
      <c r="D520" s="229" t="s">
        <v>211</v>
      </c>
      <c r="E520" s="230" t="s">
        <v>32</v>
      </c>
      <c r="F520" s="231" t="s">
        <v>830</v>
      </c>
      <c r="G520" s="228"/>
      <c r="H520" s="232">
        <v>0.19400000000000001</v>
      </c>
      <c r="I520" s="233"/>
      <c r="J520" s="228"/>
      <c r="K520" s="228"/>
      <c r="L520" s="234"/>
      <c r="M520" s="235"/>
      <c r="N520" s="236"/>
      <c r="O520" s="236"/>
      <c r="P520" s="236"/>
      <c r="Q520" s="236"/>
      <c r="R520" s="236"/>
      <c r="S520" s="236"/>
      <c r="T520" s="237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T520" s="238" t="s">
        <v>211</v>
      </c>
      <c r="AU520" s="238" t="s">
        <v>88</v>
      </c>
      <c r="AV520" s="13" t="s">
        <v>88</v>
      </c>
      <c r="AW520" s="13" t="s">
        <v>213</v>
      </c>
      <c r="AX520" s="13" t="s">
        <v>78</v>
      </c>
      <c r="AY520" s="238" t="s">
        <v>200</v>
      </c>
    </row>
    <row r="521" s="13" customFormat="1">
      <c r="A521" s="13"/>
      <c r="B521" s="227"/>
      <c r="C521" s="228"/>
      <c r="D521" s="229" t="s">
        <v>211</v>
      </c>
      <c r="E521" s="230" t="s">
        <v>32</v>
      </c>
      <c r="F521" s="231" t="s">
        <v>831</v>
      </c>
      <c r="G521" s="228"/>
      <c r="H521" s="232">
        <v>0.214</v>
      </c>
      <c r="I521" s="233"/>
      <c r="J521" s="228"/>
      <c r="K521" s="228"/>
      <c r="L521" s="234"/>
      <c r="M521" s="235"/>
      <c r="N521" s="236"/>
      <c r="O521" s="236"/>
      <c r="P521" s="236"/>
      <c r="Q521" s="236"/>
      <c r="R521" s="236"/>
      <c r="S521" s="236"/>
      <c r="T521" s="237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T521" s="238" t="s">
        <v>211</v>
      </c>
      <c r="AU521" s="238" t="s">
        <v>88</v>
      </c>
      <c r="AV521" s="13" t="s">
        <v>88</v>
      </c>
      <c r="AW521" s="13" t="s">
        <v>213</v>
      </c>
      <c r="AX521" s="13" t="s">
        <v>78</v>
      </c>
      <c r="AY521" s="238" t="s">
        <v>200</v>
      </c>
    </row>
    <row r="522" s="13" customFormat="1">
      <c r="A522" s="13"/>
      <c r="B522" s="227"/>
      <c r="C522" s="228"/>
      <c r="D522" s="229" t="s">
        <v>211</v>
      </c>
      <c r="E522" s="230" t="s">
        <v>32</v>
      </c>
      <c r="F522" s="231" t="s">
        <v>832</v>
      </c>
      <c r="G522" s="228"/>
      <c r="H522" s="232">
        <v>0.42799999999999999</v>
      </c>
      <c r="I522" s="233"/>
      <c r="J522" s="228"/>
      <c r="K522" s="228"/>
      <c r="L522" s="234"/>
      <c r="M522" s="235"/>
      <c r="N522" s="236"/>
      <c r="O522" s="236"/>
      <c r="P522" s="236"/>
      <c r="Q522" s="236"/>
      <c r="R522" s="236"/>
      <c r="S522" s="236"/>
      <c r="T522" s="237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T522" s="238" t="s">
        <v>211</v>
      </c>
      <c r="AU522" s="238" t="s">
        <v>88</v>
      </c>
      <c r="AV522" s="13" t="s">
        <v>88</v>
      </c>
      <c r="AW522" s="13" t="s">
        <v>213</v>
      </c>
      <c r="AX522" s="13" t="s">
        <v>78</v>
      </c>
      <c r="AY522" s="238" t="s">
        <v>200</v>
      </c>
    </row>
    <row r="523" s="13" customFormat="1">
      <c r="A523" s="13"/>
      <c r="B523" s="227"/>
      <c r="C523" s="228"/>
      <c r="D523" s="229" t="s">
        <v>211</v>
      </c>
      <c r="E523" s="230" t="s">
        <v>32</v>
      </c>
      <c r="F523" s="231" t="s">
        <v>833</v>
      </c>
      <c r="G523" s="228"/>
      <c r="H523" s="232">
        <v>1.4119999999999999</v>
      </c>
      <c r="I523" s="233"/>
      <c r="J523" s="228"/>
      <c r="K523" s="228"/>
      <c r="L523" s="234"/>
      <c r="M523" s="235"/>
      <c r="N523" s="236"/>
      <c r="O523" s="236"/>
      <c r="P523" s="236"/>
      <c r="Q523" s="236"/>
      <c r="R523" s="236"/>
      <c r="S523" s="236"/>
      <c r="T523" s="237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T523" s="238" t="s">
        <v>211</v>
      </c>
      <c r="AU523" s="238" t="s">
        <v>88</v>
      </c>
      <c r="AV523" s="13" t="s">
        <v>88</v>
      </c>
      <c r="AW523" s="13" t="s">
        <v>213</v>
      </c>
      <c r="AX523" s="13" t="s">
        <v>78</v>
      </c>
      <c r="AY523" s="238" t="s">
        <v>200</v>
      </c>
    </row>
    <row r="524" s="13" customFormat="1">
      <c r="A524" s="13"/>
      <c r="B524" s="227"/>
      <c r="C524" s="228"/>
      <c r="D524" s="229" t="s">
        <v>211</v>
      </c>
      <c r="E524" s="230" t="s">
        <v>32</v>
      </c>
      <c r="F524" s="231" t="s">
        <v>834</v>
      </c>
      <c r="G524" s="228"/>
      <c r="H524" s="232">
        <v>0.40799999999999997</v>
      </c>
      <c r="I524" s="233"/>
      <c r="J524" s="228"/>
      <c r="K524" s="228"/>
      <c r="L524" s="234"/>
      <c r="M524" s="235"/>
      <c r="N524" s="236"/>
      <c r="O524" s="236"/>
      <c r="P524" s="236"/>
      <c r="Q524" s="236"/>
      <c r="R524" s="236"/>
      <c r="S524" s="236"/>
      <c r="T524" s="237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T524" s="238" t="s">
        <v>211</v>
      </c>
      <c r="AU524" s="238" t="s">
        <v>88</v>
      </c>
      <c r="AV524" s="13" t="s">
        <v>88</v>
      </c>
      <c r="AW524" s="13" t="s">
        <v>213</v>
      </c>
      <c r="AX524" s="13" t="s">
        <v>78</v>
      </c>
      <c r="AY524" s="238" t="s">
        <v>200</v>
      </c>
    </row>
    <row r="525" s="14" customFormat="1">
      <c r="A525" s="14"/>
      <c r="B525" s="239"/>
      <c r="C525" s="240"/>
      <c r="D525" s="229" t="s">
        <v>211</v>
      </c>
      <c r="E525" s="241" t="s">
        <v>32</v>
      </c>
      <c r="F525" s="242" t="s">
        <v>220</v>
      </c>
      <c r="G525" s="240"/>
      <c r="H525" s="243">
        <v>19.768000000000001</v>
      </c>
      <c r="I525" s="244"/>
      <c r="J525" s="240"/>
      <c r="K525" s="240"/>
      <c r="L525" s="245"/>
      <c r="M525" s="246"/>
      <c r="N525" s="247"/>
      <c r="O525" s="247"/>
      <c r="P525" s="247"/>
      <c r="Q525" s="247"/>
      <c r="R525" s="247"/>
      <c r="S525" s="247"/>
      <c r="T525" s="248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T525" s="249" t="s">
        <v>211</v>
      </c>
      <c r="AU525" s="249" t="s">
        <v>88</v>
      </c>
      <c r="AV525" s="14" t="s">
        <v>207</v>
      </c>
      <c r="AW525" s="14" t="s">
        <v>213</v>
      </c>
      <c r="AX525" s="14" t="s">
        <v>86</v>
      </c>
      <c r="AY525" s="249" t="s">
        <v>200</v>
      </c>
    </row>
    <row r="526" s="13" customFormat="1">
      <c r="A526" s="13"/>
      <c r="B526" s="227"/>
      <c r="C526" s="228"/>
      <c r="D526" s="229" t="s">
        <v>211</v>
      </c>
      <c r="E526" s="228"/>
      <c r="F526" s="231" t="s">
        <v>839</v>
      </c>
      <c r="G526" s="228"/>
      <c r="H526" s="232">
        <v>21.745000000000001</v>
      </c>
      <c r="I526" s="233"/>
      <c r="J526" s="228"/>
      <c r="K526" s="228"/>
      <c r="L526" s="234"/>
      <c r="M526" s="235"/>
      <c r="N526" s="236"/>
      <c r="O526" s="236"/>
      <c r="P526" s="236"/>
      <c r="Q526" s="236"/>
      <c r="R526" s="236"/>
      <c r="S526" s="236"/>
      <c r="T526" s="237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T526" s="238" t="s">
        <v>211</v>
      </c>
      <c r="AU526" s="238" t="s">
        <v>88</v>
      </c>
      <c r="AV526" s="13" t="s">
        <v>88</v>
      </c>
      <c r="AW526" s="13" t="s">
        <v>4</v>
      </c>
      <c r="AX526" s="13" t="s">
        <v>86</v>
      </c>
      <c r="AY526" s="238" t="s">
        <v>200</v>
      </c>
    </row>
    <row r="527" s="2" customFormat="1" ht="16.5" customHeight="1">
      <c r="A527" s="40"/>
      <c r="B527" s="41"/>
      <c r="C527" s="260" t="s">
        <v>840</v>
      </c>
      <c r="D527" s="260" t="s">
        <v>292</v>
      </c>
      <c r="E527" s="261" t="s">
        <v>841</v>
      </c>
      <c r="F527" s="262" t="s">
        <v>842</v>
      </c>
      <c r="G527" s="263" t="s">
        <v>250</v>
      </c>
      <c r="H527" s="264">
        <v>0.42599999999999999</v>
      </c>
      <c r="I527" s="265"/>
      <c r="J527" s="266">
        <f>ROUND(I527*H527,1)</f>
        <v>0</v>
      </c>
      <c r="K527" s="262" t="s">
        <v>206</v>
      </c>
      <c r="L527" s="267"/>
      <c r="M527" s="268" t="s">
        <v>32</v>
      </c>
      <c r="N527" s="269" t="s">
        <v>49</v>
      </c>
      <c r="O527" s="86"/>
      <c r="P527" s="218">
        <f>O527*H527</f>
        <v>0</v>
      </c>
      <c r="Q527" s="218">
        <v>1</v>
      </c>
      <c r="R527" s="218">
        <f>Q527*H527</f>
        <v>0.42599999999999999</v>
      </c>
      <c r="S527" s="218">
        <v>0</v>
      </c>
      <c r="T527" s="219">
        <f>S527*H527</f>
        <v>0</v>
      </c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R527" s="220" t="s">
        <v>254</v>
      </c>
      <c r="AT527" s="220" t="s">
        <v>292</v>
      </c>
      <c r="AU527" s="220" t="s">
        <v>88</v>
      </c>
      <c r="AY527" s="18" t="s">
        <v>200</v>
      </c>
      <c r="BE527" s="221">
        <f>IF(N527="základní",J527,0)</f>
        <v>0</v>
      </c>
      <c r="BF527" s="221">
        <f>IF(N527="snížená",J527,0)</f>
        <v>0</v>
      </c>
      <c r="BG527" s="221">
        <f>IF(N527="zákl. přenesená",J527,0)</f>
        <v>0</v>
      </c>
      <c r="BH527" s="221">
        <f>IF(N527="sníž. přenesená",J527,0)</f>
        <v>0</v>
      </c>
      <c r="BI527" s="221">
        <f>IF(N527="nulová",J527,0)</f>
        <v>0</v>
      </c>
      <c r="BJ527" s="18" t="s">
        <v>86</v>
      </c>
      <c r="BK527" s="221">
        <f>ROUND(I527*H527,1)</f>
        <v>0</v>
      </c>
      <c r="BL527" s="18" t="s">
        <v>207</v>
      </c>
      <c r="BM527" s="220" t="s">
        <v>843</v>
      </c>
    </row>
    <row r="528" s="13" customFormat="1">
      <c r="A528" s="13"/>
      <c r="B528" s="227"/>
      <c r="C528" s="228"/>
      <c r="D528" s="229" t="s">
        <v>211</v>
      </c>
      <c r="E528" s="230" t="s">
        <v>32</v>
      </c>
      <c r="F528" s="231" t="s">
        <v>821</v>
      </c>
      <c r="G528" s="228"/>
      <c r="H528" s="232">
        <v>0.42599999999999999</v>
      </c>
      <c r="I528" s="233"/>
      <c r="J528" s="228"/>
      <c r="K528" s="228"/>
      <c r="L528" s="234"/>
      <c r="M528" s="235"/>
      <c r="N528" s="236"/>
      <c r="O528" s="236"/>
      <c r="P528" s="236"/>
      <c r="Q528" s="236"/>
      <c r="R528" s="236"/>
      <c r="S528" s="236"/>
      <c r="T528" s="237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T528" s="238" t="s">
        <v>211</v>
      </c>
      <c r="AU528" s="238" t="s">
        <v>88</v>
      </c>
      <c r="AV528" s="13" t="s">
        <v>88</v>
      </c>
      <c r="AW528" s="13" t="s">
        <v>213</v>
      </c>
      <c r="AX528" s="13" t="s">
        <v>86</v>
      </c>
      <c r="AY528" s="238" t="s">
        <v>200</v>
      </c>
    </row>
    <row r="529" s="2" customFormat="1" ht="24.15" customHeight="1">
      <c r="A529" s="40"/>
      <c r="B529" s="41"/>
      <c r="C529" s="209" t="s">
        <v>844</v>
      </c>
      <c r="D529" s="209" t="s">
        <v>202</v>
      </c>
      <c r="E529" s="210" t="s">
        <v>845</v>
      </c>
      <c r="F529" s="211" t="s">
        <v>846</v>
      </c>
      <c r="G529" s="212" t="s">
        <v>250</v>
      </c>
      <c r="H529" s="213">
        <v>12.710000000000001</v>
      </c>
      <c r="I529" s="214"/>
      <c r="J529" s="215">
        <f>ROUND(I529*H529,1)</f>
        <v>0</v>
      </c>
      <c r="K529" s="211" t="s">
        <v>206</v>
      </c>
      <c r="L529" s="46"/>
      <c r="M529" s="216" t="s">
        <v>32</v>
      </c>
      <c r="N529" s="217" t="s">
        <v>49</v>
      </c>
      <c r="O529" s="86"/>
      <c r="P529" s="218">
        <f>O529*H529</f>
        <v>0</v>
      </c>
      <c r="Q529" s="218">
        <v>0</v>
      </c>
      <c r="R529" s="218">
        <f>Q529*H529</f>
        <v>0</v>
      </c>
      <c r="S529" s="218">
        <v>0</v>
      </c>
      <c r="T529" s="219">
        <f>S529*H529</f>
        <v>0</v>
      </c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R529" s="220" t="s">
        <v>207</v>
      </c>
      <c r="AT529" s="220" t="s">
        <v>202</v>
      </c>
      <c r="AU529" s="220" t="s">
        <v>88</v>
      </c>
      <c r="AY529" s="18" t="s">
        <v>200</v>
      </c>
      <c r="BE529" s="221">
        <f>IF(N529="základní",J529,0)</f>
        <v>0</v>
      </c>
      <c r="BF529" s="221">
        <f>IF(N529="snížená",J529,0)</f>
        <v>0</v>
      </c>
      <c r="BG529" s="221">
        <f>IF(N529="zákl. přenesená",J529,0)</f>
        <v>0</v>
      </c>
      <c r="BH529" s="221">
        <f>IF(N529="sníž. přenesená",J529,0)</f>
        <v>0</v>
      </c>
      <c r="BI529" s="221">
        <f>IF(N529="nulová",J529,0)</f>
        <v>0</v>
      </c>
      <c r="BJ529" s="18" t="s">
        <v>86</v>
      </c>
      <c r="BK529" s="221">
        <f>ROUND(I529*H529,1)</f>
        <v>0</v>
      </c>
      <c r="BL529" s="18" t="s">
        <v>207</v>
      </c>
      <c r="BM529" s="220" t="s">
        <v>847</v>
      </c>
    </row>
    <row r="530" s="2" customFormat="1">
      <c r="A530" s="40"/>
      <c r="B530" s="41"/>
      <c r="C530" s="42"/>
      <c r="D530" s="222" t="s">
        <v>209</v>
      </c>
      <c r="E530" s="42"/>
      <c r="F530" s="223" t="s">
        <v>848</v>
      </c>
      <c r="G530" s="42"/>
      <c r="H530" s="42"/>
      <c r="I530" s="224"/>
      <c r="J530" s="42"/>
      <c r="K530" s="42"/>
      <c r="L530" s="46"/>
      <c r="M530" s="225"/>
      <c r="N530" s="226"/>
      <c r="O530" s="86"/>
      <c r="P530" s="86"/>
      <c r="Q530" s="86"/>
      <c r="R530" s="86"/>
      <c r="S530" s="86"/>
      <c r="T530" s="87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T530" s="18" t="s">
        <v>209</v>
      </c>
      <c r="AU530" s="18" t="s">
        <v>88</v>
      </c>
    </row>
    <row r="531" s="13" customFormat="1">
      <c r="A531" s="13"/>
      <c r="B531" s="227"/>
      <c r="C531" s="228"/>
      <c r="D531" s="229" t="s">
        <v>211</v>
      </c>
      <c r="E531" s="230" t="s">
        <v>32</v>
      </c>
      <c r="F531" s="231" t="s">
        <v>849</v>
      </c>
      <c r="G531" s="228"/>
      <c r="H531" s="232">
        <v>6.3399999999999999</v>
      </c>
      <c r="I531" s="233"/>
      <c r="J531" s="228"/>
      <c r="K531" s="228"/>
      <c r="L531" s="234"/>
      <c r="M531" s="235"/>
      <c r="N531" s="236"/>
      <c r="O531" s="236"/>
      <c r="P531" s="236"/>
      <c r="Q531" s="236"/>
      <c r="R531" s="236"/>
      <c r="S531" s="236"/>
      <c r="T531" s="237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T531" s="238" t="s">
        <v>211</v>
      </c>
      <c r="AU531" s="238" t="s">
        <v>88</v>
      </c>
      <c r="AV531" s="13" t="s">
        <v>88</v>
      </c>
      <c r="AW531" s="13" t="s">
        <v>213</v>
      </c>
      <c r="AX531" s="13" t="s">
        <v>78</v>
      </c>
      <c r="AY531" s="238" t="s">
        <v>200</v>
      </c>
    </row>
    <row r="532" s="13" customFormat="1">
      <c r="A532" s="13"/>
      <c r="B532" s="227"/>
      <c r="C532" s="228"/>
      <c r="D532" s="229" t="s">
        <v>211</v>
      </c>
      <c r="E532" s="230" t="s">
        <v>32</v>
      </c>
      <c r="F532" s="231" t="s">
        <v>850</v>
      </c>
      <c r="G532" s="228"/>
      <c r="H532" s="232">
        <v>6.3700000000000001</v>
      </c>
      <c r="I532" s="233"/>
      <c r="J532" s="228"/>
      <c r="K532" s="228"/>
      <c r="L532" s="234"/>
      <c r="M532" s="235"/>
      <c r="N532" s="236"/>
      <c r="O532" s="236"/>
      <c r="P532" s="236"/>
      <c r="Q532" s="236"/>
      <c r="R532" s="236"/>
      <c r="S532" s="236"/>
      <c r="T532" s="237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T532" s="238" t="s">
        <v>211</v>
      </c>
      <c r="AU532" s="238" t="s">
        <v>88</v>
      </c>
      <c r="AV532" s="13" t="s">
        <v>88</v>
      </c>
      <c r="AW532" s="13" t="s">
        <v>213</v>
      </c>
      <c r="AX532" s="13" t="s">
        <v>78</v>
      </c>
      <c r="AY532" s="238" t="s">
        <v>200</v>
      </c>
    </row>
    <row r="533" s="14" customFormat="1">
      <c r="A533" s="14"/>
      <c r="B533" s="239"/>
      <c r="C533" s="240"/>
      <c r="D533" s="229" t="s">
        <v>211</v>
      </c>
      <c r="E533" s="241" t="s">
        <v>32</v>
      </c>
      <c r="F533" s="242" t="s">
        <v>220</v>
      </c>
      <c r="G533" s="240"/>
      <c r="H533" s="243">
        <v>12.710000000000001</v>
      </c>
      <c r="I533" s="244"/>
      <c r="J533" s="240"/>
      <c r="K533" s="240"/>
      <c r="L533" s="245"/>
      <c r="M533" s="246"/>
      <c r="N533" s="247"/>
      <c r="O533" s="247"/>
      <c r="P533" s="247"/>
      <c r="Q533" s="247"/>
      <c r="R533" s="247"/>
      <c r="S533" s="247"/>
      <c r="T533" s="248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T533" s="249" t="s">
        <v>211</v>
      </c>
      <c r="AU533" s="249" t="s">
        <v>88</v>
      </c>
      <c r="AV533" s="14" t="s">
        <v>207</v>
      </c>
      <c r="AW533" s="14" t="s">
        <v>213</v>
      </c>
      <c r="AX533" s="14" t="s">
        <v>86</v>
      </c>
      <c r="AY533" s="249" t="s">
        <v>200</v>
      </c>
    </row>
    <row r="534" s="2" customFormat="1" ht="16.5" customHeight="1">
      <c r="A534" s="40"/>
      <c r="B534" s="41"/>
      <c r="C534" s="260" t="s">
        <v>851</v>
      </c>
      <c r="D534" s="260" t="s">
        <v>292</v>
      </c>
      <c r="E534" s="261" t="s">
        <v>852</v>
      </c>
      <c r="F534" s="262" t="s">
        <v>853</v>
      </c>
      <c r="G534" s="263" t="s">
        <v>250</v>
      </c>
      <c r="H534" s="264">
        <v>13.981</v>
      </c>
      <c r="I534" s="265"/>
      <c r="J534" s="266">
        <f>ROUND(I534*H534,1)</f>
        <v>0</v>
      </c>
      <c r="K534" s="262" t="s">
        <v>206</v>
      </c>
      <c r="L534" s="267"/>
      <c r="M534" s="268" t="s">
        <v>32</v>
      </c>
      <c r="N534" s="269" t="s">
        <v>49</v>
      </c>
      <c r="O534" s="86"/>
      <c r="P534" s="218">
        <f>O534*H534</f>
        <v>0</v>
      </c>
      <c r="Q534" s="218">
        <v>1</v>
      </c>
      <c r="R534" s="218">
        <f>Q534*H534</f>
        <v>13.981</v>
      </c>
      <c r="S534" s="218">
        <v>0</v>
      </c>
      <c r="T534" s="219">
        <f>S534*H534</f>
        <v>0</v>
      </c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R534" s="220" t="s">
        <v>254</v>
      </c>
      <c r="AT534" s="220" t="s">
        <v>292</v>
      </c>
      <c r="AU534" s="220" t="s">
        <v>88</v>
      </c>
      <c r="AY534" s="18" t="s">
        <v>200</v>
      </c>
      <c r="BE534" s="221">
        <f>IF(N534="základní",J534,0)</f>
        <v>0</v>
      </c>
      <c r="BF534" s="221">
        <f>IF(N534="snížená",J534,0)</f>
        <v>0</v>
      </c>
      <c r="BG534" s="221">
        <f>IF(N534="zákl. přenesená",J534,0)</f>
        <v>0</v>
      </c>
      <c r="BH534" s="221">
        <f>IF(N534="sníž. přenesená",J534,0)</f>
        <v>0</v>
      </c>
      <c r="BI534" s="221">
        <f>IF(N534="nulová",J534,0)</f>
        <v>0</v>
      </c>
      <c r="BJ534" s="18" t="s">
        <v>86</v>
      </c>
      <c r="BK534" s="221">
        <f>ROUND(I534*H534,1)</f>
        <v>0</v>
      </c>
      <c r="BL534" s="18" t="s">
        <v>207</v>
      </c>
      <c r="BM534" s="220" t="s">
        <v>854</v>
      </c>
    </row>
    <row r="535" s="13" customFormat="1">
      <c r="A535" s="13"/>
      <c r="B535" s="227"/>
      <c r="C535" s="228"/>
      <c r="D535" s="229" t="s">
        <v>211</v>
      </c>
      <c r="E535" s="228"/>
      <c r="F535" s="231" t="s">
        <v>855</v>
      </c>
      <c r="G535" s="228"/>
      <c r="H535" s="232">
        <v>13.981</v>
      </c>
      <c r="I535" s="233"/>
      <c r="J535" s="228"/>
      <c r="K535" s="228"/>
      <c r="L535" s="234"/>
      <c r="M535" s="235"/>
      <c r="N535" s="236"/>
      <c r="O535" s="236"/>
      <c r="P535" s="236"/>
      <c r="Q535" s="236"/>
      <c r="R535" s="236"/>
      <c r="S535" s="236"/>
      <c r="T535" s="237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T535" s="238" t="s">
        <v>211</v>
      </c>
      <c r="AU535" s="238" t="s">
        <v>88</v>
      </c>
      <c r="AV535" s="13" t="s">
        <v>88</v>
      </c>
      <c r="AW535" s="13" t="s">
        <v>4</v>
      </c>
      <c r="AX535" s="13" t="s">
        <v>86</v>
      </c>
      <c r="AY535" s="238" t="s">
        <v>200</v>
      </c>
    </row>
    <row r="536" s="2" customFormat="1" ht="24.15" customHeight="1">
      <c r="A536" s="40"/>
      <c r="B536" s="41"/>
      <c r="C536" s="209" t="s">
        <v>856</v>
      </c>
      <c r="D536" s="209" t="s">
        <v>202</v>
      </c>
      <c r="E536" s="210" t="s">
        <v>857</v>
      </c>
      <c r="F536" s="211" t="s">
        <v>858</v>
      </c>
      <c r="G536" s="212" t="s">
        <v>250</v>
      </c>
      <c r="H536" s="213">
        <v>4.2220000000000004</v>
      </c>
      <c r="I536" s="214"/>
      <c r="J536" s="215">
        <f>ROUND(I536*H536,1)</f>
        <v>0</v>
      </c>
      <c r="K536" s="211" t="s">
        <v>206</v>
      </c>
      <c r="L536" s="46"/>
      <c r="M536" s="216" t="s">
        <v>32</v>
      </c>
      <c r="N536" s="217" t="s">
        <v>49</v>
      </c>
      <c r="O536" s="86"/>
      <c r="P536" s="218">
        <f>O536*H536</f>
        <v>0</v>
      </c>
      <c r="Q536" s="218">
        <v>0</v>
      </c>
      <c r="R536" s="218">
        <f>Q536*H536</f>
        <v>0</v>
      </c>
      <c r="S536" s="218">
        <v>0</v>
      </c>
      <c r="T536" s="219">
        <f>S536*H536</f>
        <v>0</v>
      </c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R536" s="220" t="s">
        <v>207</v>
      </c>
      <c r="AT536" s="220" t="s">
        <v>202</v>
      </c>
      <c r="AU536" s="220" t="s">
        <v>88</v>
      </c>
      <c r="AY536" s="18" t="s">
        <v>200</v>
      </c>
      <c r="BE536" s="221">
        <f>IF(N536="základní",J536,0)</f>
        <v>0</v>
      </c>
      <c r="BF536" s="221">
        <f>IF(N536="snížená",J536,0)</f>
        <v>0</v>
      </c>
      <c r="BG536" s="221">
        <f>IF(N536="zákl. přenesená",J536,0)</f>
        <v>0</v>
      </c>
      <c r="BH536" s="221">
        <f>IF(N536="sníž. přenesená",J536,0)</f>
        <v>0</v>
      </c>
      <c r="BI536" s="221">
        <f>IF(N536="nulová",J536,0)</f>
        <v>0</v>
      </c>
      <c r="BJ536" s="18" t="s">
        <v>86</v>
      </c>
      <c r="BK536" s="221">
        <f>ROUND(I536*H536,1)</f>
        <v>0</v>
      </c>
      <c r="BL536" s="18" t="s">
        <v>207</v>
      </c>
      <c r="BM536" s="220" t="s">
        <v>859</v>
      </c>
    </row>
    <row r="537" s="2" customFormat="1">
      <c r="A537" s="40"/>
      <c r="B537" s="41"/>
      <c r="C537" s="42"/>
      <c r="D537" s="222" t="s">
        <v>209</v>
      </c>
      <c r="E537" s="42"/>
      <c r="F537" s="223" t="s">
        <v>860</v>
      </c>
      <c r="G537" s="42"/>
      <c r="H537" s="42"/>
      <c r="I537" s="224"/>
      <c r="J537" s="42"/>
      <c r="K537" s="42"/>
      <c r="L537" s="46"/>
      <c r="M537" s="225"/>
      <c r="N537" s="226"/>
      <c r="O537" s="86"/>
      <c r="P537" s="86"/>
      <c r="Q537" s="86"/>
      <c r="R537" s="86"/>
      <c r="S537" s="86"/>
      <c r="T537" s="87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T537" s="18" t="s">
        <v>209</v>
      </c>
      <c r="AU537" s="18" t="s">
        <v>88</v>
      </c>
    </row>
    <row r="538" s="13" customFormat="1">
      <c r="A538" s="13"/>
      <c r="B538" s="227"/>
      <c r="C538" s="228"/>
      <c r="D538" s="229" t="s">
        <v>211</v>
      </c>
      <c r="E538" s="230" t="s">
        <v>32</v>
      </c>
      <c r="F538" s="231" t="s">
        <v>861</v>
      </c>
      <c r="G538" s="228"/>
      <c r="H538" s="232">
        <v>1.8919999999999999</v>
      </c>
      <c r="I538" s="233"/>
      <c r="J538" s="228"/>
      <c r="K538" s="228"/>
      <c r="L538" s="234"/>
      <c r="M538" s="235"/>
      <c r="N538" s="236"/>
      <c r="O538" s="236"/>
      <c r="P538" s="236"/>
      <c r="Q538" s="236"/>
      <c r="R538" s="236"/>
      <c r="S538" s="236"/>
      <c r="T538" s="237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T538" s="238" t="s">
        <v>211</v>
      </c>
      <c r="AU538" s="238" t="s">
        <v>88</v>
      </c>
      <c r="AV538" s="13" t="s">
        <v>88</v>
      </c>
      <c r="AW538" s="13" t="s">
        <v>213</v>
      </c>
      <c r="AX538" s="13" t="s">
        <v>78</v>
      </c>
      <c r="AY538" s="238" t="s">
        <v>200</v>
      </c>
    </row>
    <row r="539" s="13" customFormat="1">
      <c r="A539" s="13"/>
      <c r="B539" s="227"/>
      <c r="C539" s="228"/>
      <c r="D539" s="229" t="s">
        <v>211</v>
      </c>
      <c r="E539" s="230" t="s">
        <v>32</v>
      </c>
      <c r="F539" s="231" t="s">
        <v>862</v>
      </c>
      <c r="G539" s="228"/>
      <c r="H539" s="232">
        <v>0.86399999999999999</v>
      </c>
      <c r="I539" s="233"/>
      <c r="J539" s="228"/>
      <c r="K539" s="228"/>
      <c r="L539" s="234"/>
      <c r="M539" s="235"/>
      <c r="N539" s="236"/>
      <c r="O539" s="236"/>
      <c r="P539" s="236"/>
      <c r="Q539" s="236"/>
      <c r="R539" s="236"/>
      <c r="S539" s="236"/>
      <c r="T539" s="237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T539" s="238" t="s">
        <v>211</v>
      </c>
      <c r="AU539" s="238" t="s">
        <v>88</v>
      </c>
      <c r="AV539" s="13" t="s">
        <v>88</v>
      </c>
      <c r="AW539" s="13" t="s">
        <v>213</v>
      </c>
      <c r="AX539" s="13" t="s">
        <v>78</v>
      </c>
      <c r="AY539" s="238" t="s">
        <v>200</v>
      </c>
    </row>
    <row r="540" s="13" customFormat="1">
      <c r="A540" s="13"/>
      <c r="B540" s="227"/>
      <c r="C540" s="228"/>
      <c r="D540" s="229" t="s">
        <v>211</v>
      </c>
      <c r="E540" s="230" t="s">
        <v>32</v>
      </c>
      <c r="F540" s="231" t="s">
        <v>863</v>
      </c>
      <c r="G540" s="228"/>
      <c r="H540" s="232">
        <v>0.14999999999999999</v>
      </c>
      <c r="I540" s="233"/>
      <c r="J540" s="228"/>
      <c r="K540" s="228"/>
      <c r="L540" s="234"/>
      <c r="M540" s="235"/>
      <c r="N540" s="236"/>
      <c r="O540" s="236"/>
      <c r="P540" s="236"/>
      <c r="Q540" s="236"/>
      <c r="R540" s="236"/>
      <c r="S540" s="236"/>
      <c r="T540" s="237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T540" s="238" t="s">
        <v>211</v>
      </c>
      <c r="AU540" s="238" t="s">
        <v>88</v>
      </c>
      <c r="AV540" s="13" t="s">
        <v>88</v>
      </c>
      <c r="AW540" s="13" t="s">
        <v>213</v>
      </c>
      <c r="AX540" s="13" t="s">
        <v>78</v>
      </c>
      <c r="AY540" s="238" t="s">
        <v>200</v>
      </c>
    </row>
    <row r="541" s="13" customFormat="1">
      <c r="A541" s="13"/>
      <c r="B541" s="227"/>
      <c r="C541" s="228"/>
      <c r="D541" s="229" t="s">
        <v>211</v>
      </c>
      <c r="E541" s="230" t="s">
        <v>32</v>
      </c>
      <c r="F541" s="231" t="s">
        <v>864</v>
      </c>
      <c r="G541" s="228"/>
      <c r="H541" s="232">
        <v>0.76500000000000001</v>
      </c>
      <c r="I541" s="233"/>
      <c r="J541" s="228"/>
      <c r="K541" s="228"/>
      <c r="L541" s="234"/>
      <c r="M541" s="235"/>
      <c r="N541" s="236"/>
      <c r="O541" s="236"/>
      <c r="P541" s="236"/>
      <c r="Q541" s="236"/>
      <c r="R541" s="236"/>
      <c r="S541" s="236"/>
      <c r="T541" s="237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T541" s="238" t="s">
        <v>211</v>
      </c>
      <c r="AU541" s="238" t="s">
        <v>88</v>
      </c>
      <c r="AV541" s="13" t="s">
        <v>88</v>
      </c>
      <c r="AW541" s="13" t="s">
        <v>213</v>
      </c>
      <c r="AX541" s="13" t="s">
        <v>78</v>
      </c>
      <c r="AY541" s="238" t="s">
        <v>200</v>
      </c>
    </row>
    <row r="542" s="13" customFormat="1">
      <c r="A542" s="13"/>
      <c r="B542" s="227"/>
      <c r="C542" s="228"/>
      <c r="D542" s="229" t="s">
        <v>211</v>
      </c>
      <c r="E542" s="230" t="s">
        <v>32</v>
      </c>
      <c r="F542" s="231" t="s">
        <v>865</v>
      </c>
      <c r="G542" s="228"/>
      <c r="H542" s="232">
        <v>0.26700000000000002</v>
      </c>
      <c r="I542" s="233"/>
      <c r="J542" s="228"/>
      <c r="K542" s="228"/>
      <c r="L542" s="234"/>
      <c r="M542" s="235"/>
      <c r="N542" s="236"/>
      <c r="O542" s="236"/>
      <c r="P542" s="236"/>
      <c r="Q542" s="236"/>
      <c r="R542" s="236"/>
      <c r="S542" s="236"/>
      <c r="T542" s="237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T542" s="238" t="s">
        <v>211</v>
      </c>
      <c r="AU542" s="238" t="s">
        <v>88</v>
      </c>
      <c r="AV542" s="13" t="s">
        <v>88</v>
      </c>
      <c r="AW542" s="13" t="s">
        <v>213</v>
      </c>
      <c r="AX542" s="13" t="s">
        <v>78</v>
      </c>
      <c r="AY542" s="238" t="s">
        <v>200</v>
      </c>
    </row>
    <row r="543" s="13" customFormat="1">
      <c r="A543" s="13"/>
      <c r="B543" s="227"/>
      <c r="C543" s="228"/>
      <c r="D543" s="229" t="s">
        <v>211</v>
      </c>
      <c r="E543" s="230" t="s">
        <v>32</v>
      </c>
      <c r="F543" s="231" t="s">
        <v>866</v>
      </c>
      <c r="G543" s="228"/>
      <c r="H543" s="232">
        <v>0.28399999999999997</v>
      </c>
      <c r="I543" s="233"/>
      <c r="J543" s="228"/>
      <c r="K543" s="228"/>
      <c r="L543" s="234"/>
      <c r="M543" s="235"/>
      <c r="N543" s="236"/>
      <c r="O543" s="236"/>
      <c r="P543" s="236"/>
      <c r="Q543" s="236"/>
      <c r="R543" s="236"/>
      <c r="S543" s="236"/>
      <c r="T543" s="237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T543" s="238" t="s">
        <v>211</v>
      </c>
      <c r="AU543" s="238" t="s">
        <v>88</v>
      </c>
      <c r="AV543" s="13" t="s">
        <v>88</v>
      </c>
      <c r="AW543" s="13" t="s">
        <v>213</v>
      </c>
      <c r="AX543" s="13" t="s">
        <v>78</v>
      </c>
      <c r="AY543" s="238" t="s">
        <v>200</v>
      </c>
    </row>
    <row r="544" s="14" customFormat="1">
      <c r="A544" s="14"/>
      <c r="B544" s="239"/>
      <c r="C544" s="240"/>
      <c r="D544" s="229" t="s">
        <v>211</v>
      </c>
      <c r="E544" s="241" t="s">
        <v>32</v>
      </c>
      <c r="F544" s="242" t="s">
        <v>220</v>
      </c>
      <c r="G544" s="240"/>
      <c r="H544" s="243">
        <v>4.2220000000000004</v>
      </c>
      <c r="I544" s="244"/>
      <c r="J544" s="240"/>
      <c r="K544" s="240"/>
      <c r="L544" s="245"/>
      <c r="M544" s="246"/>
      <c r="N544" s="247"/>
      <c r="O544" s="247"/>
      <c r="P544" s="247"/>
      <c r="Q544" s="247"/>
      <c r="R544" s="247"/>
      <c r="S544" s="247"/>
      <c r="T544" s="248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T544" s="249" t="s">
        <v>211</v>
      </c>
      <c r="AU544" s="249" t="s">
        <v>88</v>
      </c>
      <c r="AV544" s="14" t="s">
        <v>207</v>
      </c>
      <c r="AW544" s="14" t="s">
        <v>213</v>
      </c>
      <c r="AX544" s="14" t="s">
        <v>86</v>
      </c>
      <c r="AY544" s="249" t="s">
        <v>200</v>
      </c>
    </row>
    <row r="545" s="2" customFormat="1" ht="16.5" customHeight="1">
      <c r="A545" s="40"/>
      <c r="B545" s="41"/>
      <c r="C545" s="260" t="s">
        <v>867</v>
      </c>
      <c r="D545" s="260" t="s">
        <v>292</v>
      </c>
      <c r="E545" s="261" t="s">
        <v>868</v>
      </c>
      <c r="F545" s="262" t="s">
        <v>869</v>
      </c>
      <c r="G545" s="263" t="s">
        <v>250</v>
      </c>
      <c r="H545" s="264">
        <v>4.6440000000000001</v>
      </c>
      <c r="I545" s="265"/>
      <c r="J545" s="266">
        <f>ROUND(I545*H545,1)</f>
        <v>0</v>
      </c>
      <c r="K545" s="262" t="s">
        <v>206</v>
      </c>
      <c r="L545" s="267"/>
      <c r="M545" s="268" t="s">
        <v>32</v>
      </c>
      <c r="N545" s="269" t="s">
        <v>49</v>
      </c>
      <c r="O545" s="86"/>
      <c r="P545" s="218">
        <f>O545*H545</f>
        <v>0</v>
      </c>
      <c r="Q545" s="218">
        <v>1</v>
      </c>
      <c r="R545" s="218">
        <f>Q545*H545</f>
        <v>4.6440000000000001</v>
      </c>
      <c r="S545" s="218">
        <v>0</v>
      </c>
      <c r="T545" s="219">
        <f>S545*H545</f>
        <v>0</v>
      </c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R545" s="220" t="s">
        <v>254</v>
      </c>
      <c r="AT545" s="220" t="s">
        <v>292</v>
      </c>
      <c r="AU545" s="220" t="s">
        <v>88</v>
      </c>
      <c r="AY545" s="18" t="s">
        <v>200</v>
      </c>
      <c r="BE545" s="221">
        <f>IF(N545="základní",J545,0)</f>
        <v>0</v>
      </c>
      <c r="BF545" s="221">
        <f>IF(N545="snížená",J545,0)</f>
        <v>0</v>
      </c>
      <c r="BG545" s="221">
        <f>IF(N545="zákl. přenesená",J545,0)</f>
        <v>0</v>
      </c>
      <c r="BH545" s="221">
        <f>IF(N545="sníž. přenesená",J545,0)</f>
        <v>0</v>
      </c>
      <c r="BI545" s="221">
        <f>IF(N545="nulová",J545,0)</f>
        <v>0</v>
      </c>
      <c r="BJ545" s="18" t="s">
        <v>86</v>
      </c>
      <c r="BK545" s="221">
        <f>ROUND(I545*H545,1)</f>
        <v>0</v>
      </c>
      <c r="BL545" s="18" t="s">
        <v>207</v>
      </c>
      <c r="BM545" s="220" t="s">
        <v>870</v>
      </c>
    </row>
    <row r="546" s="13" customFormat="1">
      <c r="A546" s="13"/>
      <c r="B546" s="227"/>
      <c r="C546" s="228"/>
      <c r="D546" s="229" t="s">
        <v>211</v>
      </c>
      <c r="E546" s="228"/>
      <c r="F546" s="231" t="s">
        <v>871</v>
      </c>
      <c r="G546" s="228"/>
      <c r="H546" s="232">
        <v>4.6440000000000001</v>
      </c>
      <c r="I546" s="233"/>
      <c r="J546" s="228"/>
      <c r="K546" s="228"/>
      <c r="L546" s="234"/>
      <c r="M546" s="235"/>
      <c r="N546" s="236"/>
      <c r="O546" s="236"/>
      <c r="P546" s="236"/>
      <c r="Q546" s="236"/>
      <c r="R546" s="236"/>
      <c r="S546" s="236"/>
      <c r="T546" s="237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T546" s="238" t="s">
        <v>211</v>
      </c>
      <c r="AU546" s="238" t="s">
        <v>88</v>
      </c>
      <c r="AV546" s="13" t="s">
        <v>88</v>
      </c>
      <c r="AW546" s="13" t="s">
        <v>4</v>
      </c>
      <c r="AX546" s="13" t="s">
        <v>86</v>
      </c>
      <c r="AY546" s="238" t="s">
        <v>200</v>
      </c>
    </row>
    <row r="547" s="2" customFormat="1" ht="24.15" customHeight="1">
      <c r="A547" s="40"/>
      <c r="B547" s="41"/>
      <c r="C547" s="209" t="s">
        <v>872</v>
      </c>
      <c r="D547" s="209" t="s">
        <v>202</v>
      </c>
      <c r="E547" s="210" t="s">
        <v>873</v>
      </c>
      <c r="F547" s="211" t="s">
        <v>874</v>
      </c>
      <c r="G547" s="212" t="s">
        <v>250</v>
      </c>
      <c r="H547" s="213">
        <v>2.79</v>
      </c>
      <c r="I547" s="214"/>
      <c r="J547" s="215">
        <f>ROUND(I547*H547,1)</f>
        <v>0</v>
      </c>
      <c r="K547" s="211" t="s">
        <v>206</v>
      </c>
      <c r="L547" s="46"/>
      <c r="M547" s="216" t="s">
        <v>32</v>
      </c>
      <c r="N547" s="217" t="s">
        <v>49</v>
      </c>
      <c r="O547" s="86"/>
      <c r="P547" s="218">
        <f>O547*H547</f>
        <v>0</v>
      </c>
      <c r="Q547" s="218">
        <v>0</v>
      </c>
      <c r="R547" s="218">
        <f>Q547*H547</f>
        <v>0</v>
      </c>
      <c r="S547" s="218">
        <v>0</v>
      </c>
      <c r="T547" s="219">
        <f>S547*H547</f>
        <v>0</v>
      </c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R547" s="220" t="s">
        <v>207</v>
      </c>
      <c r="AT547" s="220" t="s">
        <v>202</v>
      </c>
      <c r="AU547" s="220" t="s">
        <v>88</v>
      </c>
      <c r="AY547" s="18" t="s">
        <v>200</v>
      </c>
      <c r="BE547" s="221">
        <f>IF(N547="základní",J547,0)</f>
        <v>0</v>
      </c>
      <c r="BF547" s="221">
        <f>IF(N547="snížená",J547,0)</f>
        <v>0</v>
      </c>
      <c r="BG547" s="221">
        <f>IF(N547="zákl. přenesená",J547,0)</f>
        <v>0</v>
      </c>
      <c r="BH547" s="221">
        <f>IF(N547="sníž. přenesená",J547,0)</f>
        <v>0</v>
      </c>
      <c r="BI547" s="221">
        <f>IF(N547="nulová",J547,0)</f>
        <v>0</v>
      </c>
      <c r="BJ547" s="18" t="s">
        <v>86</v>
      </c>
      <c r="BK547" s="221">
        <f>ROUND(I547*H547,1)</f>
        <v>0</v>
      </c>
      <c r="BL547" s="18" t="s">
        <v>207</v>
      </c>
      <c r="BM547" s="220" t="s">
        <v>875</v>
      </c>
    </row>
    <row r="548" s="2" customFormat="1">
      <c r="A548" s="40"/>
      <c r="B548" s="41"/>
      <c r="C548" s="42"/>
      <c r="D548" s="222" t="s">
        <v>209</v>
      </c>
      <c r="E548" s="42"/>
      <c r="F548" s="223" t="s">
        <v>876</v>
      </c>
      <c r="G548" s="42"/>
      <c r="H548" s="42"/>
      <c r="I548" s="224"/>
      <c r="J548" s="42"/>
      <c r="K548" s="42"/>
      <c r="L548" s="46"/>
      <c r="M548" s="225"/>
      <c r="N548" s="226"/>
      <c r="O548" s="86"/>
      <c r="P548" s="86"/>
      <c r="Q548" s="86"/>
      <c r="R548" s="86"/>
      <c r="S548" s="86"/>
      <c r="T548" s="87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T548" s="18" t="s">
        <v>209</v>
      </c>
      <c r="AU548" s="18" t="s">
        <v>88</v>
      </c>
    </row>
    <row r="549" s="15" customFormat="1">
      <c r="A549" s="15"/>
      <c r="B549" s="250"/>
      <c r="C549" s="251"/>
      <c r="D549" s="229" t="s">
        <v>211</v>
      </c>
      <c r="E549" s="252" t="s">
        <v>32</v>
      </c>
      <c r="F549" s="253" t="s">
        <v>877</v>
      </c>
      <c r="G549" s="251"/>
      <c r="H549" s="252" t="s">
        <v>32</v>
      </c>
      <c r="I549" s="254"/>
      <c r="J549" s="251"/>
      <c r="K549" s="251"/>
      <c r="L549" s="255"/>
      <c r="M549" s="256"/>
      <c r="N549" s="257"/>
      <c r="O549" s="257"/>
      <c r="P549" s="257"/>
      <c r="Q549" s="257"/>
      <c r="R549" s="257"/>
      <c r="S549" s="257"/>
      <c r="T549" s="25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T549" s="259" t="s">
        <v>211</v>
      </c>
      <c r="AU549" s="259" t="s">
        <v>88</v>
      </c>
      <c r="AV549" s="15" t="s">
        <v>86</v>
      </c>
      <c r="AW549" s="15" t="s">
        <v>213</v>
      </c>
      <c r="AX549" s="15" t="s">
        <v>78</v>
      </c>
      <c r="AY549" s="259" t="s">
        <v>200</v>
      </c>
    </row>
    <row r="550" s="13" customFormat="1">
      <c r="A550" s="13"/>
      <c r="B550" s="227"/>
      <c r="C550" s="228"/>
      <c r="D550" s="229" t="s">
        <v>211</v>
      </c>
      <c r="E550" s="230" t="s">
        <v>32</v>
      </c>
      <c r="F550" s="231" t="s">
        <v>878</v>
      </c>
      <c r="G550" s="228"/>
      <c r="H550" s="232">
        <v>0.13</v>
      </c>
      <c r="I550" s="233"/>
      <c r="J550" s="228"/>
      <c r="K550" s="228"/>
      <c r="L550" s="234"/>
      <c r="M550" s="235"/>
      <c r="N550" s="236"/>
      <c r="O550" s="236"/>
      <c r="P550" s="236"/>
      <c r="Q550" s="236"/>
      <c r="R550" s="236"/>
      <c r="S550" s="236"/>
      <c r="T550" s="237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T550" s="238" t="s">
        <v>211</v>
      </c>
      <c r="AU550" s="238" t="s">
        <v>88</v>
      </c>
      <c r="AV550" s="13" t="s">
        <v>88</v>
      </c>
      <c r="AW550" s="13" t="s">
        <v>213</v>
      </c>
      <c r="AX550" s="13" t="s">
        <v>78</v>
      </c>
      <c r="AY550" s="238" t="s">
        <v>200</v>
      </c>
    </row>
    <row r="551" s="15" customFormat="1">
      <c r="A551" s="15"/>
      <c r="B551" s="250"/>
      <c r="C551" s="251"/>
      <c r="D551" s="229" t="s">
        <v>211</v>
      </c>
      <c r="E551" s="252" t="s">
        <v>32</v>
      </c>
      <c r="F551" s="253" t="s">
        <v>879</v>
      </c>
      <c r="G551" s="251"/>
      <c r="H551" s="252" t="s">
        <v>32</v>
      </c>
      <c r="I551" s="254"/>
      <c r="J551" s="251"/>
      <c r="K551" s="251"/>
      <c r="L551" s="255"/>
      <c r="M551" s="256"/>
      <c r="N551" s="257"/>
      <c r="O551" s="257"/>
      <c r="P551" s="257"/>
      <c r="Q551" s="257"/>
      <c r="R551" s="257"/>
      <c r="S551" s="257"/>
      <c r="T551" s="25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T551" s="259" t="s">
        <v>211</v>
      </c>
      <c r="AU551" s="259" t="s">
        <v>88</v>
      </c>
      <c r="AV551" s="15" t="s">
        <v>86</v>
      </c>
      <c r="AW551" s="15" t="s">
        <v>213</v>
      </c>
      <c r="AX551" s="15" t="s">
        <v>78</v>
      </c>
      <c r="AY551" s="259" t="s">
        <v>200</v>
      </c>
    </row>
    <row r="552" s="13" customFormat="1">
      <c r="A552" s="13"/>
      <c r="B552" s="227"/>
      <c r="C552" s="228"/>
      <c r="D552" s="229" t="s">
        <v>211</v>
      </c>
      <c r="E552" s="230" t="s">
        <v>32</v>
      </c>
      <c r="F552" s="231" t="s">
        <v>880</v>
      </c>
      <c r="G552" s="228"/>
      <c r="H552" s="232">
        <v>1.724</v>
      </c>
      <c r="I552" s="233"/>
      <c r="J552" s="228"/>
      <c r="K552" s="228"/>
      <c r="L552" s="234"/>
      <c r="M552" s="235"/>
      <c r="N552" s="236"/>
      <c r="O552" s="236"/>
      <c r="P552" s="236"/>
      <c r="Q552" s="236"/>
      <c r="R552" s="236"/>
      <c r="S552" s="236"/>
      <c r="T552" s="237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T552" s="238" t="s">
        <v>211</v>
      </c>
      <c r="AU552" s="238" t="s">
        <v>88</v>
      </c>
      <c r="AV552" s="13" t="s">
        <v>88</v>
      </c>
      <c r="AW552" s="13" t="s">
        <v>213</v>
      </c>
      <c r="AX552" s="13" t="s">
        <v>78</v>
      </c>
      <c r="AY552" s="238" t="s">
        <v>200</v>
      </c>
    </row>
    <row r="553" s="13" customFormat="1">
      <c r="A553" s="13"/>
      <c r="B553" s="227"/>
      <c r="C553" s="228"/>
      <c r="D553" s="229" t="s">
        <v>211</v>
      </c>
      <c r="E553" s="230" t="s">
        <v>32</v>
      </c>
      <c r="F553" s="231" t="s">
        <v>881</v>
      </c>
      <c r="G553" s="228"/>
      <c r="H553" s="232">
        <v>0.19600000000000001</v>
      </c>
      <c r="I553" s="233"/>
      <c r="J553" s="228"/>
      <c r="K553" s="228"/>
      <c r="L553" s="234"/>
      <c r="M553" s="235"/>
      <c r="N553" s="236"/>
      <c r="O553" s="236"/>
      <c r="P553" s="236"/>
      <c r="Q553" s="236"/>
      <c r="R553" s="236"/>
      <c r="S553" s="236"/>
      <c r="T553" s="237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T553" s="238" t="s">
        <v>211</v>
      </c>
      <c r="AU553" s="238" t="s">
        <v>88</v>
      </c>
      <c r="AV553" s="13" t="s">
        <v>88</v>
      </c>
      <c r="AW553" s="13" t="s">
        <v>213</v>
      </c>
      <c r="AX553" s="13" t="s">
        <v>78</v>
      </c>
      <c r="AY553" s="238" t="s">
        <v>200</v>
      </c>
    </row>
    <row r="554" s="13" customFormat="1">
      <c r="A554" s="13"/>
      <c r="B554" s="227"/>
      <c r="C554" s="228"/>
      <c r="D554" s="229" t="s">
        <v>211</v>
      </c>
      <c r="E554" s="230" t="s">
        <v>32</v>
      </c>
      <c r="F554" s="231" t="s">
        <v>882</v>
      </c>
      <c r="G554" s="228"/>
      <c r="H554" s="232">
        <v>0.66400000000000003</v>
      </c>
      <c r="I554" s="233"/>
      <c r="J554" s="228"/>
      <c r="K554" s="228"/>
      <c r="L554" s="234"/>
      <c r="M554" s="235"/>
      <c r="N554" s="236"/>
      <c r="O554" s="236"/>
      <c r="P554" s="236"/>
      <c r="Q554" s="236"/>
      <c r="R554" s="236"/>
      <c r="S554" s="236"/>
      <c r="T554" s="237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T554" s="238" t="s">
        <v>211</v>
      </c>
      <c r="AU554" s="238" t="s">
        <v>88</v>
      </c>
      <c r="AV554" s="13" t="s">
        <v>88</v>
      </c>
      <c r="AW554" s="13" t="s">
        <v>213</v>
      </c>
      <c r="AX554" s="13" t="s">
        <v>78</v>
      </c>
      <c r="AY554" s="238" t="s">
        <v>200</v>
      </c>
    </row>
    <row r="555" s="13" customFormat="1">
      <c r="A555" s="13"/>
      <c r="B555" s="227"/>
      <c r="C555" s="228"/>
      <c r="D555" s="229" t="s">
        <v>211</v>
      </c>
      <c r="E555" s="230" t="s">
        <v>32</v>
      </c>
      <c r="F555" s="231" t="s">
        <v>883</v>
      </c>
      <c r="G555" s="228"/>
      <c r="H555" s="232">
        <v>0.075999999999999998</v>
      </c>
      <c r="I555" s="233"/>
      <c r="J555" s="228"/>
      <c r="K555" s="228"/>
      <c r="L555" s="234"/>
      <c r="M555" s="235"/>
      <c r="N555" s="236"/>
      <c r="O555" s="236"/>
      <c r="P555" s="236"/>
      <c r="Q555" s="236"/>
      <c r="R555" s="236"/>
      <c r="S555" s="236"/>
      <c r="T555" s="237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T555" s="238" t="s">
        <v>211</v>
      </c>
      <c r="AU555" s="238" t="s">
        <v>88</v>
      </c>
      <c r="AV555" s="13" t="s">
        <v>88</v>
      </c>
      <c r="AW555" s="13" t="s">
        <v>213</v>
      </c>
      <c r="AX555" s="13" t="s">
        <v>78</v>
      </c>
      <c r="AY555" s="238" t="s">
        <v>200</v>
      </c>
    </row>
    <row r="556" s="14" customFormat="1">
      <c r="A556" s="14"/>
      <c r="B556" s="239"/>
      <c r="C556" s="240"/>
      <c r="D556" s="229" t="s">
        <v>211</v>
      </c>
      <c r="E556" s="241" t="s">
        <v>32</v>
      </c>
      <c r="F556" s="242" t="s">
        <v>220</v>
      </c>
      <c r="G556" s="240"/>
      <c r="H556" s="243">
        <v>2.79</v>
      </c>
      <c r="I556" s="244"/>
      <c r="J556" s="240"/>
      <c r="K556" s="240"/>
      <c r="L556" s="245"/>
      <c r="M556" s="246"/>
      <c r="N556" s="247"/>
      <c r="O556" s="247"/>
      <c r="P556" s="247"/>
      <c r="Q556" s="247"/>
      <c r="R556" s="247"/>
      <c r="S556" s="247"/>
      <c r="T556" s="248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T556" s="249" t="s">
        <v>211</v>
      </c>
      <c r="AU556" s="249" t="s">
        <v>88</v>
      </c>
      <c r="AV556" s="14" t="s">
        <v>207</v>
      </c>
      <c r="AW556" s="14" t="s">
        <v>213</v>
      </c>
      <c r="AX556" s="14" t="s">
        <v>86</v>
      </c>
      <c r="AY556" s="249" t="s">
        <v>200</v>
      </c>
    </row>
    <row r="557" s="2" customFormat="1" ht="16.5" customHeight="1">
      <c r="A557" s="40"/>
      <c r="B557" s="41"/>
      <c r="C557" s="260" t="s">
        <v>884</v>
      </c>
      <c r="D557" s="260" t="s">
        <v>292</v>
      </c>
      <c r="E557" s="261" t="s">
        <v>885</v>
      </c>
      <c r="F557" s="262" t="s">
        <v>886</v>
      </c>
      <c r="G557" s="263" t="s">
        <v>250</v>
      </c>
      <c r="H557" s="264">
        <v>3.069</v>
      </c>
      <c r="I557" s="265"/>
      <c r="J557" s="266">
        <f>ROUND(I557*H557,1)</f>
        <v>0</v>
      </c>
      <c r="K557" s="262" t="s">
        <v>206</v>
      </c>
      <c r="L557" s="267"/>
      <c r="M557" s="268" t="s">
        <v>32</v>
      </c>
      <c r="N557" s="269" t="s">
        <v>49</v>
      </c>
      <c r="O557" s="86"/>
      <c r="P557" s="218">
        <f>O557*H557</f>
        <v>0</v>
      </c>
      <c r="Q557" s="218">
        <v>1</v>
      </c>
      <c r="R557" s="218">
        <f>Q557*H557</f>
        <v>3.069</v>
      </c>
      <c r="S557" s="218">
        <v>0</v>
      </c>
      <c r="T557" s="219">
        <f>S557*H557</f>
        <v>0</v>
      </c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R557" s="220" t="s">
        <v>254</v>
      </c>
      <c r="AT557" s="220" t="s">
        <v>292</v>
      </c>
      <c r="AU557" s="220" t="s">
        <v>88</v>
      </c>
      <c r="AY557" s="18" t="s">
        <v>200</v>
      </c>
      <c r="BE557" s="221">
        <f>IF(N557="základní",J557,0)</f>
        <v>0</v>
      </c>
      <c r="BF557" s="221">
        <f>IF(N557="snížená",J557,0)</f>
        <v>0</v>
      </c>
      <c r="BG557" s="221">
        <f>IF(N557="zákl. přenesená",J557,0)</f>
        <v>0</v>
      </c>
      <c r="BH557" s="221">
        <f>IF(N557="sníž. přenesená",J557,0)</f>
        <v>0</v>
      </c>
      <c r="BI557" s="221">
        <f>IF(N557="nulová",J557,0)</f>
        <v>0</v>
      </c>
      <c r="BJ557" s="18" t="s">
        <v>86</v>
      </c>
      <c r="BK557" s="221">
        <f>ROUND(I557*H557,1)</f>
        <v>0</v>
      </c>
      <c r="BL557" s="18" t="s">
        <v>207</v>
      </c>
      <c r="BM557" s="220" t="s">
        <v>887</v>
      </c>
    </row>
    <row r="558" s="13" customFormat="1">
      <c r="A558" s="13"/>
      <c r="B558" s="227"/>
      <c r="C558" s="228"/>
      <c r="D558" s="229" t="s">
        <v>211</v>
      </c>
      <c r="E558" s="228"/>
      <c r="F558" s="231" t="s">
        <v>888</v>
      </c>
      <c r="G558" s="228"/>
      <c r="H558" s="232">
        <v>3.069</v>
      </c>
      <c r="I558" s="233"/>
      <c r="J558" s="228"/>
      <c r="K558" s="228"/>
      <c r="L558" s="234"/>
      <c r="M558" s="235"/>
      <c r="N558" s="236"/>
      <c r="O558" s="236"/>
      <c r="P558" s="236"/>
      <c r="Q558" s="236"/>
      <c r="R558" s="236"/>
      <c r="S558" s="236"/>
      <c r="T558" s="237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T558" s="238" t="s">
        <v>211</v>
      </c>
      <c r="AU558" s="238" t="s">
        <v>88</v>
      </c>
      <c r="AV558" s="13" t="s">
        <v>88</v>
      </c>
      <c r="AW558" s="13" t="s">
        <v>4</v>
      </c>
      <c r="AX558" s="13" t="s">
        <v>86</v>
      </c>
      <c r="AY558" s="238" t="s">
        <v>200</v>
      </c>
    </row>
    <row r="559" s="2" customFormat="1" ht="24.15" customHeight="1">
      <c r="A559" s="40"/>
      <c r="B559" s="41"/>
      <c r="C559" s="209" t="s">
        <v>889</v>
      </c>
      <c r="D559" s="209" t="s">
        <v>202</v>
      </c>
      <c r="E559" s="210" t="s">
        <v>814</v>
      </c>
      <c r="F559" s="211" t="s">
        <v>815</v>
      </c>
      <c r="G559" s="212" t="s">
        <v>250</v>
      </c>
      <c r="H559" s="213">
        <v>2.488</v>
      </c>
      <c r="I559" s="214"/>
      <c r="J559" s="215">
        <f>ROUND(I559*H559,1)</f>
        <v>0</v>
      </c>
      <c r="K559" s="211" t="s">
        <v>206</v>
      </c>
      <c r="L559" s="46"/>
      <c r="M559" s="216" t="s">
        <v>32</v>
      </c>
      <c r="N559" s="217" t="s">
        <v>49</v>
      </c>
      <c r="O559" s="86"/>
      <c r="P559" s="218">
        <f>O559*H559</f>
        <v>0</v>
      </c>
      <c r="Q559" s="218">
        <v>0</v>
      </c>
      <c r="R559" s="218">
        <f>Q559*H559</f>
        <v>0</v>
      </c>
      <c r="S559" s="218">
        <v>0</v>
      </c>
      <c r="T559" s="219">
        <f>S559*H559</f>
        <v>0</v>
      </c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R559" s="220" t="s">
        <v>207</v>
      </c>
      <c r="AT559" s="220" t="s">
        <v>202</v>
      </c>
      <c r="AU559" s="220" t="s">
        <v>88</v>
      </c>
      <c r="AY559" s="18" t="s">
        <v>200</v>
      </c>
      <c r="BE559" s="221">
        <f>IF(N559="základní",J559,0)</f>
        <v>0</v>
      </c>
      <c r="BF559" s="221">
        <f>IF(N559="snížená",J559,0)</f>
        <v>0</v>
      </c>
      <c r="BG559" s="221">
        <f>IF(N559="zákl. přenesená",J559,0)</f>
        <v>0</v>
      </c>
      <c r="BH559" s="221">
        <f>IF(N559="sníž. přenesená",J559,0)</f>
        <v>0</v>
      </c>
      <c r="BI559" s="221">
        <f>IF(N559="nulová",J559,0)</f>
        <v>0</v>
      </c>
      <c r="BJ559" s="18" t="s">
        <v>86</v>
      </c>
      <c r="BK559" s="221">
        <f>ROUND(I559*H559,1)</f>
        <v>0</v>
      </c>
      <c r="BL559" s="18" t="s">
        <v>207</v>
      </c>
      <c r="BM559" s="220" t="s">
        <v>890</v>
      </c>
    </row>
    <row r="560" s="2" customFormat="1">
      <c r="A560" s="40"/>
      <c r="B560" s="41"/>
      <c r="C560" s="42"/>
      <c r="D560" s="222" t="s">
        <v>209</v>
      </c>
      <c r="E560" s="42"/>
      <c r="F560" s="223" t="s">
        <v>817</v>
      </c>
      <c r="G560" s="42"/>
      <c r="H560" s="42"/>
      <c r="I560" s="224"/>
      <c r="J560" s="42"/>
      <c r="K560" s="42"/>
      <c r="L560" s="46"/>
      <c r="M560" s="225"/>
      <c r="N560" s="226"/>
      <c r="O560" s="86"/>
      <c r="P560" s="86"/>
      <c r="Q560" s="86"/>
      <c r="R560" s="86"/>
      <c r="S560" s="86"/>
      <c r="T560" s="87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T560" s="18" t="s">
        <v>209</v>
      </c>
      <c r="AU560" s="18" t="s">
        <v>88</v>
      </c>
    </row>
    <row r="561" s="15" customFormat="1">
      <c r="A561" s="15"/>
      <c r="B561" s="250"/>
      <c r="C561" s="251"/>
      <c r="D561" s="229" t="s">
        <v>211</v>
      </c>
      <c r="E561" s="252" t="s">
        <v>32</v>
      </c>
      <c r="F561" s="253" t="s">
        <v>891</v>
      </c>
      <c r="G561" s="251"/>
      <c r="H561" s="252" t="s">
        <v>32</v>
      </c>
      <c r="I561" s="254"/>
      <c r="J561" s="251"/>
      <c r="K561" s="251"/>
      <c r="L561" s="255"/>
      <c r="M561" s="256"/>
      <c r="N561" s="257"/>
      <c r="O561" s="257"/>
      <c r="P561" s="257"/>
      <c r="Q561" s="257"/>
      <c r="R561" s="257"/>
      <c r="S561" s="257"/>
      <c r="T561" s="25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T561" s="259" t="s">
        <v>211</v>
      </c>
      <c r="AU561" s="259" t="s">
        <v>88</v>
      </c>
      <c r="AV561" s="15" t="s">
        <v>86</v>
      </c>
      <c r="AW561" s="15" t="s">
        <v>213</v>
      </c>
      <c r="AX561" s="15" t="s">
        <v>78</v>
      </c>
      <c r="AY561" s="259" t="s">
        <v>200</v>
      </c>
    </row>
    <row r="562" s="13" customFormat="1">
      <c r="A562" s="13"/>
      <c r="B562" s="227"/>
      <c r="C562" s="228"/>
      <c r="D562" s="229" t="s">
        <v>211</v>
      </c>
      <c r="E562" s="230" t="s">
        <v>32</v>
      </c>
      <c r="F562" s="231" t="s">
        <v>892</v>
      </c>
      <c r="G562" s="228"/>
      <c r="H562" s="232">
        <v>0.49199999999999999</v>
      </c>
      <c r="I562" s="233"/>
      <c r="J562" s="228"/>
      <c r="K562" s="228"/>
      <c r="L562" s="234"/>
      <c r="M562" s="235"/>
      <c r="N562" s="236"/>
      <c r="O562" s="236"/>
      <c r="P562" s="236"/>
      <c r="Q562" s="236"/>
      <c r="R562" s="236"/>
      <c r="S562" s="236"/>
      <c r="T562" s="237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T562" s="238" t="s">
        <v>211</v>
      </c>
      <c r="AU562" s="238" t="s">
        <v>88</v>
      </c>
      <c r="AV562" s="13" t="s">
        <v>88</v>
      </c>
      <c r="AW562" s="13" t="s">
        <v>213</v>
      </c>
      <c r="AX562" s="13" t="s">
        <v>78</v>
      </c>
      <c r="AY562" s="238" t="s">
        <v>200</v>
      </c>
    </row>
    <row r="563" s="15" customFormat="1">
      <c r="A563" s="15"/>
      <c r="B563" s="250"/>
      <c r="C563" s="251"/>
      <c r="D563" s="229" t="s">
        <v>211</v>
      </c>
      <c r="E563" s="252" t="s">
        <v>32</v>
      </c>
      <c r="F563" s="253" t="s">
        <v>620</v>
      </c>
      <c r="G563" s="251"/>
      <c r="H563" s="252" t="s">
        <v>32</v>
      </c>
      <c r="I563" s="254"/>
      <c r="J563" s="251"/>
      <c r="K563" s="251"/>
      <c r="L563" s="255"/>
      <c r="M563" s="256"/>
      <c r="N563" s="257"/>
      <c r="O563" s="257"/>
      <c r="P563" s="257"/>
      <c r="Q563" s="257"/>
      <c r="R563" s="257"/>
      <c r="S563" s="257"/>
      <c r="T563" s="25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T563" s="259" t="s">
        <v>211</v>
      </c>
      <c r="AU563" s="259" t="s">
        <v>88</v>
      </c>
      <c r="AV563" s="15" t="s">
        <v>86</v>
      </c>
      <c r="AW563" s="15" t="s">
        <v>213</v>
      </c>
      <c r="AX563" s="15" t="s">
        <v>78</v>
      </c>
      <c r="AY563" s="259" t="s">
        <v>200</v>
      </c>
    </row>
    <row r="564" s="13" customFormat="1">
      <c r="A564" s="13"/>
      <c r="B564" s="227"/>
      <c r="C564" s="228"/>
      <c r="D564" s="229" t="s">
        <v>211</v>
      </c>
      <c r="E564" s="230" t="s">
        <v>32</v>
      </c>
      <c r="F564" s="231" t="s">
        <v>893</v>
      </c>
      <c r="G564" s="228"/>
      <c r="H564" s="232">
        <v>0.23400000000000001</v>
      </c>
      <c r="I564" s="233"/>
      <c r="J564" s="228"/>
      <c r="K564" s="228"/>
      <c r="L564" s="234"/>
      <c r="M564" s="235"/>
      <c r="N564" s="236"/>
      <c r="O564" s="236"/>
      <c r="P564" s="236"/>
      <c r="Q564" s="236"/>
      <c r="R564" s="236"/>
      <c r="S564" s="236"/>
      <c r="T564" s="237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T564" s="238" t="s">
        <v>211</v>
      </c>
      <c r="AU564" s="238" t="s">
        <v>88</v>
      </c>
      <c r="AV564" s="13" t="s">
        <v>88</v>
      </c>
      <c r="AW564" s="13" t="s">
        <v>213</v>
      </c>
      <c r="AX564" s="13" t="s">
        <v>78</v>
      </c>
      <c r="AY564" s="238" t="s">
        <v>200</v>
      </c>
    </row>
    <row r="565" s="13" customFormat="1">
      <c r="A565" s="13"/>
      <c r="B565" s="227"/>
      <c r="C565" s="228"/>
      <c r="D565" s="229" t="s">
        <v>211</v>
      </c>
      <c r="E565" s="230" t="s">
        <v>32</v>
      </c>
      <c r="F565" s="231" t="s">
        <v>894</v>
      </c>
      <c r="G565" s="228"/>
      <c r="H565" s="232">
        <v>0.33800000000000002</v>
      </c>
      <c r="I565" s="233"/>
      <c r="J565" s="228"/>
      <c r="K565" s="228"/>
      <c r="L565" s="234"/>
      <c r="M565" s="235"/>
      <c r="N565" s="236"/>
      <c r="O565" s="236"/>
      <c r="P565" s="236"/>
      <c r="Q565" s="236"/>
      <c r="R565" s="236"/>
      <c r="S565" s="236"/>
      <c r="T565" s="237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T565" s="238" t="s">
        <v>211</v>
      </c>
      <c r="AU565" s="238" t="s">
        <v>88</v>
      </c>
      <c r="AV565" s="13" t="s">
        <v>88</v>
      </c>
      <c r="AW565" s="13" t="s">
        <v>213</v>
      </c>
      <c r="AX565" s="13" t="s">
        <v>78</v>
      </c>
      <c r="AY565" s="238" t="s">
        <v>200</v>
      </c>
    </row>
    <row r="566" s="13" customFormat="1">
      <c r="A566" s="13"/>
      <c r="B566" s="227"/>
      <c r="C566" s="228"/>
      <c r="D566" s="229" t="s">
        <v>211</v>
      </c>
      <c r="E566" s="230" t="s">
        <v>32</v>
      </c>
      <c r="F566" s="231" t="s">
        <v>895</v>
      </c>
      <c r="G566" s="228"/>
      <c r="H566" s="232">
        <v>0.442</v>
      </c>
      <c r="I566" s="233"/>
      <c r="J566" s="228"/>
      <c r="K566" s="228"/>
      <c r="L566" s="234"/>
      <c r="M566" s="235"/>
      <c r="N566" s="236"/>
      <c r="O566" s="236"/>
      <c r="P566" s="236"/>
      <c r="Q566" s="236"/>
      <c r="R566" s="236"/>
      <c r="S566" s="236"/>
      <c r="T566" s="237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T566" s="238" t="s">
        <v>211</v>
      </c>
      <c r="AU566" s="238" t="s">
        <v>88</v>
      </c>
      <c r="AV566" s="13" t="s">
        <v>88</v>
      </c>
      <c r="AW566" s="13" t="s">
        <v>213</v>
      </c>
      <c r="AX566" s="13" t="s">
        <v>78</v>
      </c>
      <c r="AY566" s="238" t="s">
        <v>200</v>
      </c>
    </row>
    <row r="567" s="13" customFormat="1">
      <c r="A567" s="13"/>
      <c r="B567" s="227"/>
      <c r="C567" s="228"/>
      <c r="D567" s="229" t="s">
        <v>211</v>
      </c>
      <c r="E567" s="230" t="s">
        <v>32</v>
      </c>
      <c r="F567" s="231" t="s">
        <v>896</v>
      </c>
      <c r="G567" s="228"/>
      <c r="H567" s="232">
        <v>0.252</v>
      </c>
      <c r="I567" s="233"/>
      <c r="J567" s="228"/>
      <c r="K567" s="228"/>
      <c r="L567" s="234"/>
      <c r="M567" s="235"/>
      <c r="N567" s="236"/>
      <c r="O567" s="236"/>
      <c r="P567" s="236"/>
      <c r="Q567" s="236"/>
      <c r="R567" s="236"/>
      <c r="S567" s="236"/>
      <c r="T567" s="237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T567" s="238" t="s">
        <v>211</v>
      </c>
      <c r="AU567" s="238" t="s">
        <v>88</v>
      </c>
      <c r="AV567" s="13" t="s">
        <v>88</v>
      </c>
      <c r="AW567" s="13" t="s">
        <v>213</v>
      </c>
      <c r="AX567" s="13" t="s">
        <v>78</v>
      </c>
      <c r="AY567" s="238" t="s">
        <v>200</v>
      </c>
    </row>
    <row r="568" s="15" customFormat="1">
      <c r="A568" s="15"/>
      <c r="B568" s="250"/>
      <c r="C568" s="251"/>
      <c r="D568" s="229" t="s">
        <v>211</v>
      </c>
      <c r="E568" s="252" t="s">
        <v>32</v>
      </c>
      <c r="F568" s="253" t="s">
        <v>879</v>
      </c>
      <c r="G568" s="251"/>
      <c r="H568" s="252" t="s">
        <v>32</v>
      </c>
      <c r="I568" s="254"/>
      <c r="J568" s="251"/>
      <c r="K568" s="251"/>
      <c r="L568" s="255"/>
      <c r="M568" s="256"/>
      <c r="N568" s="257"/>
      <c r="O568" s="257"/>
      <c r="P568" s="257"/>
      <c r="Q568" s="257"/>
      <c r="R568" s="257"/>
      <c r="S568" s="257"/>
      <c r="T568" s="25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T568" s="259" t="s">
        <v>211</v>
      </c>
      <c r="AU568" s="259" t="s">
        <v>88</v>
      </c>
      <c r="AV568" s="15" t="s">
        <v>86</v>
      </c>
      <c r="AW568" s="15" t="s">
        <v>213</v>
      </c>
      <c r="AX568" s="15" t="s">
        <v>78</v>
      </c>
      <c r="AY568" s="259" t="s">
        <v>200</v>
      </c>
    </row>
    <row r="569" s="13" customFormat="1">
      <c r="A569" s="13"/>
      <c r="B569" s="227"/>
      <c r="C569" s="228"/>
      <c r="D569" s="229" t="s">
        <v>211</v>
      </c>
      <c r="E569" s="230" t="s">
        <v>32</v>
      </c>
      <c r="F569" s="231" t="s">
        <v>897</v>
      </c>
      <c r="G569" s="228"/>
      <c r="H569" s="232">
        <v>0.46000000000000002</v>
      </c>
      <c r="I569" s="233"/>
      <c r="J569" s="228"/>
      <c r="K569" s="228"/>
      <c r="L569" s="234"/>
      <c r="M569" s="235"/>
      <c r="N569" s="236"/>
      <c r="O569" s="236"/>
      <c r="P569" s="236"/>
      <c r="Q569" s="236"/>
      <c r="R569" s="236"/>
      <c r="S569" s="236"/>
      <c r="T569" s="237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T569" s="238" t="s">
        <v>211</v>
      </c>
      <c r="AU569" s="238" t="s">
        <v>88</v>
      </c>
      <c r="AV569" s="13" t="s">
        <v>88</v>
      </c>
      <c r="AW569" s="13" t="s">
        <v>213</v>
      </c>
      <c r="AX569" s="13" t="s">
        <v>78</v>
      </c>
      <c r="AY569" s="238" t="s">
        <v>200</v>
      </c>
    </row>
    <row r="570" s="13" customFormat="1">
      <c r="A570" s="13"/>
      <c r="B570" s="227"/>
      <c r="C570" s="228"/>
      <c r="D570" s="229" t="s">
        <v>211</v>
      </c>
      <c r="E570" s="230" t="s">
        <v>32</v>
      </c>
      <c r="F570" s="231" t="s">
        <v>898</v>
      </c>
      <c r="G570" s="228"/>
      <c r="H570" s="232">
        <v>0.27000000000000002</v>
      </c>
      <c r="I570" s="233"/>
      <c r="J570" s="228"/>
      <c r="K570" s="228"/>
      <c r="L570" s="234"/>
      <c r="M570" s="235"/>
      <c r="N570" s="236"/>
      <c r="O570" s="236"/>
      <c r="P570" s="236"/>
      <c r="Q570" s="236"/>
      <c r="R570" s="236"/>
      <c r="S570" s="236"/>
      <c r="T570" s="237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T570" s="238" t="s">
        <v>211</v>
      </c>
      <c r="AU570" s="238" t="s">
        <v>88</v>
      </c>
      <c r="AV570" s="13" t="s">
        <v>88</v>
      </c>
      <c r="AW570" s="13" t="s">
        <v>213</v>
      </c>
      <c r="AX570" s="13" t="s">
        <v>78</v>
      </c>
      <c r="AY570" s="238" t="s">
        <v>200</v>
      </c>
    </row>
    <row r="571" s="14" customFormat="1">
      <c r="A571" s="14"/>
      <c r="B571" s="239"/>
      <c r="C571" s="240"/>
      <c r="D571" s="229" t="s">
        <v>211</v>
      </c>
      <c r="E571" s="241" t="s">
        <v>32</v>
      </c>
      <c r="F571" s="242" t="s">
        <v>220</v>
      </c>
      <c r="G571" s="240"/>
      <c r="H571" s="243">
        <v>2.488</v>
      </c>
      <c r="I571" s="244"/>
      <c r="J571" s="240"/>
      <c r="K571" s="240"/>
      <c r="L571" s="245"/>
      <c r="M571" s="246"/>
      <c r="N571" s="247"/>
      <c r="O571" s="247"/>
      <c r="P571" s="247"/>
      <c r="Q571" s="247"/>
      <c r="R571" s="247"/>
      <c r="S571" s="247"/>
      <c r="T571" s="248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T571" s="249" t="s">
        <v>211</v>
      </c>
      <c r="AU571" s="249" t="s">
        <v>88</v>
      </c>
      <c r="AV571" s="14" t="s">
        <v>207</v>
      </c>
      <c r="AW571" s="14" t="s">
        <v>213</v>
      </c>
      <c r="AX571" s="14" t="s">
        <v>86</v>
      </c>
      <c r="AY571" s="249" t="s">
        <v>200</v>
      </c>
    </row>
    <row r="572" s="2" customFormat="1" ht="16.5" customHeight="1">
      <c r="A572" s="40"/>
      <c r="B572" s="41"/>
      <c r="C572" s="260" t="s">
        <v>899</v>
      </c>
      <c r="D572" s="260" t="s">
        <v>292</v>
      </c>
      <c r="E572" s="261" t="s">
        <v>900</v>
      </c>
      <c r="F572" s="262" t="s">
        <v>901</v>
      </c>
      <c r="G572" s="263" t="s">
        <v>250</v>
      </c>
      <c r="H572" s="264">
        <v>0.80300000000000005</v>
      </c>
      <c r="I572" s="265"/>
      <c r="J572" s="266">
        <f>ROUND(I572*H572,1)</f>
        <v>0</v>
      </c>
      <c r="K572" s="262" t="s">
        <v>32</v>
      </c>
      <c r="L572" s="267"/>
      <c r="M572" s="268" t="s">
        <v>32</v>
      </c>
      <c r="N572" s="269" t="s">
        <v>49</v>
      </c>
      <c r="O572" s="86"/>
      <c r="P572" s="218">
        <f>O572*H572</f>
        <v>0</v>
      </c>
      <c r="Q572" s="218">
        <v>1</v>
      </c>
      <c r="R572" s="218">
        <f>Q572*H572</f>
        <v>0.80300000000000005</v>
      </c>
      <c r="S572" s="218">
        <v>0</v>
      </c>
      <c r="T572" s="219">
        <f>S572*H572</f>
        <v>0</v>
      </c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R572" s="220" t="s">
        <v>254</v>
      </c>
      <c r="AT572" s="220" t="s">
        <v>292</v>
      </c>
      <c r="AU572" s="220" t="s">
        <v>88</v>
      </c>
      <c r="AY572" s="18" t="s">
        <v>200</v>
      </c>
      <c r="BE572" s="221">
        <f>IF(N572="základní",J572,0)</f>
        <v>0</v>
      </c>
      <c r="BF572" s="221">
        <f>IF(N572="snížená",J572,0)</f>
        <v>0</v>
      </c>
      <c r="BG572" s="221">
        <f>IF(N572="zákl. přenesená",J572,0)</f>
        <v>0</v>
      </c>
      <c r="BH572" s="221">
        <f>IF(N572="sníž. přenesená",J572,0)</f>
        <v>0</v>
      </c>
      <c r="BI572" s="221">
        <f>IF(N572="nulová",J572,0)</f>
        <v>0</v>
      </c>
      <c r="BJ572" s="18" t="s">
        <v>86</v>
      </c>
      <c r="BK572" s="221">
        <f>ROUND(I572*H572,1)</f>
        <v>0</v>
      </c>
      <c r="BL572" s="18" t="s">
        <v>207</v>
      </c>
      <c r="BM572" s="220" t="s">
        <v>902</v>
      </c>
    </row>
    <row r="573" s="15" customFormat="1">
      <c r="A573" s="15"/>
      <c r="B573" s="250"/>
      <c r="C573" s="251"/>
      <c r="D573" s="229" t="s">
        <v>211</v>
      </c>
      <c r="E573" s="252" t="s">
        <v>32</v>
      </c>
      <c r="F573" s="253" t="s">
        <v>879</v>
      </c>
      <c r="G573" s="251"/>
      <c r="H573" s="252" t="s">
        <v>32</v>
      </c>
      <c r="I573" s="254"/>
      <c r="J573" s="251"/>
      <c r="K573" s="251"/>
      <c r="L573" s="255"/>
      <c r="M573" s="256"/>
      <c r="N573" s="257"/>
      <c r="O573" s="257"/>
      <c r="P573" s="257"/>
      <c r="Q573" s="257"/>
      <c r="R573" s="257"/>
      <c r="S573" s="257"/>
      <c r="T573" s="25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T573" s="259" t="s">
        <v>211</v>
      </c>
      <c r="AU573" s="259" t="s">
        <v>88</v>
      </c>
      <c r="AV573" s="15" t="s">
        <v>86</v>
      </c>
      <c r="AW573" s="15" t="s">
        <v>213</v>
      </c>
      <c r="AX573" s="15" t="s">
        <v>78</v>
      </c>
      <c r="AY573" s="259" t="s">
        <v>200</v>
      </c>
    </row>
    <row r="574" s="13" customFormat="1">
      <c r="A574" s="13"/>
      <c r="B574" s="227"/>
      <c r="C574" s="228"/>
      <c r="D574" s="229" t="s">
        <v>211</v>
      </c>
      <c r="E574" s="230" t="s">
        <v>32</v>
      </c>
      <c r="F574" s="231" t="s">
        <v>897</v>
      </c>
      <c r="G574" s="228"/>
      <c r="H574" s="232">
        <v>0.46000000000000002</v>
      </c>
      <c r="I574" s="233"/>
      <c r="J574" s="228"/>
      <c r="K574" s="228"/>
      <c r="L574" s="234"/>
      <c r="M574" s="235"/>
      <c r="N574" s="236"/>
      <c r="O574" s="236"/>
      <c r="P574" s="236"/>
      <c r="Q574" s="236"/>
      <c r="R574" s="236"/>
      <c r="S574" s="236"/>
      <c r="T574" s="237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T574" s="238" t="s">
        <v>211</v>
      </c>
      <c r="AU574" s="238" t="s">
        <v>88</v>
      </c>
      <c r="AV574" s="13" t="s">
        <v>88</v>
      </c>
      <c r="AW574" s="13" t="s">
        <v>213</v>
      </c>
      <c r="AX574" s="13" t="s">
        <v>78</v>
      </c>
      <c r="AY574" s="238" t="s">
        <v>200</v>
      </c>
    </row>
    <row r="575" s="13" customFormat="1">
      <c r="A575" s="13"/>
      <c r="B575" s="227"/>
      <c r="C575" s="228"/>
      <c r="D575" s="229" t="s">
        <v>211</v>
      </c>
      <c r="E575" s="230" t="s">
        <v>32</v>
      </c>
      <c r="F575" s="231" t="s">
        <v>898</v>
      </c>
      <c r="G575" s="228"/>
      <c r="H575" s="232">
        <v>0.27000000000000002</v>
      </c>
      <c r="I575" s="233"/>
      <c r="J575" s="228"/>
      <c r="K575" s="228"/>
      <c r="L575" s="234"/>
      <c r="M575" s="235"/>
      <c r="N575" s="236"/>
      <c r="O575" s="236"/>
      <c r="P575" s="236"/>
      <c r="Q575" s="236"/>
      <c r="R575" s="236"/>
      <c r="S575" s="236"/>
      <c r="T575" s="237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T575" s="238" t="s">
        <v>211</v>
      </c>
      <c r="AU575" s="238" t="s">
        <v>88</v>
      </c>
      <c r="AV575" s="13" t="s">
        <v>88</v>
      </c>
      <c r="AW575" s="13" t="s">
        <v>213</v>
      </c>
      <c r="AX575" s="13" t="s">
        <v>78</v>
      </c>
      <c r="AY575" s="238" t="s">
        <v>200</v>
      </c>
    </row>
    <row r="576" s="14" customFormat="1">
      <c r="A576" s="14"/>
      <c r="B576" s="239"/>
      <c r="C576" s="240"/>
      <c r="D576" s="229" t="s">
        <v>211</v>
      </c>
      <c r="E576" s="241" t="s">
        <v>32</v>
      </c>
      <c r="F576" s="242" t="s">
        <v>220</v>
      </c>
      <c r="G576" s="240"/>
      <c r="H576" s="243">
        <v>0.72999999999999998</v>
      </c>
      <c r="I576" s="244"/>
      <c r="J576" s="240"/>
      <c r="K576" s="240"/>
      <c r="L576" s="245"/>
      <c r="M576" s="246"/>
      <c r="N576" s="247"/>
      <c r="O576" s="247"/>
      <c r="P576" s="247"/>
      <c r="Q576" s="247"/>
      <c r="R576" s="247"/>
      <c r="S576" s="247"/>
      <c r="T576" s="248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T576" s="249" t="s">
        <v>211</v>
      </c>
      <c r="AU576" s="249" t="s">
        <v>88</v>
      </c>
      <c r="AV576" s="14" t="s">
        <v>207</v>
      </c>
      <c r="AW576" s="14" t="s">
        <v>213</v>
      </c>
      <c r="AX576" s="14" t="s">
        <v>86</v>
      </c>
      <c r="AY576" s="249" t="s">
        <v>200</v>
      </c>
    </row>
    <row r="577" s="13" customFormat="1">
      <c r="A577" s="13"/>
      <c r="B577" s="227"/>
      <c r="C577" s="228"/>
      <c r="D577" s="229" t="s">
        <v>211</v>
      </c>
      <c r="E577" s="228"/>
      <c r="F577" s="231" t="s">
        <v>903</v>
      </c>
      <c r="G577" s="228"/>
      <c r="H577" s="232">
        <v>0.80300000000000005</v>
      </c>
      <c r="I577" s="233"/>
      <c r="J577" s="228"/>
      <c r="K577" s="228"/>
      <c r="L577" s="234"/>
      <c r="M577" s="235"/>
      <c r="N577" s="236"/>
      <c r="O577" s="236"/>
      <c r="P577" s="236"/>
      <c r="Q577" s="236"/>
      <c r="R577" s="236"/>
      <c r="S577" s="236"/>
      <c r="T577" s="237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T577" s="238" t="s">
        <v>211</v>
      </c>
      <c r="AU577" s="238" t="s">
        <v>88</v>
      </c>
      <c r="AV577" s="13" t="s">
        <v>88</v>
      </c>
      <c r="AW577" s="13" t="s">
        <v>4</v>
      </c>
      <c r="AX577" s="13" t="s">
        <v>86</v>
      </c>
      <c r="AY577" s="238" t="s">
        <v>200</v>
      </c>
    </row>
    <row r="578" s="2" customFormat="1" ht="16.5" customHeight="1">
      <c r="A578" s="40"/>
      <c r="B578" s="41"/>
      <c r="C578" s="260" t="s">
        <v>904</v>
      </c>
      <c r="D578" s="260" t="s">
        <v>292</v>
      </c>
      <c r="E578" s="261" t="s">
        <v>905</v>
      </c>
      <c r="F578" s="262" t="s">
        <v>906</v>
      </c>
      <c r="G578" s="263" t="s">
        <v>250</v>
      </c>
      <c r="H578" s="264">
        <v>1.9339999999999999</v>
      </c>
      <c r="I578" s="265"/>
      <c r="J578" s="266">
        <f>ROUND(I578*H578,1)</f>
        <v>0</v>
      </c>
      <c r="K578" s="262" t="s">
        <v>32</v>
      </c>
      <c r="L578" s="267"/>
      <c r="M578" s="268" t="s">
        <v>32</v>
      </c>
      <c r="N578" s="269" t="s">
        <v>49</v>
      </c>
      <c r="O578" s="86"/>
      <c r="P578" s="218">
        <f>O578*H578</f>
        <v>0</v>
      </c>
      <c r="Q578" s="218">
        <v>1</v>
      </c>
      <c r="R578" s="218">
        <f>Q578*H578</f>
        <v>1.9339999999999999</v>
      </c>
      <c r="S578" s="218">
        <v>0</v>
      </c>
      <c r="T578" s="219">
        <f>S578*H578</f>
        <v>0</v>
      </c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R578" s="220" t="s">
        <v>254</v>
      </c>
      <c r="AT578" s="220" t="s">
        <v>292</v>
      </c>
      <c r="AU578" s="220" t="s">
        <v>88</v>
      </c>
      <c r="AY578" s="18" t="s">
        <v>200</v>
      </c>
      <c r="BE578" s="221">
        <f>IF(N578="základní",J578,0)</f>
        <v>0</v>
      </c>
      <c r="BF578" s="221">
        <f>IF(N578="snížená",J578,0)</f>
        <v>0</v>
      </c>
      <c r="BG578" s="221">
        <f>IF(N578="zákl. přenesená",J578,0)</f>
        <v>0</v>
      </c>
      <c r="BH578" s="221">
        <f>IF(N578="sníž. přenesená",J578,0)</f>
        <v>0</v>
      </c>
      <c r="BI578" s="221">
        <f>IF(N578="nulová",J578,0)</f>
        <v>0</v>
      </c>
      <c r="BJ578" s="18" t="s">
        <v>86</v>
      </c>
      <c r="BK578" s="221">
        <f>ROUND(I578*H578,1)</f>
        <v>0</v>
      </c>
      <c r="BL578" s="18" t="s">
        <v>207</v>
      </c>
      <c r="BM578" s="220" t="s">
        <v>907</v>
      </c>
    </row>
    <row r="579" s="13" customFormat="1">
      <c r="A579" s="13"/>
      <c r="B579" s="227"/>
      <c r="C579" s="228"/>
      <c r="D579" s="229" t="s">
        <v>211</v>
      </c>
      <c r="E579" s="230" t="s">
        <v>32</v>
      </c>
      <c r="F579" s="231" t="s">
        <v>892</v>
      </c>
      <c r="G579" s="228"/>
      <c r="H579" s="232">
        <v>0.49199999999999999</v>
      </c>
      <c r="I579" s="233"/>
      <c r="J579" s="228"/>
      <c r="K579" s="228"/>
      <c r="L579" s="234"/>
      <c r="M579" s="235"/>
      <c r="N579" s="236"/>
      <c r="O579" s="236"/>
      <c r="P579" s="236"/>
      <c r="Q579" s="236"/>
      <c r="R579" s="236"/>
      <c r="S579" s="236"/>
      <c r="T579" s="237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T579" s="238" t="s">
        <v>211</v>
      </c>
      <c r="AU579" s="238" t="s">
        <v>88</v>
      </c>
      <c r="AV579" s="13" t="s">
        <v>88</v>
      </c>
      <c r="AW579" s="13" t="s">
        <v>213</v>
      </c>
      <c r="AX579" s="13" t="s">
        <v>78</v>
      </c>
      <c r="AY579" s="238" t="s">
        <v>200</v>
      </c>
    </row>
    <row r="580" s="13" customFormat="1">
      <c r="A580" s="13"/>
      <c r="B580" s="227"/>
      <c r="C580" s="228"/>
      <c r="D580" s="229" t="s">
        <v>211</v>
      </c>
      <c r="E580" s="230" t="s">
        <v>32</v>
      </c>
      <c r="F580" s="231" t="s">
        <v>893</v>
      </c>
      <c r="G580" s="228"/>
      <c r="H580" s="232">
        <v>0.23400000000000001</v>
      </c>
      <c r="I580" s="233"/>
      <c r="J580" s="228"/>
      <c r="K580" s="228"/>
      <c r="L580" s="234"/>
      <c r="M580" s="235"/>
      <c r="N580" s="236"/>
      <c r="O580" s="236"/>
      <c r="P580" s="236"/>
      <c r="Q580" s="236"/>
      <c r="R580" s="236"/>
      <c r="S580" s="236"/>
      <c r="T580" s="237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T580" s="238" t="s">
        <v>211</v>
      </c>
      <c r="AU580" s="238" t="s">
        <v>88</v>
      </c>
      <c r="AV580" s="13" t="s">
        <v>88</v>
      </c>
      <c r="AW580" s="13" t="s">
        <v>213</v>
      </c>
      <c r="AX580" s="13" t="s">
        <v>78</v>
      </c>
      <c r="AY580" s="238" t="s">
        <v>200</v>
      </c>
    </row>
    <row r="581" s="13" customFormat="1">
      <c r="A581" s="13"/>
      <c r="B581" s="227"/>
      <c r="C581" s="228"/>
      <c r="D581" s="229" t="s">
        <v>211</v>
      </c>
      <c r="E581" s="230" t="s">
        <v>32</v>
      </c>
      <c r="F581" s="231" t="s">
        <v>894</v>
      </c>
      <c r="G581" s="228"/>
      <c r="H581" s="232">
        <v>0.33800000000000002</v>
      </c>
      <c r="I581" s="233"/>
      <c r="J581" s="228"/>
      <c r="K581" s="228"/>
      <c r="L581" s="234"/>
      <c r="M581" s="235"/>
      <c r="N581" s="236"/>
      <c r="O581" s="236"/>
      <c r="P581" s="236"/>
      <c r="Q581" s="236"/>
      <c r="R581" s="236"/>
      <c r="S581" s="236"/>
      <c r="T581" s="237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T581" s="238" t="s">
        <v>211</v>
      </c>
      <c r="AU581" s="238" t="s">
        <v>88</v>
      </c>
      <c r="AV581" s="13" t="s">
        <v>88</v>
      </c>
      <c r="AW581" s="13" t="s">
        <v>213</v>
      </c>
      <c r="AX581" s="13" t="s">
        <v>78</v>
      </c>
      <c r="AY581" s="238" t="s">
        <v>200</v>
      </c>
    </row>
    <row r="582" s="13" customFormat="1">
      <c r="A582" s="13"/>
      <c r="B582" s="227"/>
      <c r="C582" s="228"/>
      <c r="D582" s="229" t="s">
        <v>211</v>
      </c>
      <c r="E582" s="230" t="s">
        <v>32</v>
      </c>
      <c r="F582" s="231" t="s">
        <v>895</v>
      </c>
      <c r="G582" s="228"/>
      <c r="H582" s="232">
        <v>0.442</v>
      </c>
      <c r="I582" s="233"/>
      <c r="J582" s="228"/>
      <c r="K582" s="228"/>
      <c r="L582" s="234"/>
      <c r="M582" s="235"/>
      <c r="N582" s="236"/>
      <c r="O582" s="236"/>
      <c r="P582" s="236"/>
      <c r="Q582" s="236"/>
      <c r="R582" s="236"/>
      <c r="S582" s="236"/>
      <c r="T582" s="237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T582" s="238" t="s">
        <v>211</v>
      </c>
      <c r="AU582" s="238" t="s">
        <v>88</v>
      </c>
      <c r="AV582" s="13" t="s">
        <v>88</v>
      </c>
      <c r="AW582" s="13" t="s">
        <v>213</v>
      </c>
      <c r="AX582" s="13" t="s">
        <v>78</v>
      </c>
      <c r="AY582" s="238" t="s">
        <v>200</v>
      </c>
    </row>
    <row r="583" s="13" customFormat="1">
      <c r="A583" s="13"/>
      <c r="B583" s="227"/>
      <c r="C583" s="228"/>
      <c r="D583" s="229" t="s">
        <v>211</v>
      </c>
      <c r="E583" s="230" t="s">
        <v>32</v>
      </c>
      <c r="F583" s="231" t="s">
        <v>896</v>
      </c>
      <c r="G583" s="228"/>
      <c r="H583" s="232">
        <v>0.252</v>
      </c>
      <c r="I583" s="233"/>
      <c r="J583" s="228"/>
      <c r="K583" s="228"/>
      <c r="L583" s="234"/>
      <c r="M583" s="235"/>
      <c r="N583" s="236"/>
      <c r="O583" s="236"/>
      <c r="P583" s="236"/>
      <c r="Q583" s="236"/>
      <c r="R583" s="236"/>
      <c r="S583" s="236"/>
      <c r="T583" s="237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T583" s="238" t="s">
        <v>211</v>
      </c>
      <c r="AU583" s="238" t="s">
        <v>88</v>
      </c>
      <c r="AV583" s="13" t="s">
        <v>88</v>
      </c>
      <c r="AW583" s="13" t="s">
        <v>213</v>
      </c>
      <c r="AX583" s="13" t="s">
        <v>78</v>
      </c>
      <c r="AY583" s="238" t="s">
        <v>200</v>
      </c>
    </row>
    <row r="584" s="14" customFormat="1">
      <c r="A584" s="14"/>
      <c r="B584" s="239"/>
      <c r="C584" s="240"/>
      <c r="D584" s="229" t="s">
        <v>211</v>
      </c>
      <c r="E584" s="241" t="s">
        <v>32</v>
      </c>
      <c r="F584" s="242" t="s">
        <v>220</v>
      </c>
      <c r="G584" s="240"/>
      <c r="H584" s="243">
        <v>1.758</v>
      </c>
      <c r="I584" s="244"/>
      <c r="J584" s="240"/>
      <c r="K584" s="240"/>
      <c r="L584" s="245"/>
      <c r="M584" s="246"/>
      <c r="N584" s="247"/>
      <c r="O584" s="247"/>
      <c r="P584" s="247"/>
      <c r="Q584" s="247"/>
      <c r="R584" s="247"/>
      <c r="S584" s="247"/>
      <c r="T584" s="248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T584" s="249" t="s">
        <v>211</v>
      </c>
      <c r="AU584" s="249" t="s">
        <v>88</v>
      </c>
      <c r="AV584" s="14" t="s">
        <v>207</v>
      </c>
      <c r="AW584" s="14" t="s">
        <v>213</v>
      </c>
      <c r="AX584" s="14" t="s">
        <v>86</v>
      </c>
      <c r="AY584" s="249" t="s">
        <v>200</v>
      </c>
    </row>
    <row r="585" s="13" customFormat="1">
      <c r="A585" s="13"/>
      <c r="B585" s="227"/>
      <c r="C585" s="228"/>
      <c r="D585" s="229" t="s">
        <v>211</v>
      </c>
      <c r="E585" s="228"/>
      <c r="F585" s="231" t="s">
        <v>908</v>
      </c>
      <c r="G585" s="228"/>
      <c r="H585" s="232">
        <v>1.9339999999999999</v>
      </c>
      <c r="I585" s="233"/>
      <c r="J585" s="228"/>
      <c r="K585" s="228"/>
      <c r="L585" s="234"/>
      <c r="M585" s="235"/>
      <c r="N585" s="236"/>
      <c r="O585" s="236"/>
      <c r="P585" s="236"/>
      <c r="Q585" s="236"/>
      <c r="R585" s="236"/>
      <c r="S585" s="236"/>
      <c r="T585" s="237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T585" s="238" t="s">
        <v>211</v>
      </c>
      <c r="AU585" s="238" t="s">
        <v>88</v>
      </c>
      <c r="AV585" s="13" t="s">
        <v>88</v>
      </c>
      <c r="AW585" s="13" t="s">
        <v>4</v>
      </c>
      <c r="AX585" s="13" t="s">
        <v>86</v>
      </c>
      <c r="AY585" s="238" t="s">
        <v>200</v>
      </c>
    </row>
    <row r="586" s="2" customFormat="1" ht="21.75" customHeight="1">
      <c r="A586" s="40"/>
      <c r="B586" s="41"/>
      <c r="C586" s="209" t="s">
        <v>909</v>
      </c>
      <c r="D586" s="209" t="s">
        <v>202</v>
      </c>
      <c r="E586" s="210" t="s">
        <v>910</v>
      </c>
      <c r="F586" s="211" t="s">
        <v>911</v>
      </c>
      <c r="G586" s="212" t="s">
        <v>250</v>
      </c>
      <c r="H586" s="213">
        <v>0.87</v>
      </c>
      <c r="I586" s="214"/>
      <c r="J586" s="215">
        <f>ROUND(I586*H586,1)</f>
        <v>0</v>
      </c>
      <c r="K586" s="211" t="s">
        <v>206</v>
      </c>
      <c r="L586" s="46"/>
      <c r="M586" s="216" t="s">
        <v>32</v>
      </c>
      <c r="N586" s="217" t="s">
        <v>49</v>
      </c>
      <c r="O586" s="86"/>
      <c r="P586" s="218">
        <f>O586*H586</f>
        <v>0</v>
      </c>
      <c r="Q586" s="218">
        <v>0</v>
      </c>
      <c r="R586" s="218">
        <f>Q586*H586</f>
        <v>0</v>
      </c>
      <c r="S586" s="218">
        <v>0</v>
      </c>
      <c r="T586" s="219">
        <f>S586*H586</f>
        <v>0</v>
      </c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R586" s="220" t="s">
        <v>207</v>
      </c>
      <c r="AT586" s="220" t="s">
        <v>202</v>
      </c>
      <c r="AU586" s="220" t="s">
        <v>88</v>
      </c>
      <c r="AY586" s="18" t="s">
        <v>200</v>
      </c>
      <c r="BE586" s="221">
        <f>IF(N586="základní",J586,0)</f>
        <v>0</v>
      </c>
      <c r="BF586" s="221">
        <f>IF(N586="snížená",J586,0)</f>
        <v>0</v>
      </c>
      <c r="BG586" s="221">
        <f>IF(N586="zákl. přenesená",J586,0)</f>
        <v>0</v>
      </c>
      <c r="BH586" s="221">
        <f>IF(N586="sníž. přenesená",J586,0)</f>
        <v>0</v>
      </c>
      <c r="BI586" s="221">
        <f>IF(N586="nulová",J586,0)</f>
        <v>0</v>
      </c>
      <c r="BJ586" s="18" t="s">
        <v>86</v>
      </c>
      <c r="BK586" s="221">
        <f>ROUND(I586*H586,1)</f>
        <v>0</v>
      </c>
      <c r="BL586" s="18" t="s">
        <v>207</v>
      </c>
      <c r="BM586" s="220" t="s">
        <v>912</v>
      </c>
    </row>
    <row r="587" s="2" customFormat="1">
      <c r="A587" s="40"/>
      <c r="B587" s="41"/>
      <c r="C587" s="42"/>
      <c r="D587" s="222" t="s">
        <v>209</v>
      </c>
      <c r="E587" s="42"/>
      <c r="F587" s="223" t="s">
        <v>913</v>
      </c>
      <c r="G587" s="42"/>
      <c r="H587" s="42"/>
      <c r="I587" s="224"/>
      <c r="J587" s="42"/>
      <c r="K587" s="42"/>
      <c r="L587" s="46"/>
      <c r="M587" s="225"/>
      <c r="N587" s="226"/>
      <c r="O587" s="86"/>
      <c r="P587" s="86"/>
      <c r="Q587" s="86"/>
      <c r="R587" s="86"/>
      <c r="S587" s="86"/>
      <c r="T587" s="87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T587" s="18" t="s">
        <v>209</v>
      </c>
      <c r="AU587" s="18" t="s">
        <v>88</v>
      </c>
    </row>
    <row r="588" s="13" customFormat="1">
      <c r="A588" s="13"/>
      <c r="B588" s="227"/>
      <c r="C588" s="228"/>
      <c r="D588" s="229" t="s">
        <v>211</v>
      </c>
      <c r="E588" s="230" t="s">
        <v>32</v>
      </c>
      <c r="F588" s="231" t="s">
        <v>914</v>
      </c>
      <c r="G588" s="228"/>
      <c r="H588" s="232">
        <v>0.64000000000000001</v>
      </c>
      <c r="I588" s="233"/>
      <c r="J588" s="228"/>
      <c r="K588" s="228"/>
      <c r="L588" s="234"/>
      <c r="M588" s="235"/>
      <c r="N588" s="236"/>
      <c r="O588" s="236"/>
      <c r="P588" s="236"/>
      <c r="Q588" s="236"/>
      <c r="R588" s="236"/>
      <c r="S588" s="236"/>
      <c r="T588" s="237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T588" s="238" t="s">
        <v>211</v>
      </c>
      <c r="AU588" s="238" t="s">
        <v>88</v>
      </c>
      <c r="AV588" s="13" t="s">
        <v>88</v>
      </c>
      <c r="AW588" s="13" t="s">
        <v>213</v>
      </c>
      <c r="AX588" s="13" t="s">
        <v>78</v>
      </c>
      <c r="AY588" s="238" t="s">
        <v>200</v>
      </c>
    </row>
    <row r="589" s="13" customFormat="1">
      <c r="A589" s="13"/>
      <c r="B589" s="227"/>
      <c r="C589" s="228"/>
      <c r="D589" s="229" t="s">
        <v>211</v>
      </c>
      <c r="E589" s="230" t="s">
        <v>32</v>
      </c>
      <c r="F589" s="231" t="s">
        <v>915</v>
      </c>
      <c r="G589" s="228"/>
      <c r="H589" s="232">
        <v>0.23000000000000001</v>
      </c>
      <c r="I589" s="233"/>
      <c r="J589" s="228"/>
      <c r="K589" s="228"/>
      <c r="L589" s="234"/>
      <c r="M589" s="235"/>
      <c r="N589" s="236"/>
      <c r="O589" s="236"/>
      <c r="P589" s="236"/>
      <c r="Q589" s="236"/>
      <c r="R589" s="236"/>
      <c r="S589" s="236"/>
      <c r="T589" s="237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T589" s="238" t="s">
        <v>211</v>
      </c>
      <c r="AU589" s="238" t="s">
        <v>88</v>
      </c>
      <c r="AV589" s="13" t="s">
        <v>88</v>
      </c>
      <c r="AW589" s="13" t="s">
        <v>213</v>
      </c>
      <c r="AX589" s="13" t="s">
        <v>78</v>
      </c>
      <c r="AY589" s="238" t="s">
        <v>200</v>
      </c>
    </row>
    <row r="590" s="14" customFormat="1">
      <c r="A590" s="14"/>
      <c r="B590" s="239"/>
      <c r="C590" s="240"/>
      <c r="D590" s="229" t="s">
        <v>211</v>
      </c>
      <c r="E590" s="241" t="s">
        <v>32</v>
      </c>
      <c r="F590" s="242" t="s">
        <v>220</v>
      </c>
      <c r="G590" s="240"/>
      <c r="H590" s="243">
        <v>0.87</v>
      </c>
      <c r="I590" s="244"/>
      <c r="J590" s="240"/>
      <c r="K590" s="240"/>
      <c r="L590" s="245"/>
      <c r="M590" s="246"/>
      <c r="N590" s="247"/>
      <c r="O590" s="247"/>
      <c r="P590" s="247"/>
      <c r="Q590" s="247"/>
      <c r="R590" s="247"/>
      <c r="S590" s="247"/>
      <c r="T590" s="248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T590" s="249" t="s">
        <v>211</v>
      </c>
      <c r="AU590" s="249" t="s">
        <v>88</v>
      </c>
      <c r="AV590" s="14" t="s">
        <v>207</v>
      </c>
      <c r="AW590" s="14" t="s">
        <v>213</v>
      </c>
      <c r="AX590" s="14" t="s">
        <v>86</v>
      </c>
      <c r="AY590" s="249" t="s">
        <v>200</v>
      </c>
    </row>
    <row r="591" s="2" customFormat="1" ht="16.5" customHeight="1">
      <c r="A591" s="40"/>
      <c r="B591" s="41"/>
      <c r="C591" s="260" t="s">
        <v>916</v>
      </c>
      <c r="D591" s="260" t="s">
        <v>292</v>
      </c>
      <c r="E591" s="261" t="s">
        <v>917</v>
      </c>
      <c r="F591" s="262" t="s">
        <v>918</v>
      </c>
      <c r="G591" s="263" t="s">
        <v>250</v>
      </c>
      <c r="H591" s="264">
        <v>0.70399999999999996</v>
      </c>
      <c r="I591" s="265"/>
      <c r="J591" s="266">
        <f>ROUND(I591*H591,1)</f>
        <v>0</v>
      </c>
      <c r="K591" s="262" t="s">
        <v>206</v>
      </c>
      <c r="L591" s="267"/>
      <c r="M591" s="268" t="s">
        <v>32</v>
      </c>
      <c r="N591" s="269" t="s">
        <v>49</v>
      </c>
      <c r="O591" s="86"/>
      <c r="P591" s="218">
        <f>O591*H591</f>
        <v>0</v>
      </c>
      <c r="Q591" s="218">
        <v>1</v>
      </c>
      <c r="R591" s="218">
        <f>Q591*H591</f>
        <v>0.70399999999999996</v>
      </c>
      <c r="S591" s="218">
        <v>0</v>
      </c>
      <c r="T591" s="219">
        <f>S591*H591</f>
        <v>0</v>
      </c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R591" s="220" t="s">
        <v>254</v>
      </c>
      <c r="AT591" s="220" t="s">
        <v>292</v>
      </c>
      <c r="AU591" s="220" t="s">
        <v>88</v>
      </c>
      <c r="AY591" s="18" t="s">
        <v>200</v>
      </c>
      <c r="BE591" s="221">
        <f>IF(N591="základní",J591,0)</f>
        <v>0</v>
      </c>
      <c r="BF591" s="221">
        <f>IF(N591="snížená",J591,0)</f>
        <v>0</v>
      </c>
      <c r="BG591" s="221">
        <f>IF(N591="zákl. přenesená",J591,0)</f>
        <v>0</v>
      </c>
      <c r="BH591" s="221">
        <f>IF(N591="sníž. přenesená",J591,0)</f>
        <v>0</v>
      </c>
      <c r="BI591" s="221">
        <f>IF(N591="nulová",J591,0)</f>
        <v>0</v>
      </c>
      <c r="BJ591" s="18" t="s">
        <v>86</v>
      </c>
      <c r="BK591" s="221">
        <f>ROUND(I591*H591,1)</f>
        <v>0</v>
      </c>
      <c r="BL591" s="18" t="s">
        <v>207</v>
      </c>
      <c r="BM591" s="220" t="s">
        <v>919</v>
      </c>
    </row>
    <row r="592" s="13" customFormat="1">
      <c r="A592" s="13"/>
      <c r="B592" s="227"/>
      <c r="C592" s="228"/>
      <c r="D592" s="229" t="s">
        <v>211</v>
      </c>
      <c r="E592" s="230" t="s">
        <v>32</v>
      </c>
      <c r="F592" s="231" t="s">
        <v>914</v>
      </c>
      <c r="G592" s="228"/>
      <c r="H592" s="232">
        <v>0.64000000000000001</v>
      </c>
      <c r="I592" s="233"/>
      <c r="J592" s="228"/>
      <c r="K592" s="228"/>
      <c r="L592" s="234"/>
      <c r="M592" s="235"/>
      <c r="N592" s="236"/>
      <c r="O592" s="236"/>
      <c r="P592" s="236"/>
      <c r="Q592" s="236"/>
      <c r="R592" s="236"/>
      <c r="S592" s="236"/>
      <c r="T592" s="237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T592" s="238" t="s">
        <v>211</v>
      </c>
      <c r="AU592" s="238" t="s">
        <v>88</v>
      </c>
      <c r="AV592" s="13" t="s">
        <v>88</v>
      </c>
      <c r="AW592" s="13" t="s">
        <v>213</v>
      </c>
      <c r="AX592" s="13" t="s">
        <v>86</v>
      </c>
      <c r="AY592" s="238" t="s">
        <v>200</v>
      </c>
    </row>
    <row r="593" s="13" customFormat="1">
      <c r="A593" s="13"/>
      <c r="B593" s="227"/>
      <c r="C593" s="228"/>
      <c r="D593" s="229" t="s">
        <v>211</v>
      </c>
      <c r="E593" s="228"/>
      <c r="F593" s="231" t="s">
        <v>920</v>
      </c>
      <c r="G593" s="228"/>
      <c r="H593" s="232">
        <v>0.70399999999999996</v>
      </c>
      <c r="I593" s="233"/>
      <c r="J593" s="228"/>
      <c r="K593" s="228"/>
      <c r="L593" s="234"/>
      <c r="M593" s="235"/>
      <c r="N593" s="236"/>
      <c r="O593" s="236"/>
      <c r="P593" s="236"/>
      <c r="Q593" s="236"/>
      <c r="R593" s="236"/>
      <c r="S593" s="236"/>
      <c r="T593" s="237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T593" s="238" t="s">
        <v>211</v>
      </c>
      <c r="AU593" s="238" t="s">
        <v>88</v>
      </c>
      <c r="AV593" s="13" t="s">
        <v>88</v>
      </c>
      <c r="AW593" s="13" t="s">
        <v>4</v>
      </c>
      <c r="AX593" s="13" t="s">
        <v>86</v>
      </c>
      <c r="AY593" s="238" t="s">
        <v>200</v>
      </c>
    </row>
    <row r="594" s="2" customFormat="1" ht="16.5" customHeight="1">
      <c r="A594" s="40"/>
      <c r="B594" s="41"/>
      <c r="C594" s="260" t="s">
        <v>921</v>
      </c>
      <c r="D594" s="260" t="s">
        <v>292</v>
      </c>
      <c r="E594" s="261" t="s">
        <v>922</v>
      </c>
      <c r="F594" s="262" t="s">
        <v>923</v>
      </c>
      <c r="G594" s="263" t="s">
        <v>250</v>
      </c>
      <c r="H594" s="264">
        <v>0.253</v>
      </c>
      <c r="I594" s="265"/>
      <c r="J594" s="266">
        <f>ROUND(I594*H594,1)</f>
        <v>0</v>
      </c>
      <c r="K594" s="262" t="s">
        <v>206</v>
      </c>
      <c r="L594" s="267"/>
      <c r="M594" s="268" t="s">
        <v>32</v>
      </c>
      <c r="N594" s="269" t="s">
        <v>49</v>
      </c>
      <c r="O594" s="86"/>
      <c r="P594" s="218">
        <f>O594*H594</f>
        <v>0</v>
      </c>
      <c r="Q594" s="218">
        <v>1</v>
      </c>
      <c r="R594" s="218">
        <f>Q594*H594</f>
        <v>0.253</v>
      </c>
      <c r="S594" s="218">
        <v>0</v>
      </c>
      <c r="T594" s="219">
        <f>S594*H594</f>
        <v>0</v>
      </c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R594" s="220" t="s">
        <v>254</v>
      </c>
      <c r="AT594" s="220" t="s">
        <v>292</v>
      </c>
      <c r="AU594" s="220" t="s">
        <v>88</v>
      </c>
      <c r="AY594" s="18" t="s">
        <v>200</v>
      </c>
      <c r="BE594" s="221">
        <f>IF(N594="základní",J594,0)</f>
        <v>0</v>
      </c>
      <c r="BF594" s="221">
        <f>IF(N594="snížená",J594,0)</f>
        <v>0</v>
      </c>
      <c r="BG594" s="221">
        <f>IF(N594="zákl. přenesená",J594,0)</f>
        <v>0</v>
      </c>
      <c r="BH594" s="221">
        <f>IF(N594="sníž. přenesená",J594,0)</f>
        <v>0</v>
      </c>
      <c r="BI594" s="221">
        <f>IF(N594="nulová",J594,0)</f>
        <v>0</v>
      </c>
      <c r="BJ594" s="18" t="s">
        <v>86</v>
      </c>
      <c r="BK594" s="221">
        <f>ROUND(I594*H594,1)</f>
        <v>0</v>
      </c>
      <c r="BL594" s="18" t="s">
        <v>207</v>
      </c>
      <c r="BM594" s="220" t="s">
        <v>924</v>
      </c>
    </row>
    <row r="595" s="13" customFormat="1">
      <c r="A595" s="13"/>
      <c r="B595" s="227"/>
      <c r="C595" s="228"/>
      <c r="D595" s="229" t="s">
        <v>211</v>
      </c>
      <c r="E595" s="230" t="s">
        <v>32</v>
      </c>
      <c r="F595" s="231" t="s">
        <v>915</v>
      </c>
      <c r="G595" s="228"/>
      <c r="H595" s="232">
        <v>0.23000000000000001</v>
      </c>
      <c r="I595" s="233"/>
      <c r="J595" s="228"/>
      <c r="K595" s="228"/>
      <c r="L595" s="234"/>
      <c r="M595" s="235"/>
      <c r="N595" s="236"/>
      <c r="O595" s="236"/>
      <c r="P595" s="236"/>
      <c r="Q595" s="236"/>
      <c r="R595" s="236"/>
      <c r="S595" s="236"/>
      <c r="T595" s="237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T595" s="238" t="s">
        <v>211</v>
      </c>
      <c r="AU595" s="238" t="s">
        <v>88</v>
      </c>
      <c r="AV595" s="13" t="s">
        <v>88</v>
      </c>
      <c r="AW595" s="13" t="s">
        <v>213</v>
      </c>
      <c r="AX595" s="13" t="s">
        <v>86</v>
      </c>
      <c r="AY595" s="238" t="s">
        <v>200</v>
      </c>
    </row>
    <row r="596" s="13" customFormat="1">
      <c r="A596" s="13"/>
      <c r="B596" s="227"/>
      <c r="C596" s="228"/>
      <c r="D596" s="229" t="s">
        <v>211</v>
      </c>
      <c r="E596" s="228"/>
      <c r="F596" s="231" t="s">
        <v>925</v>
      </c>
      <c r="G596" s="228"/>
      <c r="H596" s="232">
        <v>0.253</v>
      </c>
      <c r="I596" s="233"/>
      <c r="J596" s="228"/>
      <c r="K596" s="228"/>
      <c r="L596" s="234"/>
      <c r="M596" s="235"/>
      <c r="N596" s="236"/>
      <c r="O596" s="236"/>
      <c r="P596" s="236"/>
      <c r="Q596" s="236"/>
      <c r="R596" s="236"/>
      <c r="S596" s="236"/>
      <c r="T596" s="237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T596" s="238" t="s">
        <v>211</v>
      </c>
      <c r="AU596" s="238" t="s">
        <v>88</v>
      </c>
      <c r="AV596" s="13" t="s">
        <v>88</v>
      </c>
      <c r="AW596" s="13" t="s">
        <v>4</v>
      </c>
      <c r="AX596" s="13" t="s">
        <v>86</v>
      </c>
      <c r="AY596" s="238" t="s">
        <v>200</v>
      </c>
    </row>
    <row r="597" s="2" customFormat="1" ht="24.15" customHeight="1">
      <c r="A597" s="40"/>
      <c r="B597" s="41"/>
      <c r="C597" s="209" t="s">
        <v>926</v>
      </c>
      <c r="D597" s="209" t="s">
        <v>202</v>
      </c>
      <c r="E597" s="210" t="s">
        <v>927</v>
      </c>
      <c r="F597" s="211" t="s">
        <v>928</v>
      </c>
      <c r="G597" s="212" t="s">
        <v>250</v>
      </c>
      <c r="H597" s="213">
        <v>0.69399999999999995</v>
      </c>
      <c r="I597" s="214"/>
      <c r="J597" s="215">
        <f>ROUND(I597*H597,1)</f>
        <v>0</v>
      </c>
      <c r="K597" s="211" t="s">
        <v>206</v>
      </c>
      <c r="L597" s="46"/>
      <c r="M597" s="216" t="s">
        <v>32</v>
      </c>
      <c r="N597" s="217" t="s">
        <v>49</v>
      </c>
      <c r="O597" s="86"/>
      <c r="P597" s="218">
        <f>O597*H597</f>
        <v>0</v>
      </c>
      <c r="Q597" s="218">
        <v>0</v>
      </c>
      <c r="R597" s="218">
        <f>Q597*H597</f>
        <v>0</v>
      </c>
      <c r="S597" s="218">
        <v>0</v>
      </c>
      <c r="T597" s="219">
        <f>S597*H597</f>
        <v>0</v>
      </c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R597" s="220" t="s">
        <v>207</v>
      </c>
      <c r="AT597" s="220" t="s">
        <v>202</v>
      </c>
      <c r="AU597" s="220" t="s">
        <v>88</v>
      </c>
      <c r="AY597" s="18" t="s">
        <v>200</v>
      </c>
      <c r="BE597" s="221">
        <f>IF(N597="základní",J597,0)</f>
        <v>0</v>
      </c>
      <c r="BF597" s="221">
        <f>IF(N597="snížená",J597,0)</f>
        <v>0</v>
      </c>
      <c r="BG597" s="221">
        <f>IF(N597="zákl. přenesená",J597,0)</f>
        <v>0</v>
      </c>
      <c r="BH597" s="221">
        <f>IF(N597="sníž. přenesená",J597,0)</f>
        <v>0</v>
      </c>
      <c r="BI597" s="221">
        <f>IF(N597="nulová",J597,0)</f>
        <v>0</v>
      </c>
      <c r="BJ597" s="18" t="s">
        <v>86</v>
      </c>
      <c r="BK597" s="221">
        <f>ROUND(I597*H597,1)</f>
        <v>0</v>
      </c>
      <c r="BL597" s="18" t="s">
        <v>207</v>
      </c>
      <c r="BM597" s="220" t="s">
        <v>929</v>
      </c>
    </row>
    <row r="598" s="2" customFormat="1">
      <c r="A598" s="40"/>
      <c r="B598" s="41"/>
      <c r="C598" s="42"/>
      <c r="D598" s="222" t="s">
        <v>209</v>
      </c>
      <c r="E598" s="42"/>
      <c r="F598" s="223" t="s">
        <v>930</v>
      </c>
      <c r="G598" s="42"/>
      <c r="H598" s="42"/>
      <c r="I598" s="224"/>
      <c r="J598" s="42"/>
      <c r="K598" s="42"/>
      <c r="L598" s="46"/>
      <c r="M598" s="225"/>
      <c r="N598" s="226"/>
      <c r="O598" s="86"/>
      <c r="P598" s="86"/>
      <c r="Q598" s="86"/>
      <c r="R598" s="86"/>
      <c r="S598" s="86"/>
      <c r="T598" s="87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T598" s="18" t="s">
        <v>209</v>
      </c>
      <c r="AU598" s="18" t="s">
        <v>88</v>
      </c>
    </row>
    <row r="599" s="15" customFormat="1">
      <c r="A599" s="15"/>
      <c r="B599" s="250"/>
      <c r="C599" s="251"/>
      <c r="D599" s="229" t="s">
        <v>211</v>
      </c>
      <c r="E599" s="252" t="s">
        <v>32</v>
      </c>
      <c r="F599" s="253" t="s">
        <v>891</v>
      </c>
      <c r="G599" s="251"/>
      <c r="H599" s="252" t="s">
        <v>32</v>
      </c>
      <c r="I599" s="254"/>
      <c r="J599" s="251"/>
      <c r="K599" s="251"/>
      <c r="L599" s="255"/>
      <c r="M599" s="256"/>
      <c r="N599" s="257"/>
      <c r="O599" s="257"/>
      <c r="P599" s="257"/>
      <c r="Q599" s="257"/>
      <c r="R599" s="257"/>
      <c r="S599" s="257"/>
      <c r="T599" s="25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T599" s="259" t="s">
        <v>211</v>
      </c>
      <c r="AU599" s="259" t="s">
        <v>88</v>
      </c>
      <c r="AV599" s="15" t="s">
        <v>86</v>
      </c>
      <c r="AW599" s="15" t="s">
        <v>213</v>
      </c>
      <c r="AX599" s="15" t="s">
        <v>78</v>
      </c>
      <c r="AY599" s="259" t="s">
        <v>200</v>
      </c>
    </row>
    <row r="600" s="13" customFormat="1">
      <c r="A600" s="13"/>
      <c r="B600" s="227"/>
      <c r="C600" s="228"/>
      <c r="D600" s="229" t="s">
        <v>211</v>
      </c>
      <c r="E600" s="230" t="s">
        <v>32</v>
      </c>
      <c r="F600" s="231" t="s">
        <v>931</v>
      </c>
      <c r="G600" s="228"/>
      <c r="H600" s="232">
        <v>0.69399999999999995</v>
      </c>
      <c r="I600" s="233"/>
      <c r="J600" s="228"/>
      <c r="K600" s="228"/>
      <c r="L600" s="234"/>
      <c r="M600" s="235"/>
      <c r="N600" s="236"/>
      <c r="O600" s="236"/>
      <c r="P600" s="236"/>
      <c r="Q600" s="236"/>
      <c r="R600" s="236"/>
      <c r="S600" s="236"/>
      <c r="T600" s="237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T600" s="238" t="s">
        <v>211</v>
      </c>
      <c r="AU600" s="238" t="s">
        <v>88</v>
      </c>
      <c r="AV600" s="13" t="s">
        <v>88</v>
      </c>
      <c r="AW600" s="13" t="s">
        <v>213</v>
      </c>
      <c r="AX600" s="13" t="s">
        <v>86</v>
      </c>
      <c r="AY600" s="238" t="s">
        <v>200</v>
      </c>
    </row>
    <row r="601" s="2" customFormat="1" ht="16.5" customHeight="1">
      <c r="A601" s="40"/>
      <c r="B601" s="41"/>
      <c r="C601" s="260" t="s">
        <v>932</v>
      </c>
      <c r="D601" s="260" t="s">
        <v>292</v>
      </c>
      <c r="E601" s="261" t="s">
        <v>933</v>
      </c>
      <c r="F601" s="262" t="s">
        <v>934</v>
      </c>
      <c r="G601" s="263" t="s">
        <v>250</v>
      </c>
      <c r="H601" s="264">
        <v>0.76300000000000001</v>
      </c>
      <c r="I601" s="265"/>
      <c r="J601" s="266">
        <f>ROUND(I601*H601,1)</f>
        <v>0</v>
      </c>
      <c r="K601" s="262" t="s">
        <v>206</v>
      </c>
      <c r="L601" s="267"/>
      <c r="M601" s="268" t="s">
        <v>32</v>
      </c>
      <c r="N601" s="269" t="s">
        <v>49</v>
      </c>
      <c r="O601" s="86"/>
      <c r="P601" s="218">
        <f>O601*H601</f>
        <v>0</v>
      </c>
      <c r="Q601" s="218">
        <v>1</v>
      </c>
      <c r="R601" s="218">
        <f>Q601*H601</f>
        <v>0.76300000000000001</v>
      </c>
      <c r="S601" s="218">
        <v>0</v>
      </c>
      <c r="T601" s="219">
        <f>S601*H601</f>
        <v>0</v>
      </c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R601" s="220" t="s">
        <v>254</v>
      </c>
      <c r="AT601" s="220" t="s">
        <v>292</v>
      </c>
      <c r="AU601" s="220" t="s">
        <v>88</v>
      </c>
      <c r="AY601" s="18" t="s">
        <v>200</v>
      </c>
      <c r="BE601" s="221">
        <f>IF(N601="základní",J601,0)</f>
        <v>0</v>
      </c>
      <c r="BF601" s="221">
        <f>IF(N601="snížená",J601,0)</f>
        <v>0</v>
      </c>
      <c r="BG601" s="221">
        <f>IF(N601="zákl. přenesená",J601,0)</f>
        <v>0</v>
      </c>
      <c r="BH601" s="221">
        <f>IF(N601="sníž. přenesená",J601,0)</f>
        <v>0</v>
      </c>
      <c r="BI601" s="221">
        <f>IF(N601="nulová",J601,0)</f>
        <v>0</v>
      </c>
      <c r="BJ601" s="18" t="s">
        <v>86</v>
      </c>
      <c r="BK601" s="221">
        <f>ROUND(I601*H601,1)</f>
        <v>0</v>
      </c>
      <c r="BL601" s="18" t="s">
        <v>207</v>
      </c>
      <c r="BM601" s="220" t="s">
        <v>935</v>
      </c>
    </row>
    <row r="602" s="13" customFormat="1">
      <c r="A602" s="13"/>
      <c r="B602" s="227"/>
      <c r="C602" s="228"/>
      <c r="D602" s="229" t="s">
        <v>211</v>
      </c>
      <c r="E602" s="228"/>
      <c r="F602" s="231" t="s">
        <v>936</v>
      </c>
      <c r="G602" s="228"/>
      <c r="H602" s="232">
        <v>0.76300000000000001</v>
      </c>
      <c r="I602" s="233"/>
      <c r="J602" s="228"/>
      <c r="K602" s="228"/>
      <c r="L602" s="234"/>
      <c r="M602" s="235"/>
      <c r="N602" s="236"/>
      <c r="O602" s="236"/>
      <c r="P602" s="236"/>
      <c r="Q602" s="236"/>
      <c r="R602" s="236"/>
      <c r="S602" s="236"/>
      <c r="T602" s="237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T602" s="238" t="s">
        <v>211</v>
      </c>
      <c r="AU602" s="238" t="s">
        <v>88</v>
      </c>
      <c r="AV602" s="13" t="s">
        <v>88</v>
      </c>
      <c r="AW602" s="13" t="s">
        <v>4</v>
      </c>
      <c r="AX602" s="13" t="s">
        <v>86</v>
      </c>
      <c r="AY602" s="238" t="s">
        <v>200</v>
      </c>
    </row>
    <row r="603" s="2" customFormat="1" ht="16.5" customHeight="1">
      <c r="A603" s="40"/>
      <c r="B603" s="41"/>
      <c r="C603" s="209" t="s">
        <v>937</v>
      </c>
      <c r="D603" s="209" t="s">
        <v>202</v>
      </c>
      <c r="E603" s="210" t="s">
        <v>938</v>
      </c>
      <c r="F603" s="211" t="s">
        <v>939</v>
      </c>
      <c r="G603" s="212" t="s">
        <v>449</v>
      </c>
      <c r="H603" s="213">
        <v>3</v>
      </c>
      <c r="I603" s="214"/>
      <c r="J603" s="215">
        <f>ROUND(I603*H603,1)</f>
        <v>0</v>
      </c>
      <c r="K603" s="211" t="s">
        <v>206</v>
      </c>
      <c r="L603" s="46"/>
      <c r="M603" s="216" t="s">
        <v>32</v>
      </c>
      <c r="N603" s="217" t="s">
        <v>49</v>
      </c>
      <c r="O603" s="86"/>
      <c r="P603" s="218">
        <f>O603*H603</f>
        <v>0</v>
      </c>
      <c r="Q603" s="218">
        <v>0.00018000000000000001</v>
      </c>
      <c r="R603" s="218">
        <f>Q603*H603</f>
        <v>0.00054000000000000001</v>
      </c>
      <c r="S603" s="218">
        <v>0</v>
      </c>
      <c r="T603" s="219">
        <f>S603*H603</f>
        <v>0</v>
      </c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R603" s="220" t="s">
        <v>207</v>
      </c>
      <c r="AT603" s="220" t="s">
        <v>202</v>
      </c>
      <c r="AU603" s="220" t="s">
        <v>88</v>
      </c>
      <c r="AY603" s="18" t="s">
        <v>200</v>
      </c>
      <c r="BE603" s="221">
        <f>IF(N603="základní",J603,0)</f>
        <v>0</v>
      </c>
      <c r="BF603" s="221">
        <f>IF(N603="snížená",J603,0)</f>
        <v>0</v>
      </c>
      <c r="BG603" s="221">
        <f>IF(N603="zákl. přenesená",J603,0)</f>
        <v>0</v>
      </c>
      <c r="BH603" s="221">
        <f>IF(N603="sníž. přenesená",J603,0)</f>
        <v>0</v>
      </c>
      <c r="BI603" s="221">
        <f>IF(N603="nulová",J603,0)</f>
        <v>0</v>
      </c>
      <c r="BJ603" s="18" t="s">
        <v>86</v>
      </c>
      <c r="BK603" s="221">
        <f>ROUND(I603*H603,1)</f>
        <v>0</v>
      </c>
      <c r="BL603" s="18" t="s">
        <v>207</v>
      </c>
      <c r="BM603" s="220" t="s">
        <v>940</v>
      </c>
    </row>
    <row r="604" s="2" customFormat="1">
      <c r="A604" s="40"/>
      <c r="B604" s="41"/>
      <c r="C604" s="42"/>
      <c r="D604" s="222" t="s">
        <v>209</v>
      </c>
      <c r="E604" s="42"/>
      <c r="F604" s="223" t="s">
        <v>941</v>
      </c>
      <c r="G604" s="42"/>
      <c r="H604" s="42"/>
      <c r="I604" s="224"/>
      <c r="J604" s="42"/>
      <c r="K604" s="42"/>
      <c r="L604" s="46"/>
      <c r="M604" s="225"/>
      <c r="N604" s="226"/>
      <c r="O604" s="86"/>
      <c r="P604" s="86"/>
      <c r="Q604" s="86"/>
      <c r="R604" s="86"/>
      <c r="S604" s="86"/>
      <c r="T604" s="87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T604" s="18" t="s">
        <v>209</v>
      </c>
      <c r="AU604" s="18" t="s">
        <v>88</v>
      </c>
    </row>
    <row r="605" s="2" customFormat="1" ht="16.5" customHeight="1">
      <c r="A605" s="40"/>
      <c r="B605" s="41"/>
      <c r="C605" s="260" t="s">
        <v>942</v>
      </c>
      <c r="D605" s="260" t="s">
        <v>292</v>
      </c>
      <c r="E605" s="261" t="s">
        <v>943</v>
      </c>
      <c r="F605" s="262" t="s">
        <v>944</v>
      </c>
      <c r="G605" s="263" t="s">
        <v>449</v>
      </c>
      <c r="H605" s="264">
        <v>3</v>
      </c>
      <c r="I605" s="265"/>
      <c r="J605" s="266">
        <f>ROUND(I605*H605,1)</f>
        <v>0</v>
      </c>
      <c r="K605" s="262" t="s">
        <v>206</v>
      </c>
      <c r="L605" s="267"/>
      <c r="M605" s="268" t="s">
        <v>32</v>
      </c>
      <c r="N605" s="269" t="s">
        <v>49</v>
      </c>
      <c r="O605" s="86"/>
      <c r="P605" s="218">
        <f>O605*H605</f>
        <v>0</v>
      </c>
      <c r="Q605" s="218">
        <v>0.012</v>
      </c>
      <c r="R605" s="218">
        <f>Q605*H605</f>
        <v>0.036000000000000004</v>
      </c>
      <c r="S605" s="218">
        <v>0</v>
      </c>
      <c r="T605" s="219">
        <f>S605*H605</f>
        <v>0</v>
      </c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R605" s="220" t="s">
        <v>254</v>
      </c>
      <c r="AT605" s="220" t="s">
        <v>292</v>
      </c>
      <c r="AU605" s="220" t="s">
        <v>88</v>
      </c>
      <c r="AY605" s="18" t="s">
        <v>200</v>
      </c>
      <c r="BE605" s="221">
        <f>IF(N605="základní",J605,0)</f>
        <v>0</v>
      </c>
      <c r="BF605" s="221">
        <f>IF(N605="snížená",J605,0)</f>
        <v>0</v>
      </c>
      <c r="BG605" s="221">
        <f>IF(N605="zákl. přenesená",J605,0)</f>
        <v>0</v>
      </c>
      <c r="BH605" s="221">
        <f>IF(N605="sníž. přenesená",J605,0)</f>
        <v>0</v>
      </c>
      <c r="BI605" s="221">
        <f>IF(N605="nulová",J605,0)</f>
        <v>0</v>
      </c>
      <c r="BJ605" s="18" t="s">
        <v>86</v>
      </c>
      <c r="BK605" s="221">
        <f>ROUND(I605*H605,1)</f>
        <v>0</v>
      </c>
      <c r="BL605" s="18" t="s">
        <v>207</v>
      </c>
      <c r="BM605" s="220" t="s">
        <v>945</v>
      </c>
    </row>
    <row r="606" s="2" customFormat="1" ht="16.5" customHeight="1">
      <c r="A606" s="40"/>
      <c r="B606" s="41"/>
      <c r="C606" s="209" t="s">
        <v>946</v>
      </c>
      <c r="D606" s="209" t="s">
        <v>202</v>
      </c>
      <c r="E606" s="210" t="s">
        <v>947</v>
      </c>
      <c r="F606" s="211" t="s">
        <v>948</v>
      </c>
      <c r="G606" s="212" t="s">
        <v>449</v>
      </c>
      <c r="H606" s="213">
        <v>184</v>
      </c>
      <c r="I606" s="214"/>
      <c r="J606" s="215">
        <f>ROUND(I606*H606,1)</f>
        <v>0</v>
      </c>
      <c r="K606" s="211" t="s">
        <v>206</v>
      </c>
      <c r="L606" s="46"/>
      <c r="M606" s="216" t="s">
        <v>32</v>
      </c>
      <c r="N606" s="217" t="s">
        <v>49</v>
      </c>
      <c r="O606" s="86"/>
      <c r="P606" s="218">
        <f>O606*H606</f>
        <v>0</v>
      </c>
      <c r="Q606" s="218">
        <v>2.0000000000000002E-05</v>
      </c>
      <c r="R606" s="218">
        <f>Q606*H606</f>
        <v>0.0036800000000000001</v>
      </c>
      <c r="S606" s="218">
        <v>0</v>
      </c>
      <c r="T606" s="219">
        <f>S606*H606</f>
        <v>0</v>
      </c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R606" s="220" t="s">
        <v>207</v>
      </c>
      <c r="AT606" s="220" t="s">
        <v>202</v>
      </c>
      <c r="AU606" s="220" t="s">
        <v>88</v>
      </c>
      <c r="AY606" s="18" t="s">
        <v>200</v>
      </c>
      <c r="BE606" s="221">
        <f>IF(N606="základní",J606,0)</f>
        <v>0</v>
      </c>
      <c r="BF606" s="221">
        <f>IF(N606="snížená",J606,0)</f>
        <v>0</v>
      </c>
      <c r="BG606" s="221">
        <f>IF(N606="zákl. přenesená",J606,0)</f>
        <v>0</v>
      </c>
      <c r="BH606" s="221">
        <f>IF(N606="sníž. přenesená",J606,0)</f>
        <v>0</v>
      </c>
      <c r="BI606" s="221">
        <f>IF(N606="nulová",J606,0)</f>
        <v>0</v>
      </c>
      <c r="BJ606" s="18" t="s">
        <v>86</v>
      </c>
      <c r="BK606" s="221">
        <f>ROUND(I606*H606,1)</f>
        <v>0</v>
      </c>
      <c r="BL606" s="18" t="s">
        <v>207</v>
      </c>
      <c r="BM606" s="220" t="s">
        <v>949</v>
      </c>
    </row>
    <row r="607" s="2" customFormat="1">
      <c r="A607" s="40"/>
      <c r="B607" s="41"/>
      <c r="C607" s="42"/>
      <c r="D607" s="222" t="s">
        <v>209</v>
      </c>
      <c r="E607" s="42"/>
      <c r="F607" s="223" t="s">
        <v>950</v>
      </c>
      <c r="G607" s="42"/>
      <c r="H607" s="42"/>
      <c r="I607" s="224"/>
      <c r="J607" s="42"/>
      <c r="K607" s="42"/>
      <c r="L607" s="46"/>
      <c r="M607" s="225"/>
      <c r="N607" s="226"/>
      <c r="O607" s="86"/>
      <c r="P607" s="86"/>
      <c r="Q607" s="86"/>
      <c r="R607" s="86"/>
      <c r="S607" s="86"/>
      <c r="T607" s="87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T607" s="18" t="s">
        <v>209</v>
      </c>
      <c r="AU607" s="18" t="s">
        <v>88</v>
      </c>
    </row>
    <row r="608" s="13" customFormat="1">
      <c r="A608" s="13"/>
      <c r="B608" s="227"/>
      <c r="C608" s="228"/>
      <c r="D608" s="229" t="s">
        <v>211</v>
      </c>
      <c r="E608" s="230" t="s">
        <v>32</v>
      </c>
      <c r="F608" s="231" t="s">
        <v>951</v>
      </c>
      <c r="G608" s="228"/>
      <c r="H608" s="232">
        <v>8</v>
      </c>
      <c r="I608" s="233"/>
      <c r="J608" s="228"/>
      <c r="K608" s="228"/>
      <c r="L608" s="234"/>
      <c r="M608" s="235"/>
      <c r="N608" s="236"/>
      <c r="O608" s="236"/>
      <c r="P608" s="236"/>
      <c r="Q608" s="236"/>
      <c r="R608" s="236"/>
      <c r="S608" s="236"/>
      <c r="T608" s="237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T608" s="238" t="s">
        <v>211</v>
      </c>
      <c r="AU608" s="238" t="s">
        <v>88</v>
      </c>
      <c r="AV608" s="13" t="s">
        <v>88</v>
      </c>
      <c r="AW608" s="13" t="s">
        <v>213</v>
      </c>
      <c r="AX608" s="13" t="s">
        <v>78</v>
      </c>
      <c r="AY608" s="238" t="s">
        <v>200</v>
      </c>
    </row>
    <row r="609" s="13" customFormat="1">
      <c r="A609" s="13"/>
      <c r="B609" s="227"/>
      <c r="C609" s="228"/>
      <c r="D609" s="229" t="s">
        <v>211</v>
      </c>
      <c r="E609" s="230" t="s">
        <v>32</v>
      </c>
      <c r="F609" s="231" t="s">
        <v>952</v>
      </c>
      <c r="G609" s="228"/>
      <c r="H609" s="232">
        <v>32</v>
      </c>
      <c r="I609" s="233"/>
      <c r="J609" s="228"/>
      <c r="K609" s="228"/>
      <c r="L609" s="234"/>
      <c r="M609" s="235"/>
      <c r="N609" s="236"/>
      <c r="O609" s="236"/>
      <c r="P609" s="236"/>
      <c r="Q609" s="236"/>
      <c r="R609" s="236"/>
      <c r="S609" s="236"/>
      <c r="T609" s="237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T609" s="238" t="s">
        <v>211</v>
      </c>
      <c r="AU609" s="238" t="s">
        <v>88</v>
      </c>
      <c r="AV609" s="13" t="s">
        <v>88</v>
      </c>
      <c r="AW609" s="13" t="s">
        <v>213</v>
      </c>
      <c r="AX609" s="13" t="s">
        <v>78</v>
      </c>
      <c r="AY609" s="238" t="s">
        <v>200</v>
      </c>
    </row>
    <row r="610" s="13" customFormat="1">
      <c r="A610" s="13"/>
      <c r="B610" s="227"/>
      <c r="C610" s="228"/>
      <c r="D610" s="229" t="s">
        <v>211</v>
      </c>
      <c r="E610" s="230" t="s">
        <v>32</v>
      </c>
      <c r="F610" s="231" t="s">
        <v>953</v>
      </c>
      <c r="G610" s="228"/>
      <c r="H610" s="232">
        <v>144</v>
      </c>
      <c r="I610" s="233"/>
      <c r="J610" s="228"/>
      <c r="K610" s="228"/>
      <c r="L610" s="234"/>
      <c r="M610" s="235"/>
      <c r="N610" s="236"/>
      <c r="O610" s="236"/>
      <c r="P610" s="236"/>
      <c r="Q610" s="236"/>
      <c r="R610" s="236"/>
      <c r="S610" s="236"/>
      <c r="T610" s="237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T610" s="238" t="s">
        <v>211</v>
      </c>
      <c r="AU610" s="238" t="s">
        <v>88</v>
      </c>
      <c r="AV610" s="13" t="s">
        <v>88</v>
      </c>
      <c r="AW610" s="13" t="s">
        <v>213</v>
      </c>
      <c r="AX610" s="13" t="s">
        <v>78</v>
      </c>
      <c r="AY610" s="238" t="s">
        <v>200</v>
      </c>
    </row>
    <row r="611" s="14" customFormat="1">
      <c r="A611" s="14"/>
      <c r="B611" s="239"/>
      <c r="C611" s="240"/>
      <c r="D611" s="229" t="s">
        <v>211</v>
      </c>
      <c r="E611" s="241" t="s">
        <v>32</v>
      </c>
      <c r="F611" s="242" t="s">
        <v>220</v>
      </c>
      <c r="G611" s="240"/>
      <c r="H611" s="243">
        <v>184</v>
      </c>
      <c r="I611" s="244"/>
      <c r="J611" s="240"/>
      <c r="K611" s="240"/>
      <c r="L611" s="245"/>
      <c r="M611" s="246"/>
      <c r="N611" s="247"/>
      <c r="O611" s="247"/>
      <c r="P611" s="247"/>
      <c r="Q611" s="247"/>
      <c r="R611" s="247"/>
      <c r="S611" s="247"/>
      <c r="T611" s="248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T611" s="249" t="s">
        <v>211</v>
      </c>
      <c r="AU611" s="249" t="s">
        <v>88</v>
      </c>
      <c r="AV611" s="14" t="s">
        <v>207</v>
      </c>
      <c r="AW611" s="14" t="s">
        <v>213</v>
      </c>
      <c r="AX611" s="14" t="s">
        <v>86</v>
      </c>
      <c r="AY611" s="249" t="s">
        <v>200</v>
      </c>
    </row>
    <row r="612" s="2" customFormat="1" ht="21.75" customHeight="1">
      <c r="A612" s="40"/>
      <c r="B612" s="41"/>
      <c r="C612" s="209" t="s">
        <v>954</v>
      </c>
      <c r="D612" s="209" t="s">
        <v>202</v>
      </c>
      <c r="E612" s="210" t="s">
        <v>955</v>
      </c>
      <c r="F612" s="211" t="s">
        <v>956</v>
      </c>
      <c r="G612" s="212" t="s">
        <v>449</v>
      </c>
      <c r="H612" s="213">
        <v>184</v>
      </c>
      <c r="I612" s="214"/>
      <c r="J612" s="215">
        <f>ROUND(I612*H612,1)</f>
        <v>0</v>
      </c>
      <c r="K612" s="211" t="s">
        <v>206</v>
      </c>
      <c r="L612" s="46"/>
      <c r="M612" s="216" t="s">
        <v>32</v>
      </c>
      <c r="N612" s="217" t="s">
        <v>49</v>
      </c>
      <c r="O612" s="86"/>
      <c r="P612" s="218">
        <f>O612*H612</f>
        <v>0</v>
      </c>
      <c r="Q612" s="218">
        <v>0.00023000000000000001</v>
      </c>
      <c r="R612" s="218">
        <f>Q612*H612</f>
        <v>0.042320000000000003</v>
      </c>
      <c r="S612" s="218">
        <v>0</v>
      </c>
      <c r="T612" s="219">
        <f>S612*H612</f>
        <v>0</v>
      </c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R612" s="220" t="s">
        <v>207</v>
      </c>
      <c r="AT612" s="220" t="s">
        <v>202</v>
      </c>
      <c r="AU612" s="220" t="s">
        <v>88</v>
      </c>
      <c r="AY612" s="18" t="s">
        <v>200</v>
      </c>
      <c r="BE612" s="221">
        <f>IF(N612="základní",J612,0)</f>
        <v>0</v>
      </c>
      <c r="BF612" s="221">
        <f>IF(N612="snížená",J612,0)</f>
        <v>0</v>
      </c>
      <c r="BG612" s="221">
        <f>IF(N612="zákl. přenesená",J612,0)</f>
        <v>0</v>
      </c>
      <c r="BH612" s="221">
        <f>IF(N612="sníž. přenesená",J612,0)</f>
        <v>0</v>
      </c>
      <c r="BI612" s="221">
        <f>IF(N612="nulová",J612,0)</f>
        <v>0</v>
      </c>
      <c r="BJ612" s="18" t="s">
        <v>86</v>
      </c>
      <c r="BK612" s="221">
        <f>ROUND(I612*H612,1)</f>
        <v>0</v>
      </c>
      <c r="BL612" s="18" t="s">
        <v>207</v>
      </c>
      <c r="BM612" s="220" t="s">
        <v>957</v>
      </c>
    </row>
    <row r="613" s="2" customFormat="1">
      <c r="A613" s="40"/>
      <c r="B613" s="41"/>
      <c r="C613" s="42"/>
      <c r="D613" s="222" t="s">
        <v>209</v>
      </c>
      <c r="E613" s="42"/>
      <c r="F613" s="223" t="s">
        <v>958</v>
      </c>
      <c r="G613" s="42"/>
      <c r="H613" s="42"/>
      <c r="I613" s="224"/>
      <c r="J613" s="42"/>
      <c r="K613" s="42"/>
      <c r="L613" s="46"/>
      <c r="M613" s="225"/>
      <c r="N613" s="226"/>
      <c r="O613" s="86"/>
      <c r="P613" s="86"/>
      <c r="Q613" s="86"/>
      <c r="R613" s="86"/>
      <c r="S613" s="86"/>
      <c r="T613" s="87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T613" s="18" t="s">
        <v>209</v>
      </c>
      <c r="AU613" s="18" t="s">
        <v>88</v>
      </c>
    </row>
    <row r="614" s="12" customFormat="1" ht="22.8" customHeight="1">
      <c r="A614" s="12"/>
      <c r="B614" s="193"/>
      <c r="C614" s="194"/>
      <c r="D614" s="195" t="s">
        <v>77</v>
      </c>
      <c r="E614" s="207" t="s">
        <v>959</v>
      </c>
      <c r="F614" s="207" t="s">
        <v>960</v>
      </c>
      <c r="G614" s="194"/>
      <c r="H614" s="194"/>
      <c r="I614" s="197"/>
      <c r="J614" s="208">
        <f>BK614</f>
        <v>0</v>
      </c>
      <c r="K614" s="194"/>
      <c r="L614" s="199"/>
      <c r="M614" s="200"/>
      <c r="N614" s="201"/>
      <c r="O614" s="201"/>
      <c r="P614" s="202">
        <f>SUM(P615:P616)</f>
        <v>0</v>
      </c>
      <c r="Q614" s="201"/>
      <c r="R614" s="202">
        <f>SUM(R615:R616)</f>
        <v>0</v>
      </c>
      <c r="S614" s="201"/>
      <c r="T614" s="203">
        <f>SUM(T615:T616)</f>
        <v>0</v>
      </c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R614" s="204" t="s">
        <v>86</v>
      </c>
      <c r="AT614" s="205" t="s">
        <v>77</v>
      </c>
      <c r="AU614" s="205" t="s">
        <v>86</v>
      </c>
      <c r="AY614" s="204" t="s">
        <v>200</v>
      </c>
      <c r="BK614" s="206">
        <f>SUM(BK615:BK616)</f>
        <v>0</v>
      </c>
    </row>
    <row r="615" s="2" customFormat="1" ht="37.8" customHeight="1">
      <c r="A615" s="40"/>
      <c r="B615" s="41"/>
      <c r="C615" s="209" t="s">
        <v>961</v>
      </c>
      <c r="D615" s="209" t="s">
        <v>202</v>
      </c>
      <c r="E615" s="210" t="s">
        <v>962</v>
      </c>
      <c r="F615" s="211" t="s">
        <v>963</v>
      </c>
      <c r="G615" s="212" t="s">
        <v>250</v>
      </c>
      <c r="H615" s="213">
        <v>1992.4000000000001</v>
      </c>
      <c r="I615" s="214"/>
      <c r="J615" s="215">
        <f>ROUND(I615*H615,1)</f>
        <v>0</v>
      </c>
      <c r="K615" s="211" t="s">
        <v>206</v>
      </c>
      <c r="L615" s="46"/>
      <c r="M615" s="216" t="s">
        <v>32</v>
      </c>
      <c r="N615" s="217" t="s">
        <v>49</v>
      </c>
      <c r="O615" s="86"/>
      <c r="P615" s="218">
        <f>O615*H615</f>
        <v>0</v>
      </c>
      <c r="Q615" s="218">
        <v>0</v>
      </c>
      <c r="R615" s="218">
        <f>Q615*H615</f>
        <v>0</v>
      </c>
      <c r="S615" s="218">
        <v>0</v>
      </c>
      <c r="T615" s="219">
        <f>S615*H615</f>
        <v>0</v>
      </c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R615" s="220" t="s">
        <v>207</v>
      </c>
      <c r="AT615" s="220" t="s">
        <v>202</v>
      </c>
      <c r="AU615" s="220" t="s">
        <v>88</v>
      </c>
      <c r="AY615" s="18" t="s">
        <v>200</v>
      </c>
      <c r="BE615" s="221">
        <f>IF(N615="základní",J615,0)</f>
        <v>0</v>
      </c>
      <c r="BF615" s="221">
        <f>IF(N615="snížená",J615,0)</f>
        <v>0</v>
      </c>
      <c r="BG615" s="221">
        <f>IF(N615="zákl. přenesená",J615,0)</f>
        <v>0</v>
      </c>
      <c r="BH615" s="221">
        <f>IF(N615="sníž. přenesená",J615,0)</f>
        <v>0</v>
      </c>
      <c r="BI615" s="221">
        <f>IF(N615="nulová",J615,0)</f>
        <v>0</v>
      </c>
      <c r="BJ615" s="18" t="s">
        <v>86</v>
      </c>
      <c r="BK615" s="221">
        <f>ROUND(I615*H615,1)</f>
        <v>0</v>
      </c>
      <c r="BL615" s="18" t="s">
        <v>207</v>
      </c>
      <c r="BM615" s="220" t="s">
        <v>964</v>
      </c>
    </row>
    <row r="616" s="2" customFormat="1">
      <c r="A616" s="40"/>
      <c r="B616" s="41"/>
      <c r="C616" s="42"/>
      <c r="D616" s="222" t="s">
        <v>209</v>
      </c>
      <c r="E616" s="42"/>
      <c r="F616" s="223" t="s">
        <v>965</v>
      </c>
      <c r="G616" s="42"/>
      <c r="H616" s="42"/>
      <c r="I616" s="224"/>
      <c r="J616" s="42"/>
      <c r="K616" s="42"/>
      <c r="L616" s="46"/>
      <c r="M616" s="225"/>
      <c r="N616" s="226"/>
      <c r="O616" s="86"/>
      <c r="P616" s="86"/>
      <c r="Q616" s="86"/>
      <c r="R616" s="86"/>
      <c r="S616" s="86"/>
      <c r="T616" s="87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T616" s="18" t="s">
        <v>209</v>
      </c>
      <c r="AU616" s="18" t="s">
        <v>88</v>
      </c>
    </row>
    <row r="617" s="12" customFormat="1" ht="25.92" customHeight="1">
      <c r="A617" s="12"/>
      <c r="B617" s="193"/>
      <c r="C617" s="194"/>
      <c r="D617" s="195" t="s">
        <v>77</v>
      </c>
      <c r="E617" s="196" t="s">
        <v>966</v>
      </c>
      <c r="F617" s="196" t="s">
        <v>967</v>
      </c>
      <c r="G617" s="194"/>
      <c r="H617" s="194"/>
      <c r="I617" s="197"/>
      <c r="J617" s="198">
        <f>BK617</f>
        <v>0</v>
      </c>
      <c r="K617" s="194"/>
      <c r="L617" s="199"/>
      <c r="M617" s="200"/>
      <c r="N617" s="201"/>
      <c r="O617" s="201"/>
      <c r="P617" s="202">
        <f>P618+P649+P680+P685+P724+P769+P796+P841+P860+P958+P1062+P1110+P1164+P1220+P1249</f>
        <v>0</v>
      </c>
      <c r="Q617" s="201"/>
      <c r="R617" s="202">
        <f>R618+R649+R680+R685+R724+R769+R796+R841+R860+R958+R1062+R1110+R1164+R1220+R1249</f>
        <v>167.55129409999998</v>
      </c>
      <c r="S617" s="201"/>
      <c r="T617" s="203">
        <f>T618+T649+T680+T685+T724+T769+T796+T841+T860+T958+T1062+T1110+T1164+T1220+T1249</f>
        <v>0</v>
      </c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R617" s="204" t="s">
        <v>88</v>
      </c>
      <c r="AT617" s="205" t="s">
        <v>77</v>
      </c>
      <c r="AU617" s="205" t="s">
        <v>78</v>
      </c>
      <c r="AY617" s="204" t="s">
        <v>200</v>
      </c>
      <c r="BK617" s="206">
        <f>BK618+BK649+BK680+BK685+BK724+BK769+BK796+BK841+BK860+BK958+BK1062+BK1110+BK1164+BK1220+BK1249</f>
        <v>0</v>
      </c>
    </row>
    <row r="618" s="12" customFormat="1" ht="22.8" customHeight="1">
      <c r="A618" s="12"/>
      <c r="B618" s="193"/>
      <c r="C618" s="194"/>
      <c r="D618" s="195" t="s">
        <v>77</v>
      </c>
      <c r="E618" s="207" t="s">
        <v>968</v>
      </c>
      <c r="F618" s="207" t="s">
        <v>969</v>
      </c>
      <c r="G618" s="194"/>
      <c r="H618" s="194"/>
      <c r="I618" s="197"/>
      <c r="J618" s="208">
        <f>BK618</f>
        <v>0</v>
      </c>
      <c r="K618" s="194"/>
      <c r="L618" s="199"/>
      <c r="M618" s="200"/>
      <c r="N618" s="201"/>
      <c r="O618" s="201"/>
      <c r="P618" s="202">
        <f>SUM(P619:P648)</f>
        <v>0</v>
      </c>
      <c r="Q618" s="201"/>
      <c r="R618" s="202">
        <f>SUM(R619:R648)</f>
        <v>12.469255440000001</v>
      </c>
      <c r="S618" s="201"/>
      <c r="T618" s="203">
        <f>SUM(T619:T648)</f>
        <v>0</v>
      </c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R618" s="204" t="s">
        <v>88</v>
      </c>
      <c r="AT618" s="205" t="s">
        <v>77</v>
      </c>
      <c r="AU618" s="205" t="s">
        <v>86</v>
      </c>
      <c r="AY618" s="204" t="s">
        <v>200</v>
      </c>
      <c r="BK618" s="206">
        <f>SUM(BK619:BK648)</f>
        <v>0</v>
      </c>
    </row>
    <row r="619" s="2" customFormat="1" ht="21.75" customHeight="1">
      <c r="A619" s="40"/>
      <c r="B619" s="41"/>
      <c r="C619" s="209" t="s">
        <v>970</v>
      </c>
      <c r="D619" s="209" t="s">
        <v>202</v>
      </c>
      <c r="E619" s="210" t="s">
        <v>971</v>
      </c>
      <c r="F619" s="211" t="s">
        <v>972</v>
      </c>
      <c r="G619" s="212" t="s">
        <v>272</v>
      </c>
      <c r="H619" s="213">
        <v>611.65700000000004</v>
      </c>
      <c r="I619" s="214"/>
      <c r="J619" s="215">
        <f>ROUND(I619*H619,1)</f>
        <v>0</v>
      </c>
      <c r="K619" s="211" t="s">
        <v>206</v>
      </c>
      <c r="L619" s="46"/>
      <c r="M619" s="216" t="s">
        <v>32</v>
      </c>
      <c r="N619" s="217" t="s">
        <v>49</v>
      </c>
      <c r="O619" s="86"/>
      <c r="P619" s="218">
        <f>O619*H619</f>
        <v>0</v>
      </c>
      <c r="Q619" s="218">
        <v>0</v>
      </c>
      <c r="R619" s="218">
        <f>Q619*H619</f>
        <v>0</v>
      </c>
      <c r="S619" s="218">
        <v>0</v>
      </c>
      <c r="T619" s="219">
        <f>S619*H619</f>
        <v>0</v>
      </c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R619" s="220" t="s">
        <v>310</v>
      </c>
      <c r="AT619" s="220" t="s">
        <v>202</v>
      </c>
      <c r="AU619" s="220" t="s">
        <v>88</v>
      </c>
      <c r="AY619" s="18" t="s">
        <v>200</v>
      </c>
      <c r="BE619" s="221">
        <f>IF(N619="základní",J619,0)</f>
        <v>0</v>
      </c>
      <c r="BF619" s="221">
        <f>IF(N619="snížená",J619,0)</f>
        <v>0</v>
      </c>
      <c r="BG619" s="221">
        <f>IF(N619="zákl. přenesená",J619,0)</f>
        <v>0</v>
      </c>
      <c r="BH619" s="221">
        <f>IF(N619="sníž. přenesená",J619,0)</f>
        <v>0</v>
      </c>
      <c r="BI619" s="221">
        <f>IF(N619="nulová",J619,0)</f>
        <v>0</v>
      </c>
      <c r="BJ619" s="18" t="s">
        <v>86</v>
      </c>
      <c r="BK619" s="221">
        <f>ROUND(I619*H619,1)</f>
        <v>0</v>
      </c>
      <c r="BL619" s="18" t="s">
        <v>310</v>
      </c>
      <c r="BM619" s="220" t="s">
        <v>973</v>
      </c>
    </row>
    <row r="620" s="2" customFormat="1">
      <c r="A620" s="40"/>
      <c r="B620" s="41"/>
      <c r="C620" s="42"/>
      <c r="D620" s="222" t="s">
        <v>209</v>
      </c>
      <c r="E620" s="42"/>
      <c r="F620" s="223" t="s">
        <v>974</v>
      </c>
      <c r="G620" s="42"/>
      <c r="H620" s="42"/>
      <c r="I620" s="224"/>
      <c r="J620" s="42"/>
      <c r="K620" s="42"/>
      <c r="L620" s="46"/>
      <c r="M620" s="225"/>
      <c r="N620" s="226"/>
      <c r="O620" s="86"/>
      <c r="P620" s="86"/>
      <c r="Q620" s="86"/>
      <c r="R620" s="86"/>
      <c r="S620" s="86"/>
      <c r="T620" s="87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T620" s="18" t="s">
        <v>209</v>
      </c>
      <c r="AU620" s="18" t="s">
        <v>88</v>
      </c>
    </row>
    <row r="621" s="15" customFormat="1">
      <c r="A621" s="15"/>
      <c r="B621" s="250"/>
      <c r="C621" s="251"/>
      <c r="D621" s="229" t="s">
        <v>211</v>
      </c>
      <c r="E621" s="252" t="s">
        <v>32</v>
      </c>
      <c r="F621" s="253" t="s">
        <v>153</v>
      </c>
      <c r="G621" s="251"/>
      <c r="H621" s="252" t="s">
        <v>32</v>
      </c>
      <c r="I621" s="254"/>
      <c r="J621" s="251"/>
      <c r="K621" s="251"/>
      <c r="L621" s="255"/>
      <c r="M621" s="256"/>
      <c r="N621" s="257"/>
      <c r="O621" s="257"/>
      <c r="P621" s="257"/>
      <c r="Q621" s="257"/>
      <c r="R621" s="257"/>
      <c r="S621" s="257"/>
      <c r="T621" s="25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T621" s="259" t="s">
        <v>211</v>
      </c>
      <c r="AU621" s="259" t="s">
        <v>88</v>
      </c>
      <c r="AV621" s="15" t="s">
        <v>86</v>
      </c>
      <c r="AW621" s="15" t="s">
        <v>213</v>
      </c>
      <c r="AX621" s="15" t="s">
        <v>78</v>
      </c>
      <c r="AY621" s="259" t="s">
        <v>200</v>
      </c>
    </row>
    <row r="622" s="13" customFormat="1">
      <c r="A622" s="13"/>
      <c r="B622" s="227"/>
      <c r="C622" s="228"/>
      <c r="D622" s="229" t="s">
        <v>211</v>
      </c>
      <c r="E622" s="230" t="s">
        <v>152</v>
      </c>
      <c r="F622" s="231" t="s">
        <v>975</v>
      </c>
      <c r="G622" s="228"/>
      <c r="H622" s="232">
        <v>584.89999999999998</v>
      </c>
      <c r="I622" s="233"/>
      <c r="J622" s="228"/>
      <c r="K622" s="228"/>
      <c r="L622" s="234"/>
      <c r="M622" s="235"/>
      <c r="N622" s="236"/>
      <c r="O622" s="236"/>
      <c r="P622" s="236"/>
      <c r="Q622" s="236"/>
      <c r="R622" s="236"/>
      <c r="S622" s="236"/>
      <c r="T622" s="237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T622" s="238" t="s">
        <v>211</v>
      </c>
      <c r="AU622" s="238" t="s">
        <v>88</v>
      </c>
      <c r="AV622" s="13" t="s">
        <v>88</v>
      </c>
      <c r="AW622" s="13" t="s">
        <v>213</v>
      </c>
      <c r="AX622" s="13" t="s">
        <v>78</v>
      </c>
      <c r="AY622" s="238" t="s">
        <v>200</v>
      </c>
    </row>
    <row r="623" s="13" customFormat="1">
      <c r="A623" s="13"/>
      <c r="B623" s="227"/>
      <c r="C623" s="228"/>
      <c r="D623" s="229" t="s">
        <v>211</v>
      </c>
      <c r="E623" s="230" t="s">
        <v>32</v>
      </c>
      <c r="F623" s="231" t="s">
        <v>976</v>
      </c>
      <c r="G623" s="228"/>
      <c r="H623" s="232">
        <v>26.757000000000001</v>
      </c>
      <c r="I623" s="233"/>
      <c r="J623" s="228"/>
      <c r="K623" s="228"/>
      <c r="L623" s="234"/>
      <c r="M623" s="235"/>
      <c r="N623" s="236"/>
      <c r="O623" s="236"/>
      <c r="P623" s="236"/>
      <c r="Q623" s="236"/>
      <c r="R623" s="236"/>
      <c r="S623" s="236"/>
      <c r="T623" s="237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T623" s="238" t="s">
        <v>211</v>
      </c>
      <c r="AU623" s="238" t="s">
        <v>88</v>
      </c>
      <c r="AV623" s="13" t="s">
        <v>88</v>
      </c>
      <c r="AW623" s="13" t="s">
        <v>213</v>
      </c>
      <c r="AX623" s="13" t="s">
        <v>78</v>
      </c>
      <c r="AY623" s="238" t="s">
        <v>200</v>
      </c>
    </row>
    <row r="624" s="14" customFormat="1">
      <c r="A624" s="14"/>
      <c r="B624" s="239"/>
      <c r="C624" s="240"/>
      <c r="D624" s="229" t="s">
        <v>211</v>
      </c>
      <c r="E624" s="241" t="s">
        <v>32</v>
      </c>
      <c r="F624" s="242" t="s">
        <v>220</v>
      </c>
      <c r="G624" s="240"/>
      <c r="H624" s="243">
        <v>611.65700000000004</v>
      </c>
      <c r="I624" s="244"/>
      <c r="J624" s="240"/>
      <c r="K624" s="240"/>
      <c r="L624" s="245"/>
      <c r="M624" s="246"/>
      <c r="N624" s="247"/>
      <c r="O624" s="247"/>
      <c r="P624" s="247"/>
      <c r="Q624" s="247"/>
      <c r="R624" s="247"/>
      <c r="S624" s="247"/>
      <c r="T624" s="248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T624" s="249" t="s">
        <v>211</v>
      </c>
      <c r="AU624" s="249" t="s">
        <v>88</v>
      </c>
      <c r="AV624" s="14" t="s">
        <v>207</v>
      </c>
      <c r="AW624" s="14" t="s">
        <v>213</v>
      </c>
      <c r="AX624" s="14" t="s">
        <v>86</v>
      </c>
      <c r="AY624" s="249" t="s">
        <v>200</v>
      </c>
    </row>
    <row r="625" s="2" customFormat="1" ht="21.75" customHeight="1">
      <c r="A625" s="40"/>
      <c r="B625" s="41"/>
      <c r="C625" s="209" t="s">
        <v>977</v>
      </c>
      <c r="D625" s="209" t="s">
        <v>202</v>
      </c>
      <c r="E625" s="210" t="s">
        <v>978</v>
      </c>
      <c r="F625" s="211" t="s">
        <v>979</v>
      </c>
      <c r="G625" s="212" t="s">
        <v>272</v>
      </c>
      <c r="H625" s="213">
        <v>141.64500000000001</v>
      </c>
      <c r="I625" s="214"/>
      <c r="J625" s="215">
        <f>ROUND(I625*H625,1)</f>
        <v>0</v>
      </c>
      <c r="K625" s="211" t="s">
        <v>206</v>
      </c>
      <c r="L625" s="46"/>
      <c r="M625" s="216" t="s">
        <v>32</v>
      </c>
      <c r="N625" s="217" t="s">
        <v>49</v>
      </c>
      <c r="O625" s="86"/>
      <c r="P625" s="218">
        <f>O625*H625</f>
        <v>0</v>
      </c>
      <c r="Q625" s="218">
        <v>0</v>
      </c>
      <c r="R625" s="218">
        <f>Q625*H625</f>
        <v>0</v>
      </c>
      <c r="S625" s="218">
        <v>0</v>
      </c>
      <c r="T625" s="219">
        <f>S625*H625</f>
        <v>0</v>
      </c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R625" s="220" t="s">
        <v>310</v>
      </c>
      <c r="AT625" s="220" t="s">
        <v>202</v>
      </c>
      <c r="AU625" s="220" t="s">
        <v>88</v>
      </c>
      <c r="AY625" s="18" t="s">
        <v>200</v>
      </c>
      <c r="BE625" s="221">
        <f>IF(N625="základní",J625,0)</f>
        <v>0</v>
      </c>
      <c r="BF625" s="221">
        <f>IF(N625="snížená",J625,0)</f>
        <v>0</v>
      </c>
      <c r="BG625" s="221">
        <f>IF(N625="zákl. přenesená",J625,0)</f>
        <v>0</v>
      </c>
      <c r="BH625" s="221">
        <f>IF(N625="sníž. přenesená",J625,0)</f>
        <v>0</v>
      </c>
      <c r="BI625" s="221">
        <f>IF(N625="nulová",J625,0)</f>
        <v>0</v>
      </c>
      <c r="BJ625" s="18" t="s">
        <v>86</v>
      </c>
      <c r="BK625" s="221">
        <f>ROUND(I625*H625,1)</f>
        <v>0</v>
      </c>
      <c r="BL625" s="18" t="s">
        <v>310</v>
      </c>
      <c r="BM625" s="220" t="s">
        <v>980</v>
      </c>
    </row>
    <row r="626" s="2" customFormat="1">
      <c r="A626" s="40"/>
      <c r="B626" s="41"/>
      <c r="C626" s="42"/>
      <c r="D626" s="222" t="s">
        <v>209</v>
      </c>
      <c r="E626" s="42"/>
      <c r="F626" s="223" t="s">
        <v>981</v>
      </c>
      <c r="G626" s="42"/>
      <c r="H626" s="42"/>
      <c r="I626" s="224"/>
      <c r="J626" s="42"/>
      <c r="K626" s="42"/>
      <c r="L626" s="46"/>
      <c r="M626" s="225"/>
      <c r="N626" s="226"/>
      <c r="O626" s="86"/>
      <c r="P626" s="86"/>
      <c r="Q626" s="86"/>
      <c r="R626" s="86"/>
      <c r="S626" s="86"/>
      <c r="T626" s="87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T626" s="18" t="s">
        <v>209</v>
      </c>
      <c r="AU626" s="18" t="s">
        <v>88</v>
      </c>
    </row>
    <row r="627" s="13" customFormat="1">
      <c r="A627" s="13"/>
      <c r="B627" s="227"/>
      <c r="C627" s="228"/>
      <c r="D627" s="229" t="s">
        <v>211</v>
      </c>
      <c r="E627" s="230" t="s">
        <v>32</v>
      </c>
      <c r="F627" s="231" t="s">
        <v>982</v>
      </c>
      <c r="G627" s="228"/>
      <c r="H627" s="232">
        <v>141.64500000000001</v>
      </c>
      <c r="I627" s="233"/>
      <c r="J627" s="228"/>
      <c r="K627" s="228"/>
      <c r="L627" s="234"/>
      <c r="M627" s="235"/>
      <c r="N627" s="236"/>
      <c r="O627" s="236"/>
      <c r="P627" s="236"/>
      <c r="Q627" s="236"/>
      <c r="R627" s="236"/>
      <c r="S627" s="236"/>
      <c r="T627" s="237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T627" s="238" t="s">
        <v>211</v>
      </c>
      <c r="AU627" s="238" t="s">
        <v>88</v>
      </c>
      <c r="AV627" s="13" t="s">
        <v>88</v>
      </c>
      <c r="AW627" s="13" t="s">
        <v>213</v>
      </c>
      <c r="AX627" s="13" t="s">
        <v>86</v>
      </c>
      <c r="AY627" s="238" t="s">
        <v>200</v>
      </c>
    </row>
    <row r="628" s="2" customFormat="1" ht="16.5" customHeight="1">
      <c r="A628" s="40"/>
      <c r="B628" s="41"/>
      <c r="C628" s="260" t="s">
        <v>983</v>
      </c>
      <c r="D628" s="260" t="s">
        <v>292</v>
      </c>
      <c r="E628" s="261" t="s">
        <v>984</v>
      </c>
      <c r="F628" s="262" t="s">
        <v>985</v>
      </c>
      <c r="G628" s="263" t="s">
        <v>250</v>
      </c>
      <c r="H628" s="264">
        <v>0.25600000000000001</v>
      </c>
      <c r="I628" s="265"/>
      <c r="J628" s="266">
        <f>ROUND(I628*H628,1)</f>
        <v>0</v>
      </c>
      <c r="K628" s="262" t="s">
        <v>206</v>
      </c>
      <c r="L628" s="267"/>
      <c r="M628" s="268" t="s">
        <v>32</v>
      </c>
      <c r="N628" s="269" t="s">
        <v>49</v>
      </c>
      <c r="O628" s="86"/>
      <c r="P628" s="218">
        <f>O628*H628</f>
        <v>0</v>
      </c>
      <c r="Q628" s="218">
        <v>1</v>
      </c>
      <c r="R628" s="218">
        <f>Q628*H628</f>
        <v>0.25600000000000001</v>
      </c>
      <c r="S628" s="218">
        <v>0</v>
      </c>
      <c r="T628" s="219">
        <f>S628*H628</f>
        <v>0</v>
      </c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R628" s="220" t="s">
        <v>429</v>
      </c>
      <c r="AT628" s="220" t="s">
        <v>292</v>
      </c>
      <c r="AU628" s="220" t="s">
        <v>88</v>
      </c>
      <c r="AY628" s="18" t="s">
        <v>200</v>
      </c>
      <c r="BE628" s="221">
        <f>IF(N628="základní",J628,0)</f>
        <v>0</v>
      </c>
      <c r="BF628" s="221">
        <f>IF(N628="snížená",J628,0)</f>
        <v>0</v>
      </c>
      <c r="BG628" s="221">
        <f>IF(N628="zákl. přenesená",J628,0)</f>
        <v>0</v>
      </c>
      <c r="BH628" s="221">
        <f>IF(N628="sníž. přenesená",J628,0)</f>
        <v>0</v>
      </c>
      <c r="BI628" s="221">
        <f>IF(N628="nulová",J628,0)</f>
        <v>0</v>
      </c>
      <c r="BJ628" s="18" t="s">
        <v>86</v>
      </c>
      <c r="BK628" s="221">
        <f>ROUND(I628*H628,1)</f>
        <v>0</v>
      </c>
      <c r="BL628" s="18" t="s">
        <v>310</v>
      </c>
      <c r="BM628" s="220" t="s">
        <v>986</v>
      </c>
    </row>
    <row r="629" s="13" customFormat="1">
      <c r="A629" s="13"/>
      <c r="B629" s="227"/>
      <c r="C629" s="228"/>
      <c r="D629" s="229" t="s">
        <v>211</v>
      </c>
      <c r="E629" s="228"/>
      <c r="F629" s="231" t="s">
        <v>987</v>
      </c>
      <c r="G629" s="228"/>
      <c r="H629" s="232">
        <v>0.25600000000000001</v>
      </c>
      <c r="I629" s="233"/>
      <c r="J629" s="228"/>
      <c r="K629" s="228"/>
      <c r="L629" s="234"/>
      <c r="M629" s="235"/>
      <c r="N629" s="236"/>
      <c r="O629" s="236"/>
      <c r="P629" s="236"/>
      <c r="Q629" s="236"/>
      <c r="R629" s="236"/>
      <c r="S629" s="236"/>
      <c r="T629" s="237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T629" s="238" t="s">
        <v>211</v>
      </c>
      <c r="AU629" s="238" t="s">
        <v>88</v>
      </c>
      <c r="AV629" s="13" t="s">
        <v>88</v>
      </c>
      <c r="AW629" s="13" t="s">
        <v>4</v>
      </c>
      <c r="AX629" s="13" t="s">
        <v>86</v>
      </c>
      <c r="AY629" s="238" t="s">
        <v>200</v>
      </c>
    </row>
    <row r="630" s="2" customFormat="1" ht="16.5" customHeight="1">
      <c r="A630" s="40"/>
      <c r="B630" s="41"/>
      <c r="C630" s="209" t="s">
        <v>988</v>
      </c>
      <c r="D630" s="209" t="s">
        <v>202</v>
      </c>
      <c r="E630" s="210" t="s">
        <v>989</v>
      </c>
      <c r="F630" s="211" t="s">
        <v>990</v>
      </c>
      <c r="G630" s="212" t="s">
        <v>272</v>
      </c>
      <c r="H630" s="213">
        <v>1196.557</v>
      </c>
      <c r="I630" s="214"/>
      <c r="J630" s="215">
        <f>ROUND(I630*H630,1)</f>
        <v>0</v>
      </c>
      <c r="K630" s="211" t="s">
        <v>206</v>
      </c>
      <c r="L630" s="46"/>
      <c r="M630" s="216" t="s">
        <v>32</v>
      </c>
      <c r="N630" s="217" t="s">
        <v>49</v>
      </c>
      <c r="O630" s="86"/>
      <c r="P630" s="218">
        <f>O630*H630</f>
        <v>0</v>
      </c>
      <c r="Q630" s="218">
        <v>0.00040000000000000002</v>
      </c>
      <c r="R630" s="218">
        <f>Q630*H630</f>
        <v>0.47862280000000001</v>
      </c>
      <c r="S630" s="218">
        <v>0</v>
      </c>
      <c r="T630" s="219">
        <f>S630*H630</f>
        <v>0</v>
      </c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R630" s="220" t="s">
        <v>310</v>
      </c>
      <c r="AT630" s="220" t="s">
        <v>202</v>
      </c>
      <c r="AU630" s="220" t="s">
        <v>88</v>
      </c>
      <c r="AY630" s="18" t="s">
        <v>200</v>
      </c>
      <c r="BE630" s="221">
        <f>IF(N630="základní",J630,0)</f>
        <v>0</v>
      </c>
      <c r="BF630" s="221">
        <f>IF(N630="snížená",J630,0)</f>
        <v>0</v>
      </c>
      <c r="BG630" s="221">
        <f>IF(N630="zákl. přenesená",J630,0)</f>
        <v>0</v>
      </c>
      <c r="BH630" s="221">
        <f>IF(N630="sníž. přenesená",J630,0)</f>
        <v>0</v>
      </c>
      <c r="BI630" s="221">
        <f>IF(N630="nulová",J630,0)</f>
        <v>0</v>
      </c>
      <c r="BJ630" s="18" t="s">
        <v>86</v>
      </c>
      <c r="BK630" s="221">
        <f>ROUND(I630*H630,1)</f>
        <v>0</v>
      </c>
      <c r="BL630" s="18" t="s">
        <v>310</v>
      </c>
      <c r="BM630" s="220" t="s">
        <v>991</v>
      </c>
    </row>
    <row r="631" s="2" customFormat="1">
      <c r="A631" s="40"/>
      <c r="B631" s="41"/>
      <c r="C631" s="42"/>
      <c r="D631" s="222" t="s">
        <v>209</v>
      </c>
      <c r="E631" s="42"/>
      <c r="F631" s="223" t="s">
        <v>992</v>
      </c>
      <c r="G631" s="42"/>
      <c r="H631" s="42"/>
      <c r="I631" s="224"/>
      <c r="J631" s="42"/>
      <c r="K631" s="42"/>
      <c r="L631" s="46"/>
      <c r="M631" s="225"/>
      <c r="N631" s="226"/>
      <c r="O631" s="86"/>
      <c r="P631" s="86"/>
      <c r="Q631" s="86"/>
      <c r="R631" s="86"/>
      <c r="S631" s="86"/>
      <c r="T631" s="87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T631" s="18" t="s">
        <v>209</v>
      </c>
      <c r="AU631" s="18" t="s">
        <v>88</v>
      </c>
    </row>
    <row r="632" s="15" customFormat="1">
      <c r="A632" s="15"/>
      <c r="B632" s="250"/>
      <c r="C632" s="251"/>
      <c r="D632" s="229" t="s">
        <v>211</v>
      </c>
      <c r="E632" s="252" t="s">
        <v>32</v>
      </c>
      <c r="F632" s="253" t="s">
        <v>993</v>
      </c>
      <c r="G632" s="251"/>
      <c r="H632" s="252" t="s">
        <v>32</v>
      </c>
      <c r="I632" s="254"/>
      <c r="J632" s="251"/>
      <c r="K632" s="251"/>
      <c r="L632" s="255"/>
      <c r="M632" s="256"/>
      <c r="N632" s="257"/>
      <c r="O632" s="257"/>
      <c r="P632" s="257"/>
      <c r="Q632" s="257"/>
      <c r="R632" s="257"/>
      <c r="S632" s="257"/>
      <c r="T632" s="25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T632" s="259" t="s">
        <v>211</v>
      </c>
      <c r="AU632" s="259" t="s">
        <v>88</v>
      </c>
      <c r="AV632" s="15" t="s">
        <v>86</v>
      </c>
      <c r="AW632" s="15" t="s">
        <v>213</v>
      </c>
      <c r="AX632" s="15" t="s">
        <v>78</v>
      </c>
      <c r="AY632" s="259" t="s">
        <v>200</v>
      </c>
    </row>
    <row r="633" s="13" customFormat="1">
      <c r="A633" s="13"/>
      <c r="B633" s="227"/>
      <c r="C633" s="228"/>
      <c r="D633" s="229" t="s">
        <v>211</v>
      </c>
      <c r="E633" s="230" t="s">
        <v>32</v>
      </c>
      <c r="F633" s="231" t="s">
        <v>994</v>
      </c>
      <c r="G633" s="228"/>
      <c r="H633" s="232">
        <v>1169.8</v>
      </c>
      <c r="I633" s="233"/>
      <c r="J633" s="228"/>
      <c r="K633" s="228"/>
      <c r="L633" s="234"/>
      <c r="M633" s="235"/>
      <c r="N633" s="236"/>
      <c r="O633" s="236"/>
      <c r="P633" s="236"/>
      <c r="Q633" s="236"/>
      <c r="R633" s="236"/>
      <c r="S633" s="236"/>
      <c r="T633" s="237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T633" s="238" t="s">
        <v>211</v>
      </c>
      <c r="AU633" s="238" t="s">
        <v>88</v>
      </c>
      <c r="AV633" s="13" t="s">
        <v>88</v>
      </c>
      <c r="AW633" s="13" t="s">
        <v>213</v>
      </c>
      <c r="AX633" s="13" t="s">
        <v>78</v>
      </c>
      <c r="AY633" s="238" t="s">
        <v>200</v>
      </c>
    </row>
    <row r="634" s="13" customFormat="1">
      <c r="A634" s="13"/>
      <c r="B634" s="227"/>
      <c r="C634" s="228"/>
      <c r="D634" s="229" t="s">
        <v>211</v>
      </c>
      <c r="E634" s="230" t="s">
        <v>32</v>
      </c>
      <c r="F634" s="231" t="s">
        <v>976</v>
      </c>
      <c r="G634" s="228"/>
      <c r="H634" s="232">
        <v>26.757000000000001</v>
      </c>
      <c r="I634" s="233"/>
      <c r="J634" s="228"/>
      <c r="K634" s="228"/>
      <c r="L634" s="234"/>
      <c r="M634" s="235"/>
      <c r="N634" s="236"/>
      <c r="O634" s="236"/>
      <c r="P634" s="236"/>
      <c r="Q634" s="236"/>
      <c r="R634" s="236"/>
      <c r="S634" s="236"/>
      <c r="T634" s="237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T634" s="238" t="s">
        <v>211</v>
      </c>
      <c r="AU634" s="238" t="s">
        <v>88</v>
      </c>
      <c r="AV634" s="13" t="s">
        <v>88</v>
      </c>
      <c r="AW634" s="13" t="s">
        <v>213</v>
      </c>
      <c r="AX634" s="13" t="s">
        <v>78</v>
      </c>
      <c r="AY634" s="238" t="s">
        <v>200</v>
      </c>
    </row>
    <row r="635" s="14" customFormat="1">
      <c r="A635" s="14"/>
      <c r="B635" s="239"/>
      <c r="C635" s="240"/>
      <c r="D635" s="229" t="s">
        <v>211</v>
      </c>
      <c r="E635" s="241" t="s">
        <v>32</v>
      </c>
      <c r="F635" s="242" t="s">
        <v>220</v>
      </c>
      <c r="G635" s="240"/>
      <c r="H635" s="243">
        <v>1196.557</v>
      </c>
      <c r="I635" s="244"/>
      <c r="J635" s="240"/>
      <c r="K635" s="240"/>
      <c r="L635" s="245"/>
      <c r="M635" s="246"/>
      <c r="N635" s="247"/>
      <c r="O635" s="247"/>
      <c r="P635" s="247"/>
      <c r="Q635" s="247"/>
      <c r="R635" s="247"/>
      <c r="S635" s="247"/>
      <c r="T635" s="248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T635" s="249" t="s">
        <v>211</v>
      </c>
      <c r="AU635" s="249" t="s">
        <v>88</v>
      </c>
      <c r="AV635" s="14" t="s">
        <v>207</v>
      </c>
      <c r="AW635" s="14" t="s">
        <v>213</v>
      </c>
      <c r="AX635" s="14" t="s">
        <v>86</v>
      </c>
      <c r="AY635" s="249" t="s">
        <v>200</v>
      </c>
    </row>
    <row r="636" s="2" customFormat="1" ht="16.5" customHeight="1">
      <c r="A636" s="40"/>
      <c r="B636" s="41"/>
      <c r="C636" s="209" t="s">
        <v>995</v>
      </c>
      <c r="D636" s="209" t="s">
        <v>202</v>
      </c>
      <c r="E636" s="210" t="s">
        <v>996</v>
      </c>
      <c r="F636" s="211" t="s">
        <v>997</v>
      </c>
      <c r="G636" s="212" t="s">
        <v>272</v>
      </c>
      <c r="H636" s="213">
        <v>283.29000000000002</v>
      </c>
      <c r="I636" s="214"/>
      <c r="J636" s="215">
        <f>ROUND(I636*H636,1)</f>
        <v>0</v>
      </c>
      <c r="K636" s="211" t="s">
        <v>206</v>
      </c>
      <c r="L636" s="46"/>
      <c r="M636" s="216" t="s">
        <v>32</v>
      </c>
      <c r="N636" s="217" t="s">
        <v>49</v>
      </c>
      <c r="O636" s="86"/>
      <c r="P636" s="218">
        <f>O636*H636</f>
        <v>0</v>
      </c>
      <c r="Q636" s="218">
        <v>0.00040000000000000002</v>
      </c>
      <c r="R636" s="218">
        <f>Q636*H636</f>
        <v>0.11331600000000001</v>
      </c>
      <c r="S636" s="218">
        <v>0</v>
      </c>
      <c r="T636" s="219">
        <f>S636*H636</f>
        <v>0</v>
      </c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R636" s="220" t="s">
        <v>310</v>
      </c>
      <c r="AT636" s="220" t="s">
        <v>202</v>
      </c>
      <c r="AU636" s="220" t="s">
        <v>88</v>
      </c>
      <c r="AY636" s="18" t="s">
        <v>200</v>
      </c>
      <c r="BE636" s="221">
        <f>IF(N636="základní",J636,0)</f>
        <v>0</v>
      </c>
      <c r="BF636" s="221">
        <f>IF(N636="snížená",J636,0)</f>
        <v>0</v>
      </c>
      <c r="BG636" s="221">
        <f>IF(N636="zákl. přenesená",J636,0)</f>
        <v>0</v>
      </c>
      <c r="BH636" s="221">
        <f>IF(N636="sníž. přenesená",J636,0)</f>
        <v>0</v>
      </c>
      <c r="BI636" s="221">
        <f>IF(N636="nulová",J636,0)</f>
        <v>0</v>
      </c>
      <c r="BJ636" s="18" t="s">
        <v>86</v>
      </c>
      <c r="BK636" s="221">
        <f>ROUND(I636*H636,1)</f>
        <v>0</v>
      </c>
      <c r="BL636" s="18" t="s">
        <v>310</v>
      </c>
      <c r="BM636" s="220" t="s">
        <v>998</v>
      </c>
    </row>
    <row r="637" s="2" customFormat="1">
      <c r="A637" s="40"/>
      <c r="B637" s="41"/>
      <c r="C637" s="42"/>
      <c r="D637" s="222" t="s">
        <v>209</v>
      </c>
      <c r="E637" s="42"/>
      <c r="F637" s="223" t="s">
        <v>999</v>
      </c>
      <c r="G637" s="42"/>
      <c r="H637" s="42"/>
      <c r="I637" s="224"/>
      <c r="J637" s="42"/>
      <c r="K637" s="42"/>
      <c r="L637" s="46"/>
      <c r="M637" s="225"/>
      <c r="N637" s="226"/>
      <c r="O637" s="86"/>
      <c r="P637" s="86"/>
      <c r="Q637" s="86"/>
      <c r="R637" s="86"/>
      <c r="S637" s="86"/>
      <c r="T637" s="87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T637" s="18" t="s">
        <v>209</v>
      </c>
      <c r="AU637" s="18" t="s">
        <v>88</v>
      </c>
    </row>
    <row r="638" s="13" customFormat="1">
      <c r="A638" s="13"/>
      <c r="B638" s="227"/>
      <c r="C638" s="228"/>
      <c r="D638" s="229" t="s">
        <v>211</v>
      </c>
      <c r="E638" s="230" t="s">
        <v>32</v>
      </c>
      <c r="F638" s="231" t="s">
        <v>1000</v>
      </c>
      <c r="G638" s="228"/>
      <c r="H638" s="232">
        <v>283.29000000000002</v>
      </c>
      <c r="I638" s="233"/>
      <c r="J638" s="228"/>
      <c r="K638" s="228"/>
      <c r="L638" s="234"/>
      <c r="M638" s="235"/>
      <c r="N638" s="236"/>
      <c r="O638" s="236"/>
      <c r="P638" s="236"/>
      <c r="Q638" s="236"/>
      <c r="R638" s="236"/>
      <c r="S638" s="236"/>
      <c r="T638" s="237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T638" s="238" t="s">
        <v>211</v>
      </c>
      <c r="AU638" s="238" t="s">
        <v>88</v>
      </c>
      <c r="AV638" s="13" t="s">
        <v>88</v>
      </c>
      <c r="AW638" s="13" t="s">
        <v>213</v>
      </c>
      <c r="AX638" s="13" t="s">
        <v>86</v>
      </c>
      <c r="AY638" s="238" t="s">
        <v>200</v>
      </c>
    </row>
    <row r="639" s="2" customFormat="1" ht="24.15" customHeight="1">
      <c r="A639" s="40"/>
      <c r="B639" s="41"/>
      <c r="C639" s="260" t="s">
        <v>1001</v>
      </c>
      <c r="D639" s="260" t="s">
        <v>292</v>
      </c>
      <c r="E639" s="261" t="s">
        <v>1002</v>
      </c>
      <c r="F639" s="262" t="s">
        <v>1003</v>
      </c>
      <c r="G639" s="263" t="s">
        <v>272</v>
      </c>
      <c r="H639" s="264">
        <v>1806.893</v>
      </c>
      <c r="I639" s="265"/>
      <c r="J639" s="266">
        <f>ROUND(I639*H639,1)</f>
        <v>0</v>
      </c>
      <c r="K639" s="262" t="s">
        <v>206</v>
      </c>
      <c r="L639" s="267"/>
      <c r="M639" s="268" t="s">
        <v>32</v>
      </c>
      <c r="N639" s="269" t="s">
        <v>49</v>
      </c>
      <c r="O639" s="86"/>
      <c r="P639" s="218">
        <f>O639*H639</f>
        <v>0</v>
      </c>
      <c r="Q639" s="218">
        <v>0.0064000000000000003</v>
      </c>
      <c r="R639" s="218">
        <f>Q639*H639</f>
        <v>11.564115200000002</v>
      </c>
      <c r="S639" s="218">
        <v>0</v>
      </c>
      <c r="T639" s="219">
        <f>S639*H639</f>
        <v>0</v>
      </c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R639" s="220" t="s">
        <v>429</v>
      </c>
      <c r="AT639" s="220" t="s">
        <v>292</v>
      </c>
      <c r="AU639" s="220" t="s">
        <v>88</v>
      </c>
      <c r="AY639" s="18" t="s">
        <v>200</v>
      </c>
      <c r="BE639" s="221">
        <f>IF(N639="základní",J639,0)</f>
        <v>0</v>
      </c>
      <c r="BF639" s="221">
        <f>IF(N639="snížená",J639,0)</f>
        <v>0</v>
      </c>
      <c r="BG639" s="221">
        <f>IF(N639="zákl. přenesená",J639,0)</f>
        <v>0</v>
      </c>
      <c r="BH639" s="221">
        <f>IF(N639="sníž. přenesená",J639,0)</f>
        <v>0</v>
      </c>
      <c r="BI639" s="221">
        <f>IF(N639="nulová",J639,0)</f>
        <v>0</v>
      </c>
      <c r="BJ639" s="18" t="s">
        <v>86</v>
      </c>
      <c r="BK639" s="221">
        <f>ROUND(I639*H639,1)</f>
        <v>0</v>
      </c>
      <c r="BL639" s="18" t="s">
        <v>310</v>
      </c>
      <c r="BM639" s="220" t="s">
        <v>1004</v>
      </c>
    </row>
    <row r="640" s="13" customFormat="1">
      <c r="A640" s="13"/>
      <c r="B640" s="227"/>
      <c r="C640" s="228"/>
      <c r="D640" s="229" t="s">
        <v>211</v>
      </c>
      <c r="E640" s="228"/>
      <c r="F640" s="231" t="s">
        <v>1005</v>
      </c>
      <c r="G640" s="228"/>
      <c r="H640" s="232">
        <v>1806.893</v>
      </c>
      <c r="I640" s="233"/>
      <c r="J640" s="228"/>
      <c r="K640" s="228"/>
      <c r="L640" s="234"/>
      <c r="M640" s="235"/>
      <c r="N640" s="236"/>
      <c r="O640" s="236"/>
      <c r="P640" s="236"/>
      <c r="Q640" s="236"/>
      <c r="R640" s="236"/>
      <c r="S640" s="236"/>
      <c r="T640" s="237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T640" s="238" t="s">
        <v>211</v>
      </c>
      <c r="AU640" s="238" t="s">
        <v>88</v>
      </c>
      <c r="AV640" s="13" t="s">
        <v>88</v>
      </c>
      <c r="AW640" s="13" t="s">
        <v>4</v>
      </c>
      <c r="AX640" s="13" t="s">
        <v>86</v>
      </c>
      <c r="AY640" s="238" t="s">
        <v>200</v>
      </c>
    </row>
    <row r="641" s="2" customFormat="1" ht="16.5" customHeight="1">
      <c r="A641" s="40"/>
      <c r="B641" s="41"/>
      <c r="C641" s="209" t="s">
        <v>1006</v>
      </c>
      <c r="D641" s="209" t="s">
        <v>202</v>
      </c>
      <c r="E641" s="210" t="s">
        <v>1007</v>
      </c>
      <c r="F641" s="211" t="s">
        <v>1008</v>
      </c>
      <c r="G641" s="212" t="s">
        <v>272</v>
      </c>
      <c r="H641" s="213">
        <v>140.786</v>
      </c>
      <c r="I641" s="214"/>
      <c r="J641" s="215">
        <f>ROUND(I641*H641,1)</f>
        <v>0</v>
      </c>
      <c r="K641" s="211" t="s">
        <v>206</v>
      </c>
      <c r="L641" s="46"/>
      <c r="M641" s="216" t="s">
        <v>32</v>
      </c>
      <c r="N641" s="217" t="s">
        <v>49</v>
      </c>
      <c r="O641" s="86"/>
      <c r="P641" s="218">
        <f>O641*H641</f>
        <v>0</v>
      </c>
      <c r="Q641" s="218">
        <v>4.0000000000000003E-05</v>
      </c>
      <c r="R641" s="218">
        <f>Q641*H641</f>
        <v>0.0056314400000000006</v>
      </c>
      <c r="S641" s="218">
        <v>0</v>
      </c>
      <c r="T641" s="219">
        <f>S641*H641</f>
        <v>0</v>
      </c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R641" s="220" t="s">
        <v>310</v>
      </c>
      <c r="AT641" s="220" t="s">
        <v>202</v>
      </c>
      <c r="AU641" s="220" t="s">
        <v>88</v>
      </c>
      <c r="AY641" s="18" t="s">
        <v>200</v>
      </c>
      <c r="BE641" s="221">
        <f>IF(N641="základní",J641,0)</f>
        <v>0</v>
      </c>
      <c r="BF641" s="221">
        <f>IF(N641="snížená",J641,0)</f>
        <v>0</v>
      </c>
      <c r="BG641" s="221">
        <f>IF(N641="zákl. přenesená",J641,0)</f>
        <v>0</v>
      </c>
      <c r="BH641" s="221">
        <f>IF(N641="sníž. přenesená",J641,0)</f>
        <v>0</v>
      </c>
      <c r="BI641" s="221">
        <f>IF(N641="nulová",J641,0)</f>
        <v>0</v>
      </c>
      <c r="BJ641" s="18" t="s">
        <v>86</v>
      </c>
      <c r="BK641" s="221">
        <f>ROUND(I641*H641,1)</f>
        <v>0</v>
      </c>
      <c r="BL641" s="18" t="s">
        <v>310</v>
      </c>
      <c r="BM641" s="220" t="s">
        <v>1009</v>
      </c>
    </row>
    <row r="642" s="2" customFormat="1">
      <c r="A642" s="40"/>
      <c r="B642" s="41"/>
      <c r="C642" s="42"/>
      <c r="D642" s="222" t="s">
        <v>209</v>
      </c>
      <c r="E642" s="42"/>
      <c r="F642" s="223" t="s">
        <v>1010</v>
      </c>
      <c r="G642" s="42"/>
      <c r="H642" s="42"/>
      <c r="I642" s="224"/>
      <c r="J642" s="42"/>
      <c r="K642" s="42"/>
      <c r="L642" s="46"/>
      <c r="M642" s="225"/>
      <c r="N642" s="226"/>
      <c r="O642" s="86"/>
      <c r="P642" s="86"/>
      <c r="Q642" s="86"/>
      <c r="R642" s="86"/>
      <c r="S642" s="86"/>
      <c r="T642" s="87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T642" s="18" t="s">
        <v>209</v>
      </c>
      <c r="AU642" s="18" t="s">
        <v>88</v>
      </c>
    </row>
    <row r="643" s="15" customFormat="1">
      <c r="A643" s="15"/>
      <c r="B643" s="250"/>
      <c r="C643" s="251"/>
      <c r="D643" s="229" t="s">
        <v>211</v>
      </c>
      <c r="E643" s="252" t="s">
        <v>32</v>
      </c>
      <c r="F643" s="253" t="s">
        <v>1011</v>
      </c>
      <c r="G643" s="251"/>
      <c r="H643" s="252" t="s">
        <v>32</v>
      </c>
      <c r="I643" s="254"/>
      <c r="J643" s="251"/>
      <c r="K643" s="251"/>
      <c r="L643" s="255"/>
      <c r="M643" s="256"/>
      <c r="N643" s="257"/>
      <c r="O643" s="257"/>
      <c r="P643" s="257"/>
      <c r="Q643" s="257"/>
      <c r="R643" s="257"/>
      <c r="S643" s="257"/>
      <c r="T643" s="25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T643" s="259" t="s">
        <v>211</v>
      </c>
      <c r="AU643" s="259" t="s">
        <v>88</v>
      </c>
      <c r="AV643" s="15" t="s">
        <v>86</v>
      </c>
      <c r="AW643" s="15" t="s">
        <v>213</v>
      </c>
      <c r="AX643" s="15" t="s">
        <v>78</v>
      </c>
      <c r="AY643" s="259" t="s">
        <v>200</v>
      </c>
    </row>
    <row r="644" s="13" customFormat="1">
      <c r="A644" s="13"/>
      <c r="B644" s="227"/>
      <c r="C644" s="228"/>
      <c r="D644" s="229" t="s">
        <v>211</v>
      </c>
      <c r="E644" s="230" t="s">
        <v>32</v>
      </c>
      <c r="F644" s="231" t="s">
        <v>1012</v>
      </c>
      <c r="G644" s="228"/>
      <c r="H644" s="232">
        <v>140.78610000000001</v>
      </c>
      <c r="I644" s="233"/>
      <c r="J644" s="228"/>
      <c r="K644" s="228"/>
      <c r="L644" s="234"/>
      <c r="M644" s="235"/>
      <c r="N644" s="236"/>
      <c r="O644" s="236"/>
      <c r="P644" s="236"/>
      <c r="Q644" s="236"/>
      <c r="R644" s="236"/>
      <c r="S644" s="236"/>
      <c r="T644" s="237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T644" s="238" t="s">
        <v>211</v>
      </c>
      <c r="AU644" s="238" t="s">
        <v>88</v>
      </c>
      <c r="AV644" s="13" t="s">
        <v>88</v>
      </c>
      <c r="AW644" s="13" t="s">
        <v>213</v>
      </c>
      <c r="AX644" s="13" t="s">
        <v>86</v>
      </c>
      <c r="AY644" s="238" t="s">
        <v>200</v>
      </c>
    </row>
    <row r="645" s="2" customFormat="1" ht="16.5" customHeight="1">
      <c r="A645" s="40"/>
      <c r="B645" s="41"/>
      <c r="C645" s="260" t="s">
        <v>1013</v>
      </c>
      <c r="D645" s="260" t="s">
        <v>292</v>
      </c>
      <c r="E645" s="261" t="s">
        <v>1014</v>
      </c>
      <c r="F645" s="262" t="s">
        <v>1015</v>
      </c>
      <c r="G645" s="263" t="s">
        <v>272</v>
      </c>
      <c r="H645" s="264">
        <v>171.90000000000001</v>
      </c>
      <c r="I645" s="265"/>
      <c r="J645" s="266">
        <f>ROUND(I645*H645,1)</f>
        <v>0</v>
      </c>
      <c r="K645" s="262" t="s">
        <v>206</v>
      </c>
      <c r="L645" s="267"/>
      <c r="M645" s="268" t="s">
        <v>32</v>
      </c>
      <c r="N645" s="269" t="s">
        <v>49</v>
      </c>
      <c r="O645" s="86"/>
      <c r="P645" s="218">
        <f>O645*H645</f>
        <v>0</v>
      </c>
      <c r="Q645" s="218">
        <v>0.00029999999999999997</v>
      </c>
      <c r="R645" s="218">
        <f>Q645*H645</f>
        <v>0.051569999999999998</v>
      </c>
      <c r="S645" s="218">
        <v>0</v>
      </c>
      <c r="T645" s="219">
        <f>S645*H645</f>
        <v>0</v>
      </c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R645" s="220" t="s">
        <v>429</v>
      </c>
      <c r="AT645" s="220" t="s">
        <v>292</v>
      </c>
      <c r="AU645" s="220" t="s">
        <v>88</v>
      </c>
      <c r="AY645" s="18" t="s">
        <v>200</v>
      </c>
      <c r="BE645" s="221">
        <f>IF(N645="základní",J645,0)</f>
        <v>0</v>
      </c>
      <c r="BF645" s="221">
        <f>IF(N645="snížená",J645,0)</f>
        <v>0</v>
      </c>
      <c r="BG645" s="221">
        <f>IF(N645="zákl. přenesená",J645,0)</f>
        <v>0</v>
      </c>
      <c r="BH645" s="221">
        <f>IF(N645="sníž. přenesená",J645,0)</f>
        <v>0</v>
      </c>
      <c r="BI645" s="221">
        <f>IF(N645="nulová",J645,0)</f>
        <v>0</v>
      </c>
      <c r="BJ645" s="18" t="s">
        <v>86</v>
      </c>
      <c r="BK645" s="221">
        <f>ROUND(I645*H645,1)</f>
        <v>0</v>
      </c>
      <c r="BL645" s="18" t="s">
        <v>310</v>
      </c>
      <c r="BM645" s="220" t="s">
        <v>1016</v>
      </c>
    </row>
    <row r="646" s="13" customFormat="1">
      <c r="A646" s="13"/>
      <c r="B646" s="227"/>
      <c r="C646" s="228"/>
      <c r="D646" s="229" t="s">
        <v>211</v>
      </c>
      <c r="E646" s="228"/>
      <c r="F646" s="231" t="s">
        <v>1017</v>
      </c>
      <c r="G646" s="228"/>
      <c r="H646" s="232">
        <v>171.90000000000001</v>
      </c>
      <c r="I646" s="233"/>
      <c r="J646" s="228"/>
      <c r="K646" s="228"/>
      <c r="L646" s="234"/>
      <c r="M646" s="235"/>
      <c r="N646" s="236"/>
      <c r="O646" s="236"/>
      <c r="P646" s="236"/>
      <c r="Q646" s="236"/>
      <c r="R646" s="236"/>
      <c r="S646" s="236"/>
      <c r="T646" s="237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T646" s="238" t="s">
        <v>211</v>
      </c>
      <c r="AU646" s="238" t="s">
        <v>88</v>
      </c>
      <c r="AV646" s="13" t="s">
        <v>88</v>
      </c>
      <c r="AW646" s="13" t="s">
        <v>4</v>
      </c>
      <c r="AX646" s="13" t="s">
        <v>86</v>
      </c>
      <c r="AY646" s="238" t="s">
        <v>200</v>
      </c>
    </row>
    <row r="647" s="2" customFormat="1" ht="24.15" customHeight="1">
      <c r="A647" s="40"/>
      <c r="B647" s="41"/>
      <c r="C647" s="209" t="s">
        <v>1018</v>
      </c>
      <c r="D647" s="209" t="s">
        <v>202</v>
      </c>
      <c r="E647" s="210" t="s">
        <v>1019</v>
      </c>
      <c r="F647" s="211" t="s">
        <v>1020</v>
      </c>
      <c r="G647" s="212" t="s">
        <v>250</v>
      </c>
      <c r="H647" s="213">
        <v>12.468999999999999</v>
      </c>
      <c r="I647" s="214"/>
      <c r="J647" s="215">
        <f>ROUND(I647*H647,1)</f>
        <v>0</v>
      </c>
      <c r="K647" s="211" t="s">
        <v>206</v>
      </c>
      <c r="L647" s="46"/>
      <c r="M647" s="216" t="s">
        <v>32</v>
      </c>
      <c r="N647" s="217" t="s">
        <v>49</v>
      </c>
      <c r="O647" s="86"/>
      <c r="P647" s="218">
        <f>O647*H647</f>
        <v>0</v>
      </c>
      <c r="Q647" s="218">
        <v>0</v>
      </c>
      <c r="R647" s="218">
        <f>Q647*H647</f>
        <v>0</v>
      </c>
      <c r="S647" s="218">
        <v>0</v>
      </c>
      <c r="T647" s="219">
        <f>S647*H647</f>
        <v>0</v>
      </c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R647" s="220" t="s">
        <v>310</v>
      </c>
      <c r="AT647" s="220" t="s">
        <v>202</v>
      </c>
      <c r="AU647" s="220" t="s">
        <v>88</v>
      </c>
      <c r="AY647" s="18" t="s">
        <v>200</v>
      </c>
      <c r="BE647" s="221">
        <f>IF(N647="základní",J647,0)</f>
        <v>0</v>
      </c>
      <c r="BF647" s="221">
        <f>IF(N647="snížená",J647,0)</f>
        <v>0</v>
      </c>
      <c r="BG647" s="221">
        <f>IF(N647="zákl. přenesená",J647,0)</f>
        <v>0</v>
      </c>
      <c r="BH647" s="221">
        <f>IF(N647="sníž. přenesená",J647,0)</f>
        <v>0</v>
      </c>
      <c r="BI647" s="221">
        <f>IF(N647="nulová",J647,0)</f>
        <v>0</v>
      </c>
      <c r="BJ647" s="18" t="s">
        <v>86</v>
      </c>
      <c r="BK647" s="221">
        <f>ROUND(I647*H647,1)</f>
        <v>0</v>
      </c>
      <c r="BL647" s="18" t="s">
        <v>310</v>
      </c>
      <c r="BM647" s="220" t="s">
        <v>1021</v>
      </c>
    </row>
    <row r="648" s="2" customFormat="1">
      <c r="A648" s="40"/>
      <c r="B648" s="41"/>
      <c r="C648" s="42"/>
      <c r="D648" s="222" t="s">
        <v>209</v>
      </c>
      <c r="E648" s="42"/>
      <c r="F648" s="223" t="s">
        <v>1022</v>
      </c>
      <c r="G648" s="42"/>
      <c r="H648" s="42"/>
      <c r="I648" s="224"/>
      <c r="J648" s="42"/>
      <c r="K648" s="42"/>
      <c r="L648" s="46"/>
      <c r="M648" s="225"/>
      <c r="N648" s="226"/>
      <c r="O648" s="86"/>
      <c r="P648" s="86"/>
      <c r="Q648" s="86"/>
      <c r="R648" s="86"/>
      <c r="S648" s="86"/>
      <c r="T648" s="87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T648" s="18" t="s">
        <v>209</v>
      </c>
      <c r="AU648" s="18" t="s">
        <v>88</v>
      </c>
    </row>
    <row r="649" s="12" customFormat="1" ht="22.8" customHeight="1">
      <c r="A649" s="12"/>
      <c r="B649" s="193"/>
      <c r="C649" s="194"/>
      <c r="D649" s="195" t="s">
        <v>77</v>
      </c>
      <c r="E649" s="207" t="s">
        <v>1023</v>
      </c>
      <c r="F649" s="207" t="s">
        <v>1024</v>
      </c>
      <c r="G649" s="194"/>
      <c r="H649" s="194"/>
      <c r="I649" s="197"/>
      <c r="J649" s="208">
        <f>BK649</f>
        <v>0</v>
      </c>
      <c r="K649" s="194"/>
      <c r="L649" s="199"/>
      <c r="M649" s="200"/>
      <c r="N649" s="201"/>
      <c r="O649" s="201"/>
      <c r="P649" s="202">
        <f>SUM(P650:P679)</f>
        <v>0</v>
      </c>
      <c r="Q649" s="201"/>
      <c r="R649" s="202">
        <f>SUM(R650:R679)</f>
        <v>11.108737809999997</v>
      </c>
      <c r="S649" s="201"/>
      <c r="T649" s="203">
        <f>SUM(T650:T679)</f>
        <v>0</v>
      </c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R649" s="204" t="s">
        <v>88</v>
      </c>
      <c r="AT649" s="205" t="s">
        <v>77</v>
      </c>
      <c r="AU649" s="205" t="s">
        <v>86</v>
      </c>
      <c r="AY649" s="204" t="s">
        <v>200</v>
      </c>
      <c r="BK649" s="206">
        <f>SUM(BK650:BK679)</f>
        <v>0</v>
      </c>
    </row>
    <row r="650" s="2" customFormat="1" ht="24.15" customHeight="1">
      <c r="A650" s="40"/>
      <c r="B650" s="41"/>
      <c r="C650" s="209" t="s">
        <v>1025</v>
      </c>
      <c r="D650" s="209" t="s">
        <v>202</v>
      </c>
      <c r="E650" s="210" t="s">
        <v>1026</v>
      </c>
      <c r="F650" s="211" t="s">
        <v>1027</v>
      </c>
      <c r="G650" s="212" t="s">
        <v>272</v>
      </c>
      <c r="H650" s="213">
        <v>536.54999999999995</v>
      </c>
      <c r="I650" s="214"/>
      <c r="J650" s="215">
        <f>ROUND(I650*H650,1)</f>
        <v>0</v>
      </c>
      <c r="K650" s="211" t="s">
        <v>206</v>
      </c>
      <c r="L650" s="46"/>
      <c r="M650" s="216" t="s">
        <v>32</v>
      </c>
      <c r="N650" s="217" t="s">
        <v>49</v>
      </c>
      <c r="O650" s="86"/>
      <c r="P650" s="218">
        <f>O650*H650</f>
        <v>0</v>
      </c>
      <c r="Q650" s="218">
        <v>0</v>
      </c>
      <c r="R650" s="218">
        <f>Q650*H650</f>
        <v>0</v>
      </c>
      <c r="S650" s="218">
        <v>0</v>
      </c>
      <c r="T650" s="219">
        <f>S650*H650</f>
        <v>0</v>
      </c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R650" s="220" t="s">
        <v>310</v>
      </c>
      <c r="AT650" s="220" t="s">
        <v>202</v>
      </c>
      <c r="AU650" s="220" t="s">
        <v>88</v>
      </c>
      <c r="AY650" s="18" t="s">
        <v>200</v>
      </c>
      <c r="BE650" s="221">
        <f>IF(N650="základní",J650,0)</f>
        <v>0</v>
      </c>
      <c r="BF650" s="221">
        <f>IF(N650="snížená",J650,0)</f>
        <v>0</v>
      </c>
      <c r="BG650" s="221">
        <f>IF(N650="zákl. přenesená",J650,0)</f>
        <v>0</v>
      </c>
      <c r="BH650" s="221">
        <f>IF(N650="sníž. přenesená",J650,0)</f>
        <v>0</v>
      </c>
      <c r="BI650" s="221">
        <f>IF(N650="nulová",J650,0)</f>
        <v>0</v>
      </c>
      <c r="BJ650" s="18" t="s">
        <v>86</v>
      </c>
      <c r="BK650" s="221">
        <f>ROUND(I650*H650,1)</f>
        <v>0</v>
      </c>
      <c r="BL650" s="18" t="s">
        <v>310</v>
      </c>
      <c r="BM650" s="220" t="s">
        <v>1028</v>
      </c>
    </row>
    <row r="651" s="2" customFormat="1">
      <c r="A651" s="40"/>
      <c r="B651" s="41"/>
      <c r="C651" s="42"/>
      <c r="D651" s="222" t="s">
        <v>209</v>
      </c>
      <c r="E651" s="42"/>
      <c r="F651" s="223" t="s">
        <v>1029</v>
      </c>
      <c r="G651" s="42"/>
      <c r="H651" s="42"/>
      <c r="I651" s="224"/>
      <c r="J651" s="42"/>
      <c r="K651" s="42"/>
      <c r="L651" s="46"/>
      <c r="M651" s="225"/>
      <c r="N651" s="226"/>
      <c r="O651" s="86"/>
      <c r="P651" s="86"/>
      <c r="Q651" s="86"/>
      <c r="R651" s="86"/>
      <c r="S651" s="86"/>
      <c r="T651" s="87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T651" s="18" t="s">
        <v>209</v>
      </c>
      <c r="AU651" s="18" t="s">
        <v>88</v>
      </c>
    </row>
    <row r="652" s="13" customFormat="1">
      <c r="A652" s="13"/>
      <c r="B652" s="227"/>
      <c r="C652" s="228"/>
      <c r="D652" s="229" t="s">
        <v>211</v>
      </c>
      <c r="E652" s="230" t="s">
        <v>32</v>
      </c>
      <c r="F652" s="231" t="s">
        <v>1030</v>
      </c>
      <c r="G652" s="228"/>
      <c r="H652" s="232">
        <v>536.54999999999995</v>
      </c>
      <c r="I652" s="233"/>
      <c r="J652" s="228"/>
      <c r="K652" s="228"/>
      <c r="L652" s="234"/>
      <c r="M652" s="235"/>
      <c r="N652" s="236"/>
      <c r="O652" s="236"/>
      <c r="P652" s="236"/>
      <c r="Q652" s="236"/>
      <c r="R652" s="236"/>
      <c r="S652" s="236"/>
      <c r="T652" s="237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T652" s="238" t="s">
        <v>211</v>
      </c>
      <c r="AU652" s="238" t="s">
        <v>88</v>
      </c>
      <c r="AV652" s="13" t="s">
        <v>88</v>
      </c>
      <c r="AW652" s="13" t="s">
        <v>213</v>
      </c>
      <c r="AX652" s="13" t="s">
        <v>86</v>
      </c>
      <c r="AY652" s="238" t="s">
        <v>200</v>
      </c>
    </row>
    <row r="653" s="2" customFormat="1" ht="16.5" customHeight="1">
      <c r="A653" s="40"/>
      <c r="B653" s="41"/>
      <c r="C653" s="260" t="s">
        <v>1031</v>
      </c>
      <c r="D653" s="260" t="s">
        <v>292</v>
      </c>
      <c r="E653" s="261" t="s">
        <v>1032</v>
      </c>
      <c r="F653" s="262" t="s">
        <v>1033</v>
      </c>
      <c r="G653" s="263" t="s">
        <v>272</v>
      </c>
      <c r="H653" s="264">
        <v>563.37800000000004</v>
      </c>
      <c r="I653" s="265"/>
      <c r="J653" s="266">
        <f>ROUND(I653*H653,1)</f>
        <v>0</v>
      </c>
      <c r="K653" s="262" t="s">
        <v>206</v>
      </c>
      <c r="L653" s="267"/>
      <c r="M653" s="268" t="s">
        <v>32</v>
      </c>
      <c r="N653" s="269" t="s">
        <v>49</v>
      </c>
      <c r="O653" s="86"/>
      <c r="P653" s="218">
        <f>O653*H653</f>
        <v>0</v>
      </c>
      <c r="Q653" s="218">
        <v>0.0032000000000000002</v>
      </c>
      <c r="R653" s="218">
        <f>Q653*H653</f>
        <v>1.8028096000000002</v>
      </c>
      <c r="S653" s="218">
        <v>0</v>
      </c>
      <c r="T653" s="219">
        <f>S653*H653</f>
        <v>0</v>
      </c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R653" s="220" t="s">
        <v>429</v>
      </c>
      <c r="AT653" s="220" t="s">
        <v>292</v>
      </c>
      <c r="AU653" s="220" t="s">
        <v>88</v>
      </c>
      <c r="AY653" s="18" t="s">
        <v>200</v>
      </c>
      <c r="BE653" s="221">
        <f>IF(N653="základní",J653,0)</f>
        <v>0</v>
      </c>
      <c r="BF653" s="221">
        <f>IF(N653="snížená",J653,0)</f>
        <v>0</v>
      </c>
      <c r="BG653" s="221">
        <f>IF(N653="zákl. přenesená",J653,0)</f>
        <v>0</v>
      </c>
      <c r="BH653" s="221">
        <f>IF(N653="sníž. přenesená",J653,0)</f>
        <v>0</v>
      </c>
      <c r="BI653" s="221">
        <f>IF(N653="nulová",J653,0)</f>
        <v>0</v>
      </c>
      <c r="BJ653" s="18" t="s">
        <v>86</v>
      </c>
      <c r="BK653" s="221">
        <f>ROUND(I653*H653,1)</f>
        <v>0</v>
      </c>
      <c r="BL653" s="18" t="s">
        <v>310</v>
      </c>
      <c r="BM653" s="220" t="s">
        <v>1034</v>
      </c>
    </row>
    <row r="654" s="13" customFormat="1">
      <c r="A654" s="13"/>
      <c r="B654" s="227"/>
      <c r="C654" s="228"/>
      <c r="D654" s="229" t="s">
        <v>211</v>
      </c>
      <c r="E654" s="228"/>
      <c r="F654" s="231" t="s">
        <v>1035</v>
      </c>
      <c r="G654" s="228"/>
      <c r="H654" s="232">
        <v>563.37800000000004</v>
      </c>
      <c r="I654" s="233"/>
      <c r="J654" s="228"/>
      <c r="K654" s="228"/>
      <c r="L654" s="234"/>
      <c r="M654" s="235"/>
      <c r="N654" s="236"/>
      <c r="O654" s="236"/>
      <c r="P654" s="236"/>
      <c r="Q654" s="236"/>
      <c r="R654" s="236"/>
      <c r="S654" s="236"/>
      <c r="T654" s="237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T654" s="238" t="s">
        <v>211</v>
      </c>
      <c r="AU654" s="238" t="s">
        <v>88</v>
      </c>
      <c r="AV654" s="13" t="s">
        <v>88</v>
      </c>
      <c r="AW654" s="13" t="s">
        <v>4</v>
      </c>
      <c r="AX654" s="13" t="s">
        <v>86</v>
      </c>
      <c r="AY654" s="238" t="s">
        <v>200</v>
      </c>
    </row>
    <row r="655" s="2" customFormat="1" ht="24.15" customHeight="1">
      <c r="A655" s="40"/>
      <c r="B655" s="41"/>
      <c r="C655" s="209" t="s">
        <v>1036</v>
      </c>
      <c r="D655" s="209" t="s">
        <v>202</v>
      </c>
      <c r="E655" s="210" t="s">
        <v>1037</v>
      </c>
      <c r="F655" s="211" t="s">
        <v>1038</v>
      </c>
      <c r="G655" s="212" t="s">
        <v>272</v>
      </c>
      <c r="H655" s="213">
        <v>140.786</v>
      </c>
      <c r="I655" s="214"/>
      <c r="J655" s="215">
        <f>ROUND(I655*H655,1)</f>
        <v>0</v>
      </c>
      <c r="K655" s="211" t="s">
        <v>206</v>
      </c>
      <c r="L655" s="46"/>
      <c r="M655" s="216" t="s">
        <v>32</v>
      </c>
      <c r="N655" s="217" t="s">
        <v>49</v>
      </c>
      <c r="O655" s="86"/>
      <c r="P655" s="218">
        <f>O655*H655</f>
        <v>0</v>
      </c>
      <c r="Q655" s="218">
        <v>0.0060000000000000001</v>
      </c>
      <c r="R655" s="218">
        <f>Q655*H655</f>
        <v>0.84471600000000002</v>
      </c>
      <c r="S655" s="218">
        <v>0</v>
      </c>
      <c r="T655" s="219">
        <f>S655*H655</f>
        <v>0</v>
      </c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R655" s="220" t="s">
        <v>310</v>
      </c>
      <c r="AT655" s="220" t="s">
        <v>202</v>
      </c>
      <c r="AU655" s="220" t="s">
        <v>88</v>
      </c>
      <c r="AY655" s="18" t="s">
        <v>200</v>
      </c>
      <c r="BE655" s="221">
        <f>IF(N655="základní",J655,0)</f>
        <v>0</v>
      </c>
      <c r="BF655" s="221">
        <f>IF(N655="snížená",J655,0)</f>
        <v>0</v>
      </c>
      <c r="BG655" s="221">
        <f>IF(N655="zákl. přenesená",J655,0)</f>
        <v>0</v>
      </c>
      <c r="BH655" s="221">
        <f>IF(N655="sníž. přenesená",J655,0)</f>
        <v>0</v>
      </c>
      <c r="BI655" s="221">
        <f>IF(N655="nulová",J655,0)</f>
        <v>0</v>
      </c>
      <c r="BJ655" s="18" t="s">
        <v>86</v>
      </c>
      <c r="BK655" s="221">
        <f>ROUND(I655*H655,1)</f>
        <v>0</v>
      </c>
      <c r="BL655" s="18" t="s">
        <v>310</v>
      </c>
      <c r="BM655" s="220" t="s">
        <v>1039</v>
      </c>
    </row>
    <row r="656" s="2" customFormat="1">
      <c r="A656" s="40"/>
      <c r="B656" s="41"/>
      <c r="C656" s="42"/>
      <c r="D656" s="222" t="s">
        <v>209</v>
      </c>
      <c r="E656" s="42"/>
      <c r="F656" s="223" t="s">
        <v>1040</v>
      </c>
      <c r="G656" s="42"/>
      <c r="H656" s="42"/>
      <c r="I656" s="224"/>
      <c r="J656" s="42"/>
      <c r="K656" s="42"/>
      <c r="L656" s="46"/>
      <c r="M656" s="225"/>
      <c r="N656" s="226"/>
      <c r="O656" s="86"/>
      <c r="P656" s="86"/>
      <c r="Q656" s="86"/>
      <c r="R656" s="86"/>
      <c r="S656" s="86"/>
      <c r="T656" s="87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T656" s="18" t="s">
        <v>209</v>
      </c>
      <c r="AU656" s="18" t="s">
        <v>88</v>
      </c>
    </row>
    <row r="657" s="15" customFormat="1">
      <c r="A657" s="15"/>
      <c r="B657" s="250"/>
      <c r="C657" s="251"/>
      <c r="D657" s="229" t="s">
        <v>211</v>
      </c>
      <c r="E657" s="252" t="s">
        <v>32</v>
      </c>
      <c r="F657" s="253" t="s">
        <v>1011</v>
      </c>
      <c r="G657" s="251"/>
      <c r="H657" s="252" t="s">
        <v>32</v>
      </c>
      <c r="I657" s="254"/>
      <c r="J657" s="251"/>
      <c r="K657" s="251"/>
      <c r="L657" s="255"/>
      <c r="M657" s="256"/>
      <c r="N657" s="257"/>
      <c r="O657" s="257"/>
      <c r="P657" s="257"/>
      <c r="Q657" s="257"/>
      <c r="R657" s="257"/>
      <c r="S657" s="257"/>
      <c r="T657" s="25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T657" s="259" t="s">
        <v>211</v>
      </c>
      <c r="AU657" s="259" t="s">
        <v>88</v>
      </c>
      <c r="AV657" s="15" t="s">
        <v>86</v>
      </c>
      <c r="AW657" s="15" t="s">
        <v>213</v>
      </c>
      <c r="AX657" s="15" t="s">
        <v>78</v>
      </c>
      <c r="AY657" s="259" t="s">
        <v>200</v>
      </c>
    </row>
    <row r="658" s="13" customFormat="1">
      <c r="A658" s="13"/>
      <c r="B658" s="227"/>
      <c r="C658" s="228"/>
      <c r="D658" s="229" t="s">
        <v>211</v>
      </c>
      <c r="E658" s="230" t="s">
        <v>32</v>
      </c>
      <c r="F658" s="231" t="s">
        <v>1012</v>
      </c>
      <c r="G658" s="228"/>
      <c r="H658" s="232">
        <v>140.78610000000001</v>
      </c>
      <c r="I658" s="233"/>
      <c r="J658" s="228"/>
      <c r="K658" s="228"/>
      <c r="L658" s="234"/>
      <c r="M658" s="235"/>
      <c r="N658" s="236"/>
      <c r="O658" s="236"/>
      <c r="P658" s="236"/>
      <c r="Q658" s="236"/>
      <c r="R658" s="236"/>
      <c r="S658" s="236"/>
      <c r="T658" s="237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T658" s="238" t="s">
        <v>211</v>
      </c>
      <c r="AU658" s="238" t="s">
        <v>88</v>
      </c>
      <c r="AV658" s="13" t="s">
        <v>88</v>
      </c>
      <c r="AW658" s="13" t="s">
        <v>213</v>
      </c>
      <c r="AX658" s="13" t="s">
        <v>86</v>
      </c>
      <c r="AY658" s="238" t="s">
        <v>200</v>
      </c>
    </row>
    <row r="659" s="2" customFormat="1" ht="16.5" customHeight="1">
      <c r="A659" s="40"/>
      <c r="B659" s="41"/>
      <c r="C659" s="260" t="s">
        <v>1041</v>
      </c>
      <c r="D659" s="260" t="s">
        <v>292</v>
      </c>
      <c r="E659" s="261" t="s">
        <v>1042</v>
      </c>
      <c r="F659" s="262" t="s">
        <v>1043</v>
      </c>
      <c r="G659" s="263" t="s">
        <v>272</v>
      </c>
      <c r="H659" s="264">
        <v>140.786</v>
      </c>
      <c r="I659" s="265"/>
      <c r="J659" s="266">
        <f>ROUND(I659*H659,1)</f>
        <v>0</v>
      </c>
      <c r="K659" s="262" t="s">
        <v>206</v>
      </c>
      <c r="L659" s="267"/>
      <c r="M659" s="268" t="s">
        <v>32</v>
      </c>
      <c r="N659" s="269" t="s">
        <v>49</v>
      </c>
      <c r="O659" s="86"/>
      <c r="P659" s="218">
        <f>O659*H659</f>
        <v>0</v>
      </c>
      <c r="Q659" s="218">
        <v>0.0047999999999999996</v>
      </c>
      <c r="R659" s="218">
        <f>Q659*H659</f>
        <v>0.67577279999999995</v>
      </c>
      <c r="S659" s="218">
        <v>0</v>
      </c>
      <c r="T659" s="219">
        <f>S659*H659</f>
        <v>0</v>
      </c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R659" s="220" t="s">
        <v>429</v>
      </c>
      <c r="AT659" s="220" t="s">
        <v>292</v>
      </c>
      <c r="AU659" s="220" t="s">
        <v>88</v>
      </c>
      <c r="AY659" s="18" t="s">
        <v>200</v>
      </c>
      <c r="BE659" s="221">
        <f>IF(N659="základní",J659,0)</f>
        <v>0</v>
      </c>
      <c r="BF659" s="221">
        <f>IF(N659="snížená",J659,0)</f>
        <v>0</v>
      </c>
      <c r="BG659" s="221">
        <f>IF(N659="zákl. přenesená",J659,0)</f>
        <v>0</v>
      </c>
      <c r="BH659" s="221">
        <f>IF(N659="sníž. přenesená",J659,0)</f>
        <v>0</v>
      </c>
      <c r="BI659" s="221">
        <f>IF(N659="nulová",J659,0)</f>
        <v>0</v>
      </c>
      <c r="BJ659" s="18" t="s">
        <v>86</v>
      </c>
      <c r="BK659" s="221">
        <f>ROUND(I659*H659,1)</f>
        <v>0</v>
      </c>
      <c r="BL659" s="18" t="s">
        <v>310</v>
      </c>
      <c r="BM659" s="220" t="s">
        <v>1044</v>
      </c>
    </row>
    <row r="660" s="2" customFormat="1" ht="24.15" customHeight="1">
      <c r="A660" s="40"/>
      <c r="B660" s="41"/>
      <c r="C660" s="209" t="s">
        <v>1045</v>
      </c>
      <c r="D660" s="209" t="s">
        <v>202</v>
      </c>
      <c r="E660" s="210" t="s">
        <v>1046</v>
      </c>
      <c r="F660" s="211" t="s">
        <v>1047</v>
      </c>
      <c r="G660" s="212" t="s">
        <v>272</v>
      </c>
      <c r="H660" s="213">
        <v>15.311999999999999</v>
      </c>
      <c r="I660" s="214"/>
      <c r="J660" s="215">
        <f>ROUND(I660*H660,1)</f>
        <v>0</v>
      </c>
      <c r="K660" s="211" t="s">
        <v>206</v>
      </c>
      <c r="L660" s="46"/>
      <c r="M660" s="216" t="s">
        <v>32</v>
      </c>
      <c r="N660" s="217" t="s">
        <v>49</v>
      </c>
      <c r="O660" s="86"/>
      <c r="P660" s="218">
        <f>O660*H660</f>
        <v>0</v>
      </c>
      <c r="Q660" s="218">
        <v>0.00024000000000000001</v>
      </c>
      <c r="R660" s="218">
        <f>Q660*H660</f>
        <v>0.0036748800000000002</v>
      </c>
      <c r="S660" s="218">
        <v>0</v>
      </c>
      <c r="T660" s="219">
        <f>S660*H660</f>
        <v>0</v>
      </c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R660" s="220" t="s">
        <v>310</v>
      </c>
      <c r="AT660" s="220" t="s">
        <v>202</v>
      </c>
      <c r="AU660" s="220" t="s">
        <v>88</v>
      </c>
      <c r="AY660" s="18" t="s">
        <v>200</v>
      </c>
      <c r="BE660" s="221">
        <f>IF(N660="základní",J660,0)</f>
        <v>0</v>
      </c>
      <c r="BF660" s="221">
        <f>IF(N660="snížená",J660,0)</f>
        <v>0</v>
      </c>
      <c r="BG660" s="221">
        <f>IF(N660="zákl. přenesená",J660,0)</f>
        <v>0</v>
      </c>
      <c r="BH660" s="221">
        <f>IF(N660="sníž. přenesená",J660,0)</f>
        <v>0</v>
      </c>
      <c r="BI660" s="221">
        <f>IF(N660="nulová",J660,0)</f>
        <v>0</v>
      </c>
      <c r="BJ660" s="18" t="s">
        <v>86</v>
      </c>
      <c r="BK660" s="221">
        <f>ROUND(I660*H660,1)</f>
        <v>0</v>
      </c>
      <c r="BL660" s="18" t="s">
        <v>310</v>
      </c>
      <c r="BM660" s="220" t="s">
        <v>1048</v>
      </c>
    </row>
    <row r="661" s="2" customFormat="1">
      <c r="A661" s="40"/>
      <c r="B661" s="41"/>
      <c r="C661" s="42"/>
      <c r="D661" s="222" t="s">
        <v>209</v>
      </c>
      <c r="E661" s="42"/>
      <c r="F661" s="223" t="s">
        <v>1049</v>
      </c>
      <c r="G661" s="42"/>
      <c r="H661" s="42"/>
      <c r="I661" s="224"/>
      <c r="J661" s="42"/>
      <c r="K661" s="42"/>
      <c r="L661" s="46"/>
      <c r="M661" s="225"/>
      <c r="N661" s="226"/>
      <c r="O661" s="86"/>
      <c r="P661" s="86"/>
      <c r="Q661" s="86"/>
      <c r="R661" s="86"/>
      <c r="S661" s="86"/>
      <c r="T661" s="87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T661" s="18" t="s">
        <v>209</v>
      </c>
      <c r="AU661" s="18" t="s">
        <v>88</v>
      </c>
    </row>
    <row r="662" s="2" customFormat="1" ht="16.5" customHeight="1">
      <c r="A662" s="40"/>
      <c r="B662" s="41"/>
      <c r="C662" s="260" t="s">
        <v>1050</v>
      </c>
      <c r="D662" s="260" t="s">
        <v>292</v>
      </c>
      <c r="E662" s="261" t="s">
        <v>1051</v>
      </c>
      <c r="F662" s="262" t="s">
        <v>1052</v>
      </c>
      <c r="G662" s="263" t="s">
        <v>272</v>
      </c>
      <c r="H662" s="264">
        <v>15.311999999999999</v>
      </c>
      <c r="I662" s="265"/>
      <c r="J662" s="266">
        <f>ROUND(I662*H662,1)</f>
        <v>0</v>
      </c>
      <c r="K662" s="262" t="s">
        <v>206</v>
      </c>
      <c r="L662" s="267"/>
      <c r="M662" s="268" t="s">
        <v>32</v>
      </c>
      <c r="N662" s="269" t="s">
        <v>49</v>
      </c>
      <c r="O662" s="86"/>
      <c r="P662" s="218">
        <f>O662*H662</f>
        <v>0</v>
      </c>
      <c r="Q662" s="218">
        <v>0.00265</v>
      </c>
      <c r="R662" s="218">
        <f>Q662*H662</f>
        <v>0.040576799999999996</v>
      </c>
      <c r="S662" s="218">
        <v>0</v>
      </c>
      <c r="T662" s="219">
        <f>S662*H662</f>
        <v>0</v>
      </c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R662" s="220" t="s">
        <v>429</v>
      </c>
      <c r="AT662" s="220" t="s">
        <v>292</v>
      </c>
      <c r="AU662" s="220" t="s">
        <v>88</v>
      </c>
      <c r="AY662" s="18" t="s">
        <v>200</v>
      </c>
      <c r="BE662" s="221">
        <f>IF(N662="základní",J662,0)</f>
        <v>0</v>
      </c>
      <c r="BF662" s="221">
        <f>IF(N662="snížená",J662,0)</f>
        <v>0</v>
      </c>
      <c r="BG662" s="221">
        <f>IF(N662="zákl. přenesená",J662,0)</f>
        <v>0</v>
      </c>
      <c r="BH662" s="221">
        <f>IF(N662="sníž. přenesená",J662,0)</f>
        <v>0</v>
      </c>
      <c r="BI662" s="221">
        <f>IF(N662="nulová",J662,0)</f>
        <v>0</v>
      </c>
      <c r="BJ662" s="18" t="s">
        <v>86</v>
      </c>
      <c r="BK662" s="221">
        <f>ROUND(I662*H662,1)</f>
        <v>0</v>
      </c>
      <c r="BL662" s="18" t="s">
        <v>310</v>
      </c>
      <c r="BM662" s="220" t="s">
        <v>1053</v>
      </c>
    </row>
    <row r="663" s="2" customFormat="1" ht="33" customHeight="1">
      <c r="A663" s="40"/>
      <c r="B663" s="41"/>
      <c r="C663" s="209" t="s">
        <v>1054</v>
      </c>
      <c r="D663" s="209" t="s">
        <v>202</v>
      </c>
      <c r="E663" s="210" t="s">
        <v>1055</v>
      </c>
      <c r="F663" s="211" t="s">
        <v>1056</v>
      </c>
      <c r="G663" s="212" t="s">
        <v>272</v>
      </c>
      <c r="H663" s="213">
        <v>707.29999999999995</v>
      </c>
      <c r="I663" s="214"/>
      <c r="J663" s="215">
        <f>ROUND(I663*H663,1)</f>
        <v>0</v>
      </c>
      <c r="K663" s="211" t="s">
        <v>206</v>
      </c>
      <c r="L663" s="46"/>
      <c r="M663" s="216" t="s">
        <v>32</v>
      </c>
      <c r="N663" s="217" t="s">
        <v>49</v>
      </c>
      <c r="O663" s="86"/>
      <c r="P663" s="218">
        <f>O663*H663</f>
        <v>0</v>
      </c>
      <c r="Q663" s="218">
        <v>0.00016000000000000001</v>
      </c>
      <c r="R663" s="218">
        <f>Q663*H663</f>
        <v>0.11316800000000001</v>
      </c>
      <c r="S663" s="218">
        <v>0</v>
      </c>
      <c r="T663" s="219">
        <f>S663*H663</f>
        <v>0</v>
      </c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R663" s="220" t="s">
        <v>310</v>
      </c>
      <c r="AT663" s="220" t="s">
        <v>202</v>
      </c>
      <c r="AU663" s="220" t="s">
        <v>88</v>
      </c>
      <c r="AY663" s="18" t="s">
        <v>200</v>
      </c>
      <c r="BE663" s="221">
        <f>IF(N663="základní",J663,0)</f>
        <v>0</v>
      </c>
      <c r="BF663" s="221">
        <f>IF(N663="snížená",J663,0)</f>
        <v>0</v>
      </c>
      <c r="BG663" s="221">
        <f>IF(N663="zákl. přenesená",J663,0)</f>
        <v>0</v>
      </c>
      <c r="BH663" s="221">
        <f>IF(N663="sníž. přenesená",J663,0)</f>
        <v>0</v>
      </c>
      <c r="BI663" s="221">
        <f>IF(N663="nulová",J663,0)</f>
        <v>0</v>
      </c>
      <c r="BJ663" s="18" t="s">
        <v>86</v>
      </c>
      <c r="BK663" s="221">
        <f>ROUND(I663*H663,1)</f>
        <v>0</v>
      </c>
      <c r="BL663" s="18" t="s">
        <v>310</v>
      </c>
      <c r="BM663" s="220" t="s">
        <v>1057</v>
      </c>
    </row>
    <row r="664" s="2" customFormat="1">
      <c r="A664" s="40"/>
      <c r="B664" s="41"/>
      <c r="C664" s="42"/>
      <c r="D664" s="222" t="s">
        <v>209</v>
      </c>
      <c r="E664" s="42"/>
      <c r="F664" s="223" t="s">
        <v>1058</v>
      </c>
      <c r="G664" s="42"/>
      <c r="H664" s="42"/>
      <c r="I664" s="224"/>
      <c r="J664" s="42"/>
      <c r="K664" s="42"/>
      <c r="L664" s="46"/>
      <c r="M664" s="225"/>
      <c r="N664" s="226"/>
      <c r="O664" s="86"/>
      <c r="P664" s="86"/>
      <c r="Q664" s="86"/>
      <c r="R664" s="86"/>
      <c r="S664" s="86"/>
      <c r="T664" s="87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T664" s="18" t="s">
        <v>209</v>
      </c>
      <c r="AU664" s="18" t="s">
        <v>88</v>
      </c>
    </row>
    <row r="665" s="13" customFormat="1">
      <c r="A665" s="13"/>
      <c r="B665" s="227"/>
      <c r="C665" s="228"/>
      <c r="D665" s="229" t="s">
        <v>211</v>
      </c>
      <c r="E665" s="230" t="s">
        <v>32</v>
      </c>
      <c r="F665" s="231" t="s">
        <v>149</v>
      </c>
      <c r="G665" s="228"/>
      <c r="H665" s="232">
        <v>707.29999999999995</v>
      </c>
      <c r="I665" s="233"/>
      <c r="J665" s="228"/>
      <c r="K665" s="228"/>
      <c r="L665" s="234"/>
      <c r="M665" s="235"/>
      <c r="N665" s="236"/>
      <c r="O665" s="236"/>
      <c r="P665" s="236"/>
      <c r="Q665" s="236"/>
      <c r="R665" s="236"/>
      <c r="S665" s="236"/>
      <c r="T665" s="237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T665" s="238" t="s">
        <v>211</v>
      </c>
      <c r="AU665" s="238" t="s">
        <v>88</v>
      </c>
      <c r="AV665" s="13" t="s">
        <v>88</v>
      </c>
      <c r="AW665" s="13" t="s">
        <v>213</v>
      </c>
      <c r="AX665" s="13" t="s">
        <v>86</v>
      </c>
      <c r="AY665" s="238" t="s">
        <v>200</v>
      </c>
    </row>
    <row r="666" s="2" customFormat="1" ht="21.75" customHeight="1">
      <c r="A666" s="40"/>
      <c r="B666" s="41"/>
      <c r="C666" s="260" t="s">
        <v>1059</v>
      </c>
      <c r="D666" s="260" t="s">
        <v>292</v>
      </c>
      <c r="E666" s="261" t="s">
        <v>1060</v>
      </c>
      <c r="F666" s="262" t="s">
        <v>1061</v>
      </c>
      <c r="G666" s="263" t="s">
        <v>272</v>
      </c>
      <c r="H666" s="264">
        <v>742.66499999999996</v>
      </c>
      <c r="I666" s="265"/>
      <c r="J666" s="266">
        <f>ROUND(I666*H666,1)</f>
        <v>0</v>
      </c>
      <c r="K666" s="262" t="s">
        <v>206</v>
      </c>
      <c r="L666" s="267"/>
      <c r="M666" s="268" t="s">
        <v>32</v>
      </c>
      <c r="N666" s="269" t="s">
        <v>49</v>
      </c>
      <c r="O666" s="86"/>
      <c r="P666" s="218">
        <f>O666*H666</f>
        <v>0</v>
      </c>
      <c r="Q666" s="218">
        <v>0.0047999999999999996</v>
      </c>
      <c r="R666" s="218">
        <f>Q666*H666</f>
        <v>3.5647919999999993</v>
      </c>
      <c r="S666" s="218">
        <v>0</v>
      </c>
      <c r="T666" s="219">
        <f>S666*H666</f>
        <v>0</v>
      </c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R666" s="220" t="s">
        <v>429</v>
      </c>
      <c r="AT666" s="220" t="s">
        <v>292</v>
      </c>
      <c r="AU666" s="220" t="s">
        <v>88</v>
      </c>
      <c r="AY666" s="18" t="s">
        <v>200</v>
      </c>
      <c r="BE666" s="221">
        <f>IF(N666="základní",J666,0)</f>
        <v>0</v>
      </c>
      <c r="BF666" s="221">
        <f>IF(N666="snížená",J666,0)</f>
        <v>0</v>
      </c>
      <c r="BG666" s="221">
        <f>IF(N666="zákl. přenesená",J666,0)</f>
        <v>0</v>
      </c>
      <c r="BH666" s="221">
        <f>IF(N666="sníž. přenesená",J666,0)</f>
        <v>0</v>
      </c>
      <c r="BI666" s="221">
        <f>IF(N666="nulová",J666,0)</f>
        <v>0</v>
      </c>
      <c r="BJ666" s="18" t="s">
        <v>86</v>
      </c>
      <c r="BK666" s="221">
        <f>ROUND(I666*H666,1)</f>
        <v>0</v>
      </c>
      <c r="BL666" s="18" t="s">
        <v>310</v>
      </c>
      <c r="BM666" s="220" t="s">
        <v>1062</v>
      </c>
    </row>
    <row r="667" s="13" customFormat="1">
      <c r="A667" s="13"/>
      <c r="B667" s="227"/>
      <c r="C667" s="228"/>
      <c r="D667" s="229" t="s">
        <v>211</v>
      </c>
      <c r="E667" s="228"/>
      <c r="F667" s="231" t="s">
        <v>1063</v>
      </c>
      <c r="G667" s="228"/>
      <c r="H667" s="232">
        <v>742.66499999999996</v>
      </c>
      <c r="I667" s="233"/>
      <c r="J667" s="228"/>
      <c r="K667" s="228"/>
      <c r="L667" s="234"/>
      <c r="M667" s="235"/>
      <c r="N667" s="236"/>
      <c r="O667" s="236"/>
      <c r="P667" s="236"/>
      <c r="Q667" s="236"/>
      <c r="R667" s="236"/>
      <c r="S667" s="236"/>
      <c r="T667" s="237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T667" s="238" t="s">
        <v>211</v>
      </c>
      <c r="AU667" s="238" t="s">
        <v>88</v>
      </c>
      <c r="AV667" s="13" t="s">
        <v>88</v>
      </c>
      <c r="AW667" s="13" t="s">
        <v>4</v>
      </c>
      <c r="AX667" s="13" t="s">
        <v>86</v>
      </c>
      <c r="AY667" s="238" t="s">
        <v>200</v>
      </c>
    </row>
    <row r="668" s="2" customFormat="1" ht="24.15" customHeight="1">
      <c r="A668" s="40"/>
      <c r="B668" s="41"/>
      <c r="C668" s="209" t="s">
        <v>1064</v>
      </c>
      <c r="D668" s="209" t="s">
        <v>202</v>
      </c>
      <c r="E668" s="210" t="s">
        <v>1065</v>
      </c>
      <c r="F668" s="211" t="s">
        <v>1066</v>
      </c>
      <c r="G668" s="212" t="s">
        <v>272</v>
      </c>
      <c r="H668" s="213">
        <v>707.29999999999995</v>
      </c>
      <c r="I668" s="214"/>
      <c r="J668" s="215">
        <f>ROUND(I668*H668,1)</f>
        <v>0</v>
      </c>
      <c r="K668" s="211" t="s">
        <v>206</v>
      </c>
      <c r="L668" s="46"/>
      <c r="M668" s="216" t="s">
        <v>32</v>
      </c>
      <c r="N668" s="217" t="s">
        <v>49</v>
      </c>
      <c r="O668" s="86"/>
      <c r="P668" s="218">
        <f>O668*H668</f>
        <v>0</v>
      </c>
      <c r="Q668" s="218">
        <v>0</v>
      </c>
      <c r="R668" s="218">
        <f>Q668*H668</f>
        <v>0</v>
      </c>
      <c r="S668" s="218">
        <v>0</v>
      </c>
      <c r="T668" s="219">
        <f>S668*H668</f>
        <v>0</v>
      </c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R668" s="220" t="s">
        <v>310</v>
      </c>
      <c r="AT668" s="220" t="s">
        <v>202</v>
      </c>
      <c r="AU668" s="220" t="s">
        <v>88</v>
      </c>
      <c r="AY668" s="18" t="s">
        <v>200</v>
      </c>
      <c r="BE668" s="221">
        <f>IF(N668="základní",J668,0)</f>
        <v>0</v>
      </c>
      <c r="BF668" s="221">
        <f>IF(N668="snížená",J668,0)</f>
        <v>0</v>
      </c>
      <c r="BG668" s="221">
        <f>IF(N668="zákl. přenesená",J668,0)</f>
        <v>0</v>
      </c>
      <c r="BH668" s="221">
        <f>IF(N668="sníž. přenesená",J668,0)</f>
        <v>0</v>
      </c>
      <c r="BI668" s="221">
        <f>IF(N668="nulová",J668,0)</f>
        <v>0</v>
      </c>
      <c r="BJ668" s="18" t="s">
        <v>86</v>
      </c>
      <c r="BK668" s="221">
        <f>ROUND(I668*H668,1)</f>
        <v>0</v>
      </c>
      <c r="BL668" s="18" t="s">
        <v>310</v>
      </c>
      <c r="BM668" s="220" t="s">
        <v>1067</v>
      </c>
    </row>
    <row r="669" s="2" customFormat="1">
      <c r="A669" s="40"/>
      <c r="B669" s="41"/>
      <c r="C669" s="42"/>
      <c r="D669" s="222" t="s">
        <v>209</v>
      </c>
      <c r="E669" s="42"/>
      <c r="F669" s="223" t="s">
        <v>1068</v>
      </c>
      <c r="G669" s="42"/>
      <c r="H669" s="42"/>
      <c r="I669" s="224"/>
      <c r="J669" s="42"/>
      <c r="K669" s="42"/>
      <c r="L669" s="46"/>
      <c r="M669" s="225"/>
      <c r="N669" s="226"/>
      <c r="O669" s="86"/>
      <c r="P669" s="86"/>
      <c r="Q669" s="86"/>
      <c r="R669" s="86"/>
      <c r="S669" s="86"/>
      <c r="T669" s="87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T669" s="18" t="s">
        <v>209</v>
      </c>
      <c r="AU669" s="18" t="s">
        <v>88</v>
      </c>
    </row>
    <row r="670" s="13" customFormat="1">
      <c r="A670" s="13"/>
      <c r="B670" s="227"/>
      <c r="C670" s="228"/>
      <c r="D670" s="229" t="s">
        <v>211</v>
      </c>
      <c r="E670" s="230" t="s">
        <v>32</v>
      </c>
      <c r="F670" s="231" t="s">
        <v>149</v>
      </c>
      <c r="G670" s="228"/>
      <c r="H670" s="232">
        <v>707.29999999999995</v>
      </c>
      <c r="I670" s="233"/>
      <c r="J670" s="228"/>
      <c r="K670" s="228"/>
      <c r="L670" s="234"/>
      <c r="M670" s="235"/>
      <c r="N670" s="236"/>
      <c r="O670" s="236"/>
      <c r="P670" s="236"/>
      <c r="Q670" s="236"/>
      <c r="R670" s="236"/>
      <c r="S670" s="236"/>
      <c r="T670" s="237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T670" s="238" t="s">
        <v>211</v>
      </c>
      <c r="AU670" s="238" t="s">
        <v>88</v>
      </c>
      <c r="AV670" s="13" t="s">
        <v>88</v>
      </c>
      <c r="AW670" s="13" t="s">
        <v>213</v>
      </c>
      <c r="AX670" s="13" t="s">
        <v>86</v>
      </c>
      <c r="AY670" s="238" t="s">
        <v>200</v>
      </c>
    </row>
    <row r="671" s="2" customFormat="1" ht="24.15" customHeight="1">
      <c r="A671" s="40"/>
      <c r="B671" s="41"/>
      <c r="C671" s="260" t="s">
        <v>1069</v>
      </c>
      <c r="D671" s="260" t="s">
        <v>292</v>
      </c>
      <c r="E671" s="261" t="s">
        <v>1070</v>
      </c>
      <c r="F671" s="262" t="s">
        <v>1071</v>
      </c>
      <c r="G671" s="263" t="s">
        <v>272</v>
      </c>
      <c r="H671" s="264">
        <v>824.35799999999995</v>
      </c>
      <c r="I671" s="265"/>
      <c r="J671" s="266">
        <f>ROUND(I671*H671,1)</f>
        <v>0</v>
      </c>
      <c r="K671" s="262" t="s">
        <v>206</v>
      </c>
      <c r="L671" s="267"/>
      <c r="M671" s="268" t="s">
        <v>32</v>
      </c>
      <c r="N671" s="269" t="s">
        <v>49</v>
      </c>
      <c r="O671" s="86"/>
      <c r="P671" s="218">
        <f>O671*H671</f>
        <v>0</v>
      </c>
      <c r="Q671" s="218">
        <v>0.0047999999999999996</v>
      </c>
      <c r="R671" s="218">
        <f>Q671*H671</f>
        <v>3.9569183999999993</v>
      </c>
      <c r="S671" s="218">
        <v>0</v>
      </c>
      <c r="T671" s="219">
        <f>S671*H671</f>
        <v>0</v>
      </c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R671" s="220" t="s">
        <v>429</v>
      </c>
      <c r="AT671" s="220" t="s">
        <v>292</v>
      </c>
      <c r="AU671" s="220" t="s">
        <v>88</v>
      </c>
      <c r="AY671" s="18" t="s">
        <v>200</v>
      </c>
      <c r="BE671" s="221">
        <f>IF(N671="základní",J671,0)</f>
        <v>0</v>
      </c>
      <c r="BF671" s="221">
        <f>IF(N671="snížená",J671,0)</f>
        <v>0</v>
      </c>
      <c r="BG671" s="221">
        <f>IF(N671="zákl. přenesená",J671,0)</f>
        <v>0</v>
      </c>
      <c r="BH671" s="221">
        <f>IF(N671="sníž. přenesená",J671,0)</f>
        <v>0</v>
      </c>
      <c r="BI671" s="221">
        <f>IF(N671="nulová",J671,0)</f>
        <v>0</v>
      </c>
      <c r="BJ671" s="18" t="s">
        <v>86</v>
      </c>
      <c r="BK671" s="221">
        <f>ROUND(I671*H671,1)</f>
        <v>0</v>
      </c>
      <c r="BL671" s="18" t="s">
        <v>310</v>
      </c>
      <c r="BM671" s="220" t="s">
        <v>1072</v>
      </c>
    </row>
    <row r="672" s="13" customFormat="1">
      <c r="A672" s="13"/>
      <c r="B672" s="227"/>
      <c r="C672" s="228"/>
      <c r="D672" s="229" t="s">
        <v>211</v>
      </c>
      <c r="E672" s="228"/>
      <c r="F672" s="231" t="s">
        <v>1073</v>
      </c>
      <c r="G672" s="228"/>
      <c r="H672" s="232">
        <v>824.35799999999995</v>
      </c>
      <c r="I672" s="233"/>
      <c r="J672" s="228"/>
      <c r="K672" s="228"/>
      <c r="L672" s="234"/>
      <c r="M672" s="235"/>
      <c r="N672" s="236"/>
      <c r="O672" s="236"/>
      <c r="P672" s="236"/>
      <c r="Q672" s="236"/>
      <c r="R672" s="236"/>
      <c r="S672" s="236"/>
      <c r="T672" s="237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T672" s="238" t="s">
        <v>211</v>
      </c>
      <c r="AU672" s="238" t="s">
        <v>88</v>
      </c>
      <c r="AV672" s="13" t="s">
        <v>88</v>
      </c>
      <c r="AW672" s="13" t="s">
        <v>4</v>
      </c>
      <c r="AX672" s="13" t="s">
        <v>86</v>
      </c>
      <c r="AY672" s="238" t="s">
        <v>200</v>
      </c>
    </row>
    <row r="673" s="2" customFormat="1" ht="24.15" customHeight="1">
      <c r="A673" s="40"/>
      <c r="B673" s="41"/>
      <c r="C673" s="209" t="s">
        <v>1074</v>
      </c>
      <c r="D673" s="209" t="s">
        <v>202</v>
      </c>
      <c r="E673" s="210" t="s">
        <v>1075</v>
      </c>
      <c r="F673" s="211" t="s">
        <v>1076</v>
      </c>
      <c r="G673" s="212" t="s">
        <v>272</v>
      </c>
      <c r="H673" s="213">
        <v>536.54999999999995</v>
      </c>
      <c r="I673" s="214"/>
      <c r="J673" s="215">
        <f>ROUND(I673*H673,1)</f>
        <v>0</v>
      </c>
      <c r="K673" s="211" t="s">
        <v>206</v>
      </c>
      <c r="L673" s="46"/>
      <c r="M673" s="216" t="s">
        <v>32</v>
      </c>
      <c r="N673" s="217" t="s">
        <v>49</v>
      </c>
      <c r="O673" s="86"/>
      <c r="P673" s="218">
        <f>O673*H673</f>
        <v>0</v>
      </c>
      <c r="Q673" s="218">
        <v>0</v>
      </c>
      <c r="R673" s="218">
        <f>Q673*H673</f>
        <v>0</v>
      </c>
      <c r="S673" s="218">
        <v>0</v>
      </c>
      <c r="T673" s="219">
        <f>S673*H673</f>
        <v>0</v>
      </c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R673" s="220" t="s">
        <v>310</v>
      </c>
      <c r="AT673" s="220" t="s">
        <v>202</v>
      </c>
      <c r="AU673" s="220" t="s">
        <v>88</v>
      </c>
      <c r="AY673" s="18" t="s">
        <v>200</v>
      </c>
      <c r="BE673" s="221">
        <f>IF(N673="základní",J673,0)</f>
        <v>0</v>
      </c>
      <c r="BF673" s="221">
        <f>IF(N673="snížená",J673,0)</f>
        <v>0</v>
      </c>
      <c r="BG673" s="221">
        <f>IF(N673="zákl. přenesená",J673,0)</f>
        <v>0</v>
      </c>
      <c r="BH673" s="221">
        <f>IF(N673="sníž. přenesená",J673,0)</f>
        <v>0</v>
      </c>
      <c r="BI673" s="221">
        <f>IF(N673="nulová",J673,0)</f>
        <v>0</v>
      </c>
      <c r="BJ673" s="18" t="s">
        <v>86</v>
      </c>
      <c r="BK673" s="221">
        <f>ROUND(I673*H673,1)</f>
        <v>0</v>
      </c>
      <c r="BL673" s="18" t="s">
        <v>310</v>
      </c>
      <c r="BM673" s="220" t="s">
        <v>1077</v>
      </c>
    </row>
    <row r="674" s="2" customFormat="1">
      <c r="A674" s="40"/>
      <c r="B674" s="41"/>
      <c r="C674" s="42"/>
      <c r="D674" s="222" t="s">
        <v>209</v>
      </c>
      <c r="E674" s="42"/>
      <c r="F674" s="223" t="s">
        <v>1078</v>
      </c>
      <c r="G674" s="42"/>
      <c r="H674" s="42"/>
      <c r="I674" s="224"/>
      <c r="J674" s="42"/>
      <c r="K674" s="42"/>
      <c r="L674" s="46"/>
      <c r="M674" s="225"/>
      <c r="N674" s="226"/>
      <c r="O674" s="86"/>
      <c r="P674" s="86"/>
      <c r="Q674" s="86"/>
      <c r="R674" s="86"/>
      <c r="S674" s="86"/>
      <c r="T674" s="87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T674" s="18" t="s">
        <v>209</v>
      </c>
      <c r="AU674" s="18" t="s">
        <v>88</v>
      </c>
    </row>
    <row r="675" s="13" customFormat="1">
      <c r="A675" s="13"/>
      <c r="B675" s="227"/>
      <c r="C675" s="228"/>
      <c r="D675" s="229" t="s">
        <v>211</v>
      </c>
      <c r="E675" s="230" t="s">
        <v>32</v>
      </c>
      <c r="F675" s="231" t="s">
        <v>1030</v>
      </c>
      <c r="G675" s="228"/>
      <c r="H675" s="232">
        <v>536.54999999999995</v>
      </c>
      <c r="I675" s="233"/>
      <c r="J675" s="228"/>
      <c r="K675" s="228"/>
      <c r="L675" s="234"/>
      <c r="M675" s="235"/>
      <c r="N675" s="236"/>
      <c r="O675" s="236"/>
      <c r="P675" s="236"/>
      <c r="Q675" s="236"/>
      <c r="R675" s="236"/>
      <c r="S675" s="236"/>
      <c r="T675" s="237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T675" s="238" t="s">
        <v>211</v>
      </c>
      <c r="AU675" s="238" t="s">
        <v>88</v>
      </c>
      <c r="AV675" s="13" t="s">
        <v>88</v>
      </c>
      <c r="AW675" s="13" t="s">
        <v>213</v>
      </c>
      <c r="AX675" s="13" t="s">
        <v>86</v>
      </c>
      <c r="AY675" s="238" t="s">
        <v>200</v>
      </c>
    </row>
    <row r="676" s="2" customFormat="1" ht="16.5" customHeight="1">
      <c r="A676" s="40"/>
      <c r="B676" s="41"/>
      <c r="C676" s="260" t="s">
        <v>1079</v>
      </c>
      <c r="D676" s="260" t="s">
        <v>292</v>
      </c>
      <c r="E676" s="261" t="s">
        <v>1080</v>
      </c>
      <c r="F676" s="262" t="s">
        <v>1081</v>
      </c>
      <c r="G676" s="263" t="s">
        <v>272</v>
      </c>
      <c r="H676" s="264">
        <v>625.34900000000005</v>
      </c>
      <c r="I676" s="265"/>
      <c r="J676" s="266">
        <f>ROUND(I676*H676,1)</f>
        <v>0</v>
      </c>
      <c r="K676" s="262" t="s">
        <v>206</v>
      </c>
      <c r="L676" s="267"/>
      <c r="M676" s="268" t="s">
        <v>32</v>
      </c>
      <c r="N676" s="269" t="s">
        <v>49</v>
      </c>
      <c r="O676" s="86"/>
      <c r="P676" s="218">
        <f>O676*H676</f>
        <v>0</v>
      </c>
      <c r="Q676" s="218">
        <v>0.00017000000000000001</v>
      </c>
      <c r="R676" s="218">
        <f>Q676*H676</f>
        <v>0.10630933000000002</v>
      </c>
      <c r="S676" s="218">
        <v>0</v>
      </c>
      <c r="T676" s="219">
        <f>S676*H676</f>
        <v>0</v>
      </c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R676" s="220" t="s">
        <v>429</v>
      </c>
      <c r="AT676" s="220" t="s">
        <v>292</v>
      </c>
      <c r="AU676" s="220" t="s">
        <v>88</v>
      </c>
      <c r="AY676" s="18" t="s">
        <v>200</v>
      </c>
      <c r="BE676" s="221">
        <f>IF(N676="základní",J676,0)</f>
        <v>0</v>
      </c>
      <c r="BF676" s="221">
        <f>IF(N676="snížená",J676,0)</f>
        <v>0</v>
      </c>
      <c r="BG676" s="221">
        <f>IF(N676="zákl. přenesená",J676,0)</f>
        <v>0</v>
      </c>
      <c r="BH676" s="221">
        <f>IF(N676="sníž. přenesená",J676,0)</f>
        <v>0</v>
      </c>
      <c r="BI676" s="221">
        <f>IF(N676="nulová",J676,0)</f>
        <v>0</v>
      </c>
      <c r="BJ676" s="18" t="s">
        <v>86</v>
      </c>
      <c r="BK676" s="221">
        <f>ROUND(I676*H676,1)</f>
        <v>0</v>
      </c>
      <c r="BL676" s="18" t="s">
        <v>310</v>
      </c>
      <c r="BM676" s="220" t="s">
        <v>1082</v>
      </c>
    </row>
    <row r="677" s="13" customFormat="1">
      <c r="A677" s="13"/>
      <c r="B677" s="227"/>
      <c r="C677" s="228"/>
      <c r="D677" s="229" t="s">
        <v>211</v>
      </c>
      <c r="E677" s="228"/>
      <c r="F677" s="231" t="s">
        <v>1083</v>
      </c>
      <c r="G677" s="228"/>
      <c r="H677" s="232">
        <v>625.34900000000005</v>
      </c>
      <c r="I677" s="233"/>
      <c r="J677" s="228"/>
      <c r="K677" s="228"/>
      <c r="L677" s="234"/>
      <c r="M677" s="235"/>
      <c r="N677" s="236"/>
      <c r="O677" s="236"/>
      <c r="P677" s="236"/>
      <c r="Q677" s="236"/>
      <c r="R677" s="236"/>
      <c r="S677" s="236"/>
      <c r="T677" s="237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T677" s="238" t="s">
        <v>211</v>
      </c>
      <c r="AU677" s="238" t="s">
        <v>88</v>
      </c>
      <c r="AV677" s="13" t="s">
        <v>88</v>
      </c>
      <c r="AW677" s="13" t="s">
        <v>4</v>
      </c>
      <c r="AX677" s="13" t="s">
        <v>86</v>
      </c>
      <c r="AY677" s="238" t="s">
        <v>200</v>
      </c>
    </row>
    <row r="678" s="2" customFormat="1" ht="24.15" customHeight="1">
      <c r="A678" s="40"/>
      <c r="B678" s="41"/>
      <c r="C678" s="209" t="s">
        <v>1084</v>
      </c>
      <c r="D678" s="209" t="s">
        <v>202</v>
      </c>
      <c r="E678" s="210" t="s">
        <v>1085</v>
      </c>
      <c r="F678" s="211" t="s">
        <v>1086</v>
      </c>
      <c r="G678" s="212" t="s">
        <v>250</v>
      </c>
      <c r="H678" s="213">
        <v>11.109</v>
      </c>
      <c r="I678" s="214"/>
      <c r="J678" s="215">
        <f>ROUND(I678*H678,1)</f>
        <v>0</v>
      </c>
      <c r="K678" s="211" t="s">
        <v>206</v>
      </c>
      <c r="L678" s="46"/>
      <c r="M678" s="216" t="s">
        <v>32</v>
      </c>
      <c r="N678" s="217" t="s">
        <v>49</v>
      </c>
      <c r="O678" s="86"/>
      <c r="P678" s="218">
        <f>O678*H678</f>
        <v>0</v>
      </c>
      <c r="Q678" s="218">
        <v>0</v>
      </c>
      <c r="R678" s="218">
        <f>Q678*H678</f>
        <v>0</v>
      </c>
      <c r="S678" s="218">
        <v>0</v>
      </c>
      <c r="T678" s="219">
        <f>S678*H678</f>
        <v>0</v>
      </c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R678" s="220" t="s">
        <v>310</v>
      </c>
      <c r="AT678" s="220" t="s">
        <v>202</v>
      </c>
      <c r="AU678" s="220" t="s">
        <v>88</v>
      </c>
      <c r="AY678" s="18" t="s">
        <v>200</v>
      </c>
      <c r="BE678" s="221">
        <f>IF(N678="základní",J678,0)</f>
        <v>0</v>
      </c>
      <c r="BF678" s="221">
        <f>IF(N678="snížená",J678,0)</f>
        <v>0</v>
      </c>
      <c r="BG678" s="221">
        <f>IF(N678="zákl. přenesená",J678,0)</f>
        <v>0</v>
      </c>
      <c r="BH678" s="221">
        <f>IF(N678="sníž. přenesená",J678,0)</f>
        <v>0</v>
      </c>
      <c r="BI678" s="221">
        <f>IF(N678="nulová",J678,0)</f>
        <v>0</v>
      </c>
      <c r="BJ678" s="18" t="s">
        <v>86</v>
      </c>
      <c r="BK678" s="221">
        <f>ROUND(I678*H678,1)</f>
        <v>0</v>
      </c>
      <c r="BL678" s="18" t="s">
        <v>310</v>
      </c>
      <c r="BM678" s="220" t="s">
        <v>1087</v>
      </c>
    </row>
    <row r="679" s="2" customFormat="1">
      <c r="A679" s="40"/>
      <c r="B679" s="41"/>
      <c r="C679" s="42"/>
      <c r="D679" s="222" t="s">
        <v>209</v>
      </c>
      <c r="E679" s="42"/>
      <c r="F679" s="223" t="s">
        <v>1088</v>
      </c>
      <c r="G679" s="42"/>
      <c r="H679" s="42"/>
      <c r="I679" s="224"/>
      <c r="J679" s="42"/>
      <c r="K679" s="42"/>
      <c r="L679" s="46"/>
      <c r="M679" s="225"/>
      <c r="N679" s="226"/>
      <c r="O679" s="86"/>
      <c r="P679" s="86"/>
      <c r="Q679" s="86"/>
      <c r="R679" s="86"/>
      <c r="S679" s="86"/>
      <c r="T679" s="87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T679" s="18" t="s">
        <v>209</v>
      </c>
      <c r="AU679" s="18" t="s">
        <v>88</v>
      </c>
    </row>
    <row r="680" s="12" customFormat="1" ht="22.8" customHeight="1">
      <c r="A680" s="12"/>
      <c r="B680" s="193"/>
      <c r="C680" s="194"/>
      <c r="D680" s="195" t="s">
        <v>77</v>
      </c>
      <c r="E680" s="207" t="s">
        <v>1089</v>
      </c>
      <c r="F680" s="207" t="s">
        <v>1090</v>
      </c>
      <c r="G680" s="194"/>
      <c r="H680" s="194"/>
      <c r="I680" s="197"/>
      <c r="J680" s="208">
        <f>BK680</f>
        <v>0</v>
      </c>
      <c r="K680" s="194"/>
      <c r="L680" s="199"/>
      <c r="M680" s="200"/>
      <c r="N680" s="201"/>
      <c r="O680" s="201"/>
      <c r="P680" s="202">
        <f>SUM(P681:P684)</f>
        <v>0</v>
      </c>
      <c r="Q680" s="201"/>
      <c r="R680" s="202">
        <f>SUM(R681:R684)</f>
        <v>0.035700000000000003</v>
      </c>
      <c r="S680" s="201"/>
      <c r="T680" s="203">
        <f>SUM(T681:T684)</f>
        <v>0</v>
      </c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R680" s="204" t="s">
        <v>88</v>
      </c>
      <c r="AT680" s="205" t="s">
        <v>77</v>
      </c>
      <c r="AU680" s="205" t="s">
        <v>86</v>
      </c>
      <c r="AY680" s="204" t="s">
        <v>200</v>
      </c>
      <c r="BK680" s="206">
        <f>SUM(BK681:BK684)</f>
        <v>0</v>
      </c>
    </row>
    <row r="681" s="2" customFormat="1" ht="16.5" customHeight="1">
      <c r="A681" s="40"/>
      <c r="B681" s="41"/>
      <c r="C681" s="209" t="s">
        <v>1091</v>
      </c>
      <c r="D681" s="209" t="s">
        <v>202</v>
      </c>
      <c r="E681" s="210" t="s">
        <v>1092</v>
      </c>
      <c r="F681" s="211" t="s">
        <v>1093</v>
      </c>
      <c r="G681" s="212" t="s">
        <v>1094</v>
      </c>
      <c r="H681" s="213">
        <v>2</v>
      </c>
      <c r="I681" s="214"/>
      <c r="J681" s="215">
        <f>ROUND(I681*H681,1)</f>
        <v>0</v>
      </c>
      <c r="K681" s="211" t="s">
        <v>206</v>
      </c>
      <c r="L681" s="46"/>
      <c r="M681" s="216" t="s">
        <v>32</v>
      </c>
      <c r="N681" s="217" t="s">
        <v>49</v>
      </c>
      <c r="O681" s="86"/>
      <c r="P681" s="218">
        <f>O681*H681</f>
        <v>0</v>
      </c>
      <c r="Q681" s="218">
        <v>0.017850000000000001</v>
      </c>
      <c r="R681" s="218">
        <f>Q681*H681</f>
        <v>0.035700000000000003</v>
      </c>
      <c r="S681" s="218">
        <v>0</v>
      </c>
      <c r="T681" s="219">
        <f>S681*H681</f>
        <v>0</v>
      </c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R681" s="220" t="s">
        <v>310</v>
      </c>
      <c r="AT681" s="220" t="s">
        <v>202</v>
      </c>
      <c r="AU681" s="220" t="s">
        <v>88</v>
      </c>
      <c r="AY681" s="18" t="s">
        <v>200</v>
      </c>
      <c r="BE681" s="221">
        <f>IF(N681="základní",J681,0)</f>
        <v>0</v>
      </c>
      <c r="BF681" s="221">
        <f>IF(N681="snížená",J681,0)</f>
        <v>0</v>
      </c>
      <c r="BG681" s="221">
        <f>IF(N681="zákl. přenesená",J681,0)</f>
        <v>0</v>
      </c>
      <c r="BH681" s="221">
        <f>IF(N681="sníž. přenesená",J681,0)</f>
        <v>0</v>
      </c>
      <c r="BI681" s="221">
        <f>IF(N681="nulová",J681,0)</f>
        <v>0</v>
      </c>
      <c r="BJ681" s="18" t="s">
        <v>86</v>
      </c>
      <c r="BK681" s="221">
        <f>ROUND(I681*H681,1)</f>
        <v>0</v>
      </c>
      <c r="BL681" s="18" t="s">
        <v>310</v>
      </c>
      <c r="BM681" s="220" t="s">
        <v>1095</v>
      </c>
    </row>
    <row r="682" s="2" customFormat="1">
      <c r="A682" s="40"/>
      <c r="B682" s="41"/>
      <c r="C682" s="42"/>
      <c r="D682" s="222" t="s">
        <v>209</v>
      </c>
      <c r="E682" s="42"/>
      <c r="F682" s="223" t="s">
        <v>1096</v>
      </c>
      <c r="G682" s="42"/>
      <c r="H682" s="42"/>
      <c r="I682" s="224"/>
      <c r="J682" s="42"/>
      <c r="K682" s="42"/>
      <c r="L682" s="46"/>
      <c r="M682" s="225"/>
      <c r="N682" s="226"/>
      <c r="O682" s="86"/>
      <c r="P682" s="86"/>
      <c r="Q682" s="86"/>
      <c r="R682" s="86"/>
      <c r="S682" s="86"/>
      <c r="T682" s="87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T682" s="18" t="s">
        <v>209</v>
      </c>
      <c r="AU682" s="18" t="s">
        <v>88</v>
      </c>
    </row>
    <row r="683" s="2" customFormat="1">
      <c r="A683" s="40"/>
      <c r="B683" s="41"/>
      <c r="C683" s="42"/>
      <c r="D683" s="229" t="s">
        <v>355</v>
      </c>
      <c r="E683" s="42"/>
      <c r="F683" s="281" t="s">
        <v>1097</v>
      </c>
      <c r="G683" s="42"/>
      <c r="H683" s="42"/>
      <c r="I683" s="224"/>
      <c r="J683" s="42"/>
      <c r="K683" s="42"/>
      <c r="L683" s="46"/>
      <c r="M683" s="225"/>
      <c r="N683" s="226"/>
      <c r="O683" s="86"/>
      <c r="P683" s="86"/>
      <c r="Q683" s="86"/>
      <c r="R683" s="86"/>
      <c r="S683" s="86"/>
      <c r="T683" s="87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T683" s="18" t="s">
        <v>355</v>
      </c>
      <c r="AU683" s="18" t="s">
        <v>88</v>
      </c>
    </row>
    <row r="684" s="13" customFormat="1">
      <c r="A684" s="13"/>
      <c r="B684" s="227"/>
      <c r="C684" s="228"/>
      <c r="D684" s="229" t="s">
        <v>211</v>
      </c>
      <c r="E684" s="230" t="s">
        <v>32</v>
      </c>
      <c r="F684" s="231" t="s">
        <v>1098</v>
      </c>
      <c r="G684" s="228"/>
      <c r="H684" s="232">
        <v>2</v>
      </c>
      <c r="I684" s="233"/>
      <c r="J684" s="228"/>
      <c r="K684" s="228"/>
      <c r="L684" s="234"/>
      <c r="M684" s="235"/>
      <c r="N684" s="236"/>
      <c r="O684" s="236"/>
      <c r="P684" s="236"/>
      <c r="Q684" s="236"/>
      <c r="R684" s="236"/>
      <c r="S684" s="236"/>
      <c r="T684" s="237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T684" s="238" t="s">
        <v>211</v>
      </c>
      <c r="AU684" s="238" t="s">
        <v>88</v>
      </c>
      <c r="AV684" s="13" t="s">
        <v>88</v>
      </c>
      <c r="AW684" s="13" t="s">
        <v>213</v>
      </c>
      <c r="AX684" s="13" t="s">
        <v>86</v>
      </c>
      <c r="AY684" s="238" t="s">
        <v>200</v>
      </c>
    </row>
    <row r="685" s="12" customFormat="1" ht="22.8" customHeight="1">
      <c r="A685" s="12"/>
      <c r="B685" s="193"/>
      <c r="C685" s="194"/>
      <c r="D685" s="195" t="s">
        <v>77</v>
      </c>
      <c r="E685" s="207" t="s">
        <v>1099</v>
      </c>
      <c r="F685" s="207" t="s">
        <v>1100</v>
      </c>
      <c r="G685" s="194"/>
      <c r="H685" s="194"/>
      <c r="I685" s="197"/>
      <c r="J685" s="208">
        <f>BK685</f>
        <v>0</v>
      </c>
      <c r="K685" s="194"/>
      <c r="L685" s="199"/>
      <c r="M685" s="200"/>
      <c r="N685" s="201"/>
      <c r="O685" s="201"/>
      <c r="P685" s="202">
        <f>SUM(P686:P723)</f>
        <v>0</v>
      </c>
      <c r="Q685" s="201"/>
      <c r="R685" s="202">
        <f>SUM(R686:R723)</f>
        <v>0.054750000000000007</v>
      </c>
      <c r="S685" s="201"/>
      <c r="T685" s="203">
        <f>SUM(T686:T723)</f>
        <v>0</v>
      </c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R685" s="204" t="s">
        <v>88</v>
      </c>
      <c r="AT685" s="205" t="s">
        <v>77</v>
      </c>
      <c r="AU685" s="205" t="s">
        <v>86</v>
      </c>
      <c r="AY685" s="204" t="s">
        <v>200</v>
      </c>
      <c r="BK685" s="206">
        <f>SUM(BK686:BK723)</f>
        <v>0</v>
      </c>
    </row>
    <row r="686" s="2" customFormat="1" ht="16.5" customHeight="1">
      <c r="A686" s="40"/>
      <c r="B686" s="41"/>
      <c r="C686" s="209" t="s">
        <v>1101</v>
      </c>
      <c r="D686" s="209" t="s">
        <v>202</v>
      </c>
      <c r="E686" s="210" t="s">
        <v>1102</v>
      </c>
      <c r="F686" s="211" t="s">
        <v>1103</v>
      </c>
      <c r="G686" s="212" t="s">
        <v>1094</v>
      </c>
      <c r="H686" s="213">
        <v>2</v>
      </c>
      <c r="I686" s="214"/>
      <c r="J686" s="215">
        <f>ROUND(I686*H686,1)</f>
        <v>0</v>
      </c>
      <c r="K686" s="211" t="s">
        <v>32</v>
      </c>
      <c r="L686" s="46"/>
      <c r="M686" s="216" t="s">
        <v>32</v>
      </c>
      <c r="N686" s="217" t="s">
        <v>49</v>
      </c>
      <c r="O686" s="86"/>
      <c r="P686" s="218">
        <f>O686*H686</f>
        <v>0</v>
      </c>
      <c r="Q686" s="218">
        <v>0.00075000000000000002</v>
      </c>
      <c r="R686" s="218">
        <f>Q686*H686</f>
        <v>0.0015</v>
      </c>
      <c r="S686" s="218">
        <v>0</v>
      </c>
      <c r="T686" s="219">
        <f>S686*H686</f>
        <v>0</v>
      </c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R686" s="220" t="s">
        <v>310</v>
      </c>
      <c r="AT686" s="220" t="s">
        <v>202</v>
      </c>
      <c r="AU686" s="220" t="s">
        <v>88</v>
      </c>
      <c r="AY686" s="18" t="s">
        <v>200</v>
      </c>
      <c r="BE686" s="221">
        <f>IF(N686="základní",J686,0)</f>
        <v>0</v>
      </c>
      <c r="BF686" s="221">
        <f>IF(N686="snížená",J686,0)</f>
        <v>0</v>
      </c>
      <c r="BG686" s="221">
        <f>IF(N686="zákl. přenesená",J686,0)</f>
        <v>0</v>
      </c>
      <c r="BH686" s="221">
        <f>IF(N686="sníž. přenesená",J686,0)</f>
        <v>0</v>
      </c>
      <c r="BI686" s="221">
        <f>IF(N686="nulová",J686,0)</f>
        <v>0</v>
      </c>
      <c r="BJ686" s="18" t="s">
        <v>86</v>
      </c>
      <c r="BK686" s="221">
        <f>ROUND(I686*H686,1)</f>
        <v>0</v>
      </c>
      <c r="BL686" s="18" t="s">
        <v>310</v>
      </c>
      <c r="BM686" s="220" t="s">
        <v>1104</v>
      </c>
    </row>
    <row r="687" s="13" customFormat="1">
      <c r="A687" s="13"/>
      <c r="B687" s="227"/>
      <c r="C687" s="228"/>
      <c r="D687" s="229" t="s">
        <v>211</v>
      </c>
      <c r="E687" s="230" t="s">
        <v>32</v>
      </c>
      <c r="F687" s="231" t="s">
        <v>88</v>
      </c>
      <c r="G687" s="228"/>
      <c r="H687" s="232">
        <v>2</v>
      </c>
      <c r="I687" s="233"/>
      <c r="J687" s="228"/>
      <c r="K687" s="228"/>
      <c r="L687" s="234"/>
      <c r="M687" s="235"/>
      <c r="N687" s="236"/>
      <c r="O687" s="236"/>
      <c r="P687" s="236"/>
      <c r="Q687" s="236"/>
      <c r="R687" s="236"/>
      <c r="S687" s="236"/>
      <c r="T687" s="237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T687" s="238" t="s">
        <v>211</v>
      </c>
      <c r="AU687" s="238" t="s">
        <v>88</v>
      </c>
      <c r="AV687" s="13" t="s">
        <v>88</v>
      </c>
      <c r="AW687" s="13" t="s">
        <v>213</v>
      </c>
      <c r="AX687" s="13" t="s">
        <v>86</v>
      </c>
      <c r="AY687" s="238" t="s">
        <v>200</v>
      </c>
    </row>
    <row r="688" s="2" customFormat="1" ht="16.5" customHeight="1">
      <c r="A688" s="40"/>
      <c r="B688" s="41"/>
      <c r="C688" s="209" t="s">
        <v>1105</v>
      </c>
      <c r="D688" s="209" t="s">
        <v>202</v>
      </c>
      <c r="E688" s="210" t="s">
        <v>1106</v>
      </c>
      <c r="F688" s="211" t="s">
        <v>1107</v>
      </c>
      <c r="G688" s="212" t="s">
        <v>1094</v>
      </c>
      <c r="H688" s="213">
        <v>1</v>
      </c>
      <c r="I688" s="214"/>
      <c r="J688" s="215">
        <f>ROUND(I688*H688,1)</f>
        <v>0</v>
      </c>
      <c r="K688" s="211" t="s">
        <v>32</v>
      </c>
      <c r="L688" s="46"/>
      <c r="M688" s="216" t="s">
        <v>32</v>
      </c>
      <c r="N688" s="217" t="s">
        <v>49</v>
      </c>
      <c r="O688" s="86"/>
      <c r="P688" s="218">
        <f>O688*H688</f>
        <v>0</v>
      </c>
      <c r="Q688" s="218">
        <v>0.00075000000000000002</v>
      </c>
      <c r="R688" s="218">
        <f>Q688*H688</f>
        <v>0.00075000000000000002</v>
      </c>
      <c r="S688" s="218">
        <v>0</v>
      </c>
      <c r="T688" s="219">
        <f>S688*H688</f>
        <v>0</v>
      </c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R688" s="220" t="s">
        <v>310</v>
      </c>
      <c r="AT688" s="220" t="s">
        <v>202</v>
      </c>
      <c r="AU688" s="220" t="s">
        <v>88</v>
      </c>
      <c r="AY688" s="18" t="s">
        <v>200</v>
      </c>
      <c r="BE688" s="221">
        <f>IF(N688="základní",J688,0)</f>
        <v>0</v>
      </c>
      <c r="BF688" s="221">
        <f>IF(N688="snížená",J688,0)</f>
        <v>0</v>
      </c>
      <c r="BG688" s="221">
        <f>IF(N688="zákl. přenesená",J688,0)</f>
        <v>0</v>
      </c>
      <c r="BH688" s="221">
        <f>IF(N688="sníž. přenesená",J688,0)</f>
        <v>0</v>
      </c>
      <c r="BI688" s="221">
        <f>IF(N688="nulová",J688,0)</f>
        <v>0</v>
      </c>
      <c r="BJ688" s="18" t="s">
        <v>86</v>
      </c>
      <c r="BK688" s="221">
        <f>ROUND(I688*H688,1)</f>
        <v>0</v>
      </c>
      <c r="BL688" s="18" t="s">
        <v>310</v>
      </c>
      <c r="BM688" s="220" t="s">
        <v>1108</v>
      </c>
    </row>
    <row r="689" s="13" customFormat="1">
      <c r="A689" s="13"/>
      <c r="B689" s="227"/>
      <c r="C689" s="228"/>
      <c r="D689" s="229" t="s">
        <v>211</v>
      </c>
      <c r="E689" s="230" t="s">
        <v>32</v>
      </c>
      <c r="F689" s="231" t="s">
        <v>86</v>
      </c>
      <c r="G689" s="228"/>
      <c r="H689" s="232">
        <v>1</v>
      </c>
      <c r="I689" s="233"/>
      <c r="J689" s="228"/>
      <c r="K689" s="228"/>
      <c r="L689" s="234"/>
      <c r="M689" s="235"/>
      <c r="N689" s="236"/>
      <c r="O689" s="236"/>
      <c r="P689" s="236"/>
      <c r="Q689" s="236"/>
      <c r="R689" s="236"/>
      <c r="S689" s="236"/>
      <c r="T689" s="237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T689" s="238" t="s">
        <v>211</v>
      </c>
      <c r="AU689" s="238" t="s">
        <v>88</v>
      </c>
      <c r="AV689" s="13" t="s">
        <v>88</v>
      </c>
      <c r="AW689" s="13" t="s">
        <v>213</v>
      </c>
      <c r="AX689" s="13" t="s">
        <v>86</v>
      </c>
      <c r="AY689" s="238" t="s">
        <v>200</v>
      </c>
    </row>
    <row r="690" s="2" customFormat="1" ht="16.5" customHeight="1">
      <c r="A690" s="40"/>
      <c r="B690" s="41"/>
      <c r="C690" s="209" t="s">
        <v>1109</v>
      </c>
      <c r="D690" s="209" t="s">
        <v>202</v>
      </c>
      <c r="E690" s="210" t="s">
        <v>1110</v>
      </c>
      <c r="F690" s="211" t="s">
        <v>1111</v>
      </c>
      <c r="G690" s="212" t="s">
        <v>1094</v>
      </c>
      <c r="H690" s="213">
        <v>1</v>
      </c>
      <c r="I690" s="214"/>
      <c r="J690" s="215">
        <f>ROUND(I690*H690,1)</f>
        <v>0</v>
      </c>
      <c r="K690" s="211" t="s">
        <v>32</v>
      </c>
      <c r="L690" s="46"/>
      <c r="M690" s="216" t="s">
        <v>32</v>
      </c>
      <c r="N690" s="217" t="s">
        <v>49</v>
      </c>
      <c r="O690" s="86"/>
      <c r="P690" s="218">
        <f>O690*H690</f>
        <v>0</v>
      </c>
      <c r="Q690" s="218">
        <v>0.00075000000000000002</v>
      </c>
      <c r="R690" s="218">
        <f>Q690*H690</f>
        <v>0.00075000000000000002</v>
      </c>
      <c r="S690" s="218">
        <v>0</v>
      </c>
      <c r="T690" s="219">
        <f>S690*H690</f>
        <v>0</v>
      </c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R690" s="220" t="s">
        <v>310</v>
      </c>
      <c r="AT690" s="220" t="s">
        <v>202</v>
      </c>
      <c r="AU690" s="220" t="s">
        <v>88</v>
      </c>
      <c r="AY690" s="18" t="s">
        <v>200</v>
      </c>
      <c r="BE690" s="221">
        <f>IF(N690="základní",J690,0)</f>
        <v>0</v>
      </c>
      <c r="BF690" s="221">
        <f>IF(N690="snížená",J690,0)</f>
        <v>0</v>
      </c>
      <c r="BG690" s="221">
        <f>IF(N690="zákl. přenesená",J690,0)</f>
        <v>0</v>
      </c>
      <c r="BH690" s="221">
        <f>IF(N690="sníž. přenesená",J690,0)</f>
        <v>0</v>
      </c>
      <c r="BI690" s="221">
        <f>IF(N690="nulová",J690,0)</f>
        <v>0</v>
      </c>
      <c r="BJ690" s="18" t="s">
        <v>86</v>
      </c>
      <c r="BK690" s="221">
        <f>ROUND(I690*H690,1)</f>
        <v>0</v>
      </c>
      <c r="BL690" s="18" t="s">
        <v>310</v>
      </c>
      <c r="BM690" s="220" t="s">
        <v>1112</v>
      </c>
    </row>
    <row r="691" s="13" customFormat="1">
      <c r="A691" s="13"/>
      <c r="B691" s="227"/>
      <c r="C691" s="228"/>
      <c r="D691" s="229" t="s">
        <v>211</v>
      </c>
      <c r="E691" s="230" t="s">
        <v>32</v>
      </c>
      <c r="F691" s="231" t="s">
        <v>86</v>
      </c>
      <c r="G691" s="228"/>
      <c r="H691" s="232">
        <v>1</v>
      </c>
      <c r="I691" s="233"/>
      <c r="J691" s="228"/>
      <c r="K691" s="228"/>
      <c r="L691" s="234"/>
      <c r="M691" s="235"/>
      <c r="N691" s="236"/>
      <c r="O691" s="236"/>
      <c r="P691" s="236"/>
      <c r="Q691" s="236"/>
      <c r="R691" s="236"/>
      <c r="S691" s="236"/>
      <c r="T691" s="237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T691" s="238" t="s">
        <v>211</v>
      </c>
      <c r="AU691" s="238" t="s">
        <v>88</v>
      </c>
      <c r="AV691" s="13" t="s">
        <v>88</v>
      </c>
      <c r="AW691" s="13" t="s">
        <v>213</v>
      </c>
      <c r="AX691" s="13" t="s">
        <v>86</v>
      </c>
      <c r="AY691" s="238" t="s">
        <v>200</v>
      </c>
    </row>
    <row r="692" s="2" customFormat="1" ht="16.5" customHeight="1">
      <c r="A692" s="40"/>
      <c r="B692" s="41"/>
      <c r="C692" s="209" t="s">
        <v>1113</v>
      </c>
      <c r="D692" s="209" t="s">
        <v>202</v>
      </c>
      <c r="E692" s="210" t="s">
        <v>1114</v>
      </c>
      <c r="F692" s="211" t="s">
        <v>1115</v>
      </c>
      <c r="G692" s="212" t="s">
        <v>1094</v>
      </c>
      <c r="H692" s="213">
        <v>3</v>
      </c>
      <c r="I692" s="214"/>
      <c r="J692" s="215">
        <f>ROUND(I692*H692,1)</f>
        <v>0</v>
      </c>
      <c r="K692" s="211" t="s">
        <v>32</v>
      </c>
      <c r="L692" s="46"/>
      <c r="M692" s="216" t="s">
        <v>32</v>
      </c>
      <c r="N692" s="217" t="s">
        <v>49</v>
      </c>
      <c r="O692" s="86"/>
      <c r="P692" s="218">
        <f>O692*H692</f>
        <v>0</v>
      </c>
      <c r="Q692" s="218">
        <v>0.00075000000000000002</v>
      </c>
      <c r="R692" s="218">
        <f>Q692*H692</f>
        <v>0.0022500000000000003</v>
      </c>
      <c r="S692" s="218">
        <v>0</v>
      </c>
      <c r="T692" s="219">
        <f>S692*H692</f>
        <v>0</v>
      </c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R692" s="220" t="s">
        <v>310</v>
      </c>
      <c r="AT692" s="220" t="s">
        <v>202</v>
      </c>
      <c r="AU692" s="220" t="s">
        <v>88</v>
      </c>
      <c r="AY692" s="18" t="s">
        <v>200</v>
      </c>
      <c r="BE692" s="221">
        <f>IF(N692="základní",J692,0)</f>
        <v>0</v>
      </c>
      <c r="BF692" s="221">
        <f>IF(N692="snížená",J692,0)</f>
        <v>0</v>
      </c>
      <c r="BG692" s="221">
        <f>IF(N692="zákl. přenesená",J692,0)</f>
        <v>0</v>
      </c>
      <c r="BH692" s="221">
        <f>IF(N692="sníž. přenesená",J692,0)</f>
        <v>0</v>
      </c>
      <c r="BI692" s="221">
        <f>IF(N692="nulová",J692,0)</f>
        <v>0</v>
      </c>
      <c r="BJ692" s="18" t="s">
        <v>86</v>
      </c>
      <c r="BK692" s="221">
        <f>ROUND(I692*H692,1)</f>
        <v>0</v>
      </c>
      <c r="BL692" s="18" t="s">
        <v>310</v>
      </c>
      <c r="BM692" s="220" t="s">
        <v>1116</v>
      </c>
    </row>
    <row r="693" s="13" customFormat="1">
      <c r="A693" s="13"/>
      <c r="B693" s="227"/>
      <c r="C693" s="228"/>
      <c r="D693" s="229" t="s">
        <v>211</v>
      </c>
      <c r="E693" s="230" t="s">
        <v>32</v>
      </c>
      <c r="F693" s="231" t="s">
        <v>148</v>
      </c>
      <c r="G693" s="228"/>
      <c r="H693" s="232">
        <v>3</v>
      </c>
      <c r="I693" s="233"/>
      <c r="J693" s="228"/>
      <c r="K693" s="228"/>
      <c r="L693" s="234"/>
      <c r="M693" s="235"/>
      <c r="N693" s="236"/>
      <c r="O693" s="236"/>
      <c r="P693" s="236"/>
      <c r="Q693" s="236"/>
      <c r="R693" s="236"/>
      <c r="S693" s="236"/>
      <c r="T693" s="237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T693" s="238" t="s">
        <v>211</v>
      </c>
      <c r="AU693" s="238" t="s">
        <v>88</v>
      </c>
      <c r="AV693" s="13" t="s">
        <v>88</v>
      </c>
      <c r="AW693" s="13" t="s">
        <v>213</v>
      </c>
      <c r="AX693" s="13" t="s">
        <v>86</v>
      </c>
      <c r="AY693" s="238" t="s">
        <v>200</v>
      </c>
    </row>
    <row r="694" s="2" customFormat="1" ht="16.5" customHeight="1">
      <c r="A694" s="40"/>
      <c r="B694" s="41"/>
      <c r="C694" s="209" t="s">
        <v>1117</v>
      </c>
      <c r="D694" s="209" t="s">
        <v>202</v>
      </c>
      <c r="E694" s="210" t="s">
        <v>1118</v>
      </c>
      <c r="F694" s="211" t="s">
        <v>1119</v>
      </c>
      <c r="G694" s="212" t="s">
        <v>1094</v>
      </c>
      <c r="H694" s="213">
        <v>1</v>
      </c>
      <c r="I694" s="214"/>
      <c r="J694" s="215">
        <f>ROUND(I694*H694,1)</f>
        <v>0</v>
      </c>
      <c r="K694" s="211" t="s">
        <v>32</v>
      </c>
      <c r="L694" s="46"/>
      <c r="M694" s="216" t="s">
        <v>32</v>
      </c>
      <c r="N694" s="217" t="s">
        <v>49</v>
      </c>
      <c r="O694" s="86"/>
      <c r="P694" s="218">
        <f>O694*H694</f>
        <v>0</v>
      </c>
      <c r="Q694" s="218">
        <v>0.00075000000000000002</v>
      </c>
      <c r="R694" s="218">
        <f>Q694*H694</f>
        <v>0.00075000000000000002</v>
      </c>
      <c r="S694" s="218">
        <v>0</v>
      </c>
      <c r="T694" s="219">
        <f>S694*H694</f>
        <v>0</v>
      </c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R694" s="220" t="s">
        <v>310</v>
      </c>
      <c r="AT694" s="220" t="s">
        <v>202</v>
      </c>
      <c r="AU694" s="220" t="s">
        <v>88</v>
      </c>
      <c r="AY694" s="18" t="s">
        <v>200</v>
      </c>
      <c r="BE694" s="221">
        <f>IF(N694="základní",J694,0)</f>
        <v>0</v>
      </c>
      <c r="BF694" s="221">
        <f>IF(N694="snížená",J694,0)</f>
        <v>0</v>
      </c>
      <c r="BG694" s="221">
        <f>IF(N694="zákl. přenesená",J694,0)</f>
        <v>0</v>
      </c>
      <c r="BH694" s="221">
        <f>IF(N694="sníž. přenesená",J694,0)</f>
        <v>0</v>
      </c>
      <c r="BI694" s="221">
        <f>IF(N694="nulová",J694,0)</f>
        <v>0</v>
      </c>
      <c r="BJ694" s="18" t="s">
        <v>86</v>
      </c>
      <c r="BK694" s="221">
        <f>ROUND(I694*H694,1)</f>
        <v>0</v>
      </c>
      <c r="BL694" s="18" t="s">
        <v>310</v>
      </c>
      <c r="BM694" s="220" t="s">
        <v>1120</v>
      </c>
    </row>
    <row r="695" s="13" customFormat="1">
      <c r="A695" s="13"/>
      <c r="B695" s="227"/>
      <c r="C695" s="228"/>
      <c r="D695" s="229" t="s">
        <v>211</v>
      </c>
      <c r="E695" s="230" t="s">
        <v>32</v>
      </c>
      <c r="F695" s="231" t="s">
        <v>86</v>
      </c>
      <c r="G695" s="228"/>
      <c r="H695" s="232">
        <v>1</v>
      </c>
      <c r="I695" s="233"/>
      <c r="J695" s="228"/>
      <c r="K695" s="228"/>
      <c r="L695" s="234"/>
      <c r="M695" s="235"/>
      <c r="N695" s="236"/>
      <c r="O695" s="236"/>
      <c r="P695" s="236"/>
      <c r="Q695" s="236"/>
      <c r="R695" s="236"/>
      <c r="S695" s="236"/>
      <c r="T695" s="237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T695" s="238" t="s">
        <v>211</v>
      </c>
      <c r="AU695" s="238" t="s">
        <v>88</v>
      </c>
      <c r="AV695" s="13" t="s">
        <v>88</v>
      </c>
      <c r="AW695" s="13" t="s">
        <v>213</v>
      </c>
      <c r="AX695" s="13" t="s">
        <v>86</v>
      </c>
      <c r="AY695" s="238" t="s">
        <v>200</v>
      </c>
    </row>
    <row r="696" s="2" customFormat="1" ht="16.5" customHeight="1">
      <c r="A696" s="40"/>
      <c r="B696" s="41"/>
      <c r="C696" s="209" t="s">
        <v>1121</v>
      </c>
      <c r="D696" s="209" t="s">
        <v>202</v>
      </c>
      <c r="E696" s="210" t="s">
        <v>1122</v>
      </c>
      <c r="F696" s="211" t="s">
        <v>1123</v>
      </c>
      <c r="G696" s="212" t="s">
        <v>1094</v>
      </c>
      <c r="H696" s="213">
        <v>1</v>
      </c>
      <c r="I696" s="214"/>
      <c r="J696" s="215">
        <f>ROUND(I696*H696,1)</f>
        <v>0</v>
      </c>
      <c r="K696" s="211" t="s">
        <v>32</v>
      </c>
      <c r="L696" s="46"/>
      <c r="M696" s="216" t="s">
        <v>32</v>
      </c>
      <c r="N696" s="217" t="s">
        <v>49</v>
      </c>
      <c r="O696" s="86"/>
      <c r="P696" s="218">
        <f>O696*H696</f>
        <v>0</v>
      </c>
      <c r="Q696" s="218">
        <v>0.00075000000000000002</v>
      </c>
      <c r="R696" s="218">
        <f>Q696*H696</f>
        <v>0.00075000000000000002</v>
      </c>
      <c r="S696" s="218">
        <v>0</v>
      </c>
      <c r="T696" s="219">
        <f>S696*H696</f>
        <v>0</v>
      </c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R696" s="220" t="s">
        <v>310</v>
      </c>
      <c r="AT696" s="220" t="s">
        <v>202</v>
      </c>
      <c r="AU696" s="220" t="s">
        <v>88</v>
      </c>
      <c r="AY696" s="18" t="s">
        <v>200</v>
      </c>
      <c r="BE696" s="221">
        <f>IF(N696="základní",J696,0)</f>
        <v>0</v>
      </c>
      <c r="BF696" s="221">
        <f>IF(N696="snížená",J696,0)</f>
        <v>0</v>
      </c>
      <c r="BG696" s="221">
        <f>IF(N696="zákl. přenesená",J696,0)</f>
        <v>0</v>
      </c>
      <c r="BH696" s="221">
        <f>IF(N696="sníž. přenesená",J696,0)</f>
        <v>0</v>
      </c>
      <c r="BI696" s="221">
        <f>IF(N696="nulová",J696,0)</f>
        <v>0</v>
      </c>
      <c r="BJ696" s="18" t="s">
        <v>86</v>
      </c>
      <c r="BK696" s="221">
        <f>ROUND(I696*H696,1)</f>
        <v>0</v>
      </c>
      <c r="BL696" s="18" t="s">
        <v>310</v>
      </c>
      <c r="BM696" s="220" t="s">
        <v>1124</v>
      </c>
    </row>
    <row r="697" s="13" customFormat="1">
      <c r="A697" s="13"/>
      <c r="B697" s="227"/>
      <c r="C697" s="228"/>
      <c r="D697" s="229" t="s">
        <v>211</v>
      </c>
      <c r="E697" s="230" t="s">
        <v>32</v>
      </c>
      <c r="F697" s="231" t="s">
        <v>86</v>
      </c>
      <c r="G697" s="228"/>
      <c r="H697" s="232">
        <v>1</v>
      </c>
      <c r="I697" s="233"/>
      <c r="J697" s="228"/>
      <c r="K697" s="228"/>
      <c r="L697" s="234"/>
      <c r="M697" s="235"/>
      <c r="N697" s="236"/>
      <c r="O697" s="236"/>
      <c r="P697" s="236"/>
      <c r="Q697" s="236"/>
      <c r="R697" s="236"/>
      <c r="S697" s="236"/>
      <c r="T697" s="237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T697" s="238" t="s">
        <v>211</v>
      </c>
      <c r="AU697" s="238" t="s">
        <v>88</v>
      </c>
      <c r="AV697" s="13" t="s">
        <v>88</v>
      </c>
      <c r="AW697" s="13" t="s">
        <v>213</v>
      </c>
      <c r="AX697" s="13" t="s">
        <v>86</v>
      </c>
      <c r="AY697" s="238" t="s">
        <v>200</v>
      </c>
    </row>
    <row r="698" s="2" customFormat="1" ht="16.5" customHeight="1">
      <c r="A698" s="40"/>
      <c r="B698" s="41"/>
      <c r="C698" s="209" t="s">
        <v>1125</v>
      </c>
      <c r="D698" s="209" t="s">
        <v>202</v>
      </c>
      <c r="E698" s="210" t="s">
        <v>1126</v>
      </c>
      <c r="F698" s="211" t="s">
        <v>1127</v>
      </c>
      <c r="G698" s="212" t="s">
        <v>1094</v>
      </c>
      <c r="H698" s="213">
        <v>1</v>
      </c>
      <c r="I698" s="214"/>
      <c r="J698" s="215">
        <f>ROUND(I698*H698,1)</f>
        <v>0</v>
      </c>
      <c r="K698" s="211" t="s">
        <v>32</v>
      </c>
      <c r="L698" s="46"/>
      <c r="M698" s="216" t="s">
        <v>32</v>
      </c>
      <c r="N698" s="217" t="s">
        <v>49</v>
      </c>
      <c r="O698" s="86"/>
      <c r="P698" s="218">
        <f>O698*H698</f>
        <v>0</v>
      </c>
      <c r="Q698" s="218">
        <v>0.00075000000000000002</v>
      </c>
      <c r="R698" s="218">
        <f>Q698*H698</f>
        <v>0.00075000000000000002</v>
      </c>
      <c r="S698" s="218">
        <v>0</v>
      </c>
      <c r="T698" s="219">
        <f>S698*H698</f>
        <v>0</v>
      </c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R698" s="220" t="s">
        <v>310</v>
      </c>
      <c r="AT698" s="220" t="s">
        <v>202</v>
      </c>
      <c r="AU698" s="220" t="s">
        <v>88</v>
      </c>
      <c r="AY698" s="18" t="s">
        <v>200</v>
      </c>
      <c r="BE698" s="221">
        <f>IF(N698="základní",J698,0)</f>
        <v>0</v>
      </c>
      <c r="BF698" s="221">
        <f>IF(N698="snížená",J698,0)</f>
        <v>0</v>
      </c>
      <c r="BG698" s="221">
        <f>IF(N698="zákl. přenesená",J698,0)</f>
        <v>0</v>
      </c>
      <c r="BH698" s="221">
        <f>IF(N698="sníž. přenesená",J698,0)</f>
        <v>0</v>
      </c>
      <c r="BI698" s="221">
        <f>IF(N698="nulová",J698,0)</f>
        <v>0</v>
      </c>
      <c r="BJ698" s="18" t="s">
        <v>86</v>
      </c>
      <c r="BK698" s="221">
        <f>ROUND(I698*H698,1)</f>
        <v>0</v>
      </c>
      <c r="BL698" s="18" t="s">
        <v>310</v>
      </c>
      <c r="BM698" s="220" t="s">
        <v>1128</v>
      </c>
    </row>
    <row r="699" s="2" customFormat="1" ht="16.5" customHeight="1">
      <c r="A699" s="40"/>
      <c r="B699" s="41"/>
      <c r="C699" s="209" t="s">
        <v>1129</v>
      </c>
      <c r="D699" s="209" t="s">
        <v>202</v>
      </c>
      <c r="E699" s="210" t="s">
        <v>1130</v>
      </c>
      <c r="F699" s="211" t="s">
        <v>1131</v>
      </c>
      <c r="G699" s="212" t="s">
        <v>1094</v>
      </c>
      <c r="H699" s="213">
        <v>1</v>
      </c>
      <c r="I699" s="214"/>
      <c r="J699" s="215">
        <f>ROUND(I699*H699,1)</f>
        <v>0</v>
      </c>
      <c r="K699" s="211" t="s">
        <v>32</v>
      </c>
      <c r="L699" s="46"/>
      <c r="M699" s="216" t="s">
        <v>32</v>
      </c>
      <c r="N699" s="217" t="s">
        <v>49</v>
      </c>
      <c r="O699" s="86"/>
      <c r="P699" s="218">
        <f>O699*H699</f>
        <v>0</v>
      </c>
      <c r="Q699" s="218">
        <v>0.00075000000000000002</v>
      </c>
      <c r="R699" s="218">
        <f>Q699*H699</f>
        <v>0.00075000000000000002</v>
      </c>
      <c r="S699" s="218">
        <v>0</v>
      </c>
      <c r="T699" s="219">
        <f>S699*H699</f>
        <v>0</v>
      </c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R699" s="220" t="s">
        <v>310</v>
      </c>
      <c r="AT699" s="220" t="s">
        <v>202</v>
      </c>
      <c r="AU699" s="220" t="s">
        <v>88</v>
      </c>
      <c r="AY699" s="18" t="s">
        <v>200</v>
      </c>
      <c r="BE699" s="221">
        <f>IF(N699="základní",J699,0)</f>
        <v>0</v>
      </c>
      <c r="BF699" s="221">
        <f>IF(N699="snížená",J699,0)</f>
        <v>0</v>
      </c>
      <c r="BG699" s="221">
        <f>IF(N699="zákl. přenesená",J699,0)</f>
        <v>0</v>
      </c>
      <c r="BH699" s="221">
        <f>IF(N699="sníž. přenesená",J699,0)</f>
        <v>0</v>
      </c>
      <c r="BI699" s="221">
        <f>IF(N699="nulová",J699,0)</f>
        <v>0</v>
      </c>
      <c r="BJ699" s="18" t="s">
        <v>86</v>
      </c>
      <c r="BK699" s="221">
        <f>ROUND(I699*H699,1)</f>
        <v>0</v>
      </c>
      <c r="BL699" s="18" t="s">
        <v>310</v>
      </c>
      <c r="BM699" s="220" t="s">
        <v>1132</v>
      </c>
    </row>
    <row r="700" s="13" customFormat="1">
      <c r="A700" s="13"/>
      <c r="B700" s="227"/>
      <c r="C700" s="228"/>
      <c r="D700" s="229" t="s">
        <v>211</v>
      </c>
      <c r="E700" s="230" t="s">
        <v>32</v>
      </c>
      <c r="F700" s="231" t="s">
        <v>86</v>
      </c>
      <c r="G700" s="228"/>
      <c r="H700" s="232">
        <v>1</v>
      </c>
      <c r="I700" s="233"/>
      <c r="J700" s="228"/>
      <c r="K700" s="228"/>
      <c r="L700" s="234"/>
      <c r="M700" s="235"/>
      <c r="N700" s="236"/>
      <c r="O700" s="236"/>
      <c r="P700" s="236"/>
      <c r="Q700" s="236"/>
      <c r="R700" s="236"/>
      <c r="S700" s="236"/>
      <c r="T700" s="237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T700" s="238" t="s">
        <v>211</v>
      </c>
      <c r="AU700" s="238" t="s">
        <v>88</v>
      </c>
      <c r="AV700" s="13" t="s">
        <v>88</v>
      </c>
      <c r="AW700" s="13" t="s">
        <v>213</v>
      </c>
      <c r="AX700" s="13" t="s">
        <v>86</v>
      </c>
      <c r="AY700" s="238" t="s">
        <v>200</v>
      </c>
    </row>
    <row r="701" s="2" customFormat="1" ht="16.5" customHeight="1">
      <c r="A701" s="40"/>
      <c r="B701" s="41"/>
      <c r="C701" s="209" t="s">
        <v>1133</v>
      </c>
      <c r="D701" s="209" t="s">
        <v>202</v>
      </c>
      <c r="E701" s="210" t="s">
        <v>1134</v>
      </c>
      <c r="F701" s="211" t="s">
        <v>1135</v>
      </c>
      <c r="G701" s="212" t="s">
        <v>1094</v>
      </c>
      <c r="H701" s="213">
        <v>2</v>
      </c>
      <c r="I701" s="214"/>
      <c r="J701" s="215">
        <f>ROUND(I701*H701,1)</f>
        <v>0</v>
      </c>
      <c r="K701" s="211" t="s">
        <v>32</v>
      </c>
      <c r="L701" s="46"/>
      <c r="M701" s="216" t="s">
        <v>32</v>
      </c>
      <c r="N701" s="217" t="s">
        <v>49</v>
      </c>
      <c r="O701" s="86"/>
      <c r="P701" s="218">
        <f>O701*H701</f>
        <v>0</v>
      </c>
      <c r="Q701" s="218">
        <v>0.00075000000000000002</v>
      </c>
      <c r="R701" s="218">
        <f>Q701*H701</f>
        <v>0.0015</v>
      </c>
      <c r="S701" s="218">
        <v>0</v>
      </c>
      <c r="T701" s="219">
        <f>S701*H701</f>
        <v>0</v>
      </c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R701" s="220" t="s">
        <v>310</v>
      </c>
      <c r="AT701" s="220" t="s">
        <v>202</v>
      </c>
      <c r="AU701" s="220" t="s">
        <v>88</v>
      </c>
      <c r="AY701" s="18" t="s">
        <v>200</v>
      </c>
      <c r="BE701" s="221">
        <f>IF(N701="základní",J701,0)</f>
        <v>0</v>
      </c>
      <c r="BF701" s="221">
        <f>IF(N701="snížená",J701,0)</f>
        <v>0</v>
      </c>
      <c r="BG701" s="221">
        <f>IF(N701="zákl. přenesená",J701,0)</f>
        <v>0</v>
      </c>
      <c r="BH701" s="221">
        <f>IF(N701="sníž. přenesená",J701,0)</f>
        <v>0</v>
      </c>
      <c r="BI701" s="221">
        <f>IF(N701="nulová",J701,0)</f>
        <v>0</v>
      </c>
      <c r="BJ701" s="18" t="s">
        <v>86</v>
      </c>
      <c r="BK701" s="221">
        <f>ROUND(I701*H701,1)</f>
        <v>0</v>
      </c>
      <c r="BL701" s="18" t="s">
        <v>310</v>
      </c>
      <c r="BM701" s="220" t="s">
        <v>1136</v>
      </c>
    </row>
    <row r="702" s="13" customFormat="1">
      <c r="A702" s="13"/>
      <c r="B702" s="227"/>
      <c r="C702" s="228"/>
      <c r="D702" s="229" t="s">
        <v>211</v>
      </c>
      <c r="E702" s="230" t="s">
        <v>32</v>
      </c>
      <c r="F702" s="231" t="s">
        <v>88</v>
      </c>
      <c r="G702" s="228"/>
      <c r="H702" s="232">
        <v>2</v>
      </c>
      <c r="I702" s="233"/>
      <c r="J702" s="228"/>
      <c r="K702" s="228"/>
      <c r="L702" s="234"/>
      <c r="M702" s="235"/>
      <c r="N702" s="236"/>
      <c r="O702" s="236"/>
      <c r="P702" s="236"/>
      <c r="Q702" s="236"/>
      <c r="R702" s="236"/>
      <c r="S702" s="236"/>
      <c r="T702" s="237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T702" s="238" t="s">
        <v>211</v>
      </c>
      <c r="AU702" s="238" t="s">
        <v>88</v>
      </c>
      <c r="AV702" s="13" t="s">
        <v>88</v>
      </c>
      <c r="AW702" s="13" t="s">
        <v>213</v>
      </c>
      <c r="AX702" s="13" t="s">
        <v>86</v>
      </c>
      <c r="AY702" s="238" t="s">
        <v>200</v>
      </c>
    </row>
    <row r="703" s="2" customFormat="1" ht="16.5" customHeight="1">
      <c r="A703" s="40"/>
      <c r="B703" s="41"/>
      <c r="C703" s="209" t="s">
        <v>1137</v>
      </c>
      <c r="D703" s="209" t="s">
        <v>202</v>
      </c>
      <c r="E703" s="210" t="s">
        <v>1138</v>
      </c>
      <c r="F703" s="211" t="s">
        <v>1139</v>
      </c>
      <c r="G703" s="212" t="s">
        <v>1094</v>
      </c>
      <c r="H703" s="213">
        <v>2</v>
      </c>
      <c r="I703" s="214"/>
      <c r="J703" s="215">
        <f>ROUND(I703*H703,1)</f>
        <v>0</v>
      </c>
      <c r="K703" s="211" t="s">
        <v>32</v>
      </c>
      <c r="L703" s="46"/>
      <c r="M703" s="216" t="s">
        <v>32</v>
      </c>
      <c r="N703" s="217" t="s">
        <v>49</v>
      </c>
      <c r="O703" s="86"/>
      <c r="P703" s="218">
        <f>O703*H703</f>
        <v>0</v>
      </c>
      <c r="Q703" s="218">
        <v>0.00075000000000000002</v>
      </c>
      <c r="R703" s="218">
        <f>Q703*H703</f>
        <v>0.0015</v>
      </c>
      <c r="S703" s="218">
        <v>0</v>
      </c>
      <c r="T703" s="219">
        <f>S703*H703</f>
        <v>0</v>
      </c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R703" s="220" t="s">
        <v>310</v>
      </c>
      <c r="AT703" s="220" t="s">
        <v>202</v>
      </c>
      <c r="AU703" s="220" t="s">
        <v>88</v>
      </c>
      <c r="AY703" s="18" t="s">
        <v>200</v>
      </c>
      <c r="BE703" s="221">
        <f>IF(N703="základní",J703,0)</f>
        <v>0</v>
      </c>
      <c r="BF703" s="221">
        <f>IF(N703="snížená",J703,0)</f>
        <v>0</v>
      </c>
      <c r="BG703" s="221">
        <f>IF(N703="zákl. přenesená",J703,0)</f>
        <v>0</v>
      </c>
      <c r="BH703" s="221">
        <f>IF(N703="sníž. přenesená",J703,0)</f>
        <v>0</v>
      </c>
      <c r="BI703" s="221">
        <f>IF(N703="nulová",J703,0)</f>
        <v>0</v>
      </c>
      <c r="BJ703" s="18" t="s">
        <v>86</v>
      </c>
      <c r="BK703" s="221">
        <f>ROUND(I703*H703,1)</f>
        <v>0</v>
      </c>
      <c r="BL703" s="18" t="s">
        <v>310</v>
      </c>
      <c r="BM703" s="220" t="s">
        <v>1140</v>
      </c>
    </row>
    <row r="704" s="13" customFormat="1">
      <c r="A704" s="13"/>
      <c r="B704" s="227"/>
      <c r="C704" s="228"/>
      <c r="D704" s="229" t="s">
        <v>211</v>
      </c>
      <c r="E704" s="230" t="s">
        <v>32</v>
      </c>
      <c r="F704" s="231" t="s">
        <v>88</v>
      </c>
      <c r="G704" s="228"/>
      <c r="H704" s="232">
        <v>2</v>
      </c>
      <c r="I704" s="233"/>
      <c r="J704" s="228"/>
      <c r="K704" s="228"/>
      <c r="L704" s="234"/>
      <c r="M704" s="235"/>
      <c r="N704" s="236"/>
      <c r="O704" s="236"/>
      <c r="P704" s="236"/>
      <c r="Q704" s="236"/>
      <c r="R704" s="236"/>
      <c r="S704" s="236"/>
      <c r="T704" s="237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T704" s="238" t="s">
        <v>211</v>
      </c>
      <c r="AU704" s="238" t="s">
        <v>88</v>
      </c>
      <c r="AV704" s="13" t="s">
        <v>88</v>
      </c>
      <c r="AW704" s="13" t="s">
        <v>213</v>
      </c>
      <c r="AX704" s="13" t="s">
        <v>86</v>
      </c>
      <c r="AY704" s="238" t="s">
        <v>200</v>
      </c>
    </row>
    <row r="705" s="2" customFormat="1" ht="21.75" customHeight="1">
      <c r="A705" s="40"/>
      <c r="B705" s="41"/>
      <c r="C705" s="209" t="s">
        <v>1141</v>
      </c>
      <c r="D705" s="209" t="s">
        <v>202</v>
      </c>
      <c r="E705" s="210" t="s">
        <v>1142</v>
      </c>
      <c r="F705" s="211" t="s">
        <v>1143</v>
      </c>
      <c r="G705" s="212" t="s">
        <v>1094</v>
      </c>
      <c r="H705" s="213">
        <v>1</v>
      </c>
      <c r="I705" s="214"/>
      <c r="J705" s="215">
        <f>ROUND(I705*H705,1)</f>
        <v>0</v>
      </c>
      <c r="K705" s="211" t="s">
        <v>32</v>
      </c>
      <c r="L705" s="46"/>
      <c r="M705" s="216" t="s">
        <v>32</v>
      </c>
      <c r="N705" s="217" t="s">
        <v>49</v>
      </c>
      <c r="O705" s="86"/>
      <c r="P705" s="218">
        <f>O705*H705</f>
        <v>0</v>
      </c>
      <c r="Q705" s="218">
        <v>0.00075000000000000002</v>
      </c>
      <c r="R705" s="218">
        <f>Q705*H705</f>
        <v>0.00075000000000000002</v>
      </c>
      <c r="S705" s="218">
        <v>0</v>
      </c>
      <c r="T705" s="219">
        <f>S705*H705</f>
        <v>0</v>
      </c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R705" s="220" t="s">
        <v>310</v>
      </c>
      <c r="AT705" s="220" t="s">
        <v>202</v>
      </c>
      <c r="AU705" s="220" t="s">
        <v>88</v>
      </c>
      <c r="AY705" s="18" t="s">
        <v>200</v>
      </c>
      <c r="BE705" s="221">
        <f>IF(N705="základní",J705,0)</f>
        <v>0</v>
      </c>
      <c r="BF705" s="221">
        <f>IF(N705="snížená",J705,0)</f>
        <v>0</v>
      </c>
      <c r="BG705" s="221">
        <f>IF(N705="zákl. přenesená",J705,0)</f>
        <v>0</v>
      </c>
      <c r="BH705" s="221">
        <f>IF(N705="sníž. přenesená",J705,0)</f>
        <v>0</v>
      </c>
      <c r="BI705" s="221">
        <f>IF(N705="nulová",J705,0)</f>
        <v>0</v>
      </c>
      <c r="BJ705" s="18" t="s">
        <v>86</v>
      </c>
      <c r="BK705" s="221">
        <f>ROUND(I705*H705,1)</f>
        <v>0</v>
      </c>
      <c r="BL705" s="18" t="s">
        <v>310</v>
      </c>
      <c r="BM705" s="220" t="s">
        <v>1144</v>
      </c>
    </row>
    <row r="706" s="13" customFormat="1">
      <c r="A706" s="13"/>
      <c r="B706" s="227"/>
      <c r="C706" s="228"/>
      <c r="D706" s="229" t="s">
        <v>211</v>
      </c>
      <c r="E706" s="230" t="s">
        <v>32</v>
      </c>
      <c r="F706" s="231" t="s">
        <v>86</v>
      </c>
      <c r="G706" s="228"/>
      <c r="H706" s="232">
        <v>1</v>
      </c>
      <c r="I706" s="233"/>
      <c r="J706" s="228"/>
      <c r="K706" s="228"/>
      <c r="L706" s="234"/>
      <c r="M706" s="235"/>
      <c r="N706" s="236"/>
      <c r="O706" s="236"/>
      <c r="P706" s="236"/>
      <c r="Q706" s="236"/>
      <c r="R706" s="236"/>
      <c r="S706" s="236"/>
      <c r="T706" s="237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T706" s="238" t="s">
        <v>211</v>
      </c>
      <c r="AU706" s="238" t="s">
        <v>88</v>
      </c>
      <c r="AV706" s="13" t="s">
        <v>88</v>
      </c>
      <c r="AW706" s="13" t="s">
        <v>213</v>
      </c>
      <c r="AX706" s="13" t="s">
        <v>86</v>
      </c>
      <c r="AY706" s="238" t="s">
        <v>200</v>
      </c>
    </row>
    <row r="707" s="2" customFormat="1" ht="21.75" customHeight="1">
      <c r="A707" s="40"/>
      <c r="B707" s="41"/>
      <c r="C707" s="209" t="s">
        <v>1145</v>
      </c>
      <c r="D707" s="209" t="s">
        <v>202</v>
      </c>
      <c r="E707" s="210" t="s">
        <v>1146</v>
      </c>
      <c r="F707" s="211" t="s">
        <v>1147</v>
      </c>
      <c r="G707" s="212" t="s">
        <v>1094</v>
      </c>
      <c r="H707" s="213">
        <v>38</v>
      </c>
      <c r="I707" s="214"/>
      <c r="J707" s="215">
        <f>ROUND(I707*H707,1)</f>
        <v>0</v>
      </c>
      <c r="K707" s="211" t="s">
        <v>32</v>
      </c>
      <c r="L707" s="46"/>
      <c r="M707" s="216" t="s">
        <v>32</v>
      </c>
      <c r="N707" s="217" t="s">
        <v>49</v>
      </c>
      <c r="O707" s="86"/>
      <c r="P707" s="218">
        <f>O707*H707</f>
        <v>0</v>
      </c>
      <c r="Q707" s="218">
        <v>0.00075000000000000002</v>
      </c>
      <c r="R707" s="218">
        <f>Q707*H707</f>
        <v>0.028500000000000001</v>
      </c>
      <c r="S707" s="218">
        <v>0</v>
      </c>
      <c r="T707" s="219">
        <f>S707*H707</f>
        <v>0</v>
      </c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R707" s="220" t="s">
        <v>310</v>
      </c>
      <c r="AT707" s="220" t="s">
        <v>202</v>
      </c>
      <c r="AU707" s="220" t="s">
        <v>88</v>
      </c>
      <c r="AY707" s="18" t="s">
        <v>200</v>
      </c>
      <c r="BE707" s="221">
        <f>IF(N707="základní",J707,0)</f>
        <v>0</v>
      </c>
      <c r="BF707" s="221">
        <f>IF(N707="snížená",J707,0)</f>
        <v>0</v>
      </c>
      <c r="BG707" s="221">
        <f>IF(N707="zákl. přenesená",J707,0)</f>
        <v>0</v>
      </c>
      <c r="BH707" s="221">
        <f>IF(N707="sníž. přenesená",J707,0)</f>
        <v>0</v>
      </c>
      <c r="BI707" s="221">
        <f>IF(N707="nulová",J707,0)</f>
        <v>0</v>
      </c>
      <c r="BJ707" s="18" t="s">
        <v>86</v>
      </c>
      <c r="BK707" s="221">
        <f>ROUND(I707*H707,1)</f>
        <v>0</v>
      </c>
      <c r="BL707" s="18" t="s">
        <v>310</v>
      </c>
      <c r="BM707" s="220" t="s">
        <v>1148</v>
      </c>
    </row>
    <row r="708" s="13" customFormat="1">
      <c r="A708" s="13"/>
      <c r="B708" s="227"/>
      <c r="C708" s="228"/>
      <c r="D708" s="229" t="s">
        <v>211</v>
      </c>
      <c r="E708" s="230" t="s">
        <v>32</v>
      </c>
      <c r="F708" s="231" t="s">
        <v>465</v>
      </c>
      <c r="G708" s="228"/>
      <c r="H708" s="232">
        <v>38</v>
      </c>
      <c r="I708" s="233"/>
      <c r="J708" s="228"/>
      <c r="K708" s="228"/>
      <c r="L708" s="234"/>
      <c r="M708" s="235"/>
      <c r="N708" s="236"/>
      <c r="O708" s="236"/>
      <c r="P708" s="236"/>
      <c r="Q708" s="236"/>
      <c r="R708" s="236"/>
      <c r="S708" s="236"/>
      <c r="T708" s="237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T708" s="238" t="s">
        <v>211</v>
      </c>
      <c r="AU708" s="238" t="s">
        <v>88</v>
      </c>
      <c r="AV708" s="13" t="s">
        <v>88</v>
      </c>
      <c r="AW708" s="13" t="s">
        <v>213</v>
      </c>
      <c r="AX708" s="13" t="s">
        <v>86</v>
      </c>
      <c r="AY708" s="238" t="s">
        <v>200</v>
      </c>
    </row>
    <row r="709" s="2" customFormat="1" ht="16.5" customHeight="1">
      <c r="A709" s="40"/>
      <c r="B709" s="41"/>
      <c r="C709" s="209" t="s">
        <v>1149</v>
      </c>
      <c r="D709" s="209" t="s">
        <v>202</v>
      </c>
      <c r="E709" s="210" t="s">
        <v>1150</v>
      </c>
      <c r="F709" s="211" t="s">
        <v>1151</v>
      </c>
      <c r="G709" s="212" t="s">
        <v>1094</v>
      </c>
      <c r="H709" s="213">
        <v>2</v>
      </c>
      <c r="I709" s="214"/>
      <c r="J709" s="215">
        <f>ROUND(I709*H709,1)</f>
        <v>0</v>
      </c>
      <c r="K709" s="211" t="s">
        <v>32</v>
      </c>
      <c r="L709" s="46"/>
      <c r="M709" s="216" t="s">
        <v>32</v>
      </c>
      <c r="N709" s="217" t="s">
        <v>49</v>
      </c>
      <c r="O709" s="86"/>
      <c r="P709" s="218">
        <f>O709*H709</f>
        <v>0</v>
      </c>
      <c r="Q709" s="218">
        <v>0.00075000000000000002</v>
      </c>
      <c r="R709" s="218">
        <f>Q709*H709</f>
        <v>0.0015</v>
      </c>
      <c r="S709" s="218">
        <v>0</v>
      </c>
      <c r="T709" s="219">
        <f>S709*H709</f>
        <v>0</v>
      </c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R709" s="220" t="s">
        <v>310</v>
      </c>
      <c r="AT709" s="220" t="s">
        <v>202</v>
      </c>
      <c r="AU709" s="220" t="s">
        <v>88</v>
      </c>
      <c r="AY709" s="18" t="s">
        <v>200</v>
      </c>
      <c r="BE709" s="221">
        <f>IF(N709="základní",J709,0)</f>
        <v>0</v>
      </c>
      <c r="BF709" s="221">
        <f>IF(N709="snížená",J709,0)</f>
        <v>0</v>
      </c>
      <c r="BG709" s="221">
        <f>IF(N709="zákl. přenesená",J709,0)</f>
        <v>0</v>
      </c>
      <c r="BH709" s="221">
        <f>IF(N709="sníž. přenesená",J709,0)</f>
        <v>0</v>
      </c>
      <c r="BI709" s="221">
        <f>IF(N709="nulová",J709,0)</f>
        <v>0</v>
      </c>
      <c r="BJ709" s="18" t="s">
        <v>86</v>
      </c>
      <c r="BK709" s="221">
        <f>ROUND(I709*H709,1)</f>
        <v>0</v>
      </c>
      <c r="BL709" s="18" t="s">
        <v>310</v>
      </c>
      <c r="BM709" s="220" t="s">
        <v>1152</v>
      </c>
    </row>
    <row r="710" s="13" customFormat="1">
      <c r="A710" s="13"/>
      <c r="B710" s="227"/>
      <c r="C710" s="228"/>
      <c r="D710" s="229" t="s">
        <v>211</v>
      </c>
      <c r="E710" s="230" t="s">
        <v>32</v>
      </c>
      <c r="F710" s="231" t="s">
        <v>88</v>
      </c>
      <c r="G710" s="228"/>
      <c r="H710" s="232">
        <v>2</v>
      </c>
      <c r="I710" s="233"/>
      <c r="J710" s="228"/>
      <c r="K710" s="228"/>
      <c r="L710" s="234"/>
      <c r="M710" s="235"/>
      <c r="N710" s="236"/>
      <c r="O710" s="236"/>
      <c r="P710" s="236"/>
      <c r="Q710" s="236"/>
      <c r="R710" s="236"/>
      <c r="S710" s="236"/>
      <c r="T710" s="237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T710" s="238" t="s">
        <v>211</v>
      </c>
      <c r="AU710" s="238" t="s">
        <v>88</v>
      </c>
      <c r="AV710" s="13" t="s">
        <v>88</v>
      </c>
      <c r="AW710" s="13" t="s">
        <v>213</v>
      </c>
      <c r="AX710" s="13" t="s">
        <v>86</v>
      </c>
      <c r="AY710" s="238" t="s">
        <v>200</v>
      </c>
    </row>
    <row r="711" s="2" customFormat="1" ht="16.5" customHeight="1">
      <c r="A711" s="40"/>
      <c r="B711" s="41"/>
      <c r="C711" s="209" t="s">
        <v>1153</v>
      </c>
      <c r="D711" s="209" t="s">
        <v>202</v>
      </c>
      <c r="E711" s="210" t="s">
        <v>1154</v>
      </c>
      <c r="F711" s="211" t="s">
        <v>1155</v>
      </c>
      <c r="G711" s="212" t="s">
        <v>1094</v>
      </c>
      <c r="H711" s="213">
        <v>1</v>
      </c>
      <c r="I711" s="214"/>
      <c r="J711" s="215">
        <f>ROUND(I711*H711,1)</f>
        <v>0</v>
      </c>
      <c r="K711" s="211" t="s">
        <v>32</v>
      </c>
      <c r="L711" s="46"/>
      <c r="M711" s="216" t="s">
        <v>32</v>
      </c>
      <c r="N711" s="217" t="s">
        <v>49</v>
      </c>
      <c r="O711" s="86"/>
      <c r="P711" s="218">
        <f>O711*H711</f>
        <v>0</v>
      </c>
      <c r="Q711" s="218">
        <v>0.00075000000000000002</v>
      </c>
      <c r="R711" s="218">
        <f>Q711*H711</f>
        <v>0.00075000000000000002</v>
      </c>
      <c r="S711" s="218">
        <v>0</v>
      </c>
      <c r="T711" s="219">
        <f>S711*H711</f>
        <v>0</v>
      </c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R711" s="220" t="s">
        <v>310</v>
      </c>
      <c r="AT711" s="220" t="s">
        <v>202</v>
      </c>
      <c r="AU711" s="220" t="s">
        <v>88</v>
      </c>
      <c r="AY711" s="18" t="s">
        <v>200</v>
      </c>
      <c r="BE711" s="221">
        <f>IF(N711="základní",J711,0)</f>
        <v>0</v>
      </c>
      <c r="BF711" s="221">
        <f>IF(N711="snížená",J711,0)</f>
        <v>0</v>
      </c>
      <c r="BG711" s="221">
        <f>IF(N711="zákl. přenesená",J711,0)</f>
        <v>0</v>
      </c>
      <c r="BH711" s="221">
        <f>IF(N711="sníž. přenesená",J711,0)</f>
        <v>0</v>
      </c>
      <c r="BI711" s="221">
        <f>IF(N711="nulová",J711,0)</f>
        <v>0</v>
      </c>
      <c r="BJ711" s="18" t="s">
        <v>86</v>
      </c>
      <c r="BK711" s="221">
        <f>ROUND(I711*H711,1)</f>
        <v>0</v>
      </c>
      <c r="BL711" s="18" t="s">
        <v>310</v>
      </c>
      <c r="BM711" s="220" t="s">
        <v>1156</v>
      </c>
    </row>
    <row r="712" s="13" customFormat="1">
      <c r="A712" s="13"/>
      <c r="B712" s="227"/>
      <c r="C712" s="228"/>
      <c r="D712" s="229" t="s">
        <v>211</v>
      </c>
      <c r="E712" s="230" t="s">
        <v>32</v>
      </c>
      <c r="F712" s="231" t="s">
        <v>86</v>
      </c>
      <c r="G712" s="228"/>
      <c r="H712" s="232">
        <v>1</v>
      </c>
      <c r="I712" s="233"/>
      <c r="J712" s="228"/>
      <c r="K712" s="228"/>
      <c r="L712" s="234"/>
      <c r="M712" s="235"/>
      <c r="N712" s="236"/>
      <c r="O712" s="236"/>
      <c r="P712" s="236"/>
      <c r="Q712" s="236"/>
      <c r="R712" s="236"/>
      <c r="S712" s="236"/>
      <c r="T712" s="237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T712" s="238" t="s">
        <v>211</v>
      </c>
      <c r="AU712" s="238" t="s">
        <v>88</v>
      </c>
      <c r="AV712" s="13" t="s">
        <v>88</v>
      </c>
      <c r="AW712" s="13" t="s">
        <v>213</v>
      </c>
      <c r="AX712" s="13" t="s">
        <v>86</v>
      </c>
      <c r="AY712" s="238" t="s">
        <v>200</v>
      </c>
    </row>
    <row r="713" s="2" customFormat="1" ht="16.5" customHeight="1">
      <c r="A713" s="40"/>
      <c r="B713" s="41"/>
      <c r="C713" s="209" t="s">
        <v>1157</v>
      </c>
      <c r="D713" s="209" t="s">
        <v>202</v>
      </c>
      <c r="E713" s="210" t="s">
        <v>1158</v>
      </c>
      <c r="F713" s="211" t="s">
        <v>1159</v>
      </c>
      <c r="G713" s="212" t="s">
        <v>1094</v>
      </c>
      <c r="H713" s="213">
        <v>2</v>
      </c>
      <c r="I713" s="214"/>
      <c r="J713" s="215">
        <f>ROUND(I713*H713,1)</f>
        <v>0</v>
      </c>
      <c r="K713" s="211" t="s">
        <v>32</v>
      </c>
      <c r="L713" s="46"/>
      <c r="M713" s="216" t="s">
        <v>32</v>
      </c>
      <c r="N713" s="217" t="s">
        <v>49</v>
      </c>
      <c r="O713" s="86"/>
      <c r="P713" s="218">
        <f>O713*H713</f>
        <v>0</v>
      </c>
      <c r="Q713" s="218">
        <v>0.00075000000000000002</v>
      </c>
      <c r="R713" s="218">
        <f>Q713*H713</f>
        <v>0.0015</v>
      </c>
      <c r="S713" s="218">
        <v>0</v>
      </c>
      <c r="T713" s="219">
        <f>S713*H713</f>
        <v>0</v>
      </c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R713" s="220" t="s">
        <v>310</v>
      </c>
      <c r="AT713" s="220" t="s">
        <v>202</v>
      </c>
      <c r="AU713" s="220" t="s">
        <v>88</v>
      </c>
      <c r="AY713" s="18" t="s">
        <v>200</v>
      </c>
      <c r="BE713" s="221">
        <f>IF(N713="základní",J713,0)</f>
        <v>0</v>
      </c>
      <c r="BF713" s="221">
        <f>IF(N713="snížená",J713,0)</f>
        <v>0</v>
      </c>
      <c r="BG713" s="221">
        <f>IF(N713="zákl. přenesená",J713,0)</f>
        <v>0</v>
      </c>
      <c r="BH713" s="221">
        <f>IF(N713="sníž. přenesená",J713,0)</f>
        <v>0</v>
      </c>
      <c r="BI713" s="221">
        <f>IF(N713="nulová",J713,0)</f>
        <v>0</v>
      </c>
      <c r="BJ713" s="18" t="s">
        <v>86</v>
      </c>
      <c r="BK713" s="221">
        <f>ROUND(I713*H713,1)</f>
        <v>0</v>
      </c>
      <c r="BL713" s="18" t="s">
        <v>310</v>
      </c>
      <c r="BM713" s="220" t="s">
        <v>1160</v>
      </c>
    </row>
    <row r="714" s="13" customFormat="1">
      <c r="A714" s="13"/>
      <c r="B714" s="227"/>
      <c r="C714" s="228"/>
      <c r="D714" s="229" t="s">
        <v>211</v>
      </c>
      <c r="E714" s="230" t="s">
        <v>32</v>
      </c>
      <c r="F714" s="231" t="s">
        <v>88</v>
      </c>
      <c r="G714" s="228"/>
      <c r="H714" s="232">
        <v>2</v>
      </c>
      <c r="I714" s="233"/>
      <c r="J714" s="228"/>
      <c r="K714" s="228"/>
      <c r="L714" s="234"/>
      <c r="M714" s="235"/>
      <c r="N714" s="236"/>
      <c r="O714" s="236"/>
      <c r="P714" s="236"/>
      <c r="Q714" s="236"/>
      <c r="R714" s="236"/>
      <c r="S714" s="236"/>
      <c r="T714" s="237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T714" s="238" t="s">
        <v>211</v>
      </c>
      <c r="AU714" s="238" t="s">
        <v>88</v>
      </c>
      <c r="AV714" s="13" t="s">
        <v>88</v>
      </c>
      <c r="AW714" s="13" t="s">
        <v>213</v>
      </c>
      <c r="AX714" s="13" t="s">
        <v>86</v>
      </c>
      <c r="AY714" s="238" t="s">
        <v>200</v>
      </c>
    </row>
    <row r="715" s="2" customFormat="1" ht="16.5" customHeight="1">
      <c r="A715" s="40"/>
      <c r="B715" s="41"/>
      <c r="C715" s="209" t="s">
        <v>1161</v>
      </c>
      <c r="D715" s="209" t="s">
        <v>202</v>
      </c>
      <c r="E715" s="210" t="s">
        <v>1162</v>
      </c>
      <c r="F715" s="211" t="s">
        <v>1163</v>
      </c>
      <c r="G715" s="212" t="s">
        <v>1094</v>
      </c>
      <c r="H715" s="213">
        <v>1</v>
      </c>
      <c r="I715" s="214"/>
      <c r="J715" s="215">
        <f>ROUND(I715*H715,1)</f>
        <v>0</v>
      </c>
      <c r="K715" s="211" t="s">
        <v>32</v>
      </c>
      <c r="L715" s="46"/>
      <c r="M715" s="216" t="s">
        <v>32</v>
      </c>
      <c r="N715" s="217" t="s">
        <v>49</v>
      </c>
      <c r="O715" s="86"/>
      <c r="P715" s="218">
        <f>O715*H715</f>
        <v>0</v>
      </c>
      <c r="Q715" s="218">
        <v>0.00075000000000000002</v>
      </c>
      <c r="R715" s="218">
        <f>Q715*H715</f>
        <v>0.00075000000000000002</v>
      </c>
      <c r="S715" s="218">
        <v>0</v>
      </c>
      <c r="T715" s="219">
        <f>S715*H715</f>
        <v>0</v>
      </c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R715" s="220" t="s">
        <v>310</v>
      </c>
      <c r="AT715" s="220" t="s">
        <v>202</v>
      </c>
      <c r="AU715" s="220" t="s">
        <v>88</v>
      </c>
      <c r="AY715" s="18" t="s">
        <v>200</v>
      </c>
      <c r="BE715" s="221">
        <f>IF(N715="základní",J715,0)</f>
        <v>0</v>
      </c>
      <c r="BF715" s="221">
        <f>IF(N715="snížená",J715,0)</f>
        <v>0</v>
      </c>
      <c r="BG715" s="221">
        <f>IF(N715="zákl. přenesená",J715,0)</f>
        <v>0</v>
      </c>
      <c r="BH715" s="221">
        <f>IF(N715="sníž. přenesená",J715,0)</f>
        <v>0</v>
      </c>
      <c r="BI715" s="221">
        <f>IF(N715="nulová",J715,0)</f>
        <v>0</v>
      </c>
      <c r="BJ715" s="18" t="s">
        <v>86</v>
      </c>
      <c r="BK715" s="221">
        <f>ROUND(I715*H715,1)</f>
        <v>0</v>
      </c>
      <c r="BL715" s="18" t="s">
        <v>310</v>
      </c>
      <c r="BM715" s="220" t="s">
        <v>1164</v>
      </c>
    </row>
    <row r="716" s="13" customFormat="1">
      <c r="A716" s="13"/>
      <c r="B716" s="227"/>
      <c r="C716" s="228"/>
      <c r="D716" s="229" t="s">
        <v>211</v>
      </c>
      <c r="E716" s="230" t="s">
        <v>32</v>
      </c>
      <c r="F716" s="231" t="s">
        <v>86</v>
      </c>
      <c r="G716" s="228"/>
      <c r="H716" s="232">
        <v>1</v>
      </c>
      <c r="I716" s="233"/>
      <c r="J716" s="228"/>
      <c r="K716" s="228"/>
      <c r="L716" s="234"/>
      <c r="M716" s="235"/>
      <c r="N716" s="236"/>
      <c r="O716" s="236"/>
      <c r="P716" s="236"/>
      <c r="Q716" s="236"/>
      <c r="R716" s="236"/>
      <c r="S716" s="236"/>
      <c r="T716" s="237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T716" s="238" t="s">
        <v>211</v>
      </c>
      <c r="AU716" s="238" t="s">
        <v>88</v>
      </c>
      <c r="AV716" s="13" t="s">
        <v>88</v>
      </c>
      <c r="AW716" s="13" t="s">
        <v>213</v>
      </c>
      <c r="AX716" s="13" t="s">
        <v>86</v>
      </c>
      <c r="AY716" s="238" t="s">
        <v>200</v>
      </c>
    </row>
    <row r="717" s="2" customFormat="1" ht="16.5" customHeight="1">
      <c r="A717" s="40"/>
      <c r="B717" s="41"/>
      <c r="C717" s="209" t="s">
        <v>1165</v>
      </c>
      <c r="D717" s="209" t="s">
        <v>202</v>
      </c>
      <c r="E717" s="210" t="s">
        <v>1166</v>
      </c>
      <c r="F717" s="211" t="s">
        <v>1167</v>
      </c>
      <c r="G717" s="212" t="s">
        <v>1094</v>
      </c>
      <c r="H717" s="213">
        <v>3</v>
      </c>
      <c r="I717" s="214"/>
      <c r="J717" s="215">
        <f>ROUND(I717*H717,1)</f>
        <v>0</v>
      </c>
      <c r="K717" s="211" t="s">
        <v>32</v>
      </c>
      <c r="L717" s="46"/>
      <c r="M717" s="216" t="s">
        <v>32</v>
      </c>
      <c r="N717" s="217" t="s">
        <v>49</v>
      </c>
      <c r="O717" s="86"/>
      <c r="P717" s="218">
        <f>O717*H717</f>
        <v>0</v>
      </c>
      <c r="Q717" s="218">
        <v>0.00075000000000000002</v>
      </c>
      <c r="R717" s="218">
        <f>Q717*H717</f>
        <v>0.0022500000000000003</v>
      </c>
      <c r="S717" s="218">
        <v>0</v>
      </c>
      <c r="T717" s="219">
        <f>S717*H717</f>
        <v>0</v>
      </c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R717" s="220" t="s">
        <v>310</v>
      </c>
      <c r="AT717" s="220" t="s">
        <v>202</v>
      </c>
      <c r="AU717" s="220" t="s">
        <v>88</v>
      </c>
      <c r="AY717" s="18" t="s">
        <v>200</v>
      </c>
      <c r="BE717" s="221">
        <f>IF(N717="základní",J717,0)</f>
        <v>0</v>
      </c>
      <c r="BF717" s="221">
        <f>IF(N717="snížená",J717,0)</f>
        <v>0</v>
      </c>
      <c r="BG717" s="221">
        <f>IF(N717="zákl. přenesená",J717,0)</f>
        <v>0</v>
      </c>
      <c r="BH717" s="221">
        <f>IF(N717="sníž. přenesená",J717,0)</f>
        <v>0</v>
      </c>
      <c r="BI717" s="221">
        <f>IF(N717="nulová",J717,0)</f>
        <v>0</v>
      </c>
      <c r="BJ717" s="18" t="s">
        <v>86</v>
      </c>
      <c r="BK717" s="221">
        <f>ROUND(I717*H717,1)</f>
        <v>0</v>
      </c>
      <c r="BL717" s="18" t="s">
        <v>310</v>
      </c>
      <c r="BM717" s="220" t="s">
        <v>1168</v>
      </c>
    </row>
    <row r="718" s="13" customFormat="1">
      <c r="A718" s="13"/>
      <c r="B718" s="227"/>
      <c r="C718" s="228"/>
      <c r="D718" s="229" t="s">
        <v>211</v>
      </c>
      <c r="E718" s="230" t="s">
        <v>32</v>
      </c>
      <c r="F718" s="231" t="s">
        <v>148</v>
      </c>
      <c r="G718" s="228"/>
      <c r="H718" s="232">
        <v>3</v>
      </c>
      <c r="I718" s="233"/>
      <c r="J718" s="228"/>
      <c r="K718" s="228"/>
      <c r="L718" s="234"/>
      <c r="M718" s="235"/>
      <c r="N718" s="236"/>
      <c r="O718" s="236"/>
      <c r="P718" s="236"/>
      <c r="Q718" s="236"/>
      <c r="R718" s="236"/>
      <c r="S718" s="236"/>
      <c r="T718" s="237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T718" s="238" t="s">
        <v>211</v>
      </c>
      <c r="AU718" s="238" t="s">
        <v>88</v>
      </c>
      <c r="AV718" s="13" t="s">
        <v>88</v>
      </c>
      <c r="AW718" s="13" t="s">
        <v>213</v>
      </c>
      <c r="AX718" s="13" t="s">
        <v>86</v>
      </c>
      <c r="AY718" s="238" t="s">
        <v>200</v>
      </c>
    </row>
    <row r="719" s="2" customFormat="1" ht="16.5" customHeight="1">
      <c r="A719" s="40"/>
      <c r="B719" s="41"/>
      <c r="C719" s="209" t="s">
        <v>1169</v>
      </c>
      <c r="D719" s="209" t="s">
        <v>202</v>
      </c>
      <c r="E719" s="210" t="s">
        <v>1170</v>
      </c>
      <c r="F719" s="211" t="s">
        <v>1171</v>
      </c>
      <c r="G719" s="212" t="s">
        <v>1094</v>
      </c>
      <c r="H719" s="213">
        <v>6</v>
      </c>
      <c r="I719" s="214"/>
      <c r="J719" s="215">
        <f>ROUND(I719*H719,1)</f>
        <v>0</v>
      </c>
      <c r="K719" s="211" t="s">
        <v>32</v>
      </c>
      <c r="L719" s="46"/>
      <c r="M719" s="216" t="s">
        <v>32</v>
      </c>
      <c r="N719" s="217" t="s">
        <v>49</v>
      </c>
      <c r="O719" s="86"/>
      <c r="P719" s="218">
        <f>O719*H719</f>
        <v>0</v>
      </c>
      <c r="Q719" s="218">
        <v>0.00075000000000000002</v>
      </c>
      <c r="R719" s="218">
        <f>Q719*H719</f>
        <v>0.0045000000000000005</v>
      </c>
      <c r="S719" s="218">
        <v>0</v>
      </c>
      <c r="T719" s="219">
        <f>S719*H719</f>
        <v>0</v>
      </c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R719" s="220" t="s">
        <v>310</v>
      </c>
      <c r="AT719" s="220" t="s">
        <v>202</v>
      </c>
      <c r="AU719" s="220" t="s">
        <v>88</v>
      </c>
      <c r="AY719" s="18" t="s">
        <v>200</v>
      </c>
      <c r="BE719" s="221">
        <f>IF(N719="základní",J719,0)</f>
        <v>0</v>
      </c>
      <c r="BF719" s="221">
        <f>IF(N719="snížená",J719,0)</f>
        <v>0</v>
      </c>
      <c r="BG719" s="221">
        <f>IF(N719="zákl. přenesená",J719,0)</f>
        <v>0</v>
      </c>
      <c r="BH719" s="221">
        <f>IF(N719="sníž. přenesená",J719,0)</f>
        <v>0</v>
      </c>
      <c r="BI719" s="221">
        <f>IF(N719="nulová",J719,0)</f>
        <v>0</v>
      </c>
      <c r="BJ719" s="18" t="s">
        <v>86</v>
      </c>
      <c r="BK719" s="221">
        <f>ROUND(I719*H719,1)</f>
        <v>0</v>
      </c>
      <c r="BL719" s="18" t="s">
        <v>310</v>
      </c>
      <c r="BM719" s="220" t="s">
        <v>1172</v>
      </c>
    </row>
    <row r="720" s="2" customFormat="1" ht="16.5" customHeight="1">
      <c r="A720" s="40"/>
      <c r="B720" s="41"/>
      <c r="C720" s="209" t="s">
        <v>1173</v>
      </c>
      <c r="D720" s="209" t="s">
        <v>202</v>
      </c>
      <c r="E720" s="210" t="s">
        <v>1174</v>
      </c>
      <c r="F720" s="211" t="s">
        <v>1175</v>
      </c>
      <c r="G720" s="212" t="s">
        <v>1094</v>
      </c>
      <c r="H720" s="213">
        <v>1</v>
      </c>
      <c r="I720" s="214"/>
      <c r="J720" s="215">
        <f>ROUND(I720*H720,1)</f>
        <v>0</v>
      </c>
      <c r="K720" s="211" t="s">
        <v>32</v>
      </c>
      <c r="L720" s="46"/>
      <c r="M720" s="216" t="s">
        <v>32</v>
      </c>
      <c r="N720" s="217" t="s">
        <v>49</v>
      </c>
      <c r="O720" s="86"/>
      <c r="P720" s="218">
        <f>O720*H720</f>
        <v>0</v>
      </c>
      <c r="Q720" s="218">
        <v>0.00075000000000000002</v>
      </c>
      <c r="R720" s="218">
        <f>Q720*H720</f>
        <v>0.00075000000000000002</v>
      </c>
      <c r="S720" s="218">
        <v>0</v>
      </c>
      <c r="T720" s="219">
        <f>S720*H720</f>
        <v>0</v>
      </c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R720" s="220" t="s">
        <v>310</v>
      </c>
      <c r="AT720" s="220" t="s">
        <v>202</v>
      </c>
      <c r="AU720" s="220" t="s">
        <v>88</v>
      </c>
      <c r="AY720" s="18" t="s">
        <v>200</v>
      </c>
      <c r="BE720" s="221">
        <f>IF(N720="základní",J720,0)</f>
        <v>0</v>
      </c>
      <c r="BF720" s="221">
        <f>IF(N720="snížená",J720,0)</f>
        <v>0</v>
      </c>
      <c r="BG720" s="221">
        <f>IF(N720="zákl. přenesená",J720,0)</f>
        <v>0</v>
      </c>
      <c r="BH720" s="221">
        <f>IF(N720="sníž. přenesená",J720,0)</f>
        <v>0</v>
      </c>
      <c r="BI720" s="221">
        <f>IF(N720="nulová",J720,0)</f>
        <v>0</v>
      </c>
      <c r="BJ720" s="18" t="s">
        <v>86</v>
      </c>
      <c r="BK720" s="221">
        <f>ROUND(I720*H720,1)</f>
        <v>0</v>
      </c>
      <c r="BL720" s="18" t="s">
        <v>310</v>
      </c>
      <c r="BM720" s="220" t="s">
        <v>1176</v>
      </c>
    </row>
    <row r="721" s="13" customFormat="1">
      <c r="A721" s="13"/>
      <c r="B721" s="227"/>
      <c r="C721" s="228"/>
      <c r="D721" s="229" t="s">
        <v>211</v>
      </c>
      <c r="E721" s="230" t="s">
        <v>32</v>
      </c>
      <c r="F721" s="231" t="s">
        <v>86</v>
      </c>
      <c r="G721" s="228"/>
      <c r="H721" s="232">
        <v>1</v>
      </c>
      <c r="I721" s="233"/>
      <c r="J721" s="228"/>
      <c r="K721" s="228"/>
      <c r="L721" s="234"/>
      <c r="M721" s="235"/>
      <c r="N721" s="236"/>
      <c r="O721" s="236"/>
      <c r="P721" s="236"/>
      <c r="Q721" s="236"/>
      <c r="R721" s="236"/>
      <c r="S721" s="236"/>
      <c r="T721" s="237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T721" s="238" t="s">
        <v>211</v>
      </c>
      <c r="AU721" s="238" t="s">
        <v>88</v>
      </c>
      <c r="AV721" s="13" t="s">
        <v>88</v>
      </c>
      <c r="AW721" s="13" t="s">
        <v>213</v>
      </c>
      <c r="AX721" s="13" t="s">
        <v>86</v>
      </c>
      <c r="AY721" s="238" t="s">
        <v>200</v>
      </c>
    </row>
    <row r="722" s="2" customFormat="1" ht="16.5" customHeight="1">
      <c r="A722" s="40"/>
      <c r="B722" s="41"/>
      <c r="C722" s="209" t="s">
        <v>1177</v>
      </c>
      <c r="D722" s="209" t="s">
        <v>202</v>
      </c>
      <c r="E722" s="210" t="s">
        <v>1178</v>
      </c>
      <c r="F722" s="211" t="s">
        <v>1179</v>
      </c>
      <c r="G722" s="212" t="s">
        <v>1094</v>
      </c>
      <c r="H722" s="213">
        <v>3</v>
      </c>
      <c r="I722" s="214"/>
      <c r="J722" s="215">
        <f>ROUND(I722*H722,1)</f>
        <v>0</v>
      </c>
      <c r="K722" s="211" t="s">
        <v>32</v>
      </c>
      <c r="L722" s="46"/>
      <c r="M722" s="216" t="s">
        <v>32</v>
      </c>
      <c r="N722" s="217" t="s">
        <v>49</v>
      </c>
      <c r="O722" s="86"/>
      <c r="P722" s="218">
        <f>O722*H722</f>
        <v>0</v>
      </c>
      <c r="Q722" s="218">
        <v>0.00075000000000000002</v>
      </c>
      <c r="R722" s="218">
        <f>Q722*H722</f>
        <v>0.0022500000000000003</v>
      </c>
      <c r="S722" s="218">
        <v>0</v>
      </c>
      <c r="T722" s="219">
        <f>S722*H722</f>
        <v>0</v>
      </c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R722" s="220" t="s">
        <v>310</v>
      </c>
      <c r="AT722" s="220" t="s">
        <v>202</v>
      </c>
      <c r="AU722" s="220" t="s">
        <v>88</v>
      </c>
      <c r="AY722" s="18" t="s">
        <v>200</v>
      </c>
      <c r="BE722" s="221">
        <f>IF(N722="základní",J722,0)</f>
        <v>0</v>
      </c>
      <c r="BF722" s="221">
        <f>IF(N722="snížená",J722,0)</f>
        <v>0</v>
      </c>
      <c r="BG722" s="221">
        <f>IF(N722="zákl. přenesená",J722,0)</f>
        <v>0</v>
      </c>
      <c r="BH722" s="221">
        <f>IF(N722="sníž. přenesená",J722,0)</f>
        <v>0</v>
      </c>
      <c r="BI722" s="221">
        <f>IF(N722="nulová",J722,0)</f>
        <v>0</v>
      </c>
      <c r="BJ722" s="18" t="s">
        <v>86</v>
      </c>
      <c r="BK722" s="221">
        <f>ROUND(I722*H722,1)</f>
        <v>0</v>
      </c>
      <c r="BL722" s="18" t="s">
        <v>310</v>
      </c>
      <c r="BM722" s="220" t="s">
        <v>1180</v>
      </c>
    </row>
    <row r="723" s="13" customFormat="1">
      <c r="A723" s="13"/>
      <c r="B723" s="227"/>
      <c r="C723" s="228"/>
      <c r="D723" s="229" t="s">
        <v>211</v>
      </c>
      <c r="E723" s="230" t="s">
        <v>32</v>
      </c>
      <c r="F723" s="231" t="s">
        <v>148</v>
      </c>
      <c r="G723" s="228"/>
      <c r="H723" s="232">
        <v>3</v>
      </c>
      <c r="I723" s="233"/>
      <c r="J723" s="228"/>
      <c r="K723" s="228"/>
      <c r="L723" s="234"/>
      <c r="M723" s="235"/>
      <c r="N723" s="236"/>
      <c r="O723" s="236"/>
      <c r="P723" s="236"/>
      <c r="Q723" s="236"/>
      <c r="R723" s="236"/>
      <c r="S723" s="236"/>
      <c r="T723" s="237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T723" s="238" t="s">
        <v>211</v>
      </c>
      <c r="AU723" s="238" t="s">
        <v>88</v>
      </c>
      <c r="AV723" s="13" t="s">
        <v>88</v>
      </c>
      <c r="AW723" s="13" t="s">
        <v>213</v>
      </c>
      <c r="AX723" s="13" t="s">
        <v>86</v>
      </c>
      <c r="AY723" s="238" t="s">
        <v>200</v>
      </c>
    </row>
    <row r="724" s="12" customFormat="1" ht="22.8" customHeight="1">
      <c r="A724" s="12"/>
      <c r="B724" s="193"/>
      <c r="C724" s="194"/>
      <c r="D724" s="195" t="s">
        <v>77</v>
      </c>
      <c r="E724" s="207" t="s">
        <v>1181</v>
      </c>
      <c r="F724" s="207" t="s">
        <v>1182</v>
      </c>
      <c r="G724" s="194"/>
      <c r="H724" s="194"/>
      <c r="I724" s="197"/>
      <c r="J724" s="208">
        <f>BK724</f>
        <v>0</v>
      </c>
      <c r="K724" s="194"/>
      <c r="L724" s="199"/>
      <c r="M724" s="200"/>
      <c r="N724" s="201"/>
      <c r="O724" s="201"/>
      <c r="P724" s="202">
        <f>SUM(P725:P768)</f>
        <v>0</v>
      </c>
      <c r="Q724" s="201"/>
      <c r="R724" s="202">
        <f>SUM(R725:R768)</f>
        <v>23.831378190000002</v>
      </c>
      <c r="S724" s="201"/>
      <c r="T724" s="203">
        <f>SUM(T725:T768)</f>
        <v>0</v>
      </c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R724" s="204" t="s">
        <v>88</v>
      </c>
      <c r="AT724" s="205" t="s">
        <v>77</v>
      </c>
      <c r="AU724" s="205" t="s">
        <v>86</v>
      </c>
      <c r="AY724" s="204" t="s">
        <v>200</v>
      </c>
      <c r="BK724" s="206">
        <f>SUM(BK725:BK768)</f>
        <v>0</v>
      </c>
    </row>
    <row r="725" s="2" customFormat="1" ht="21.75" customHeight="1">
      <c r="A725" s="40"/>
      <c r="B725" s="41"/>
      <c r="C725" s="209" t="s">
        <v>1183</v>
      </c>
      <c r="D725" s="209" t="s">
        <v>202</v>
      </c>
      <c r="E725" s="210" t="s">
        <v>1184</v>
      </c>
      <c r="F725" s="211" t="s">
        <v>1185</v>
      </c>
      <c r="G725" s="212" t="s">
        <v>205</v>
      </c>
      <c r="H725" s="213">
        <v>13.526999999999999</v>
      </c>
      <c r="I725" s="214"/>
      <c r="J725" s="215">
        <f>ROUND(I725*H725,1)</f>
        <v>0</v>
      </c>
      <c r="K725" s="211" t="s">
        <v>206</v>
      </c>
      <c r="L725" s="46"/>
      <c r="M725" s="216" t="s">
        <v>32</v>
      </c>
      <c r="N725" s="217" t="s">
        <v>49</v>
      </c>
      <c r="O725" s="86"/>
      <c r="P725" s="218">
        <f>O725*H725</f>
        <v>0</v>
      </c>
      <c r="Q725" s="218">
        <v>0.00122</v>
      </c>
      <c r="R725" s="218">
        <f>Q725*H725</f>
        <v>0.016502939999999997</v>
      </c>
      <c r="S725" s="218">
        <v>0</v>
      </c>
      <c r="T725" s="219">
        <f>S725*H725</f>
        <v>0</v>
      </c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R725" s="220" t="s">
        <v>310</v>
      </c>
      <c r="AT725" s="220" t="s">
        <v>202</v>
      </c>
      <c r="AU725" s="220" t="s">
        <v>88</v>
      </c>
      <c r="AY725" s="18" t="s">
        <v>200</v>
      </c>
      <c r="BE725" s="221">
        <f>IF(N725="základní",J725,0)</f>
        <v>0</v>
      </c>
      <c r="BF725" s="221">
        <f>IF(N725="snížená",J725,0)</f>
        <v>0</v>
      </c>
      <c r="BG725" s="221">
        <f>IF(N725="zákl. přenesená",J725,0)</f>
        <v>0</v>
      </c>
      <c r="BH725" s="221">
        <f>IF(N725="sníž. přenesená",J725,0)</f>
        <v>0</v>
      </c>
      <c r="BI725" s="221">
        <f>IF(N725="nulová",J725,0)</f>
        <v>0</v>
      </c>
      <c r="BJ725" s="18" t="s">
        <v>86</v>
      </c>
      <c r="BK725" s="221">
        <f>ROUND(I725*H725,1)</f>
        <v>0</v>
      </c>
      <c r="BL725" s="18" t="s">
        <v>310</v>
      </c>
      <c r="BM725" s="220" t="s">
        <v>1186</v>
      </c>
    </row>
    <row r="726" s="2" customFormat="1">
      <c r="A726" s="40"/>
      <c r="B726" s="41"/>
      <c r="C726" s="42"/>
      <c r="D726" s="222" t="s">
        <v>209</v>
      </c>
      <c r="E726" s="42"/>
      <c r="F726" s="223" t="s">
        <v>1187</v>
      </c>
      <c r="G726" s="42"/>
      <c r="H726" s="42"/>
      <c r="I726" s="224"/>
      <c r="J726" s="42"/>
      <c r="K726" s="42"/>
      <c r="L726" s="46"/>
      <c r="M726" s="225"/>
      <c r="N726" s="226"/>
      <c r="O726" s="86"/>
      <c r="P726" s="86"/>
      <c r="Q726" s="86"/>
      <c r="R726" s="86"/>
      <c r="S726" s="86"/>
      <c r="T726" s="87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T726" s="18" t="s">
        <v>209</v>
      </c>
      <c r="AU726" s="18" t="s">
        <v>88</v>
      </c>
    </row>
    <row r="727" s="2" customFormat="1" ht="37.8" customHeight="1">
      <c r="A727" s="40"/>
      <c r="B727" s="41"/>
      <c r="C727" s="209" t="s">
        <v>1188</v>
      </c>
      <c r="D727" s="209" t="s">
        <v>202</v>
      </c>
      <c r="E727" s="210" t="s">
        <v>1189</v>
      </c>
      <c r="F727" s="211" t="s">
        <v>1190</v>
      </c>
      <c r="G727" s="212" t="s">
        <v>280</v>
      </c>
      <c r="H727" s="213">
        <v>1992.0940000000001</v>
      </c>
      <c r="I727" s="214"/>
      <c r="J727" s="215">
        <f>ROUND(I727*H727,1)</f>
        <v>0</v>
      </c>
      <c r="K727" s="211" t="s">
        <v>206</v>
      </c>
      <c r="L727" s="46"/>
      <c r="M727" s="216" t="s">
        <v>32</v>
      </c>
      <c r="N727" s="217" t="s">
        <v>49</v>
      </c>
      <c r="O727" s="86"/>
      <c r="P727" s="218">
        <f>O727*H727</f>
        <v>0</v>
      </c>
      <c r="Q727" s="218">
        <v>0</v>
      </c>
      <c r="R727" s="218">
        <f>Q727*H727</f>
        <v>0</v>
      </c>
      <c r="S727" s="218">
        <v>0</v>
      </c>
      <c r="T727" s="219">
        <f>S727*H727</f>
        <v>0</v>
      </c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R727" s="220" t="s">
        <v>310</v>
      </c>
      <c r="AT727" s="220" t="s">
        <v>202</v>
      </c>
      <c r="AU727" s="220" t="s">
        <v>88</v>
      </c>
      <c r="AY727" s="18" t="s">
        <v>200</v>
      </c>
      <c r="BE727" s="221">
        <f>IF(N727="základní",J727,0)</f>
        <v>0</v>
      </c>
      <c r="BF727" s="221">
        <f>IF(N727="snížená",J727,0)</f>
        <v>0</v>
      </c>
      <c r="BG727" s="221">
        <f>IF(N727="zákl. přenesená",J727,0)</f>
        <v>0</v>
      </c>
      <c r="BH727" s="221">
        <f>IF(N727="sníž. přenesená",J727,0)</f>
        <v>0</v>
      </c>
      <c r="BI727" s="221">
        <f>IF(N727="nulová",J727,0)</f>
        <v>0</v>
      </c>
      <c r="BJ727" s="18" t="s">
        <v>86</v>
      </c>
      <c r="BK727" s="221">
        <f>ROUND(I727*H727,1)</f>
        <v>0</v>
      </c>
      <c r="BL727" s="18" t="s">
        <v>310</v>
      </c>
      <c r="BM727" s="220" t="s">
        <v>1191</v>
      </c>
    </row>
    <row r="728" s="2" customFormat="1">
      <c r="A728" s="40"/>
      <c r="B728" s="41"/>
      <c r="C728" s="42"/>
      <c r="D728" s="222" t="s">
        <v>209</v>
      </c>
      <c r="E728" s="42"/>
      <c r="F728" s="223" t="s">
        <v>1192</v>
      </c>
      <c r="G728" s="42"/>
      <c r="H728" s="42"/>
      <c r="I728" s="224"/>
      <c r="J728" s="42"/>
      <c r="K728" s="42"/>
      <c r="L728" s="46"/>
      <c r="M728" s="225"/>
      <c r="N728" s="226"/>
      <c r="O728" s="86"/>
      <c r="P728" s="86"/>
      <c r="Q728" s="86"/>
      <c r="R728" s="86"/>
      <c r="S728" s="86"/>
      <c r="T728" s="87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T728" s="18" t="s">
        <v>209</v>
      </c>
      <c r="AU728" s="18" t="s">
        <v>88</v>
      </c>
    </row>
    <row r="729" s="13" customFormat="1">
      <c r="A729" s="13"/>
      <c r="B729" s="227"/>
      <c r="C729" s="228"/>
      <c r="D729" s="229" t="s">
        <v>211</v>
      </c>
      <c r="E729" s="230" t="s">
        <v>32</v>
      </c>
      <c r="F729" s="231" t="s">
        <v>1193</v>
      </c>
      <c r="G729" s="228"/>
      <c r="H729" s="232">
        <v>216</v>
      </c>
      <c r="I729" s="233"/>
      <c r="J729" s="228"/>
      <c r="K729" s="228"/>
      <c r="L729" s="234"/>
      <c r="M729" s="235"/>
      <c r="N729" s="236"/>
      <c r="O729" s="236"/>
      <c r="P729" s="236"/>
      <c r="Q729" s="236"/>
      <c r="R729" s="236"/>
      <c r="S729" s="236"/>
      <c r="T729" s="237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T729" s="238" t="s">
        <v>211</v>
      </c>
      <c r="AU729" s="238" t="s">
        <v>88</v>
      </c>
      <c r="AV729" s="13" t="s">
        <v>88</v>
      </c>
      <c r="AW729" s="13" t="s">
        <v>213</v>
      </c>
      <c r="AX729" s="13" t="s">
        <v>78</v>
      </c>
      <c r="AY729" s="238" t="s">
        <v>200</v>
      </c>
    </row>
    <row r="730" s="13" customFormat="1">
      <c r="A730" s="13"/>
      <c r="B730" s="227"/>
      <c r="C730" s="228"/>
      <c r="D730" s="229" t="s">
        <v>211</v>
      </c>
      <c r="E730" s="230" t="s">
        <v>32</v>
      </c>
      <c r="F730" s="231" t="s">
        <v>1194</v>
      </c>
      <c r="G730" s="228"/>
      <c r="H730" s="232">
        <v>1776.09375</v>
      </c>
      <c r="I730" s="233"/>
      <c r="J730" s="228"/>
      <c r="K730" s="228"/>
      <c r="L730" s="234"/>
      <c r="M730" s="235"/>
      <c r="N730" s="236"/>
      <c r="O730" s="236"/>
      <c r="P730" s="236"/>
      <c r="Q730" s="236"/>
      <c r="R730" s="236"/>
      <c r="S730" s="236"/>
      <c r="T730" s="237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T730" s="238" t="s">
        <v>211</v>
      </c>
      <c r="AU730" s="238" t="s">
        <v>88</v>
      </c>
      <c r="AV730" s="13" t="s">
        <v>88</v>
      </c>
      <c r="AW730" s="13" t="s">
        <v>213</v>
      </c>
      <c r="AX730" s="13" t="s">
        <v>78</v>
      </c>
      <c r="AY730" s="238" t="s">
        <v>200</v>
      </c>
    </row>
    <row r="731" s="14" customFormat="1">
      <c r="A731" s="14"/>
      <c r="B731" s="239"/>
      <c r="C731" s="240"/>
      <c r="D731" s="229" t="s">
        <v>211</v>
      </c>
      <c r="E731" s="241" t="s">
        <v>32</v>
      </c>
      <c r="F731" s="242" t="s">
        <v>220</v>
      </c>
      <c r="G731" s="240"/>
      <c r="H731" s="243">
        <v>1992.09375</v>
      </c>
      <c r="I731" s="244"/>
      <c r="J731" s="240"/>
      <c r="K731" s="240"/>
      <c r="L731" s="245"/>
      <c r="M731" s="246"/>
      <c r="N731" s="247"/>
      <c r="O731" s="247"/>
      <c r="P731" s="247"/>
      <c r="Q731" s="247"/>
      <c r="R731" s="247"/>
      <c r="S731" s="247"/>
      <c r="T731" s="248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T731" s="249" t="s">
        <v>211</v>
      </c>
      <c r="AU731" s="249" t="s">
        <v>88</v>
      </c>
      <c r="AV731" s="14" t="s">
        <v>207</v>
      </c>
      <c r="AW731" s="14" t="s">
        <v>213</v>
      </c>
      <c r="AX731" s="14" t="s">
        <v>86</v>
      </c>
      <c r="AY731" s="249" t="s">
        <v>200</v>
      </c>
    </row>
    <row r="732" s="2" customFormat="1" ht="16.5" customHeight="1">
      <c r="A732" s="40"/>
      <c r="B732" s="41"/>
      <c r="C732" s="260" t="s">
        <v>1195</v>
      </c>
      <c r="D732" s="260" t="s">
        <v>292</v>
      </c>
      <c r="E732" s="261" t="s">
        <v>1196</v>
      </c>
      <c r="F732" s="262" t="s">
        <v>1197</v>
      </c>
      <c r="G732" s="263" t="s">
        <v>205</v>
      </c>
      <c r="H732" s="264">
        <v>13.526999999999999</v>
      </c>
      <c r="I732" s="265"/>
      <c r="J732" s="266">
        <f>ROUND(I732*H732,1)</f>
        <v>0</v>
      </c>
      <c r="K732" s="262" t="s">
        <v>206</v>
      </c>
      <c r="L732" s="267"/>
      <c r="M732" s="268" t="s">
        <v>32</v>
      </c>
      <c r="N732" s="269" t="s">
        <v>49</v>
      </c>
      <c r="O732" s="86"/>
      <c r="P732" s="218">
        <f>O732*H732</f>
        <v>0</v>
      </c>
      <c r="Q732" s="218">
        <v>0.55000000000000004</v>
      </c>
      <c r="R732" s="218">
        <f>Q732*H732</f>
        <v>7.4398499999999999</v>
      </c>
      <c r="S732" s="218">
        <v>0</v>
      </c>
      <c r="T732" s="219">
        <f>S732*H732</f>
        <v>0</v>
      </c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R732" s="220" t="s">
        <v>429</v>
      </c>
      <c r="AT732" s="220" t="s">
        <v>292</v>
      </c>
      <c r="AU732" s="220" t="s">
        <v>88</v>
      </c>
      <c r="AY732" s="18" t="s">
        <v>200</v>
      </c>
      <c r="BE732" s="221">
        <f>IF(N732="základní",J732,0)</f>
        <v>0</v>
      </c>
      <c r="BF732" s="221">
        <f>IF(N732="snížená",J732,0)</f>
        <v>0</v>
      </c>
      <c r="BG732" s="221">
        <f>IF(N732="zákl. přenesená",J732,0)</f>
        <v>0</v>
      </c>
      <c r="BH732" s="221">
        <f>IF(N732="sníž. přenesená",J732,0)</f>
        <v>0</v>
      </c>
      <c r="BI732" s="221">
        <f>IF(N732="nulová",J732,0)</f>
        <v>0</v>
      </c>
      <c r="BJ732" s="18" t="s">
        <v>86</v>
      </c>
      <c r="BK732" s="221">
        <f>ROUND(I732*H732,1)</f>
        <v>0</v>
      </c>
      <c r="BL732" s="18" t="s">
        <v>310</v>
      </c>
      <c r="BM732" s="220" t="s">
        <v>1198</v>
      </c>
    </row>
    <row r="733" s="2" customFormat="1" ht="24.15" customHeight="1">
      <c r="A733" s="40"/>
      <c r="B733" s="41"/>
      <c r="C733" s="209" t="s">
        <v>1199</v>
      </c>
      <c r="D733" s="209" t="s">
        <v>202</v>
      </c>
      <c r="E733" s="210" t="s">
        <v>1200</v>
      </c>
      <c r="F733" s="211" t="s">
        <v>1201</v>
      </c>
      <c r="G733" s="212" t="s">
        <v>272</v>
      </c>
      <c r="H733" s="213">
        <v>707.29999999999995</v>
      </c>
      <c r="I733" s="214"/>
      <c r="J733" s="215">
        <f>ROUND(I733*H733,1)</f>
        <v>0</v>
      </c>
      <c r="K733" s="211" t="s">
        <v>206</v>
      </c>
      <c r="L733" s="46"/>
      <c r="M733" s="216" t="s">
        <v>32</v>
      </c>
      <c r="N733" s="217" t="s">
        <v>49</v>
      </c>
      <c r="O733" s="86"/>
      <c r="P733" s="218">
        <f>O733*H733</f>
        <v>0</v>
      </c>
      <c r="Q733" s="218">
        <v>0.01423</v>
      </c>
      <c r="R733" s="218">
        <f>Q733*H733</f>
        <v>10.064879</v>
      </c>
      <c r="S733" s="218">
        <v>0</v>
      </c>
      <c r="T733" s="219">
        <f>S733*H733</f>
        <v>0</v>
      </c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R733" s="220" t="s">
        <v>310</v>
      </c>
      <c r="AT733" s="220" t="s">
        <v>202</v>
      </c>
      <c r="AU733" s="220" t="s">
        <v>88</v>
      </c>
      <c r="AY733" s="18" t="s">
        <v>200</v>
      </c>
      <c r="BE733" s="221">
        <f>IF(N733="základní",J733,0)</f>
        <v>0</v>
      </c>
      <c r="BF733" s="221">
        <f>IF(N733="snížená",J733,0)</f>
        <v>0</v>
      </c>
      <c r="BG733" s="221">
        <f>IF(N733="zákl. přenesená",J733,0)</f>
        <v>0</v>
      </c>
      <c r="BH733" s="221">
        <f>IF(N733="sníž. přenesená",J733,0)</f>
        <v>0</v>
      </c>
      <c r="BI733" s="221">
        <f>IF(N733="nulová",J733,0)</f>
        <v>0</v>
      </c>
      <c r="BJ733" s="18" t="s">
        <v>86</v>
      </c>
      <c r="BK733" s="221">
        <f>ROUND(I733*H733,1)</f>
        <v>0</v>
      </c>
      <c r="BL733" s="18" t="s">
        <v>310</v>
      </c>
      <c r="BM733" s="220" t="s">
        <v>1202</v>
      </c>
    </row>
    <row r="734" s="2" customFormat="1">
      <c r="A734" s="40"/>
      <c r="B734" s="41"/>
      <c r="C734" s="42"/>
      <c r="D734" s="222" t="s">
        <v>209</v>
      </c>
      <c r="E734" s="42"/>
      <c r="F734" s="223" t="s">
        <v>1203</v>
      </c>
      <c r="G734" s="42"/>
      <c r="H734" s="42"/>
      <c r="I734" s="224"/>
      <c r="J734" s="42"/>
      <c r="K734" s="42"/>
      <c r="L734" s="46"/>
      <c r="M734" s="225"/>
      <c r="N734" s="226"/>
      <c r="O734" s="86"/>
      <c r="P734" s="86"/>
      <c r="Q734" s="86"/>
      <c r="R734" s="86"/>
      <c r="S734" s="86"/>
      <c r="T734" s="87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T734" s="18" t="s">
        <v>209</v>
      </c>
      <c r="AU734" s="18" t="s">
        <v>88</v>
      </c>
    </row>
    <row r="735" s="13" customFormat="1">
      <c r="A735" s="13"/>
      <c r="B735" s="227"/>
      <c r="C735" s="228"/>
      <c r="D735" s="229" t="s">
        <v>211</v>
      </c>
      <c r="E735" s="230" t="s">
        <v>32</v>
      </c>
      <c r="F735" s="231" t="s">
        <v>149</v>
      </c>
      <c r="G735" s="228"/>
      <c r="H735" s="232">
        <v>707.29999999999995</v>
      </c>
      <c r="I735" s="233"/>
      <c r="J735" s="228"/>
      <c r="K735" s="228"/>
      <c r="L735" s="234"/>
      <c r="M735" s="235"/>
      <c r="N735" s="236"/>
      <c r="O735" s="236"/>
      <c r="P735" s="236"/>
      <c r="Q735" s="236"/>
      <c r="R735" s="236"/>
      <c r="S735" s="236"/>
      <c r="T735" s="237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T735" s="238" t="s">
        <v>211</v>
      </c>
      <c r="AU735" s="238" t="s">
        <v>88</v>
      </c>
      <c r="AV735" s="13" t="s">
        <v>88</v>
      </c>
      <c r="AW735" s="13" t="s">
        <v>213</v>
      </c>
      <c r="AX735" s="13" t="s">
        <v>86</v>
      </c>
      <c r="AY735" s="238" t="s">
        <v>200</v>
      </c>
    </row>
    <row r="736" s="2" customFormat="1" ht="21.75" customHeight="1">
      <c r="A736" s="40"/>
      <c r="B736" s="41"/>
      <c r="C736" s="209" t="s">
        <v>1204</v>
      </c>
      <c r="D736" s="209" t="s">
        <v>202</v>
      </c>
      <c r="E736" s="210" t="s">
        <v>1205</v>
      </c>
      <c r="F736" s="211" t="s">
        <v>1206</v>
      </c>
      <c r="G736" s="212" t="s">
        <v>272</v>
      </c>
      <c r="H736" s="213">
        <v>707.29999999999995</v>
      </c>
      <c r="I736" s="214"/>
      <c r="J736" s="215">
        <f>ROUND(I736*H736,1)</f>
        <v>0</v>
      </c>
      <c r="K736" s="211" t="s">
        <v>206</v>
      </c>
      <c r="L736" s="46"/>
      <c r="M736" s="216" t="s">
        <v>32</v>
      </c>
      <c r="N736" s="217" t="s">
        <v>49</v>
      </c>
      <c r="O736" s="86"/>
      <c r="P736" s="218">
        <f>O736*H736</f>
        <v>0</v>
      </c>
      <c r="Q736" s="218">
        <v>0</v>
      </c>
      <c r="R736" s="218">
        <f>Q736*H736</f>
        <v>0</v>
      </c>
      <c r="S736" s="218">
        <v>0</v>
      </c>
      <c r="T736" s="219">
        <f>S736*H736</f>
        <v>0</v>
      </c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R736" s="220" t="s">
        <v>310</v>
      </c>
      <c r="AT736" s="220" t="s">
        <v>202</v>
      </c>
      <c r="AU736" s="220" t="s">
        <v>88</v>
      </c>
      <c r="AY736" s="18" t="s">
        <v>200</v>
      </c>
      <c r="BE736" s="221">
        <f>IF(N736="základní",J736,0)</f>
        <v>0</v>
      </c>
      <c r="BF736" s="221">
        <f>IF(N736="snížená",J736,0)</f>
        <v>0</v>
      </c>
      <c r="BG736" s="221">
        <f>IF(N736="zákl. přenesená",J736,0)</f>
        <v>0</v>
      </c>
      <c r="BH736" s="221">
        <f>IF(N736="sníž. přenesená",J736,0)</f>
        <v>0</v>
      </c>
      <c r="BI736" s="221">
        <f>IF(N736="nulová",J736,0)</f>
        <v>0</v>
      </c>
      <c r="BJ736" s="18" t="s">
        <v>86</v>
      </c>
      <c r="BK736" s="221">
        <f>ROUND(I736*H736,1)</f>
        <v>0</v>
      </c>
      <c r="BL736" s="18" t="s">
        <v>310</v>
      </c>
      <c r="BM736" s="220" t="s">
        <v>1207</v>
      </c>
    </row>
    <row r="737" s="2" customFormat="1">
      <c r="A737" s="40"/>
      <c r="B737" s="41"/>
      <c r="C737" s="42"/>
      <c r="D737" s="222" t="s">
        <v>209</v>
      </c>
      <c r="E737" s="42"/>
      <c r="F737" s="223" t="s">
        <v>1208</v>
      </c>
      <c r="G737" s="42"/>
      <c r="H737" s="42"/>
      <c r="I737" s="224"/>
      <c r="J737" s="42"/>
      <c r="K737" s="42"/>
      <c r="L737" s="46"/>
      <c r="M737" s="225"/>
      <c r="N737" s="226"/>
      <c r="O737" s="86"/>
      <c r="P737" s="86"/>
      <c r="Q737" s="86"/>
      <c r="R737" s="86"/>
      <c r="S737" s="86"/>
      <c r="T737" s="87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T737" s="18" t="s">
        <v>209</v>
      </c>
      <c r="AU737" s="18" t="s">
        <v>88</v>
      </c>
    </row>
    <row r="738" s="13" customFormat="1">
      <c r="A738" s="13"/>
      <c r="B738" s="227"/>
      <c r="C738" s="228"/>
      <c r="D738" s="229" t="s">
        <v>211</v>
      </c>
      <c r="E738" s="230" t="s">
        <v>32</v>
      </c>
      <c r="F738" s="231" t="s">
        <v>149</v>
      </c>
      <c r="G738" s="228"/>
      <c r="H738" s="232">
        <v>707.29999999999995</v>
      </c>
      <c r="I738" s="233"/>
      <c r="J738" s="228"/>
      <c r="K738" s="228"/>
      <c r="L738" s="234"/>
      <c r="M738" s="235"/>
      <c r="N738" s="236"/>
      <c r="O738" s="236"/>
      <c r="P738" s="236"/>
      <c r="Q738" s="236"/>
      <c r="R738" s="236"/>
      <c r="S738" s="236"/>
      <c r="T738" s="237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T738" s="238" t="s">
        <v>211</v>
      </c>
      <c r="AU738" s="238" t="s">
        <v>88</v>
      </c>
      <c r="AV738" s="13" t="s">
        <v>88</v>
      </c>
      <c r="AW738" s="13" t="s">
        <v>213</v>
      </c>
      <c r="AX738" s="13" t="s">
        <v>86</v>
      </c>
      <c r="AY738" s="238" t="s">
        <v>200</v>
      </c>
    </row>
    <row r="739" s="2" customFormat="1" ht="16.5" customHeight="1">
      <c r="A739" s="40"/>
      <c r="B739" s="41"/>
      <c r="C739" s="260" t="s">
        <v>1209</v>
      </c>
      <c r="D739" s="260" t="s">
        <v>292</v>
      </c>
      <c r="E739" s="261" t="s">
        <v>1210</v>
      </c>
      <c r="F739" s="262" t="s">
        <v>1211</v>
      </c>
      <c r="G739" s="263" t="s">
        <v>205</v>
      </c>
      <c r="H739" s="264">
        <v>5.6580000000000004</v>
      </c>
      <c r="I739" s="265"/>
      <c r="J739" s="266">
        <f>ROUND(I739*H739,1)</f>
        <v>0</v>
      </c>
      <c r="K739" s="262" t="s">
        <v>206</v>
      </c>
      <c r="L739" s="267"/>
      <c r="M739" s="268" t="s">
        <v>32</v>
      </c>
      <c r="N739" s="269" t="s">
        <v>49</v>
      </c>
      <c r="O739" s="86"/>
      <c r="P739" s="218">
        <f>O739*H739</f>
        <v>0</v>
      </c>
      <c r="Q739" s="218">
        <v>0.55000000000000004</v>
      </c>
      <c r="R739" s="218">
        <f>Q739*H739</f>
        <v>3.1119000000000003</v>
      </c>
      <c r="S739" s="218">
        <v>0</v>
      </c>
      <c r="T739" s="219">
        <f>S739*H739</f>
        <v>0</v>
      </c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R739" s="220" t="s">
        <v>429</v>
      </c>
      <c r="AT739" s="220" t="s">
        <v>292</v>
      </c>
      <c r="AU739" s="220" t="s">
        <v>88</v>
      </c>
      <c r="AY739" s="18" t="s">
        <v>200</v>
      </c>
      <c r="BE739" s="221">
        <f>IF(N739="základní",J739,0)</f>
        <v>0</v>
      </c>
      <c r="BF739" s="221">
        <f>IF(N739="snížená",J739,0)</f>
        <v>0</v>
      </c>
      <c r="BG739" s="221">
        <f>IF(N739="zákl. přenesená",J739,0)</f>
        <v>0</v>
      </c>
      <c r="BH739" s="221">
        <f>IF(N739="sníž. přenesená",J739,0)</f>
        <v>0</v>
      </c>
      <c r="BI739" s="221">
        <f>IF(N739="nulová",J739,0)</f>
        <v>0</v>
      </c>
      <c r="BJ739" s="18" t="s">
        <v>86</v>
      </c>
      <c r="BK739" s="221">
        <f>ROUND(I739*H739,1)</f>
        <v>0</v>
      </c>
      <c r="BL739" s="18" t="s">
        <v>310</v>
      </c>
      <c r="BM739" s="220" t="s">
        <v>1212</v>
      </c>
    </row>
    <row r="740" s="13" customFormat="1">
      <c r="A740" s="13"/>
      <c r="B740" s="227"/>
      <c r="C740" s="228"/>
      <c r="D740" s="229" t="s">
        <v>211</v>
      </c>
      <c r="E740" s="230" t="s">
        <v>32</v>
      </c>
      <c r="F740" s="231" t="s">
        <v>1213</v>
      </c>
      <c r="G740" s="228"/>
      <c r="H740" s="232">
        <v>5.1440000000000001</v>
      </c>
      <c r="I740" s="233"/>
      <c r="J740" s="228"/>
      <c r="K740" s="228"/>
      <c r="L740" s="234"/>
      <c r="M740" s="235"/>
      <c r="N740" s="236"/>
      <c r="O740" s="236"/>
      <c r="P740" s="236"/>
      <c r="Q740" s="236"/>
      <c r="R740" s="236"/>
      <c r="S740" s="236"/>
      <c r="T740" s="237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T740" s="238" t="s">
        <v>211</v>
      </c>
      <c r="AU740" s="238" t="s">
        <v>88</v>
      </c>
      <c r="AV740" s="13" t="s">
        <v>88</v>
      </c>
      <c r="AW740" s="13" t="s">
        <v>213</v>
      </c>
      <c r="AX740" s="13" t="s">
        <v>86</v>
      </c>
      <c r="AY740" s="238" t="s">
        <v>200</v>
      </c>
    </row>
    <row r="741" s="13" customFormat="1">
      <c r="A741" s="13"/>
      <c r="B741" s="227"/>
      <c r="C741" s="228"/>
      <c r="D741" s="229" t="s">
        <v>211</v>
      </c>
      <c r="E741" s="228"/>
      <c r="F741" s="231" t="s">
        <v>1214</v>
      </c>
      <c r="G741" s="228"/>
      <c r="H741" s="232">
        <v>5.6580000000000004</v>
      </c>
      <c r="I741" s="233"/>
      <c r="J741" s="228"/>
      <c r="K741" s="228"/>
      <c r="L741" s="234"/>
      <c r="M741" s="235"/>
      <c r="N741" s="236"/>
      <c r="O741" s="236"/>
      <c r="P741" s="236"/>
      <c r="Q741" s="236"/>
      <c r="R741" s="236"/>
      <c r="S741" s="236"/>
      <c r="T741" s="237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T741" s="238" t="s">
        <v>211</v>
      </c>
      <c r="AU741" s="238" t="s">
        <v>88</v>
      </c>
      <c r="AV741" s="13" t="s">
        <v>88</v>
      </c>
      <c r="AW741" s="13" t="s">
        <v>4</v>
      </c>
      <c r="AX741" s="13" t="s">
        <v>86</v>
      </c>
      <c r="AY741" s="238" t="s">
        <v>200</v>
      </c>
    </row>
    <row r="742" s="2" customFormat="1" ht="16.5" customHeight="1">
      <c r="A742" s="40"/>
      <c r="B742" s="41"/>
      <c r="C742" s="209" t="s">
        <v>1215</v>
      </c>
      <c r="D742" s="209" t="s">
        <v>202</v>
      </c>
      <c r="E742" s="210" t="s">
        <v>1216</v>
      </c>
      <c r="F742" s="211" t="s">
        <v>1217</v>
      </c>
      <c r="G742" s="212" t="s">
        <v>280</v>
      </c>
      <c r="H742" s="213">
        <v>785.88900000000001</v>
      </c>
      <c r="I742" s="214"/>
      <c r="J742" s="215">
        <f>ROUND(I742*H742,1)</f>
        <v>0</v>
      </c>
      <c r="K742" s="211" t="s">
        <v>206</v>
      </c>
      <c r="L742" s="46"/>
      <c r="M742" s="216" t="s">
        <v>32</v>
      </c>
      <c r="N742" s="217" t="s">
        <v>49</v>
      </c>
      <c r="O742" s="86"/>
      <c r="P742" s="218">
        <f>O742*H742</f>
        <v>0</v>
      </c>
      <c r="Q742" s="218">
        <v>0.00018000000000000001</v>
      </c>
      <c r="R742" s="218">
        <f>Q742*H742</f>
        <v>0.14146002000000002</v>
      </c>
      <c r="S742" s="218">
        <v>0</v>
      </c>
      <c r="T742" s="219">
        <f>S742*H742</f>
        <v>0</v>
      </c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R742" s="220" t="s">
        <v>310</v>
      </c>
      <c r="AT742" s="220" t="s">
        <v>202</v>
      </c>
      <c r="AU742" s="220" t="s">
        <v>88</v>
      </c>
      <c r="AY742" s="18" t="s">
        <v>200</v>
      </c>
      <c r="BE742" s="221">
        <f>IF(N742="základní",J742,0)</f>
        <v>0</v>
      </c>
      <c r="BF742" s="221">
        <f>IF(N742="snížená",J742,0)</f>
        <v>0</v>
      </c>
      <c r="BG742" s="221">
        <f>IF(N742="zákl. přenesená",J742,0)</f>
        <v>0</v>
      </c>
      <c r="BH742" s="221">
        <f>IF(N742="sníž. přenesená",J742,0)</f>
        <v>0</v>
      </c>
      <c r="BI742" s="221">
        <f>IF(N742="nulová",J742,0)</f>
        <v>0</v>
      </c>
      <c r="BJ742" s="18" t="s">
        <v>86</v>
      </c>
      <c r="BK742" s="221">
        <f>ROUND(I742*H742,1)</f>
        <v>0</v>
      </c>
      <c r="BL742" s="18" t="s">
        <v>310</v>
      </c>
      <c r="BM742" s="220" t="s">
        <v>1218</v>
      </c>
    </row>
    <row r="743" s="2" customFormat="1">
      <c r="A743" s="40"/>
      <c r="B743" s="41"/>
      <c r="C743" s="42"/>
      <c r="D743" s="222" t="s">
        <v>209</v>
      </c>
      <c r="E743" s="42"/>
      <c r="F743" s="223" t="s">
        <v>1219</v>
      </c>
      <c r="G743" s="42"/>
      <c r="H743" s="42"/>
      <c r="I743" s="224"/>
      <c r="J743" s="42"/>
      <c r="K743" s="42"/>
      <c r="L743" s="46"/>
      <c r="M743" s="225"/>
      <c r="N743" s="226"/>
      <c r="O743" s="86"/>
      <c r="P743" s="86"/>
      <c r="Q743" s="86"/>
      <c r="R743" s="86"/>
      <c r="S743" s="86"/>
      <c r="T743" s="87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T743" s="18" t="s">
        <v>209</v>
      </c>
      <c r="AU743" s="18" t="s">
        <v>88</v>
      </c>
    </row>
    <row r="744" s="13" customFormat="1">
      <c r="A744" s="13"/>
      <c r="B744" s="227"/>
      <c r="C744" s="228"/>
      <c r="D744" s="229" t="s">
        <v>211</v>
      </c>
      <c r="E744" s="230" t="s">
        <v>32</v>
      </c>
      <c r="F744" s="231" t="s">
        <v>1220</v>
      </c>
      <c r="G744" s="228"/>
      <c r="H744" s="232">
        <v>785.88888888888903</v>
      </c>
      <c r="I744" s="233"/>
      <c r="J744" s="228"/>
      <c r="K744" s="228"/>
      <c r="L744" s="234"/>
      <c r="M744" s="235"/>
      <c r="N744" s="236"/>
      <c r="O744" s="236"/>
      <c r="P744" s="236"/>
      <c r="Q744" s="236"/>
      <c r="R744" s="236"/>
      <c r="S744" s="236"/>
      <c r="T744" s="237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T744" s="238" t="s">
        <v>211</v>
      </c>
      <c r="AU744" s="238" t="s">
        <v>88</v>
      </c>
      <c r="AV744" s="13" t="s">
        <v>88</v>
      </c>
      <c r="AW744" s="13" t="s">
        <v>213</v>
      </c>
      <c r="AX744" s="13" t="s">
        <v>86</v>
      </c>
      <c r="AY744" s="238" t="s">
        <v>200</v>
      </c>
    </row>
    <row r="745" s="2" customFormat="1" ht="16.5" customHeight="1">
      <c r="A745" s="40"/>
      <c r="B745" s="41"/>
      <c r="C745" s="260" t="s">
        <v>1221</v>
      </c>
      <c r="D745" s="260" t="s">
        <v>292</v>
      </c>
      <c r="E745" s="261" t="s">
        <v>1210</v>
      </c>
      <c r="F745" s="262" t="s">
        <v>1211</v>
      </c>
      <c r="G745" s="263" t="s">
        <v>205</v>
      </c>
      <c r="H745" s="264">
        <v>2.0750000000000002</v>
      </c>
      <c r="I745" s="265"/>
      <c r="J745" s="266">
        <f>ROUND(I745*H745,1)</f>
        <v>0</v>
      </c>
      <c r="K745" s="262" t="s">
        <v>206</v>
      </c>
      <c r="L745" s="267"/>
      <c r="M745" s="268" t="s">
        <v>32</v>
      </c>
      <c r="N745" s="269" t="s">
        <v>49</v>
      </c>
      <c r="O745" s="86"/>
      <c r="P745" s="218">
        <f>O745*H745</f>
        <v>0</v>
      </c>
      <c r="Q745" s="218">
        <v>0.55000000000000004</v>
      </c>
      <c r="R745" s="218">
        <f>Q745*H745</f>
        <v>1.1412500000000001</v>
      </c>
      <c r="S745" s="218">
        <v>0</v>
      </c>
      <c r="T745" s="219">
        <f>S745*H745</f>
        <v>0</v>
      </c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R745" s="220" t="s">
        <v>429</v>
      </c>
      <c r="AT745" s="220" t="s">
        <v>292</v>
      </c>
      <c r="AU745" s="220" t="s">
        <v>88</v>
      </c>
      <c r="AY745" s="18" t="s">
        <v>200</v>
      </c>
      <c r="BE745" s="221">
        <f>IF(N745="základní",J745,0)</f>
        <v>0</v>
      </c>
      <c r="BF745" s="221">
        <f>IF(N745="snížená",J745,0)</f>
        <v>0</v>
      </c>
      <c r="BG745" s="221">
        <f>IF(N745="zákl. přenesená",J745,0)</f>
        <v>0</v>
      </c>
      <c r="BH745" s="221">
        <f>IF(N745="sníž. přenesená",J745,0)</f>
        <v>0</v>
      </c>
      <c r="BI745" s="221">
        <f>IF(N745="nulová",J745,0)</f>
        <v>0</v>
      </c>
      <c r="BJ745" s="18" t="s">
        <v>86</v>
      </c>
      <c r="BK745" s="221">
        <f>ROUND(I745*H745,1)</f>
        <v>0</v>
      </c>
      <c r="BL745" s="18" t="s">
        <v>310</v>
      </c>
      <c r="BM745" s="220" t="s">
        <v>1222</v>
      </c>
    </row>
    <row r="746" s="13" customFormat="1">
      <c r="A746" s="13"/>
      <c r="B746" s="227"/>
      <c r="C746" s="228"/>
      <c r="D746" s="229" t="s">
        <v>211</v>
      </c>
      <c r="E746" s="230" t="s">
        <v>32</v>
      </c>
      <c r="F746" s="231" t="s">
        <v>1223</v>
      </c>
      <c r="G746" s="228"/>
      <c r="H746" s="232">
        <v>1.8861336</v>
      </c>
      <c r="I746" s="233"/>
      <c r="J746" s="228"/>
      <c r="K746" s="228"/>
      <c r="L746" s="234"/>
      <c r="M746" s="235"/>
      <c r="N746" s="236"/>
      <c r="O746" s="236"/>
      <c r="P746" s="236"/>
      <c r="Q746" s="236"/>
      <c r="R746" s="236"/>
      <c r="S746" s="236"/>
      <c r="T746" s="237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T746" s="238" t="s">
        <v>211</v>
      </c>
      <c r="AU746" s="238" t="s">
        <v>88</v>
      </c>
      <c r="AV746" s="13" t="s">
        <v>88</v>
      </c>
      <c r="AW746" s="13" t="s">
        <v>213</v>
      </c>
      <c r="AX746" s="13" t="s">
        <v>86</v>
      </c>
      <c r="AY746" s="238" t="s">
        <v>200</v>
      </c>
    </row>
    <row r="747" s="13" customFormat="1">
      <c r="A747" s="13"/>
      <c r="B747" s="227"/>
      <c r="C747" s="228"/>
      <c r="D747" s="229" t="s">
        <v>211</v>
      </c>
      <c r="E747" s="228"/>
      <c r="F747" s="231" t="s">
        <v>1224</v>
      </c>
      <c r="G747" s="228"/>
      <c r="H747" s="232">
        <v>2.0750000000000002</v>
      </c>
      <c r="I747" s="233"/>
      <c r="J747" s="228"/>
      <c r="K747" s="228"/>
      <c r="L747" s="234"/>
      <c r="M747" s="235"/>
      <c r="N747" s="236"/>
      <c r="O747" s="236"/>
      <c r="P747" s="236"/>
      <c r="Q747" s="236"/>
      <c r="R747" s="236"/>
      <c r="S747" s="236"/>
      <c r="T747" s="237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T747" s="238" t="s">
        <v>211</v>
      </c>
      <c r="AU747" s="238" t="s">
        <v>88</v>
      </c>
      <c r="AV747" s="13" t="s">
        <v>88</v>
      </c>
      <c r="AW747" s="13" t="s">
        <v>4</v>
      </c>
      <c r="AX747" s="13" t="s">
        <v>86</v>
      </c>
      <c r="AY747" s="238" t="s">
        <v>200</v>
      </c>
    </row>
    <row r="748" s="2" customFormat="1" ht="21.75" customHeight="1">
      <c r="A748" s="40"/>
      <c r="B748" s="41"/>
      <c r="C748" s="209" t="s">
        <v>1225</v>
      </c>
      <c r="D748" s="209" t="s">
        <v>202</v>
      </c>
      <c r="E748" s="210" t="s">
        <v>1226</v>
      </c>
      <c r="F748" s="211" t="s">
        <v>1227</v>
      </c>
      <c r="G748" s="212" t="s">
        <v>205</v>
      </c>
      <c r="H748" s="213">
        <v>36.820999999999998</v>
      </c>
      <c r="I748" s="214"/>
      <c r="J748" s="215">
        <f>ROUND(I748*H748,1)</f>
        <v>0</v>
      </c>
      <c r="K748" s="211" t="s">
        <v>206</v>
      </c>
      <c r="L748" s="46"/>
      <c r="M748" s="216" t="s">
        <v>32</v>
      </c>
      <c r="N748" s="217" t="s">
        <v>49</v>
      </c>
      <c r="O748" s="86"/>
      <c r="P748" s="218">
        <f>O748*H748</f>
        <v>0</v>
      </c>
      <c r="Q748" s="218">
        <v>0.023300000000000001</v>
      </c>
      <c r="R748" s="218">
        <f>Q748*H748</f>
        <v>0.85792930000000001</v>
      </c>
      <c r="S748" s="218">
        <v>0</v>
      </c>
      <c r="T748" s="219">
        <f>S748*H748</f>
        <v>0</v>
      </c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R748" s="220" t="s">
        <v>310</v>
      </c>
      <c r="AT748" s="220" t="s">
        <v>202</v>
      </c>
      <c r="AU748" s="220" t="s">
        <v>88</v>
      </c>
      <c r="AY748" s="18" t="s">
        <v>200</v>
      </c>
      <c r="BE748" s="221">
        <f>IF(N748="základní",J748,0)</f>
        <v>0</v>
      </c>
      <c r="BF748" s="221">
        <f>IF(N748="snížená",J748,0)</f>
        <v>0</v>
      </c>
      <c r="BG748" s="221">
        <f>IF(N748="zákl. přenesená",J748,0)</f>
        <v>0</v>
      </c>
      <c r="BH748" s="221">
        <f>IF(N748="sníž. přenesená",J748,0)</f>
        <v>0</v>
      </c>
      <c r="BI748" s="221">
        <f>IF(N748="nulová",J748,0)</f>
        <v>0</v>
      </c>
      <c r="BJ748" s="18" t="s">
        <v>86</v>
      </c>
      <c r="BK748" s="221">
        <f>ROUND(I748*H748,1)</f>
        <v>0</v>
      </c>
      <c r="BL748" s="18" t="s">
        <v>310</v>
      </c>
      <c r="BM748" s="220" t="s">
        <v>1228</v>
      </c>
    </row>
    <row r="749" s="2" customFormat="1">
      <c r="A749" s="40"/>
      <c r="B749" s="41"/>
      <c r="C749" s="42"/>
      <c r="D749" s="222" t="s">
        <v>209</v>
      </c>
      <c r="E749" s="42"/>
      <c r="F749" s="223" t="s">
        <v>1229</v>
      </c>
      <c r="G749" s="42"/>
      <c r="H749" s="42"/>
      <c r="I749" s="224"/>
      <c r="J749" s="42"/>
      <c r="K749" s="42"/>
      <c r="L749" s="46"/>
      <c r="M749" s="225"/>
      <c r="N749" s="226"/>
      <c r="O749" s="86"/>
      <c r="P749" s="86"/>
      <c r="Q749" s="86"/>
      <c r="R749" s="86"/>
      <c r="S749" s="86"/>
      <c r="T749" s="87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T749" s="18" t="s">
        <v>209</v>
      </c>
      <c r="AU749" s="18" t="s">
        <v>88</v>
      </c>
    </row>
    <row r="750" s="13" customFormat="1">
      <c r="A750" s="13"/>
      <c r="B750" s="227"/>
      <c r="C750" s="228"/>
      <c r="D750" s="229" t="s">
        <v>211</v>
      </c>
      <c r="E750" s="230" t="s">
        <v>32</v>
      </c>
      <c r="F750" s="231" t="s">
        <v>1230</v>
      </c>
      <c r="G750" s="228"/>
      <c r="H750" s="232">
        <v>36.820599999999999</v>
      </c>
      <c r="I750" s="233"/>
      <c r="J750" s="228"/>
      <c r="K750" s="228"/>
      <c r="L750" s="234"/>
      <c r="M750" s="235"/>
      <c r="N750" s="236"/>
      <c r="O750" s="236"/>
      <c r="P750" s="236"/>
      <c r="Q750" s="236"/>
      <c r="R750" s="236"/>
      <c r="S750" s="236"/>
      <c r="T750" s="237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T750" s="238" t="s">
        <v>211</v>
      </c>
      <c r="AU750" s="238" t="s">
        <v>88</v>
      </c>
      <c r="AV750" s="13" t="s">
        <v>88</v>
      </c>
      <c r="AW750" s="13" t="s">
        <v>213</v>
      </c>
      <c r="AX750" s="13" t="s">
        <v>86</v>
      </c>
      <c r="AY750" s="238" t="s">
        <v>200</v>
      </c>
    </row>
    <row r="751" s="2" customFormat="1" ht="24.15" customHeight="1">
      <c r="A751" s="40"/>
      <c r="B751" s="41"/>
      <c r="C751" s="209" t="s">
        <v>1231</v>
      </c>
      <c r="D751" s="209" t="s">
        <v>202</v>
      </c>
      <c r="E751" s="210" t="s">
        <v>1232</v>
      </c>
      <c r="F751" s="211" t="s">
        <v>1233</v>
      </c>
      <c r="G751" s="212" t="s">
        <v>272</v>
      </c>
      <c r="H751" s="213">
        <v>26.757000000000001</v>
      </c>
      <c r="I751" s="214"/>
      <c r="J751" s="215">
        <f>ROUND(I751*H751,1)</f>
        <v>0</v>
      </c>
      <c r="K751" s="211" t="s">
        <v>206</v>
      </c>
      <c r="L751" s="46"/>
      <c r="M751" s="216" t="s">
        <v>32</v>
      </c>
      <c r="N751" s="217" t="s">
        <v>49</v>
      </c>
      <c r="O751" s="86"/>
      <c r="P751" s="218">
        <f>O751*H751</f>
        <v>0</v>
      </c>
      <c r="Q751" s="218">
        <v>0</v>
      </c>
      <c r="R751" s="218">
        <f>Q751*H751</f>
        <v>0</v>
      </c>
      <c r="S751" s="218">
        <v>0</v>
      </c>
      <c r="T751" s="219">
        <f>S751*H751</f>
        <v>0</v>
      </c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R751" s="220" t="s">
        <v>310</v>
      </c>
      <c r="AT751" s="220" t="s">
        <v>202</v>
      </c>
      <c r="AU751" s="220" t="s">
        <v>88</v>
      </c>
      <c r="AY751" s="18" t="s">
        <v>200</v>
      </c>
      <c r="BE751" s="221">
        <f>IF(N751="základní",J751,0)</f>
        <v>0</v>
      </c>
      <c r="BF751" s="221">
        <f>IF(N751="snížená",J751,0)</f>
        <v>0</v>
      </c>
      <c r="BG751" s="221">
        <f>IF(N751="zákl. přenesená",J751,0)</f>
        <v>0</v>
      </c>
      <c r="BH751" s="221">
        <f>IF(N751="sníž. přenesená",J751,0)</f>
        <v>0</v>
      </c>
      <c r="BI751" s="221">
        <f>IF(N751="nulová",J751,0)</f>
        <v>0</v>
      </c>
      <c r="BJ751" s="18" t="s">
        <v>86</v>
      </c>
      <c r="BK751" s="221">
        <f>ROUND(I751*H751,1)</f>
        <v>0</v>
      </c>
      <c r="BL751" s="18" t="s">
        <v>310</v>
      </c>
      <c r="BM751" s="220" t="s">
        <v>1234</v>
      </c>
    </row>
    <row r="752" s="2" customFormat="1">
      <c r="A752" s="40"/>
      <c r="B752" s="41"/>
      <c r="C752" s="42"/>
      <c r="D752" s="222" t="s">
        <v>209</v>
      </c>
      <c r="E752" s="42"/>
      <c r="F752" s="223" t="s">
        <v>1235</v>
      </c>
      <c r="G752" s="42"/>
      <c r="H752" s="42"/>
      <c r="I752" s="224"/>
      <c r="J752" s="42"/>
      <c r="K752" s="42"/>
      <c r="L752" s="46"/>
      <c r="M752" s="225"/>
      <c r="N752" s="226"/>
      <c r="O752" s="86"/>
      <c r="P752" s="86"/>
      <c r="Q752" s="86"/>
      <c r="R752" s="86"/>
      <c r="S752" s="86"/>
      <c r="T752" s="87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T752" s="18" t="s">
        <v>209</v>
      </c>
      <c r="AU752" s="18" t="s">
        <v>88</v>
      </c>
    </row>
    <row r="753" s="13" customFormat="1">
      <c r="A753" s="13"/>
      <c r="B753" s="227"/>
      <c r="C753" s="228"/>
      <c r="D753" s="229" t="s">
        <v>211</v>
      </c>
      <c r="E753" s="230" t="s">
        <v>32</v>
      </c>
      <c r="F753" s="231" t="s">
        <v>1236</v>
      </c>
      <c r="G753" s="228"/>
      <c r="H753" s="232">
        <v>26.757000000000001</v>
      </c>
      <c r="I753" s="233"/>
      <c r="J753" s="228"/>
      <c r="K753" s="228"/>
      <c r="L753" s="234"/>
      <c r="M753" s="235"/>
      <c r="N753" s="236"/>
      <c r="O753" s="236"/>
      <c r="P753" s="236"/>
      <c r="Q753" s="236"/>
      <c r="R753" s="236"/>
      <c r="S753" s="236"/>
      <c r="T753" s="237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T753" s="238" t="s">
        <v>211</v>
      </c>
      <c r="AU753" s="238" t="s">
        <v>88</v>
      </c>
      <c r="AV753" s="13" t="s">
        <v>88</v>
      </c>
      <c r="AW753" s="13" t="s">
        <v>213</v>
      </c>
      <c r="AX753" s="13" t="s">
        <v>86</v>
      </c>
      <c r="AY753" s="238" t="s">
        <v>200</v>
      </c>
    </row>
    <row r="754" s="2" customFormat="1" ht="16.5" customHeight="1">
      <c r="A754" s="40"/>
      <c r="B754" s="41"/>
      <c r="C754" s="260" t="s">
        <v>1237</v>
      </c>
      <c r="D754" s="260" t="s">
        <v>292</v>
      </c>
      <c r="E754" s="261" t="s">
        <v>1238</v>
      </c>
      <c r="F754" s="262" t="s">
        <v>1239</v>
      </c>
      <c r="G754" s="263" t="s">
        <v>280</v>
      </c>
      <c r="H754" s="264">
        <v>106.92100000000001</v>
      </c>
      <c r="I754" s="265"/>
      <c r="J754" s="266">
        <f>ROUND(I754*H754,1)</f>
        <v>0</v>
      </c>
      <c r="K754" s="262" t="s">
        <v>206</v>
      </c>
      <c r="L754" s="267"/>
      <c r="M754" s="268" t="s">
        <v>32</v>
      </c>
      <c r="N754" s="269" t="s">
        <v>49</v>
      </c>
      <c r="O754" s="86"/>
      <c r="P754" s="218">
        <f>O754*H754</f>
        <v>0</v>
      </c>
      <c r="Q754" s="218">
        <v>0.0023</v>
      </c>
      <c r="R754" s="218">
        <f>Q754*H754</f>
        <v>0.24591830000000001</v>
      </c>
      <c r="S754" s="218">
        <v>0</v>
      </c>
      <c r="T754" s="219">
        <f>S754*H754</f>
        <v>0</v>
      </c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R754" s="220" t="s">
        <v>429</v>
      </c>
      <c r="AT754" s="220" t="s">
        <v>292</v>
      </c>
      <c r="AU754" s="220" t="s">
        <v>88</v>
      </c>
      <c r="AY754" s="18" t="s">
        <v>200</v>
      </c>
      <c r="BE754" s="221">
        <f>IF(N754="základní",J754,0)</f>
        <v>0</v>
      </c>
      <c r="BF754" s="221">
        <f>IF(N754="snížená",J754,0)</f>
        <v>0</v>
      </c>
      <c r="BG754" s="221">
        <f>IF(N754="zákl. přenesená",J754,0)</f>
        <v>0</v>
      </c>
      <c r="BH754" s="221">
        <f>IF(N754="sníž. přenesená",J754,0)</f>
        <v>0</v>
      </c>
      <c r="BI754" s="221">
        <f>IF(N754="nulová",J754,0)</f>
        <v>0</v>
      </c>
      <c r="BJ754" s="18" t="s">
        <v>86</v>
      </c>
      <c r="BK754" s="221">
        <f>ROUND(I754*H754,1)</f>
        <v>0</v>
      </c>
      <c r="BL754" s="18" t="s">
        <v>310</v>
      </c>
      <c r="BM754" s="220" t="s">
        <v>1240</v>
      </c>
    </row>
    <row r="755" s="13" customFormat="1">
      <c r="A755" s="13"/>
      <c r="B755" s="227"/>
      <c r="C755" s="228"/>
      <c r="D755" s="229" t="s">
        <v>211</v>
      </c>
      <c r="E755" s="228"/>
      <c r="F755" s="231" t="s">
        <v>1241</v>
      </c>
      <c r="G755" s="228"/>
      <c r="H755" s="232">
        <v>106.92100000000001</v>
      </c>
      <c r="I755" s="233"/>
      <c r="J755" s="228"/>
      <c r="K755" s="228"/>
      <c r="L755" s="234"/>
      <c r="M755" s="235"/>
      <c r="N755" s="236"/>
      <c r="O755" s="236"/>
      <c r="P755" s="236"/>
      <c r="Q755" s="236"/>
      <c r="R755" s="236"/>
      <c r="S755" s="236"/>
      <c r="T755" s="237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T755" s="238" t="s">
        <v>211</v>
      </c>
      <c r="AU755" s="238" t="s">
        <v>88</v>
      </c>
      <c r="AV755" s="13" t="s">
        <v>88</v>
      </c>
      <c r="AW755" s="13" t="s">
        <v>4</v>
      </c>
      <c r="AX755" s="13" t="s">
        <v>86</v>
      </c>
      <c r="AY755" s="238" t="s">
        <v>200</v>
      </c>
    </row>
    <row r="756" s="2" customFormat="1" ht="24.15" customHeight="1">
      <c r="A756" s="40"/>
      <c r="B756" s="41"/>
      <c r="C756" s="209" t="s">
        <v>1242</v>
      </c>
      <c r="D756" s="209" t="s">
        <v>202</v>
      </c>
      <c r="E756" s="210" t="s">
        <v>1243</v>
      </c>
      <c r="F756" s="211" t="s">
        <v>1244</v>
      </c>
      <c r="G756" s="212" t="s">
        <v>280</v>
      </c>
      <c r="H756" s="213">
        <v>26.757000000000001</v>
      </c>
      <c r="I756" s="214"/>
      <c r="J756" s="215">
        <f>ROUND(I756*H756,1)</f>
        <v>0</v>
      </c>
      <c r="K756" s="211" t="s">
        <v>206</v>
      </c>
      <c r="L756" s="46"/>
      <c r="M756" s="216" t="s">
        <v>32</v>
      </c>
      <c r="N756" s="217" t="s">
        <v>49</v>
      </c>
      <c r="O756" s="86"/>
      <c r="P756" s="218">
        <f>O756*H756</f>
        <v>0</v>
      </c>
      <c r="Q756" s="218">
        <v>0.0011999999999999999</v>
      </c>
      <c r="R756" s="218">
        <f>Q756*H756</f>
        <v>0.032108400000000002</v>
      </c>
      <c r="S756" s="218">
        <v>0</v>
      </c>
      <c r="T756" s="219">
        <f>S756*H756</f>
        <v>0</v>
      </c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R756" s="220" t="s">
        <v>310</v>
      </c>
      <c r="AT756" s="220" t="s">
        <v>202</v>
      </c>
      <c r="AU756" s="220" t="s">
        <v>88</v>
      </c>
      <c r="AY756" s="18" t="s">
        <v>200</v>
      </c>
      <c r="BE756" s="221">
        <f>IF(N756="základní",J756,0)</f>
        <v>0</v>
      </c>
      <c r="BF756" s="221">
        <f>IF(N756="snížená",J756,0)</f>
        <v>0</v>
      </c>
      <c r="BG756" s="221">
        <f>IF(N756="zákl. přenesená",J756,0)</f>
        <v>0</v>
      </c>
      <c r="BH756" s="221">
        <f>IF(N756="sníž. přenesená",J756,0)</f>
        <v>0</v>
      </c>
      <c r="BI756" s="221">
        <f>IF(N756="nulová",J756,0)</f>
        <v>0</v>
      </c>
      <c r="BJ756" s="18" t="s">
        <v>86</v>
      </c>
      <c r="BK756" s="221">
        <f>ROUND(I756*H756,1)</f>
        <v>0</v>
      </c>
      <c r="BL756" s="18" t="s">
        <v>310</v>
      </c>
      <c r="BM756" s="220" t="s">
        <v>1245</v>
      </c>
    </row>
    <row r="757" s="2" customFormat="1">
      <c r="A757" s="40"/>
      <c r="B757" s="41"/>
      <c r="C757" s="42"/>
      <c r="D757" s="222" t="s">
        <v>209</v>
      </c>
      <c r="E757" s="42"/>
      <c r="F757" s="223" t="s">
        <v>1246</v>
      </c>
      <c r="G757" s="42"/>
      <c r="H757" s="42"/>
      <c r="I757" s="224"/>
      <c r="J757" s="42"/>
      <c r="K757" s="42"/>
      <c r="L757" s="46"/>
      <c r="M757" s="225"/>
      <c r="N757" s="226"/>
      <c r="O757" s="86"/>
      <c r="P757" s="86"/>
      <c r="Q757" s="86"/>
      <c r="R757" s="86"/>
      <c r="S757" s="86"/>
      <c r="T757" s="87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T757" s="18" t="s">
        <v>209</v>
      </c>
      <c r="AU757" s="18" t="s">
        <v>88</v>
      </c>
    </row>
    <row r="758" s="2" customFormat="1" ht="24.15" customHeight="1">
      <c r="A758" s="40"/>
      <c r="B758" s="41"/>
      <c r="C758" s="209" t="s">
        <v>1247</v>
      </c>
      <c r="D758" s="209" t="s">
        <v>202</v>
      </c>
      <c r="E758" s="210" t="s">
        <v>1248</v>
      </c>
      <c r="F758" s="211" t="s">
        <v>1249</v>
      </c>
      <c r="G758" s="212" t="s">
        <v>272</v>
      </c>
      <c r="H758" s="213">
        <v>26.757000000000001</v>
      </c>
      <c r="I758" s="214"/>
      <c r="J758" s="215">
        <f>ROUND(I758*H758,1)</f>
        <v>0</v>
      </c>
      <c r="K758" s="211" t="s">
        <v>206</v>
      </c>
      <c r="L758" s="46"/>
      <c r="M758" s="216" t="s">
        <v>32</v>
      </c>
      <c r="N758" s="217" t="s">
        <v>49</v>
      </c>
      <c r="O758" s="86"/>
      <c r="P758" s="218">
        <f>O758*H758</f>
        <v>0</v>
      </c>
      <c r="Q758" s="218">
        <v>0.00059000000000000003</v>
      </c>
      <c r="R758" s="218">
        <f>Q758*H758</f>
        <v>0.015786630000000003</v>
      </c>
      <c r="S758" s="218">
        <v>0</v>
      </c>
      <c r="T758" s="219">
        <f>S758*H758</f>
        <v>0</v>
      </c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R758" s="220" t="s">
        <v>310</v>
      </c>
      <c r="AT758" s="220" t="s">
        <v>202</v>
      </c>
      <c r="AU758" s="220" t="s">
        <v>88</v>
      </c>
      <c r="AY758" s="18" t="s">
        <v>200</v>
      </c>
      <c r="BE758" s="221">
        <f>IF(N758="základní",J758,0)</f>
        <v>0</v>
      </c>
      <c r="BF758" s="221">
        <f>IF(N758="snížená",J758,0)</f>
        <v>0</v>
      </c>
      <c r="BG758" s="221">
        <f>IF(N758="zákl. přenesená",J758,0)</f>
        <v>0</v>
      </c>
      <c r="BH758" s="221">
        <f>IF(N758="sníž. přenesená",J758,0)</f>
        <v>0</v>
      </c>
      <c r="BI758" s="221">
        <f>IF(N758="nulová",J758,0)</f>
        <v>0</v>
      </c>
      <c r="BJ758" s="18" t="s">
        <v>86</v>
      </c>
      <c r="BK758" s="221">
        <f>ROUND(I758*H758,1)</f>
        <v>0</v>
      </c>
      <c r="BL758" s="18" t="s">
        <v>310</v>
      </c>
      <c r="BM758" s="220" t="s">
        <v>1250</v>
      </c>
    </row>
    <row r="759" s="2" customFormat="1">
      <c r="A759" s="40"/>
      <c r="B759" s="41"/>
      <c r="C759" s="42"/>
      <c r="D759" s="222" t="s">
        <v>209</v>
      </c>
      <c r="E759" s="42"/>
      <c r="F759" s="223" t="s">
        <v>1251</v>
      </c>
      <c r="G759" s="42"/>
      <c r="H759" s="42"/>
      <c r="I759" s="224"/>
      <c r="J759" s="42"/>
      <c r="K759" s="42"/>
      <c r="L759" s="46"/>
      <c r="M759" s="225"/>
      <c r="N759" s="226"/>
      <c r="O759" s="86"/>
      <c r="P759" s="86"/>
      <c r="Q759" s="86"/>
      <c r="R759" s="86"/>
      <c r="S759" s="86"/>
      <c r="T759" s="87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T759" s="18" t="s">
        <v>209</v>
      </c>
      <c r="AU759" s="18" t="s">
        <v>88</v>
      </c>
    </row>
    <row r="760" s="2" customFormat="1" ht="16.5" customHeight="1">
      <c r="A760" s="40"/>
      <c r="B760" s="41"/>
      <c r="C760" s="260" t="s">
        <v>1252</v>
      </c>
      <c r="D760" s="260" t="s">
        <v>292</v>
      </c>
      <c r="E760" s="261" t="s">
        <v>1253</v>
      </c>
      <c r="F760" s="262" t="s">
        <v>1254</v>
      </c>
      <c r="G760" s="263" t="s">
        <v>280</v>
      </c>
      <c r="H760" s="264">
        <v>210.952</v>
      </c>
      <c r="I760" s="265"/>
      <c r="J760" s="266">
        <f>ROUND(I760*H760,1)</f>
        <v>0</v>
      </c>
      <c r="K760" s="262" t="s">
        <v>206</v>
      </c>
      <c r="L760" s="267"/>
      <c r="M760" s="268" t="s">
        <v>32</v>
      </c>
      <c r="N760" s="269" t="s">
        <v>49</v>
      </c>
      <c r="O760" s="86"/>
      <c r="P760" s="218">
        <f>O760*H760</f>
        <v>0</v>
      </c>
      <c r="Q760" s="218">
        <v>0.0033999999999999998</v>
      </c>
      <c r="R760" s="218">
        <f>Q760*H760</f>
        <v>0.71723680000000001</v>
      </c>
      <c r="S760" s="218">
        <v>0</v>
      </c>
      <c r="T760" s="219">
        <f>S760*H760</f>
        <v>0</v>
      </c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R760" s="220" t="s">
        <v>429</v>
      </c>
      <c r="AT760" s="220" t="s">
        <v>292</v>
      </c>
      <c r="AU760" s="220" t="s">
        <v>88</v>
      </c>
      <c r="AY760" s="18" t="s">
        <v>200</v>
      </c>
      <c r="BE760" s="221">
        <f>IF(N760="základní",J760,0)</f>
        <v>0</v>
      </c>
      <c r="BF760" s="221">
        <f>IF(N760="snížená",J760,0)</f>
        <v>0</v>
      </c>
      <c r="BG760" s="221">
        <f>IF(N760="zákl. přenesená",J760,0)</f>
        <v>0</v>
      </c>
      <c r="BH760" s="221">
        <f>IF(N760="sníž. přenesená",J760,0)</f>
        <v>0</v>
      </c>
      <c r="BI760" s="221">
        <f>IF(N760="nulová",J760,0)</f>
        <v>0</v>
      </c>
      <c r="BJ760" s="18" t="s">
        <v>86</v>
      </c>
      <c r="BK760" s="221">
        <f>ROUND(I760*H760,1)</f>
        <v>0</v>
      </c>
      <c r="BL760" s="18" t="s">
        <v>310</v>
      </c>
      <c r="BM760" s="220" t="s">
        <v>1255</v>
      </c>
    </row>
    <row r="761" s="13" customFormat="1">
      <c r="A761" s="13"/>
      <c r="B761" s="227"/>
      <c r="C761" s="228"/>
      <c r="D761" s="229" t="s">
        <v>211</v>
      </c>
      <c r="E761" s="228"/>
      <c r="F761" s="231" t="s">
        <v>1256</v>
      </c>
      <c r="G761" s="228"/>
      <c r="H761" s="232">
        <v>210.952</v>
      </c>
      <c r="I761" s="233"/>
      <c r="J761" s="228"/>
      <c r="K761" s="228"/>
      <c r="L761" s="234"/>
      <c r="M761" s="235"/>
      <c r="N761" s="236"/>
      <c r="O761" s="236"/>
      <c r="P761" s="236"/>
      <c r="Q761" s="236"/>
      <c r="R761" s="236"/>
      <c r="S761" s="236"/>
      <c r="T761" s="237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T761" s="238" t="s">
        <v>211</v>
      </c>
      <c r="AU761" s="238" t="s">
        <v>88</v>
      </c>
      <c r="AV761" s="13" t="s">
        <v>88</v>
      </c>
      <c r="AW761" s="13" t="s">
        <v>4</v>
      </c>
      <c r="AX761" s="13" t="s">
        <v>86</v>
      </c>
      <c r="AY761" s="238" t="s">
        <v>200</v>
      </c>
    </row>
    <row r="762" s="2" customFormat="1" ht="24.15" customHeight="1">
      <c r="A762" s="40"/>
      <c r="B762" s="41"/>
      <c r="C762" s="209" t="s">
        <v>1257</v>
      </c>
      <c r="D762" s="209" t="s">
        <v>202</v>
      </c>
      <c r="E762" s="210" t="s">
        <v>1258</v>
      </c>
      <c r="F762" s="211" t="s">
        <v>1259</v>
      </c>
      <c r="G762" s="212" t="s">
        <v>280</v>
      </c>
      <c r="H762" s="213">
        <v>25.219999999999999</v>
      </c>
      <c r="I762" s="214"/>
      <c r="J762" s="215">
        <f>ROUND(I762*H762,1)</f>
        <v>0</v>
      </c>
      <c r="K762" s="211" t="s">
        <v>206</v>
      </c>
      <c r="L762" s="46"/>
      <c r="M762" s="216" t="s">
        <v>32</v>
      </c>
      <c r="N762" s="217" t="s">
        <v>49</v>
      </c>
      <c r="O762" s="86"/>
      <c r="P762" s="218">
        <f>O762*H762</f>
        <v>0</v>
      </c>
      <c r="Q762" s="218">
        <v>1.0000000000000001E-05</v>
      </c>
      <c r="R762" s="218">
        <f>Q762*H762</f>
        <v>0.0002522</v>
      </c>
      <c r="S762" s="218">
        <v>0</v>
      </c>
      <c r="T762" s="219">
        <f>S762*H762</f>
        <v>0</v>
      </c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R762" s="220" t="s">
        <v>310</v>
      </c>
      <c r="AT762" s="220" t="s">
        <v>202</v>
      </c>
      <c r="AU762" s="220" t="s">
        <v>88</v>
      </c>
      <c r="AY762" s="18" t="s">
        <v>200</v>
      </c>
      <c r="BE762" s="221">
        <f>IF(N762="základní",J762,0)</f>
        <v>0</v>
      </c>
      <c r="BF762" s="221">
        <f>IF(N762="snížená",J762,0)</f>
        <v>0</v>
      </c>
      <c r="BG762" s="221">
        <f>IF(N762="zákl. přenesená",J762,0)</f>
        <v>0</v>
      </c>
      <c r="BH762" s="221">
        <f>IF(N762="sníž. přenesená",J762,0)</f>
        <v>0</v>
      </c>
      <c r="BI762" s="221">
        <f>IF(N762="nulová",J762,0)</f>
        <v>0</v>
      </c>
      <c r="BJ762" s="18" t="s">
        <v>86</v>
      </c>
      <c r="BK762" s="221">
        <f>ROUND(I762*H762,1)</f>
        <v>0</v>
      </c>
      <c r="BL762" s="18" t="s">
        <v>310</v>
      </c>
      <c r="BM762" s="220" t="s">
        <v>1260</v>
      </c>
    </row>
    <row r="763" s="2" customFormat="1">
      <c r="A763" s="40"/>
      <c r="B763" s="41"/>
      <c r="C763" s="42"/>
      <c r="D763" s="222" t="s">
        <v>209</v>
      </c>
      <c r="E763" s="42"/>
      <c r="F763" s="223" t="s">
        <v>1261</v>
      </c>
      <c r="G763" s="42"/>
      <c r="H763" s="42"/>
      <c r="I763" s="224"/>
      <c r="J763" s="42"/>
      <c r="K763" s="42"/>
      <c r="L763" s="46"/>
      <c r="M763" s="225"/>
      <c r="N763" s="226"/>
      <c r="O763" s="86"/>
      <c r="P763" s="86"/>
      <c r="Q763" s="86"/>
      <c r="R763" s="86"/>
      <c r="S763" s="86"/>
      <c r="T763" s="87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T763" s="18" t="s">
        <v>209</v>
      </c>
      <c r="AU763" s="18" t="s">
        <v>88</v>
      </c>
    </row>
    <row r="764" s="13" customFormat="1">
      <c r="A764" s="13"/>
      <c r="B764" s="227"/>
      <c r="C764" s="228"/>
      <c r="D764" s="229" t="s">
        <v>211</v>
      </c>
      <c r="E764" s="230" t="s">
        <v>32</v>
      </c>
      <c r="F764" s="231" t="s">
        <v>1262</v>
      </c>
      <c r="G764" s="228"/>
      <c r="H764" s="232">
        <v>25.219999999999999</v>
      </c>
      <c r="I764" s="233"/>
      <c r="J764" s="228"/>
      <c r="K764" s="228"/>
      <c r="L764" s="234"/>
      <c r="M764" s="235"/>
      <c r="N764" s="236"/>
      <c r="O764" s="236"/>
      <c r="P764" s="236"/>
      <c r="Q764" s="236"/>
      <c r="R764" s="236"/>
      <c r="S764" s="236"/>
      <c r="T764" s="237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T764" s="238" t="s">
        <v>211</v>
      </c>
      <c r="AU764" s="238" t="s">
        <v>88</v>
      </c>
      <c r="AV764" s="13" t="s">
        <v>88</v>
      </c>
      <c r="AW764" s="13" t="s">
        <v>213</v>
      </c>
      <c r="AX764" s="13" t="s">
        <v>86</v>
      </c>
      <c r="AY764" s="238" t="s">
        <v>200</v>
      </c>
    </row>
    <row r="765" s="2" customFormat="1" ht="16.5" customHeight="1">
      <c r="A765" s="40"/>
      <c r="B765" s="41"/>
      <c r="C765" s="260" t="s">
        <v>1263</v>
      </c>
      <c r="D765" s="260" t="s">
        <v>292</v>
      </c>
      <c r="E765" s="261" t="s">
        <v>1264</v>
      </c>
      <c r="F765" s="262" t="s">
        <v>1265</v>
      </c>
      <c r="G765" s="263" t="s">
        <v>280</v>
      </c>
      <c r="H765" s="264">
        <v>27.238</v>
      </c>
      <c r="I765" s="265"/>
      <c r="J765" s="266">
        <f>ROUND(I765*H765,1)</f>
        <v>0</v>
      </c>
      <c r="K765" s="262" t="s">
        <v>206</v>
      </c>
      <c r="L765" s="267"/>
      <c r="M765" s="268" t="s">
        <v>32</v>
      </c>
      <c r="N765" s="269" t="s">
        <v>49</v>
      </c>
      <c r="O765" s="86"/>
      <c r="P765" s="218">
        <f>O765*H765</f>
        <v>0</v>
      </c>
      <c r="Q765" s="218">
        <v>0.0016999999999999999</v>
      </c>
      <c r="R765" s="218">
        <f>Q765*H765</f>
        <v>0.046304599999999994</v>
      </c>
      <c r="S765" s="218">
        <v>0</v>
      </c>
      <c r="T765" s="219">
        <f>S765*H765</f>
        <v>0</v>
      </c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R765" s="220" t="s">
        <v>429</v>
      </c>
      <c r="AT765" s="220" t="s">
        <v>292</v>
      </c>
      <c r="AU765" s="220" t="s">
        <v>88</v>
      </c>
      <c r="AY765" s="18" t="s">
        <v>200</v>
      </c>
      <c r="BE765" s="221">
        <f>IF(N765="základní",J765,0)</f>
        <v>0</v>
      </c>
      <c r="BF765" s="221">
        <f>IF(N765="snížená",J765,0)</f>
        <v>0</v>
      </c>
      <c r="BG765" s="221">
        <f>IF(N765="zákl. přenesená",J765,0)</f>
        <v>0</v>
      </c>
      <c r="BH765" s="221">
        <f>IF(N765="sníž. přenesená",J765,0)</f>
        <v>0</v>
      </c>
      <c r="BI765" s="221">
        <f>IF(N765="nulová",J765,0)</f>
        <v>0</v>
      </c>
      <c r="BJ765" s="18" t="s">
        <v>86</v>
      </c>
      <c r="BK765" s="221">
        <f>ROUND(I765*H765,1)</f>
        <v>0</v>
      </c>
      <c r="BL765" s="18" t="s">
        <v>310</v>
      </c>
      <c r="BM765" s="220" t="s">
        <v>1266</v>
      </c>
    </row>
    <row r="766" s="13" customFormat="1">
      <c r="A766" s="13"/>
      <c r="B766" s="227"/>
      <c r="C766" s="228"/>
      <c r="D766" s="229" t="s">
        <v>211</v>
      </c>
      <c r="E766" s="228"/>
      <c r="F766" s="231" t="s">
        <v>1267</v>
      </c>
      <c r="G766" s="228"/>
      <c r="H766" s="232">
        <v>27.238</v>
      </c>
      <c r="I766" s="233"/>
      <c r="J766" s="228"/>
      <c r="K766" s="228"/>
      <c r="L766" s="234"/>
      <c r="M766" s="235"/>
      <c r="N766" s="236"/>
      <c r="O766" s="236"/>
      <c r="P766" s="236"/>
      <c r="Q766" s="236"/>
      <c r="R766" s="236"/>
      <c r="S766" s="236"/>
      <c r="T766" s="237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T766" s="238" t="s">
        <v>211</v>
      </c>
      <c r="AU766" s="238" t="s">
        <v>88</v>
      </c>
      <c r="AV766" s="13" t="s">
        <v>88</v>
      </c>
      <c r="AW766" s="13" t="s">
        <v>4</v>
      </c>
      <c r="AX766" s="13" t="s">
        <v>86</v>
      </c>
      <c r="AY766" s="238" t="s">
        <v>200</v>
      </c>
    </row>
    <row r="767" s="2" customFormat="1" ht="24.15" customHeight="1">
      <c r="A767" s="40"/>
      <c r="B767" s="41"/>
      <c r="C767" s="209" t="s">
        <v>1268</v>
      </c>
      <c r="D767" s="209" t="s">
        <v>202</v>
      </c>
      <c r="E767" s="210" t="s">
        <v>1269</v>
      </c>
      <c r="F767" s="211" t="s">
        <v>1270</v>
      </c>
      <c r="G767" s="212" t="s">
        <v>250</v>
      </c>
      <c r="H767" s="213">
        <v>23.831</v>
      </c>
      <c r="I767" s="214"/>
      <c r="J767" s="215">
        <f>ROUND(I767*H767,1)</f>
        <v>0</v>
      </c>
      <c r="K767" s="211" t="s">
        <v>206</v>
      </c>
      <c r="L767" s="46"/>
      <c r="M767" s="216" t="s">
        <v>32</v>
      </c>
      <c r="N767" s="217" t="s">
        <v>49</v>
      </c>
      <c r="O767" s="86"/>
      <c r="P767" s="218">
        <f>O767*H767</f>
        <v>0</v>
      </c>
      <c r="Q767" s="218">
        <v>0</v>
      </c>
      <c r="R767" s="218">
        <f>Q767*H767</f>
        <v>0</v>
      </c>
      <c r="S767" s="218">
        <v>0</v>
      </c>
      <c r="T767" s="219">
        <f>S767*H767</f>
        <v>0</v>
      </c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R767" s="220" t="s">
        <v>310</v>
      </c>
      <c r="AT767" s="220" t="s">
        <v>202</v>
      </c>
      <c r="AU767" s="220" t="s">
        <v>88</v>
      </c>
      <c r="AY767" s="18" t="s">
        <v>200</v>
      </c>
      <c r="BE767" s="221">
        <f>IF(N767="základní",J767,0)</f>
        <v>0</v>
      </c>
      <c r="BF767" s="221">
        <f>IF(N767="snížená",J767,0)</f>
        <v>0</v>
      </c>
      <c r="BG767" s="221">
        <f>IF(N767="zákl. přenesená",J767,0)</f>
        <v>0</v>
      </c>
      <c r="BH767" s="221">
        <f>IF(N767="sníž. přenesená",J767,0)</f>
        <v>0</v>
      </c>
      <c r="BI767" s="221">
        <f>IF(N767="nulová",J767,0)</f>
        <v>0</v>
      </c>
      <c r="BJ767" s="18" t="s">
        <v>86</v>
      </c>
      <c r="BK767" s="221">
        <f>ROUND(I767*H767,1)</f>
        <v>0</v>
      </c>
      <c r="BL767" s="18" t="s">
        <v>310</v>
      </c>
      <c r="BM767" s="220" t="s">
        <v>1271</v>
      </c>
    </row>
    <row r="768" s="2" customFormat="1">
      <c r="A768" s="40"/>
      <c r="B768" s="41"/>
      <c r="C768" s="42"/>
      <c r="D768" s="222" t="s">
        <v>209</v>
      </c>
      <c r="E768" s="42"/>
      <c r="F768" s="223" t="s">
        <v>1272</v>
      </c>
      <c r="G768" s="42"/>
      <c r="H768" s="42"/>
      <c r="I768" s="224"/>
      <c r="J768" s="42"/>
      <c r="K768" s="42"/>
      <c r="L768" s="46"/>
      <c r="M768" s="225"/>
      <c r="N768" s="226"/>
      <c r="O768" s="86"/>
      <c r="P768" s="86"/>
      <c r="Q768" s="86"/>
      <c r="R768" s="86"/>
      <c r="S768" s="86"/>
      <c r="T768" s="87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T768" s="18" t="s">
        <v>209</v>
      </c>
      <c r="AU768" s="18" t="s">
        <v>88</v>
      </c>
    </row>
    <row r="769" s="12" customFormat="1" ht="22.8" customHeight="1">
      <c r="A769" s="12"/>
      <c r="B769" s="193"/>
      <c r="C769" s="194"/>
      <c r="D769" s="195" t="s">
        <v>77</v>
      </c>
      <c r="E769" s="207" t="s">
        <v>1273</v>
      </c>
      <c r="F769" s="207" t="s">
        <v>1274</v>
      </c>
      <c r="G769" s="194"/>
      <c r="H769" s="194"/>
      <c r="I769" s="197"/>
      <c r="J769" s="208">
        <f>BK769</f>
        <v>0</v>
      </c>
      <c r="K769" s="194"/>
      <c r="L769" s="199"/>
      <c r="M769" s="200"/>
      <c r="N769" s="201"/>
      <c r="O769" s="201"/>
      <c r="P769" s="202">
        <f>SUM(P770:P795)</f>
        <v>0</v>
      </c>
      <c r="Q769" s="201"/>
      <c r="R769" s="202">
        <f>SUM(R770:R795)</f>
        <v>26.939777100000001</v>
      </c>
      <c r="S769" s="201"/>
      <c r="T769" s="203">
        <f>SUM(T770:T795)</f>
        <v>0</v>
      </c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R769" s="204" t="s">
        <v>88</v>
      </c>
      <c r="AT769" s="205" t="s">
        <v>77</v>
      </c>
      <c r="AU769" s="205" t="s">
        <v>86</v>
      </c>
      <c r="AY769" s="204" t="s">
        <v>200</v>
      </c>
      <c r="BK769" s="206">
        <f>SUM(BK770:BK795)</f>
        <v>0</v>
      </c>
    </row>
    <row r="770" s="2" customFormat="1" ht="24.15" customHeight="1">
      <c r="A770" s="40"/>
      <c r="B770" s="41"/>
      <c r="C770" s="209" t="s">
        <v>1275</v>
      </c>
      <c r="D770" s="209" t="s">
        <v>202</v>
      </c>
      <c r="E770" s="210" t="s">
        <v>1276</v>
      </c>
      <c r="F770" s="211" t="s">
        <v>1277</v>
      </c>
      <c r="G770" s="212" t="s">
        <v>272</v>
      </c>
      <c r="H770" s="213">
        <v>134.40000000000001</v>
      </c>
      <c r="I770" s="214"/>
      <c r="J770" s="215">
        <f>ROUND(I770*H770,1)</f>
        <v>0</v>
      </c>
      <c r="K770" s="211" t="s">
        <v>206</v>
      </c>
      <c r="L770" s="46"/>
      <c r="M770" s="216" t="s">
        <v>32</v>
      </c>
      <c r="N770" s="217" t="s">
        <v>49</v>
      </c>
      <c r="O770" s="86"/>
      <c r="P770" s="218">
        <f>O770*H770</f>
        <v>0</v>
      </c>
      <c r="Q770" s="218">
        <v>0.014500000000000001</v>
      </c>
      <c r="R770" s="218">
        <f>Q770*H770</f>
        <v>1.9488000000000001</v>
      </c>
      <c r="S770" s="218">
        <v>0</v>
      </c>
      <c r="T770" s="219">
        <f>S770*H770</f>
        <v>0</v>
      </c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R770" s="220" t="s">
        <v>310</v>
      </c>
      <c r="AT770" s="220" t="s">
        <v>202</v>
      </c>
      <c r="AU770" s="220" t="s">
        <v>88</v>
      </c>
      <c r="AY770" s="18" t="s">
        <v>200</v>
      </c>
      <c r="BE770" s="221">
        <f>IF(N770="základní",J770,0)</f>
        <v>0</v>
      </c>
      <c r="BF770" s="221">
        <f>IF(N770="snížená",J770,0)</f>
        <v>0</v>
      </c>
      <c r="BG770" s="221">
        <f>IF(N770="zákl. přenesená",J770,0)</f>
        <v>0</v>
      </c>
      <c r="BH770" s="221">
        <f>IF(N770="sníž. přenesená",J770,0)</f>
        <v>0</v>
      </c>
      <c r="BI770" s="221">
        <f>IF(N770="nulová",J770,0)</f>
        <v>0</v>
      </c>
      <c r="BJ770" s="18" t="s">
        <v>86</v>
      </c>
      <c r="BK770" s="221">
        <f>ROUND(I770*H770,1)</f>
        <v>0</v>
      </c>
      <c r="BL770" s="18" t="s">
        <v>310</v>
      </c>
      <c r="BM770" s="220" t="s">
        <v>1278</v>
      </c>
    </row>
    <row r="771" s="2" customFormat="1">
      <c r="A771" s="40"/>
      <c r="B771" s="41"/>
      <c r="C771" s="42"/>
      <c r="D771" s="222" t="s">
        <v>209</v>
      </c>
      <c r="E771" s="42"/>
      <c r="F771" s="223" t="s">
        <v>1279</v>
      </c>
      <c r="G771" s="42"/>
      <c r="H771" s="42"/>
      <c r="I771" s="224"/>
      <c r="J771" s="42"/>
      <c r="K771" s="42"/>
      <c r="L771" s="46"/>
      <c r="M771" s="225"/>
      <c r="N771" s="226"/>
      <c r="O771" s="86"/>
      <c r="P771" s="86"/>
      <c r="Q771" s="86"/>
      <c r="R771" s="86"/>
      <c r="S771" s="86"/>
      <c r="T771" s="87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T771" s="18" t="s">
        <v>209</v>
      </c>
      <c r="AU771" s="18" t="s">
        <v>88</v>
      </c>
    </row>
    <row r="772" s="13" customFormat="1">
      <c r="A772" s="13"/>
      <c r="B772" s="227"/>
      <c r="C772" s="228"/>
      <c r="D772" s="229" t="s">
        <v>211</v>
      </c>
      <c r="E772" s="230" t="s">
        <v>32</v>
      </c>
      <c r="F772" s="231" t="s">
        <v>1280</v>
      </c>
      <c r="G772" s="228"/>
      <c r="H772" s="232">
        <v>134.40000000000001</v>
      </c>
      <c r="I772" s="233"/>
      <c r="J772" s="228"/>
      <c r="K772" s="228"/>
      <c r="L772" s="234"/>
      <c r="M772" s="235"/>
      <c r="N772" s="236"/>
      <c r="O772" s="236"/>
      <c r="P772" s="236"/>
      <c r="Q772" s="236"/>
      <c r="R772" s="236"/>
      <c r="S772" s="236"/>
      <c r="T772" s="237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T772" s="238" t="s">
        <v>211</v>
      </c>
      <c r="AU772" s="238" t="s">
        <v>88</v>
      </c>
      <c r="AV772" s="13" t="s">
        <v>88</v>
      </c>
      <c r="AW772" s="13" t="s">
        <v>213</v>
      </c>
      <c r="AX772" s="13" t="s">
        <v>86</v>
      </c>
      <c r="AY772" s="238" t="s">
        <v>200</v>
      </c>
    </row>
    <row r="773" s="2" customFormat="1" ht="24.15" customHeight="1">
      <c r="A773" s="40"/>
      <c r="B773" s="41"/>
      <c r="C773" s="209" t="s">
        <v>1281</v>
      </c>
      <c r="D773" s="282" t="s">
        <v>202</v>
      </c>
      <c r="E773" s="210" t="s">
        <v>1282</v>
      </c>
      <c r="F773" s="211" t="s">
        <v>1283</v>
      </c>
      <c r="G773" s="212" t="s">
        <v>272</v>
      </c>
      <c r="H773" s="213">
        <v>1351.22</v>
      </c>
      <c r="I773" s="214"/>
      <c r="J773" s="215">
        <f>ROUND(I773*H773,1)</f>
        <v>0</v>
      </c>
      <c r="K773" s="211" t="s">
        <v>206</v>
      </c>
      <c r="L773" s="46"/>
      <c r="M773" s="216" t="s">
        <v>32</v>
      </c>
      <c r="N773" s="217" t="s">
        <v>49</v>
      </c>
      <c r="O773" s="86"/>
      <c r="P773" s="218">
        <f>O773*H773</f>
        <v>0</v>
      </c>
      <c r="Q773" s="218">
        <v>0.016910000000000001</v>
      </c>
      <c r="R773" s="218">
        <f>Q773*H773</f>
        <v>22.849130200000001</v>
      </c>
      <c r="S773" s="218">
        <v>0</v>
      </c>
      <c r="T773" s="219">
        <f>S773*H773</f>
        <v>0</v>
      </c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R773" s="220" t="s">
        <v>310</v>
      </c>
      <c r="AT773" s="220" t="s">
        <v>202</v>
      </c>
      <c r="AU773" s="220" t="s">
        <v>88</v>
      </c>
      <c r="AY773" s="18" t="s">
        <v>200</v>
      </c>
      <c r="BE773" s="221">
        <f>IF(N773="základní",J773,0)</f>
        <v>0</v>
      </c>
      <c r="BF773" s="221">
        <f>IF(N773="snížená",J773,0)</f>
        <v>0</v>
      </c>
      <c r="BG773" s="221">
        <f>IF(N773="zákl. přenesená",J773,0)</f>
        <v>0</v>
      </c>
      <c r="BH773" s="221">
        <f>IF(N773="sníž. přenesená",J773,0)</f>
        <v>0</v>
      </c>
      <c r="BI773" s="221">
        <f>IF(N773="nulová",J773,0)</f>
        <v>0</v>
      </c>
      <c r="BJ773" s="18" t="s">
        <v>86</v>
      </c>
      <c r="BK773" s="221">
        <f>ROUND(I773*H773,1)</f>
        <v>0</v>
      </c>
      <c r="BL773" s="18" t="s">
        <v>310</v>
      </c>
      <c r="BM773" s="220" t="s">
        <v>1284</v>
      </c>
    </row>
    <row r="774" s="2" customFormat="1">
      <c r="A774" s="40"/>
      <c r="B774" s="41"/>
      <c r="C774" s="42"/>
      <c r="D774" s="222" t="s">
        <v>209</v>
      </c>
      <c r="E774" s="42"/>
      <c r="F774" s="223" t="s">
        <v>1285</v>
      </c>
      <c r="G774" s="42"/>
      <c r="H774" s="42"/>
      <c r="I774" s="224"/>
      <c r="J774" s="42"/>
      <c r="K774" s="42"/>
      <c r="L774" s="46"/>
      <c r="M774" s="225"/>
      <c r="N774" s="226"/>
      <c r="O774" s="86"/>
      <c r="P774" s="86"/>
      <c r="Q774" s="86"/>
      <c r="R774" s="86"/>
      <c r="S774" s="86"/>
      <c r="T774" s="87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T774" s="18" t="s">
        <v>209</v>
      </c>
      <c r="AU774" s="18" t="s">
        <v>88</v>
      </c>
    </row>
    <row r="775" s="13" customFormat="1">
      <c r="A775" s="13"/>
      <c r="B775" s="227"/>
      <c r="C775" s="228"/>
      <c r="D775" s="229" t="s">
        <v>211</v>
      </c>
      <c r="E775" s="230" t="s">
        <v>32</v>
      </c>
      <c r="F775" s="231" t="s">
        <v>1286</v>
      </c>
      <c r="G775" s="228"/>
      <c r="H775" s="232">
        <v>248.02000000000001</v>
      </c>
      <c r="I775" s="233"/>
      <c r="J775" s="228"/>
      <c r="K775" s="228"/>
      <c r="L775" s="234"/>
      <c r="M775" s="235"/>
      <c r="N775" s="236"/>
      <c r="O775" s="236"/>
      <c r="P775" s="236"/>
      <c r="Q775" s="236"/>
      <c r="R775" s="236"/>
      <c r="S775" s="236"/>
      <c r="T775" s="237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T775" s="238" t="s">
        <v>211</v>
      </c>
      <c r="AU775" s="238" t="s">
        <v>88</v>
      </c>
      <c r="AV775" s="13" t="s">
        <v>88</v>
      </c>
      <c r="AW775" s="13" t="s">
        <v>213</v>
      </c>
      <c r="AX775" s="13" t="s">
        <v>78</v>
      </c>
      <c r="AY775" s="238" t="s">
        <v>200</v>
      </c>
    </row>
    <row r="776" s="13" customFormat="1">
      <c r="A776" s="13"/>
      <c r="B776" s="227"/>
      <c r="C776" s="228"/>
      <c r="D776" s="229" t="s">
        <v>211</v>
      </c>
      <c r="E776" s="230" t="s">
        <v>32</v>
      </c>
      <c r="F776" s="231" t="s">
        <v>1287</v>
      </c>
      <c r="G776" s="228"/>
      <c r="H776" s="232">
        <v>248.59999999999999</v>
      </c>
      <c r="I776" s="233"/>
      <c r="J776" s="228"/>
      <c r="K776" s="228"/>
      <c r="L776" s="234"/>
      <c r="M776" s="235"/>
      <c r="N776" s="236"/>
      <c r="O776" s="236"/>
      <c r="P776" s="236"/>
      <c r="Q776" s="236"/>
      <c r="R776" s="236"/>
      <c r="S776" s="236"/>
      <c r="T776" s="237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T776" s="238" t="s">
        <v>211</v>
      </c>
      <c r="AU776" s="238" t="s">
        <v>88</v>
      </c>
      <c r="AV776" s="13" t="s">
        <v>88</v>
      </c>
      <c r="AW776" s="13" t="s">
        <v>213</v>
      </c>
      <c r="AX776" s="13" t="s">
        <v>78</v>
      </c>
      <c r="AY776" s="238" t="s">
        <v>200</v>
      </c>
    </row>
    <row r="777" s="13" customFormat="1">
      <c r="A777" s="13"/>
      <c r="B777" s="227"/>
      <c r="C777" s="228"/>
      <c r="D777" s="229" t="s">
        <v>211</v>
      </c>
      <c r="E777" s="230" t="s">
        <v>32</v>
      </c>
      <c r="F777" s="231" t="s">
        <v>1288</v>
      </c>
      <c r="G777" s="228"/>
      <c r="H777" s="232">
        <v>320.10000000000002</v>
      </c>
      <c r="I777" s="233"/>
      <c r="J777" s="228"/>
      <c r="K777" s="228"/>
      <c r="L777" s="234"/>
      <c r="M777" s="235"/>
      <c r="N777" s="236"/>
      <c r="O777" s="236"/>
      <c r="P777" s="236"/>
      <c r="Q777" s="236"/>
      <c r="R777" s="236"/>
      <c r="S777" s="236"/>
      <c r="T777" s="237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T777" s="238" t="s">
        <v>211</v>
      </c>
      <c r="AU777" s="238" t="s">
        <v>88</v>
      </c>
      <c r="AV777" s="13" t="s">
        <v>88</v>
      </c>
      <c r="AW777" s="13" t="s">
        <v>213</v>
      </c>
      <c r="AX777" s="13" t="s">
        <v>78</v>
      </c>
      <c r="AY777" s="238" t="s">
        <v>200</v>
      </c>
    </row>
    <row r="778" s="13" customFormat="1">
      <c r="A778" s="13"/>
      <c r="B778" s="227"/>
      <c r="C778" s="228"/>
      <c r="D778" s="229" t="s">
        <v>211</v>
      </c>
      <c r="E778" s="230" t="s">
        <v>32</v>
      </c>
      <c r="F778" s="231" t="s">
        <v>1289</v>
      </c>
      <c r="G778" s="228"/>
      <c r="H778" s="232">
        <v>534.5</v>
      </c>
      <c r="I778" s="233"/>
      <c r="J778" s="228"/>
      <c r="K778" s="228"/>
      <c r="L778" s="234"/>
      <c r="M778" s="235"/>
      <c r="N778" s="236"/>
      <c r="O778" s="236"/>
      <c r="P778" s="236"/>
      <c r="Q778" s="236"/>
      <c r="R778" s="236"/>
      <c r="S778" s="236"/>
      <c r="T778" s="237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T778" s="238" t="s">
        <v>211</v>
      </c>
      <c r="AU778" s="238" t="s">
        <v>88</v>
      </c>
      <c r="AV778" s="13" t="s">
        <v>88</v>
      </c>
      <c r="AW778" s="13" t="s">
        <v>213</v>
      </c>
      <c r="AX778" s="13" t="s">
        <v>78</v>
      </c>
      <c r="AY778" s="238" t="s">
        <v>200</v>
      </c>
    </row>
    <row r="779" s="14" customFormat="1">
      <c r="A779" s="14"/>
      <c r="B779" s="239"/>
      <c r="C779" s="240"/>
      <c r="D779" s="229" t="s">
        <v>211</v>
      </c>
      <c r="E779" s="241" t="s">
        <v>32</v>
      </c>
      <c r="F779" s="242" t="s">
        <v>220</v>
      </c>
      <c r="G779" s="240"/>
      <c r="H779" s="243">
        <v>1351.22</v>
      </c>
      <c r="I779" s="244"/>
      <c r="J779" s="240"/>
      <c r="K779" s="240"/>
      <c r="L779" s="245"/>
      <c r="M779" s="246"/>
      <c r="N779" s="247"/>
      <c r="O779" s="247"/>
      <c r="P779" s="247"/>
      <c r="Q779" s="247"/>
      <c r="R779" s="247"/>
      <c r="S779" s="247"/>
      <c r="T779" s="248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T779" s="249" t="s">
        <v>211</v>
      </c>
      <c r="AU779" s="249" t="s">
        <v>88</v>
      </c>
      <c r="AV779" s="14" t="s">
        <v>207</v>
      </c>
      <c r="AW779" s="14" t="s">
        <v>213</v>
      </c>
      <c r="AX779" s="14" t="s">
        <v>86</v>
      </c>
      <c r="AY779" s="249" t="s">
        <v>200</v>
      </c>
    </row>
    <row r="780" s="2" customFormat="1" ht="24.15" customHeight="1">
      <c r="A780" s="40"/>
      <c r="B780" s="41"/>
      <c r="C780" s="209" t="s">
        <v>1290</v>
      </c>
      <c r="D780" s="209" t="s">
        <v>202</v>
      </c>
      <c r="E780" s="210" t="s">
        <v>1291</v>
      </c>
      <c r="F780" s="211" t="s">
        <v>1292</v>
      </c>
      <c r="G780" s="212" t="s">
        <v>272</v>
      </c>
      <c r="H780" s="213">
        <v>55.490000000000002</v>
      </c>
      <c r="I780" s="214"/>
      <c r="J780" s="215">
        <f>ROUND(I780*H780,1)</f>
        <v>0</v>
      </c>
      <c r="K780" s="211" t="s">
        <v>206</v>
      </c>
      <c r="L780" s="46"/>
      <c r="M780" s="216" t="s">
        <v>32</v>
      </c>
      <c r="N780" s="217" t="s">
        <v>49</v>
      </c>
      <c r="O780" s="86"/>
      <c r="P780" s="218">
        <f>O780*H780</f>
        <v>0</v>
      </c>
      <c r="Q780" s="218">
        <v>0.012590000000000001</v>
      </c>
      <c r="R780" s="218">
        <f>Q780*H780</f>
        <v>0.69861910000000005</v>
      </c>
      <c r="S780" s="218">
        <v>0</v>
      </c>
      <c r="T780" s="219">
        <f>S780*H780</f>
        <v>0</v>
      </c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R780" s="220" t="s">
        <v>310</v>
      </c>
      <c r="AT780" s="220" t="s">
        <v>202</v>
      </c>
      <c r="AU780" s="220" t="s">
        <v>88</v>
      </c>
      <c r="AY780" s="18" t="s">
        <v>200</v>
      </c>
      <c r="BE780" s="221">
        <f>IF(N780="základní",J780,0)</f>
        <v>0</v>
      </c>
      <c r="BF780" s="221">
        <f>IF(N780="snížená",J780,0)</f>
        <v>0</v>
      </c>
      <c r="BG780" s="221">
        <f>IF(N780="zákl. přenesená",J780,0)</f>
        <v>0</v>
      </c>
      <c r="BH780" s="221">
        <f>IF(N780="sníž. přenesená",J780,0)</f>
        <v>0</v>
      </c>
      <c r="BI780" s="221">
        <f>IF(N780="nulová",J780,0)</f>
        <v>0</v>
      </c>
      <c r="BJ780" s="18" t="s">
        <v>86</v>
      </c>
      <c r="BK780" s="221">
        <f>ROUND(I780*H780,1)</f>
        <v>0</v>
      </c>
      <c r="BL780" s="18" t="s">
        <v>310</v>
      </c>
      <c r="BM780" s="220" t="s">
        <v>1293</v>
      </c>
    </row>
    <row r="781" s="2" customFormat="1">
      <c r="A781" s="40"/>
      <c r="B781" s="41"/>
      <c r="C781" s="42"/>
      <c r="D781" s="222" t="s">
        <v>209</v>
      </c>
      <c r="E781" s="42"/>
      <c r="F781" s="223" t="s">
        <v>1294</v>
      </c>
      <c r="G781" s="42"/>
      <c r="H781" s="42"/>
      <c r="I781" s="224"/>
      <c r="J781" s="42"/>
      <c r="K781" s="42"/>
      <c r="L781" s="46"/>
      <c r="M781" s="225"/>
      <c r="N781" s="226"/>
      <c r="O781" s="86"/>
      <c r="P781" s="86"/>
      <c r="Q781" s="86"/>
      <c r="R781" s="86"/>
      <c r="S781" s="86"/>
      <c r="T781" s="87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T781" s="18" t="s">
        <v>209</v>
      </c>
      <c r="AU781" s="18" t="s">
        <v>88</v>
      </c>
    </row>
    <row r="782" s="13" customFormat="1">
      <c r="A782" s="13"/>
      <c r="B782" s="227"/>
      <c r="C782" s="228"/>
      <c r="D782" s="229" t="s">
        <v>211</v>
      </c>
      <c r="E782" s="230" t="s">
        <v>32</v>
      </c>
      <c r="F782" s="231" t="s">
        <v>1295</v>
      </c>
      <c r="G782" s="228"/>
      <c r="H782" s="232">
        <v>55.490000000000002</v>
      </c>
      <c r="I782" s="233"/>
      <c r="J782" s="228"/>
      <c r="K782" s="228"/>
      <c r="L782" s="234"/>
      <c r="M782" s="235"/>
      <c r="N782" s="236"/>
      <c r="O782" s="236"/>
      <c r="P782" s="236"/>
      <c r="Q782" s="236"/>
      <c r="R782" s="236"/>
      <c r="S782" s="236"/>
      <c r="T782" s="237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T782" s="238" t="s">
        <v>211</v>
      </c>
      <c r="AU782" s="238" t="s">
        <v>88</v>
      </c>
      <c r="AV782" s="13" t="s">
        <v>88</v>
      </c>
      <c r="AW782" s="13" t="s">
        <v>213</v>
      </c>
      <c r="AX782" s="13" t="s">
        <v>86</v>
      </c>
      <c r="AY782" s="238" t="s">
        <v>200</v>
      </c>
    </row>
    <row r="783" s="2" customFormat="1" ht="24.15" customHeight="1">
      <c r="A783" s="40"/>
      <c r="B783" s="41"/>
      <c r="C783" s="209" t="s">
        <v>1296</v>
      </c>
      <c r="D783" s="282" t="s">
        <v>202</v>
      </c>
      <c r="E783" s="210" t="s">
        <v>1297</v>
      </c>
      <c r="F783" s="211" t="s">
        <v>1298</v>
      </c>
      <c r="G783" s="212" t="s">
        <v>272</v>
      </c>
      <c r="H783" s="213">
        <v>1568.395</v>
      </c>
      <c r="I783" s="214"/>
      <c r="J783" s="215">
        <f>ROUND(I783*H783,1)</f>
        <v>0</v>
      </c>
      <c r="K783" s="211" t="s">
        <v>206</v>
      </c>
      <c r="L783" s="46"/>
      <c r="M783" s="216" t="s">
        <v>32</v>
      </c>
      <c r="N783" s="217" t="s">
        <v>49</v>
      </c>
      <c r="O783" s="86"/>
      <c r="P783" s="218">
        <f>O783*H783</f>
        <v>0</v>
      </c>
      <c r="Q783" s="218">
        <v>0.00010000000000000001</v>
      </c>
      <c r="R783" s="218">
        <f>Q783*H783</f>
        <v>0.15683949999999999</v>
      </c>
      <c r="S783" s="218">
        <v>0</v>
      </c>
      <c r="T783" s="219">
        <f>S783*H783</f>
        <v>0</v>
      </c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R783" s="220" t="s">
        <v>310</v>
      </c>
      <c r="AT783" s="220" t="s">
        <v>202</v>
      </c>
      <c r="AU783" s="220" t="s">
        <v>88</v>
      </c>
      <c r="AY783" s="18" t="s">
        <v>200</v>
      </c>
      <c r="BE783" s="221">
        <f>IF(N783="základní",J783,0)</f>
        <v>0</v>
      </c>
      <c r="BF783" s="221">
        <f>IF(N783="snížená",J783,0)</f>
        <v>0</v>
      </c>
      <c r="BG783" s="221">
        <f>IF(N783="zákl. přenesená",J783,0)</f>
        <v>0</v>
      </c>
      <c r="BH783" s="221">
        <f>IF(N783="sníž. přenesená",J783,0)</f>
        <v>0</v>
      </c>
      <c r="BI783" s="221">
        <f>IF(N783="nulová",J783,0)</f>
        <v>0</v>
      </c>
      <c r="BJ783" s="18" t="s">
        <v>86</v>
      </c>
      <c r="BK783" s="221">
        <f>ROUND(I783*H783,1)</f>
        <v>0</v>
      </c>
      <c r="BL783" s="18" t="s">
        <v>310</v>
      </c>
      <c r="BM783" s="220" t="s">
        <v>1299</v>
      </c>
    </row>
    <row r="784" s="2" customFormat="1">
      <c r="A784" s="40"/>
      <c r="B784" s="41"/>
      <c r="C784" s="42"/>
      <c r="D784" s="222" t="s">
        <v>209</v>
      </c>
      <c r="E784" s="42"/>
      <c r="F784" s="223" t="s">
        <v>1300</v>
      </c>
      <c r="G784" s="42"/>
      <c r="H784" s="42"/>
      <c r="I784" s="224"/>
      <c r="J784" s="42"/>
      <c r="K784" s="42"/>
      <c r="L784" s="46"/>
      <c r="M784" s="225"/>
      <c r="N784" s="226"/>
      <c r="O784" s="86"/>
      <c r="P784" s="86"/>
      <c r="Q784" s="86"/>
      <c r="R784" s="86"/>
      <c r="S784" s="86"/>
      <c r="T784" s="87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T784" s="18" t="s">
        <v>209</v>
      </c>
      <c r="AU784" s="18" t="s">
        <v>88</v>
      </c>
    </row>
    <row r="785" s="13" customFormat="1">
      <c r="A785" s="13"/>
      <c r="B785" s="227"/>
      <c r="C785" s="228"/>
      <c r="D785" s="229" t="s">
        <v>211</v>
      </c>
      <c r="E785" s="230" t="s">
        <v>32</v>
      </c>
      <c r="F785" s="231" t="s">
        <v>1301</v>
      </c>
      <c r="G785" s="228"/>
      <c r="H785" s="232">
        <v>1568.395</v>
      </c>
      <c r="I785" s="233"/>
      <c r="J785" s="228"/>
      <c r="K785" s="228"/>
      <c r="L785" s="234"/>
      <c r="M785" s="235"/>
      <c r="N785" s="236"/>
      <c r="O785" s="236"/>
      <c r="P785" s="236"/>
      <c r="Q785" s="236"/>
      <c r="R785" s="236"/>
      <c r="S785" s="236"/>
      <c r="T785" s="237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T785" s="238" t="s">
        <v>211</v>
      </c>
      <c r="AU785" s="238" t="s">
        <v>88</v>
      </c>
      <c r="AV785" s="13" t="s">
        <v>88</v>
      </c>
      <c r="AW785" s="13" t="s">
        <v>213</v>
      </c>
      <c r="AX785" s="13" t="s">
        <v>86</v>
      </c>
      <c r="AY785" s="238" t="s">
        <v>200</v>
      </c>
    </row>
    <row r="786" s="2" customFormat="1" ht="24.15" customHeight="1">
      <c r="A786" s="40"/>
      <c r="B786" s="41"/>
      <c r="C786" s="209" t="s">
        <v>1302</v>
      </c>
      <c r="D786" s="209" t="s">
        <v>202</v>
      </c>
      <c r="E786" s="210" t="s">
        <v>1303</v>
      </c>
      <c r="F786" s="211" t="s">
        <v>1304</v>
      </c>
      <c r="G786" s="212" t="s">
        <v>280</v>
      </c>
      <c r="H786" s="213">
        <v>122.5</v>
      </c>
      <c r="I786" s="214"/>
      <c r="J786" s="215">
        <f>ROUND(I786*H786,1)</f>
        <v>0</v>
      </c>
      <c r="K786" s="211" t="s">
        <v>206</v>
      </c>
      <c r="L786" s="46"/>
      <c r="M786" s="216" t="s">
        <v>32</v>
      </c>
      <c r="N786" s="217" t="s">
        <v>49</v>
      </c>
      <c r="O786" s="86"/>
      <c r="P786" s="218">
        <f>O786*H786</f>
        <v>0</v>
      </c>
      <c r="Q786" s="218">
        <v>0.0066299999999999996</v>
      </c>
      <c r="R786" s="218">
        <f>Q786*H786</f>
        <v>0.81217499999999998</v>
      </c>
      <c r="S786" s="218">
        <v>0</v>
      </c>
      <c r="T786" s="219">
        <f>S786*H786</f>
        <v>0</v>
      </c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R786" s="220" t="s">
        <v>310</v>
      </c>
      <c r="AT786" s="220" t="s">
        <v>202</v>
      </c>
      <c r="AU786" s="220" t="s">
        <v>88</v>
      </c>
      <c r="AY786" s="18" t="s">
        <v>200</v>
      </c>
      <c r="BE786" s="221">
        <f>IF(N786="základní",J786,0)</f>
        <v>0</v>
      </c>
      <c r="BF786" s="221">
        <f>IF(N786="snížená",J786,0)</f>
        <v>0</v>
      </c>
      <c r="BG786" s="221">
        <f>IF(N786="zákl. přenesená",J786,0)</f>
        <v>0</v>
      </c>
      <c r="BH786" s="221">
        <f>IF(N786="sníž. přenesená",J786,0)</f>
        <v>0</v>
      </c>
      <c r="BI786" s="221">
        <f>IF(N786="nulová",J786,0)</f>
        <v>0</v>
      </c>
      <c r="BJ786" s="18" t="s">
        <v>86</v>
      </c>
      <c r="BK786" s="221">
        <f>ROUND(I786*H786,1)</f>
        <v>0</v>
      </c>
      <c r="BL786" s="18" t="s">
        <v>310</v>
      </c>
      <c r="BM786" s="220" t="s">
        <v>1305</v>
      </c>
    </row>
    <row r="787" s="2" customFormat="1">
      <c r="A787" s="40"/>
      <c r="B787" s="41"/>
      <c r="C787" s="42"/>
      <c r="D787" s="222" t="s">
        <v>209</v>
      </c>
      <c r="E787" s="42"/>
      <c r="F787" s="223" t="s">
        <v>1306</v>
      </c>
      <c r="G787" s="42"/>
      <c r="H787" s="42"/>
      <c r="I787" s="224"/>
      <c r="J787" s="42"/>
      <c r="K787" s="42"/>
      <c r="L787" s="46"/>
      <c r="M787" s="225"/>
      <c r="N787" s="226"/>
      <c r="O787" s="86"/>
      <c r="P787" s="86"/>
      <c r="Q787" s="86"/>
      <c r="R787" s="86"/>
      <c r="S787" s="86"/>
      <c r="T787" s="87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T787" s="18" t="s">
        <v>209</v>
      </c>
      <c r="AU787" s="18" t="s">
        <v>88</v>
      </c>
    </row>
    <row r="788" s="13" customFormat="1">
      <c r="A788" s="13"/>
      <c r="B788" s="227"/>
      <c r="C788" s="228"/>
      <c r="D788" s="229" t="s">
        <v>211</v>
      </c>
      <c r="E788" s="230" t="s">
        <v>32</v>
      </c>
      <c r="F788" s="231" t="s">
        <v>1307</v>
      </c>
      <c r="G788" s="228"/>
      <c r="H788" s="232">
        <v>106.3</v>
      </c>
      <c r="I788" s="233"/>
      <c r="J788" s="228"/>
      <c r="K788" s="228"/>
      <c r="L788" s="234"/>
      <c r="M788" s="235"/>
      <c r="N788" s="236"/>
      <c r="O788" s="236"/>
      <c r="P788" s="236"/>
      <c r="Q788" s="236"/>
      <c r="R788" s="236"/>
      <c r="S788" s="236"/>
      <c r="T788" s="237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T788" s="238" t="s">
        <v>211</v>
      </c>
      <c r="AU788" s="238" t="s">
        <v>88</v>
      </c>
      <c r="AV788" s="13" t="s">
        <v>88</v>
      </c>
      <c r="AW788" s="13" t="s">
        <v>213</v>
      </c>
      <c r="AX788" s="13" t="s">
        <v>78</v>
      </c>
      <c r="AY788" s="238" t="s">
        <v>200</v>
      </c>
    </row>
    <row r="789" s="13" customFormat="1">
      <c r="A789" s="13"/>
      <c r="B789" s="227"/>
      <c r="C789" s="228"/>
      <c r="D789" s="229" t="s">
        <v>211</v>
      </c>
      <c r="E789" s="230" t="s">
        <v>32</v>
      </c>
      <c r="F789" s="231" t="s">
        <v>1308</v>
      </c>
      <c r="G789" s="228"/>
      <c r="H789" s="232">
        <v>16.199999999999999</v>
      </c>
      <c r="I789" s="233"/>
      <c r="J789" s="228"/>
      <c r="K789" s="228"/>
      <c r="L789" s="234"/>
      <c r="M789" s="235"/>
      <c r="N789" s="236"/>
      <c r="O789" s="236"/>
      <c r="P789" s="236"/>
      <c r="Q789" s="236"/>
      <c r="R789" s="236"/>
      <c r="S789" s="236"/>
      <c r="T789" s="237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T789" s="238" t="s">
        <v>211</v>
      </c>
      <c r="AU789" s="238" t="s">
        <v>88</v>
      </c>
      <c r="AV789" s="13" t="s">
        <v>88</v>
      </c>
      <c r="AW789" s="13" t="s">
        <v>213</v>
      </c>
      <c r="AX789" s="13" t="s">
        <v>78</v>
      </c>
      <c r="AY789" s="238" t="s">
        <v>200</v>
      </c>
    </row>
    <row r="790" s="14" customFormat="1">
      <c r="A790" s="14"/>
      <c r="B790" s="239"/>
      <c r="C790" s="240"/>
      <c r="D790" s="229" t="s">
        <v>211</v>
      </c>
      <c r="E790" s="241" t="s">
        <v>32</v>
      </c>
      <c r="F790" s="242" t="s">
        <v>220</v>
      </c>
      <c r="G790" s="240"/>
      <c r="H790" s="243">
        <v>122.5</v>
      </c>
      <c r="I790" s="244"/>
      <c r="J790" s="240"/>
      <c r="K790" s="240"/>
      <c r="L790" s="245"/>
      <c r="M790" s="246"/>
      <c r="N790" s="247"/>
      <c r="O790" s="247"/>
      <c r="P790" s="247"/>
      <c r="Q790" s="247"/>
      <c r="R790" s="247"/>
      <c r="S790" s="247"/>
      <c r="T790" s="248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T790" s="249" t="s">
        <v>211</v>
      </c>
      <c r="AU790" s="249" t="s">
        <v>88</v>
      </c>
      <c r="AV790" s="14" t="s">
        <v>207</v>
      </c>
      <c r="AW790" s="14" t="s">
        <v>213</v>
      </c>
      <c r="AX790" s="14" t="s">
        <v>86</v>
      </c>
      <c r="AY790" s="249" t="s">
        <v>200</v>
      </c>
    </row>
    <row r="791" s="2" customFormat="1" ht="24.15" customHeight="1">
      <c r="A791" s="40"/>
      <c r="B791" s="41"/>
      <c r="C791" s="209" t="s">
        <v>1309</v>
      </c>
      <c r="D791" s="209" t="s">
        <v>202</v>
      </c>
      <c r="E791" s="210" t="s">
        <v>1310</v>
      </c>
      <c r="F791" s="211" t="s">
        <v>1311</v>
      </c>
      <c r="G791" s="212" t="s">
        <v>272</v>
      </c>
      <c r="H791" s="213">
        <v>27.285</v>
      </c>
      <c r="I791" s="214"/>
      <c r="J791" s="215">
        <f>ROUND(I791*H791,1)</f>
        <v>0</v>
      </c>
      <c r="K791" s="211" t="s">
        <v>206</v>
      </c>
      <c r="L791" s="46"/>
      <c r="M791" s="216" t="s">
        <v>32</v>
      </c>
      <c r="N791" s="217" t="s">
        <v>49</v>
      </c>
      <c r="O791" s="86"/>
      <c r="P791" s="218">
        <f>O791*H791</f>
        <v>0</v>
      </c>
      <c r="Q791" s="218">
        <v>0.01738</v>
      </c>
      <c r="R791" s="218">
        <f>Q791*H791</f>
        <v>0.4742133</v>
      </c>
      <c r="S791" s="218">
        <v>0</v>
      </c>
      <c r="T791" s="219">
        <f>S791*H791</f>
        <v>0</v>
      </c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R791" s="220" t="s">
        <v>310</v>
      </c>
      <c r="AT791" s="220" t="s">
        <v>202</v>
      </c>
      <c r="AU791" s="220" t="s">
        <v>88</v>
      </c>
      <c r="AY791" s="18" t="s">
        <v>200</v>
      </c>
      <c r="BE791" s="221">
        <f>IF(N791="základní",J791,0)</f>
        <v>0</v>
      </c>
      <c r="BF791" s="221">
        <f>IF(N791="snížená",J791,0)</f>
        <v>0</v>
      </c>
      <c r="BG791" s="221">
        <f>IF(N791="zákl. přenesená",J791,0)</f>
        <v>0</v>
      </c>
      <c r="BH791" s="221">
        <f>IF(N791="sníž. přenesená",J791,0)</f>
        <v>0</v>
      </c>
      <c r="BI791" s="221">
        <f>IF(N791="nulová",J791,0)</f>
        <v>0</v>
      </c>
      <c r="BJ791" s="18" t="s">
        <v>86</v>
      </c>
      <c r="BK791" s="221">
        <f>ROUND(I791*H791,1)</f>
        <v>0</v>
      </c>
      <c r="BL791" s="18" t="s">
        <v>310</v>
      </c>
      <c r="BM791" s="220" t="s">
        <v>1312</v>
      </c>
    </row>
    <row r="792" s="2" customFormat="1">
      <c r="A792" s="40"/>
      <c r="B792" s="41"/>
      <c r="C792" s="42"/>
      <c r="D792" s="222" t="s">
        <v>209</v>
      </c>
      <c r="E792" s="42"/>
      <c r="F792" s="223" t="s">
        <v>1313</v>
      </c>
      <c r="G792" s="42"/>
      <c r="H792" s="42"/>
      <c r="I792" s="224"/>
      <c r="J792" s="42"/>
      <c r="K792" s="42"/>
      <c r="L792" s="46"/>
      <c r="M792" s="225"/>
      <c r="N792" s="226"/>
      <c r="O792" s="86"/>
      <c r="P792" s="86"/>
      <c r="Q792" s="86"/>
      <c r="R792" s="86"/>
      <c r="S792" s="86"/>
      <c r="T792" s="87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T792" s="18" t="s">
        <v>209</v>
      </c>
      <c r="AU792" s="18" t="s">
        <v>88</v>
      </c>
    </row>
    <row r="793" s="13" customFormat="1">
      <c r="A793" s="13"/>
      <c r="B793" s="227"/>
      <c r="C793" s="228"/>
      <c r="D793" s="229" t="s">
        <v>211</v>
      </c>
      <c r="E793" s="230" t="s">
        <v>32</v>
      </c>
      <c r="F793" s="231" t="s">
        <v>1314</v>
      </c>
      <c r="G793" s="228"/>
      <c r="H793" s="232">
        <v>27.285</v>
      </c>
      <c r="I793" s="233"/>
      <c r="J793" s="228"/>
      <c r="K793" s="228"/>
      <c r="L793" s="234"/>
      <c r="M793" s="235"/>
      <c r="N793" s="236"/>
      <c r="O793" s="236"/>
      <c r="P793" s="236"/>
      <c r="Q793" s="236"/>
      <c r="R793" s="236"/>
      <c r="S793" s="236"/>
      <c r="T793" s="237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T793" s="238" t="s">
        <v>211</v>
      </c>
      <c r="AU793" s="238" t="s">
        <v>88</v>
      </c>
      <c r="AV793" s="13" t="s">
        <v>88</v>
      </c>
      <c r="AW793" s="13" t="s">
        <v>213</v>
      </c>
      <c r="AX793" s="13" t="s">
        <v>86</v>
      </c>
      <c r="AY793" s="238" t="s">
        <v>200</v>
      </c>
    </row>
    <row r="794" s="2" customFormat="1" ht="37.8" customHeight="1">
      <c r="A794" s="40"/>
      <c r="B794" s="41"/>
      <c r="C794" s="209" t="s">
        <v>1315</v>
      </c>
      <c r="D794" s="209" t="s">
        <v>202</v>
      </c>
      <c r="E794" s="210" t="s">
        <v>1316</v>
      </c>
      <c r="F794" s="211" t="s">
        <v>1317</v>
      </c>
      <c r="G794" s="212" t="s">
        <v>250</v>
      </c>
      <c r="H794" s="213">
        <v>26.940000000000001</v>
      </c>
      <c r="I794" s="214"/>
      <c r="J794" s="215">
        <f>ROUND(I794*H794,1)</f>
        <v>0</v>
      </c>
      <c r="K794" s="211" t="s">
        <v>206</v>
      </c>
      <c r="L794" s="46"/>
      <c r="M794" s="216" t="s">
        <v>32</v>
      </c>
      <c r="N794" s="217" t="s">
        <v>49</v>
      </c>
      <c r="O794" s="86"/>
      <c r="P794" s="218">
        <f>O794*H794</f>
        <v>0</v>
      </c>
      <c r="Q794" s="218">
        <v>0</v>
      </c>
      <c r="R794" s="218">
        <f>Q794*H794</f>
        <v>0</v>
      </c>
      <c r="S794" s="218">
        <v>0</v>
      </c>
      <c r="T794" s="219">
        <f>S794*H794</f>
        <v>0</v>
      </c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R794" s="220" t="s">
        <v>310</v>
      </c>
      <c r="AT794" s="220" t="s">
        <v>202</v>
      </c>
      <c r="AU794" s="220" t="s">
        <v>88</v>
      </c>
      <c r="AY794" s="18" t="s">
        <v>200</v>
      </c>
      <c r="BE794" s="221">
        <f>IF(N794="základní",J794,0)</f>
        <v>0</v>
      </c>
      <c r="BF794" s="221">
        <f>IF(N794="snížená",J794,0)</f>
        <v>0</v>
      </c>
      <c r="BG794" s="221">
        <f>IF(N794="zákl. přenesená",J794,0)</f>
        <v>0</v>
      </c>
      <c r="BH794" s="221">
        <f>IF(N794="sníž. přenesená",J794,0)</f>
        <v>0</v>
      </c>
      <c r="BI794" s="221">
        <f>IF(N794="nulová",J794,0)</f>
        <v>0</v>
      </c>
      <c r="BJ794" s="18" t="s">
        <v>86</v>
      </c>
      <c r="BK794" s="221">
        <f>ROUND(I794*H794,1)</f>
        <v>0</v>
      </c>
      <c r="BL794" s="18" t="s">
        <v>310</v>
      </c>
      <c r="BM794" s="220" t="s">
        <v>1318</v>
      </c>
    </row>
    <row r="795" s="2" customFormat="1">
      <c r="A795" s="40"/>
      <c r="B795" s="41"/>
      <c r="C795" s="42"/>
      <c r="D795" s="222" t="s">
        <v>209</v>
      </c>
      <c r="E795" s="42"/>
      <c r="F795" s="223" t="s">
        <v>1319</v>
      </c>
      <c r="G795" s="42"/>
      <c r="H795" s="42"/>
      <c r="I795" s="224"/>
      <c r="J795" s="42"/>
      <c r="K795" s="42"/>
      <c r="L795" s="46"/>
      <c r="M795" s="225"/>
      <c r="N795" s="226"/>
      <c r="O795" s="86"/>
      <c r="P795" s="86"/>
      <c r="Q795" s="86"/>
      <c r="R795" s="86"/>
      <c r="S795" s="86"/>
      <c r="T795" s="87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T795" s="18" t="s">
        <v>209</v>
      </c>
      <c r="AU795" s="18" t="s">
        <v>88</v>
      </c>
    </row>
    <row r="796" s="12" customFormat="1" ht="22.8" customHeight="1">
      <c r="A796" s="12"/>
      <c r="B796" s="193"/>
      <c r="C796" s="194"/>
      <c r="D796" s="195" t="s">
        <v>77</v>
      </c>
      <c r="E796" s="207" t="s">
        <v>1320</v>
      </c>
      <c r="F796" s="207" t="s">
        <v>1321</v>
      </c>
      <c r="G796" s="194"/>
      <c r="H796" s="194"/>
      <c r="I796" s="197"/>
      <c r="J796" s="208">
        <f>BK796</f>
        <v>0</v>
      </c>
      <c r="K796" s="194"/>
      <c r="L796" s="199"/>
      <c r="M796" s="200"/>
      <c r="N796" s="201"/>
      <c r="O796" s="201"/>
      <c r="P796" s="202">
        <f>SUM(P797:P840)</f>
        <v>0</v>
      </c>
      <c r="Q796" s="201"/>
      <c r="R796" s="202">
        <f>SUM(R797:R840)</f>
        <v>2.1260809999999997</v>
      </c>
      <c r="S796" s="201"/>
      <c r="T796" s="203">
        <f>SUM(T797:T840)</f>
        <v>0</v>
      </c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R796" s="204" t="s">
        <v>88</v>
      </c>
      <c r="AT796" s="205" t="s">
        <v>77</v>
      </c>
      <c r="AU796" s="205" t="s">
        <v>86</v>
      </c>
      <c r="AY796" s="204" t="s">
        <v>200</v>
      </c>
      <c r="BK796" s="206">
        <f>SUM(BK797:BK840)</f>
        <v>0</v>
      </c>
    </row>
    <row r="797" s="2" customFormat="1" ht="16.5" customHeight="1">
      <c r="A797" s="40"/>
      <c r="B797" s="41"/>
      <c r="C797" s="209" t="s">
        <v>1322</v>
      </c>
      <c r="D797" s="209" t="s">
        <v>202</v>
      </c>
      <c r="E797" s="210" t="s">
        <v>1323</v>
      </c>
      <c r="F797" s="211" t="s">
        <v>1324</v>
      </c>
      <c r="G797" s="212" t="s">
        <v>280</v>
      </c>
      <c r="H797" s="213">
        <v>55.5</v>
      </c>
      <c r="I797" s="214"/>
      <c r="J797" s="215">
        <f>ROUND(I797*H797,1)</f>
        <v>0</v>
      </c>
      <c r="K797" s="211" t="s">
        <v>206</v>
      </c>
      <c r="L797" s="46"/>
      <c r="M797" s="216" t="s">
        <v>32</v>
      </c>
      <c r="N797" s="217" t="s">
        <v>49</v>
      </c>
      <c r="O797" s="86"/>
      <c r="P797" s="218">
        <f>O797*H797</f>
        <v>0</v>
      </c>
      <c r="Q797" s="218">
        <v>0.0022499999999999998</v>
      </c>
      <c r="R797" s="218">
        <f>Q797*H797</f>
        <v>0.12487499999999999</v>
      </c>
      <c r="S797" s="218">
        <v>0</v>
      </c>
      <c r="T797" s="219">
        <f>S797*H797</f>
        <v>0</v>
      </c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R797" s="220" t="s">
        <v>310</v>
      </c>
      <c r="AT797" s="220" t="s">
        <v>202</v>
      </c>
      <c r="AU797" s="220" t="s">
        <v>88</v>
      </c>
      <c r="AY797" s="18" t="s">
        <v>200</v>
      </c>
      <c r="BE797" s="221">
        <f>IF(N797="základní",J797,0)</f>
        <v>0</v>
      </c>
      <c r="BF797" s="221">
        <f>IF(N797="snížená",J797,0)</f>
        <v>0</v>
      </c>
      <c r="BG797" s="221">
        <f>IF(N797="zákl. přenesená",J797,0)</f>
        <v>0</v>
      </c>
      <c r="BH797" s="221">
        <f>IF(N797="sníž. přenesená",J797,0)</f>
        <v>0</v>
      </c>
      <c r="BI797" s="221">
        <f>IF(N797="nulová",J797,0)</f>
        <v>0</v>
      </c>
      <c r="BJ797" s="18" t="s">
        <v>86</v>
      </c>
      <c r="BK797" s="221">
        <f>ROUND(I797*H797,1)</f>
        <v>0</v>
      </c>
      <c r="BL797" s="18" t="s">
        <v>310</v>
      </c>
      <c r="BM797" s="220" t="s">
        <v>1325</v>
      </c>
    </row>
    <row r="798" s="2" customFormat="1">
      <c r="A798" s="40"/>
      <c r="B798" s="41"/>
      <c r="C798" s="42"/>
      <c r="D798" s="222" t="s">
        <v>209</v>
      </c>
      <c r="E798" s="42"/>
      <c r="F798" s="223" t="s">
        <v>1326</v>
      </c>
      <c r="G798" s="42"/>
      <c r="H798" s="42"/>
      <c r="I798" s="224"/>
      <c r="J798" s="42"/>
      <c r="K798" s="42"/>
      <c r="L798" s="46"/>
      <c r="M798" s="225"/>
      <c r="N798" s="226"/>
      <c r="O798" s="86"/>
      <c r="P798" s="86"/>
      <c r="Q798" s="86"/>
      <c r="R798" s="86"/>
      <c r="S798" s="86"/>
      <c r="T798" s="87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T798" s="18" t="s">
        <v>209</v>
      </c>
      <c r="AU798" s="18" t="s">
        <v>88</v>
      </c>
    </row>
    <row r="799" s="2" customFormat="1">
      <c r="A799" s="40"/>
      <c r="B799" s="41"/>
      <c r="C799" s="42"/>
      <c r="D799" s="229" t="s">
        <v>355</v>
      </c>
      <c r="E799" s="42"/>
      <c r="F799" s="281" t="s">
        <v>1327</v>
      </c>
      <c r="G799" s="42"/>
      <c r="H799" s="42"/>
      <c r="I799" s="224"/>
      <c r="J799" s="42"/>
      <c r="K799" s="42"/>
      <c r="L799" s="46"/>
      <c r="M799" s="225"/>
      <c r="N799" s="226"/>
      <c r="O799" s="86"/>
      <c r="P799" s="86"/>
      <c r="Q799" s="86"/>
      <c r="R799" s="86"/>
      <c r="S799" s="86"/>
      <c r="T799" s="87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T799" s="18" t="s">
        <v>355</v>
      </c>
      <c r="AU799" s="18" t="s">
        <v>88</v>
      </c>
    </row>
    <row r="800" s="13" customFormat="1">
      <c r="A800" s="13"/>
      <c r="B800" s="227"/>
      <c r="C800" s="228"/>
      <c r="D800" s="229" t="s">
        <v>211</v>
      </c>
      <c r="E800" s="230" t="s">
        <v>32</v>
      </c>
      <c r="F800" s="231" t="s">
        <v>1328</v>
      </c>
      <c r="G800" s="228"/>
      <c r="H800" s="232">
        <v>55.5</v>
      </c>
      <c r="I800" s="233"/>
      <c r="J800" s="228"/>
      <c r="K800" s="228"/>
      <c r="L800" s="234"/>
      <c r="M800" s="235"/>
      <c r="N800" s="236"/>
      <c r="O800" s="236"/>
      <c r="P800" s="236"/>
      <c r="Q800" s="236"/>
      <c r="R800" s="236"/>
      <c r="S800" s="236"/>
      <c r="T800" s="237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T800" s="238" t="s">
        <v>211</v>
      </c>
      <c r="AU800" s="238" t="s">
        <v>88</v>
      </c>
      <c r="AV800" s="13" t="s">
        <v>88</v>
      </c>
      <c r="AW800" s="13" t="s">
        <v>213</v>
      </c>
      <c r="AX800" s="13" t="s">
        <v>86</v>
      </c>
      <c r="AY800" s="238" t="s">
        <v>200</v>
      </c>
    </row>
    <row r="801" s="2" customFormat="1" ht="24.15" customHeight="1">
      <c r="A801" s="40"/>
      <c r="B801" s="41"/>
      <c r="C801" s="209" t="s">
        <v>1329</v>
      </c>
      <c r="D801" s="209" t="s">
        <v>202</v>
      </c>
      <c r="E801" s="210" t="s">
        <v>1330</v>
      </c>
      <c r="F801" s="211" t="s">
        <v>1331</v>
      </c>
      <c r="G801" s="212" t="s">
        <v>280</v>
      </c>
      <c r="H801" s="213">
        <v>50.600000000000001</v>
      </c>
      <c r="I801" s="214"/>
      <c r="J801" s="215">
        <f>ROUND(I801*H801,1)</f>
        <v>0</v>
      </c>
      <c r="K801" s="211" t="s">
        <v>206</v>
      </c>
      <c r="L801" s="46"/>
      <c r="M801" s="216" t="s">
        <v>32</v>
      </c>
      <c r="N801" s="217" t="s">
        <v>49</v>
      </c>
      <c r="O801" s="86"/>
      <c r="P801" s="218">
        <f>O801*H801</f>
        <v>0</v>
      </c>
      <c r="Q801" s="218">
        <v>0.0027699999999999999</v>
      </c>
      <c r="R801" s="218">
        <f>Q801*H801</f>
        <v>0.14016200000000001</v>
      </c>
      <c r="S801" s="218">
        <v>0</v>
      </c>
      <c r="T801" s="219">
        <f>S801*H801</f>
        <v>0</v>
      </c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R801" s="220" t="s">
        <v>310</v>
      </c>
      <c r="AT801" s="220" t="s">
        <v>202</v>
      </c>
      <c r="AU801" s="220" t="s">
        <v>88</v>
      </c>
      <c r="AY801" s="18" t="s">
        <v>200</v>
      </c>
      <c r="BE801" s="221">
        <f>IF(N801="základní",J801,0)</f>
        <v>0</v>
      </c>
      <c r="BF801" s="221">
        <f>IF(N801="snížená",J801,0)</f>
        <v>0</v>
      </c>
      <c r="BG801" s="221">
        <f>IF(N801="zákl. přenesená",J801,0)</f>
        <v>0</v>
      </c>
      <c r="BH801" s="221">
        <f>IF(N801="sníž. přenesená",J801,0)</f>
        <v>0</v>
      </c>
      <c r="BI801" s="221">
        <f>IF(N801="nulová",J801,0)</f>
        <v>0</v>
      </c>
      <c r="BJ801" s="18" t="s">
        <v>86</v>
      </c>
      <c r="BK801" s="221">
        <f>ROUND(I801*H801,1)</f>
        <v>0</v>
      </c>
      <c r="BL801" s="18" t="s">
        <v>310</v>
      </c>
      <c r="BM801" s="220" t="s">
        <v>1332</v>
      </c>
    </row>
    <row r="802" s="2" customFormat="1">
      <c r="A802" s="40"/>
      <c r="B802" s="41"/>
      <c r="C802" s="42"/>
      <c r="D802" s="222" t="s">
        <v>209</v>
      </c>
      <c r="E802" s="42"/>
      <c r="F802" s="223" t="s">
        <v>1333</v>
      </c>
      <c r="G802" s="42"/>
      <c r="H802" s="42"/>
      <c r="I802" s="224"/>
      <c r="J802" s="42"/>
      <c r="K802" s="42"/>
      <c r="L802" s="46"/>
      <c r="M802" s="225"/>
      <c r="N802" s="226"/>
      <c r="O802" s="86"/>
      <c r="P802" s="86"/>
      <c r="Q802" s="86"/>
      <c r="R802" s="86"/>
      <c r="S802" s="86"/>
      <c r="T802" s="87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T802" s="18" t="s">
        <v>209</v>
      </c>
      <c r="AU802" s="18" t="s">
        <v>88</v>
      </c>
    </row>
    <row r="803" s="2" customFormat="1">
      <c r="A803" s="40"/>
      <c r="B803" s="41"/>
      <c r="C803" s="42"/>
      <c r="D803" s="229" t="s">
        <v>355</v>
      </c>
      <c r="E803" s="42"/>
      <c r="F803" s="281" t="s">
        <v>1327</v>
      </c>
      <c r="G803" s="42"/>
      <c r="H803" s="42"/>
      <c r="I803" s="224"/>
      <c r="J803" s="42"/>
      <c r="K803" s="42"/>
      <c r="L803" s="46"/>
      <c r="M803" s="225"/>
      <c r="N803" s="226"/>
      <c r="O803" s="86"/>
      <c r="P803" s="86"/>
      <c r="Q803" s="86"/>
      <c r="R803" s="86"/>
      <c r="S803" s="86"/>
      <c r="T803" s="87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T803" s="18" t="s">
        <v>355</v>
      </c>
      <c r="AU803" s="18" t="s">
        <v>88</v>
      </c>
    </row>
    <row r="804" s="13" customFormat="1">
      <c r="A804" s="13"/>
      <c r="B804" s="227"/>
      <c r="C804" s="228"/>
      <c r="D804" s="229" t="s">
        <v>211</v>
      </c>
      <c r="E804" s="230" t="s">
        <v>32</v>
      </c>
      <c r="F804" s="231" t="s">
        <v>1334</v>
      </c>
      <c r="G804" s="228"/>
      <c r="H804" s="232">
        <v>50.600000000000001</v>
      </c>
      <c r="I804" s="233"/>
      <c r="J804" s="228"/>
      <c r="K804" s="228"/>
      <c r="L804" s="234"/>
      <c r="M804" s="235"/>
      <c r="N804" s="236"/>
      <c r="O804" s="236"/>
      <c r="P804" s="236"/>
      <c r="Q804" s="236"/>
      <c r="R804" s="236"/>
      <c r="S804" s="236"/>
      <c r="T804" s="237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T804" s="238" t="s">
        <v>211</v>
      </c>
      <c r="AU804" s="238" t="s">
        <v>88</v>
      </c>
      <c r="AV804" s="13" t="s">
        <v>88</v>
      </c>
      <c r="AW804" s="13" t="s">
        <v>213</v>
      </c>
      <c r="AX804" s="13" t="s">
        <v>86</v>
      </c>
      <c r="AY804" s="238" t="s">
        <v>200</v>
      </c>
    </row>
    <row r="805" s="2" customFormat="1" ht="16.5" customHeight="1">
      <c r="A805" s="40"/>
      <c r="B805" s="41"/>
      <c r="C805" s="209" t="s">
        <v>1335</v>
      </c>
      <c r="D805" s="209" t="s">
        <v>202</v>
      </c>
      <c r="E805" s="210" t="s">
        <v>1336</v>
      </c>
      <c r="F805" s="211" t="s">
        <v>1337</v>
      </c>
      <c r="G805" s="212" t="s">
        <v>280</v>
      </c>
      <c r="H805" s="213">
        <v>37.399999999999999</v>
      </c>
      <c r="I805" s="214"/>
      <c r="J805" s="215">
        <f>ROUND(I805*H805,1)</f>
        <v>0</v>
      </c>
      <c r="K805" s="211" t="s">
        <v>206</v>
      </c>
      <c r="L805" s="46"/>
      <c r="M805" s="216" t="s">
        <v>32</v>
      </c>
      <c r="N805" s="217" t="s">
        <v>49</v>
      </c>
      <c r="O805" s="86"/>
      <c r="P805" s="218">
        <f>O805*H805</f>
        <v>0</v>
      </c>
      <c r="Q805" s="218">
        <v>0.0043400000000000001</v>
      </c>
      <c r="R805" s="218">
        <f>Q805*H805</f>
        <v>0.16231599999999999</v>
      </c>
      <c r="S805" s="218">
        <v>0</v>
      </c>
      <c r="T805" s="219">
        <f>S805*H805</f>
        <v>0</v>
      </c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R805" s="220" t="s">
        <v>310</v>
      </c>
      <c r="AT805" s="220" t="s">
        <v>202</v>
      </c>
      <c r="AU805" s="220" t="s">
        <v>88</v>
      </c>
      <c r="AY805" s="18" t="s">
        <v>200</v>
      </c>
      <c r="BE805" s="221">
        <f>IF(N805="základní",J805,0)</f>
        <v>0</v>
      </c>
      <c r="BF805" s="221">
        <f>IF(N805="snížená",J805,0)</f>
        <v>0</v>
      </c>
      <c r="BG805" s="221">
        <f>IF(N805="zákl. přenesená",J805,0)</f>
        <v>0</v>
      </c>
      <c r="BH805" s="221">
        <f>IF(N805="sníž. přenesená",J805,0)</f>
        <v>0</v>
      </c>
      <c r="BI805" s="221">
        <f>IF(N805="nulová",J805,0)</f>
        <v>0</v>
      </c>
      <c r="BJ805" s="18" t="s">
        <v>86</v>
      </c>
      <c r="BK805" s="221">
        <f>ROUND(I805*H805,1)</f>
        <v>0</v>
      </c>
      <c r="BL805" s="18" t="s">
        <v>310</v>
      </c>
      <c r="BM805" s="220" t="s">
        <v>1338</v>
      </c>
    </row>
    <row r="806" s="2" customFormat="1">
      <c r="A806" s="40"/>
      <c r="B806" s="41"/>
      <c r="C806" s="42"/>
      <c r="D806" s="222" t="s">
        <v>209</v>
      </c>
      <c r="E806" s="42"/>
      <c r="F806" s="223" t="s">
        <v>1339</v>
      </c>
      <c r="G806" s="42"/>
      <c r="H806" s="42"/>
      <c r="I806" s="224"/>
      <c r="J806" s="42"/>
      <c r="K806" s="42"/>
      <c r="L806" s="46"/>
      <c r="M806" s="225"/>
      <c r="N806" s="226"/>
      <c r="O806" s="86"/>
      <c r="P806" s="86"/>
      <c r="Q806" s="86"/>
      <c r="R806" s="86"/>
      <c r="S806" s="86"/>
      <c r="T806" s="87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T806" s="18" t="s">
        <v>209</v>
      </c>
      <c r="AU806" s="18" t="s">
        <v>88</v>
      </c>
    </row>
    <row r="807" s="2" customFormat="1">
      <c r="A807" s="40"/>
      <c r="B807" s="41"/>
      <c r="C807" s="42"/>
      <c r="D807" s="229" t="s">
        <v>355</v>
      </c>
      <c r="E807" s="42"/>
      <c r="F807" s="281" t="s">
        <v>1327</v>
      </c>
      <c r="G807" s="42"/>
      <c r="H807" s="42"/>
      <c r="I807" s="224"/>
      <c r="J807" s="42"/>
      <c r="K807" s="42"/>
      <c r="L807" s="46"/>
      <c r="M807" s="225"/>
      <c r="N807" s="226"/>
      <c r="O807" s="86"/>
      <c r="P807" s="86"/>
      <c r="Q807" s="86"/>
      <c r="R807" s="86"/>
      <c r="S807" s="86"/>
      <c r="T807" s="87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T807" s="18" t="s">
        <v>355</v>
      </c>
      <c r="AU807" s="18" t="s">
        <v>88</v>
      </c>
    </row>
    <row r="808" s="13" customFormat="1">
      <c r="A808" s="13"/>
      <c r="B808" s="227"/>
      <c r="C808" s="228"/>
      <c r="D808" s="229" t="s">
        <v>211</v>
      </c>
      <c r="E808" s="230" t="s">
        <v>32</v>
      </c>
      <c r="F808" s="231" t="s">
        <v>1340</v>
      </c>
      <c r="G808" s="228"/>
      <c r="H808" s="232">
        <v>37.399999999999999</v>
      </c>
      <c r="I808" s="233"/>
      <c r="J808" s="228"/>
      <c r="K808" s="228"/>
      <c r="L808" s="234"/>
      <c r="M808" s="235"/>
      <c r="N808" s="236"/>
      <c r="O808" s="236"/>
      <c r="P808" s="236"/>
      <c r="Q808" s="236"/>
      <c r="R808" s="236"/>
      <c r="S808" s="236"/>
      <c r="T808" s="237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T808" s="238" t="s">
        <v>211</v>
      </c>
      <c r="AU808" s="238" t="s">
        <v>88</v>
      </c>
      <c r="AV808" s="13" t="s">
        <v>88</v>
      </c>
      <c r="AW808" s="13" t="s">
        <v>213</v>
      </c>
      <c r="AX808" s="13" t="s">
        <v>86</v>
      </c>
      <c r="AY808" s="238" t="s">
        <v>200</v>
      </c>
    </row>
    <row r="809" s="2" customFormat="1" ht="21.75" customHeight="1">
      <c r="A809" s="40"/>
      <c r="B809" s="41"/>
      <c r="C809" s="209" t="s">
        <v>1341</v>
      </c>
      <c r="D809" s="209" t="s">
        <v>202</v>
      </c>
      <c r="E809" s="210" t="s">
        <v>1342</v>
      </c>
      <c r="F809" s="211" t="s">
        <v>1343</v>
      </c>
      <c r="G809" s="212" t="s">
        <v>280</v>
      </c>
      <c r="H809" s="213">
        <v>78.25</v>
      </c>
      <c r="I809" s="214"/>
      <c r="J809" s="215">
        <f>ROUND(I809*H809,1)</f>
        <v>0</v>
      </c>
      <c r="K809" s="211" t="s">
        <v>206</v>
      </c>
      <c r="L809" s="46"/>
      <c r="M809" s="216" t="s">
        <v>32</v>
      </c>
      <c r="N809" s="217" t="s">
        <v>49</v>
      </c>
      <c r="O809" s="86"/>
      <c r="P809" s="218">
        <f>O809*H809</f>
        <v>0</v>
      </c>
      <c r="Q809" s="218">
        <v>0.0069199999999999999</v>
      </c>
      <c r="R809" s="218">
        <f>Q809*H809</f>
        <v>0.54149000000000003</v>
      </c>
      <c r="S809" s="218">
        <v>0</v>
      </c>
      <c r="T809" s="219">
        <f>S809*H809</f>
        <v>0</v>
      </c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R809" s="220" t="s">
        <v>310</v>
      </c>
      <c r="AT809" s="220" t="s">
        <v>202</v>
      </c>
      <c r="AU809" s="220" t="s">
        <v>88</v>
      </c>
      <c r="AY809" s="18" t="s">
        <v>200</v>
      </c>
      <c r="BE809" s="221">
        <f>IF(N809="základní",J809,0)</f>
        <v>0</v>
      </c>
      <c r="BF809" s="221">
        <f>IF(N809="snížená",J809,0)</f>
        <v>0</v>
      </c>
      <c r="BG809" s="221">
        <f>IF(N809="zákl. přenesená",J809,0)</f>
        <v>0</v>
      </c>
      <c r="BH809" s="221">
        <f>IF(N809="sníž. přenesená",J809,0)</f>
        <v>0</v>
      </c>
      <c r="BI809" s="221">
        <f>IF(N809="nulová",J809,0)</f>
        <v>0</v>
      </c>
      <c r="BJ809" s="18" t="s">
        <v>86</v>
      </c>
      <c r="BK809" s="221">
        <f>ROUND(I809*H809,1)</f>
        <v>0</v>
      </c>
      <c r="BL809" s="18" t="s">
        <v>310</v>
      </c>
      <c r="BM809" s="220" t="s">
        <v>1344</v>
      </c>
    </row>
    <row r="810" s="2" customFormat="1">
      <c r="A810" s="40"/>
      <c r="B810" s="41"/>
      <c r="C810" s="42"/>
      <c r="D810" s="222" t="s">
        <v>209</v>
      </c>
      <c r="E810" s="42"/>
      <c r="F810" s="223" t="s">
        <v>1345</v>
      </c>
      <c r="G810" s="42"/>
      <c r="H810" s="42"/>
      <c r="I810" s="224"/>
      <c r="J810" s="42"/>
      <c r="K810" s="42"/>
      <c r="L810" s="46"/>
      <c r="M810" s="225"/>
      <c r="N810" s="226"/>
      <c r="O810" s="86"/>
      <c r="P810" s="86"/>
      <c r="Q810" s="86"/>
      <c r="R810" s="86"/>
      <c r="S810" s="86"/>
      <c r="T810" s="87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T810" s="18" t="s">
        <v>209</v>
      </c>
      <c r="AU810" s="18" t="s">
        <v>88</v>
      </c>
    </row>
    <row r="811" s="2" customFormat="1">
      <c r="A811" s="40"/>
      <c r="B811" s="41"/>
      <c r="C811" s="42"/>
      <c r="D811" s="229" t="s">
        <v>355</v>
      </c>
      <c r="E811" s="42"/>
      <c r="F811" s="281" t="s">
        <v>1327</v>
      </c>
      <c r="G811" s="42"/>
      <c r="H811" s="42"/>
      <c r="I811" s="224"/>
      <c r="J811" s="42"/>
      <c r="K811" s="42"/>
      <c r="L811" s="46"/>
      <c r="M811" s="225"/>
      <c r="N811" s="226"/>
      <c r="O811" s="86"/>
      <c r="P811" s="86"/>
      <c r="Q811" s="86"/>
      <c r="R811" s="86"/>
      <c r="S811" s="86"/>
      <c r="T811" s="87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T811" s="18" t="s">
        <v>355</v>
      </c>
      <c r="AU811" s="18" t="s">
        <v>88</v>
      </c>
    </row>
    <row r="812" s="13" customFormat="1">
      <c r="A812" s="13"/>
      <c r="B812" s="227"/>
      <c r="C812" s="228"/>
      <c r="D812" s="229" t="s">
        <v>211</v>
      </c>
      <c r="E812" s="230" t="s">
        <v>32</v>
      </c>
      <c r="F812" s="231" t="s">
        <v>1346</v>
      </c>
      <c r="G812" s="228"/>
      <c r="H812" s="232">
        <v>78.25</v>
      </c>
      <c r="I812" s="233"/>
      <c r="J812" s="228"/>
      <c r="K812" s="228"/>
      <c r="L812" s="234"/>
      <c r="M812" s="235"/>
      <c r="N812" s="236"/>
      <c r="O812" s="236"/>
      <c r="P812" s="236"/>
      <c r="Q812" s="236"/>
      <c r="R812" s="236"/>
      <c r="S812" s="236"/>
      <c r="T812" s="237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T812" s="238" t="s">
        <v>211</v>
      </c>
      <c r="AU812" s="238" t="s">
        <v>88</v>
      </c>
      <c r="AV812" s="13" t="s">
        <v>88</v>
      </c>
      <c r="AW812" s="13" t="s">
        <v>213</v>
      </c>
      <c r="AX812" s="13" t="s">
        <v>86</v>
      </c>
      <c r="AY812" s="238" t="s">
        <v>200</v>
      </c>
    </row>
    <row r="813" s="2" customFormat="1" ht="24.15" customHeight="1">
      <c r="A813" s="40"/>
      <c r="B813" s="41"/>
      <c r="C813" s="209" t="s">
        <v>1347</v>
      </c>
      <c r="D813" s="209" t="s">
        <v>202</v>
      </c>
      <c r="E813" s="210" t="s">
        <v>1348</v>
      </c>
      <c r="F813" s="211" t="s">
        <v>1349</v>
      </c>
      <c r="G813" s="212" t="s">
        <v>280</v>
      </c>
      <c r="H813" s="213">
        <v>51.399999999999999</v>
      </c>
      <c r="I813" s="214"/>
      <c r="J813" s="215">
        <f>ROUND(I813*H813,1)</f>
        <v>0</v>
      </c>
      <c r="K813" s="211" t="s">
        <v>206</v>
      </c>
      <c r="L813" s="46"/>
      <c r="M813" s="216" t="s">
        <v>32</v>
      </c>
      <c r="N813" s="217" t="s">
        <v>49</v>
      </c>
      <c r="O813" s="86"/>
      <c r="P813" s="218">
        <f>O813*H813</f>
        <v>0</v>
      </c>
      <c r="Q813" s="218">
        <v>0.0022200000000000002</v>
      </c>
      <c r="R813" s="218">
        <f>Q813*H813</f>
        <v>0.114108</v>
      </c>
      <c r="S813" s="218">
        <v>0</v>
      </c>
      <c r="T813" s="219">
        <f>S813*H813</f>
        <v>0</v>
      </c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R813" s="220" t="s">
        <v>310</v>
      </c>
      <c r="AT813" s="220" t="s">
        <v>202</v>
      </c>
      <c r="AU813" s="220" t="s">
        <v>88</v>
      </c>
      <c r="AY813" s="18" t="s">
        <v>200</v>
      </c>
      <c r="BE813" s="221">
        <f>IF(N813="základní",J813,0)</f>
        <v>0</v>
      </c>
      <c r="BF813" s="221">
        <f>IF(N813="snížená",J813,0)</f>
        <v>0</v>
      </c>
      <c r="BG813" s="221">
        <f>IF(N813="zákl. přenesená",J813,0)</f>
        <v>0</v>
      </c>
      <c r="BH813" s="221">
        <f>IF(N813="sníž. přenesená",J813,0)</f>
        <v>0</v>
      </c>
      <c r="BI813" s="221">
        <f>IF(N813="nulová",J813,0)</f>
        <v>0</v>
      </c>
      <c r="BJ813" s="18" t="s">
        <v>86</v>
      </c>
      <c r="BK813" s="221">
        <f>ROUND(I813*H813,1)</f>
        <v>0</v>
      </c>
      <c r="BL813" s="18" t="s">
        <v>310</v>
      </c>
      <c r="BM813" s="220" t="s">
        <v>1350</v>
      </c>
    </row>
    <row r="814" s="2" customFormat="1">
      <c r="A814" s="40"/>
      <c r="B814" s="41"/>
      <c r="C814" s="42"/>
      <c r="D814" s="222" t="s">
        <v>209</v>
      </c>
      <c r="E814" s="42"/>
      <c r="F814" s="223" t="s">
        <v>1351</v>
      </c>
      <c r="G814" s="42"/>
      <c r="H814" s="42"/>
      <c r="I814" s="224"/>
      <c r="J814" s="42"/>
      <c r="K814" s="42"/>
      <c r="L814" s="46"/>
      <c r="M814" s="225"/>
      <c r="N814" s="226"/>
      <c r="O814" s="86"/>
      <c r="P814" s="86"/>
      <c r="Q814" s="86"/>
      <c r="R814" s="86"/>
      <c r="S814" s="86"/>
      <c r="T814" s="87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T814" s="18" t="s">
        <v>209</v>
      </c>
      <c r="AU814" s="18" t="s">
        <v>88</v>
      </c>
    </row>
    <row r="815" s="2" customFormat="1">
      <c r="A815" s="40"/>
      <c r="B815" s="41"/>
      <c r="C815" s="42"/>
      <c r="D815" s="229" t="s">
        <v>355</v>
      </c>
      <c r="E815" s="42"/>
      <c r="F815" s="281" t="s">
        <v>1327</v>
      </c>
      <c r="G815" s="42"/>
      <c r="H815" s="42"/>
      <c r="I815" s="224"/>
      <c r="J815" s="42"/>
      <c r="K815" s="42"/>
      <c r="L815" s="46"/>
      <c r="M815" s="225"/>
      <c r="N815" s="226"/>
      <c r="O815" s="86"/>
      <c r="P815" s="86"/>
      <c r="Q815" s="86"/>
      <c r="R815" s="86"/>
      <c r="S815" s="86"/>
      <c r="T815" s="87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T815" s="18" t="s">
        <v>355</v>
      </c>
      <c r="AU815" s="18" t="s">
        <v>88</v>
      </c>
    </row>
    <row r="816" s="13" customFormat="1">
      <c r="A816" s="13"/>
      <c r="B816" s="227"/>
      <c r="C816" s="228"/>
      <c r="D816" s="229" t="s">
        <v>211</v>
      </c>
      <c r="E816" s="230" t="s">
        <v>32</v>
      </c>
      <c r="F816" s="231" t="s">
        <v>1352</v>
      </c>
      <c r="G816" s="228"/>
      <c r="H816" s="232">
        <v>6</v>
      </c>
      <c r="I816" s="233"/>
      <c r="J816" s="228"/>
      <c r="K816" s="228"/>
      <c r="L816" s="234"/>
      <c r="M816" s="235"/>
      <c r="N816" s="236"/>
      <c r="O816" s="236"/>
      <c r="P816" s="236"/>
      <c r="Q816" s="236"/>
      <c r="R816" s="236"/>
      <c r="S816" s="236"/>
      <c r="T816" s="237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T816" s="238" t="s">
        <v>211</v>
      </c>
      <c r="AU816" s="238" t="s">
        <v>88</v>
      </c>
      <c r="AV816" s="13" t="s">
        <v>88</v>
      </c>
      <c r="AW816" s="13" t="s">
        <v>213</v>
      </c>
      <c r="AX816" s="13" t="s">
        <v>78</v>
      </c>
      <c r="AY816" s="238" t="s">
        <v>200</v>
      </c>
    </row>
    <row r="817" s="13" customFormat="1">
      <c r="A817" s="13"/>
      <c r="B817" s="227"/>
      <c r="C817" s="228"/>
      <c r="D817" s="229" t="s">
        <v>211</v>
      </c>
      <c r="E817" s="230" t="s">
        <v>32</v>
      </c>
      <c r="F817" s="231" t="s">
        <v>1353</v>
      </c>
      <c r="G817" s="228"/>
      <c r="H817" s="232">
        <v>8</v>
      </c>
      <c r="I817" s="233"/>
      <c r="J817" s="228"/>
      <c r="K817" s="228"/>
      <c r="L817" s="234"/>
      <c r="M817" s="235"/>
      <c r="N817" s="236"/>
      <c r="O817" s="236"/>
      <c r="P817" s="236"/>
      <c r="Q817" s="236"/>
      <c r="R817" s="236"/>
      <c r="S817" s="236"/>
      <c r="T817" s="237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T817" s="238" t="s">
        <v>211</v>
      </c>
      <c r="AU817" s="238" t="s">
        <v>88</v>
      </c>
      <c r="AV817" s="13" t="s">
        <v>88</v>
      </c>
      <c r="AW817" s="13" t="s">
        <v>213</v>
      </c>
      <c r="AX817" s="13" t="s">
        <v>78</v>
      </c>
      <c r="AY817" s="238" t="s">
        <v>200</v>
      </c>
    </row>
    <row r="818" s="13" customFormat="1">
      <c r="A818" s="13"/>
      <c r="B818" s="227"/>
      <c r="C818" s="228"/>
      <c r="D818" s="229" t="s">
        <v>211</v>
      </c>
      <c r="E818" s="230" t="s">
        <v>32</v>
      </c>
      <c r="F818" s="231" t="s">
        <v>1354</v>
      </c>
      <c r="G818" s="228"/>
      <c r="H818" s="232">
        <v>1.8</v>
      </c>
      <c r="I818" s="233"/>
      <c r="J818" s="228"/>
      <c r="K818" s="228"/>
      <c r="L818" s="234"/>
      <c r="M818" s="235"/>
      <c r="N818" s="236"/>
      <c r="O818" s="236"/>
      <c r="P818" s="236"/>
      <c r="Q818" s="236"/>
      <c r="R818" s="236"/>
      <c r="S818" s="236"/>
      <c r="T818" s="237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T818" s="238" t="s">
        <v>211</v>
      </c>
      <c r="AU818" s="238" t="s">
        <v>88</v>
      </c>
      <c r="AV818" s="13" t="s">
        <v>88</v>
      </c>
      <c r="AW818" s="13" t="s">
        <v>213</v>
      </c>
      <c r="AX818" s="13" t="s">
        <v>78</v>
      </c>
      <c r="AY818" s="238" t="s">
        <v>200</v>
      </c>
    </row>
    <row r="819" s="13" customFormat="1">
      <c r="A819" s="13"/>
      <c r="B819" s="227"/>
      <c r="C819" s="228"/>
      <c r="D819" s="229" t="s">
        <v>211</v>
      </c>
      <c r="E819" s="230" t="s">
        <v>32</v>
      </c>
      <c r="F819" s="231" t="s">
        <v>1355</v>
      </c>
      <c r="G819" s="228"/>
      <c r="H819" s="232">
        <v>2.5</v>
      </c>
      <c r="I819" s="233"/>
      <c r="J819" s="228"/>
      <c r="K819" s="228"/>
      <c r="L819" s="234"/>
      <c r="M819" s="235"/>
      <c r="N819" s="236"/>
      <c r="O819" s="236"/>
      <c r="P819" s="236"/>
      <c r="Q819" s="236"/>
      <c r="R819" s="236"/>
      <c r="S819" s="236"/>
      <c r="T819" s="237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T819" s="238" t="s">
        <v>211</v>
      </c>
      <c r="AU819" s="238" t="s">
        <v>88</v>
      </c>
      <c r="AV819" s="13" t="s">
        <v>88</v>
      </c>
      <c r="AW819" s="13" t="s">
        <v>213</v>
      </c>
      <c r="AX819" s="13" t="s">
        <v>78</v>
      </c>
      <c r="AY819" s="238" t="s">
        <v>200</v>
      </c>
    </row>
    <row r="820" s="13" customFormat="1">
      <c r="A820" s="13"/>
      <c r="B820" s="227"/>
      <c r="C820" s="228"/>
      <c r="D820" s="229" t="s">
        <v>211</v>
      </c>
      <c r="E820" s="230" t="s">
        <v>32</v>
      </c>
      <c r="F820" s="231" t="s">
        <v>1356</v>
      </c>
      <c r="G820" s="228"/>
      <c r="H820" s="232">
        <v>16.899999999999999</v>
      </c>
      <c r="I820" s="233"/>
      <c r="J820" s="228"/>
      <c r="K820" s="228"/>
      <c r="L820" s="234"/>
      <c r="M820" s="235"/>
      <c r="N820" s="236"/>
      <c r="O820" s="236"/>
      <c r="P820" s="236"/>
      <c r="Q820" s="236"/>
      <c r="R820" s="236"/>
      <c r="S820" s="236"/>
      <c r="T820" s="237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T820" s="238" t="s">
        <v>211</v>
      </c>
      <c r="AU820" s="238" t="s">
        <v>88</v>
      </c>
      <c r="AV820" s="13" t="s">
        <v>88</v>
      </c>
      <c r="AW820" s="13" t="s">
        <v>213</v>
      </c>
      <c r="AX820" s="13" t="s">
        <v>78</v>
      </c>
      <c r="AY820" s="238" t="s">
        <v>200</v>
      </c>
    </row>
    <row r="821" s="13" customFormat="1">
      <c r="A821" s="13"/>
      <c r="B821" s="227"/>
      <c r="C821" s="228"/>
      <c r="D821" s="229" t="s">
        <v>211</v>
      </c>
      <c r="E821" s="230" t="s">
        <v>32</v>
      </c>
      <c r="F821" s="231" t="s">
        <v>1357</v>
      </c>
      <c r="G821" s="228"/>
      <c r="H821" s="232">
        <v>16.199999999999999</v>
      </c>
      <c r="I821" s="233"/>
      <c r="J821" s="228"/>
      <c r="K821" s="228"/>
      <c r="L821" s="234"/>
      <c r="M821" s="235"/>
      <c r="N821" s="236"/>
      <c r="O821" s="236"/>
      <c r="P821" s="236"/>
      <c r="Q821" s="236"/>
      <c r="R821" s="236"/>
      <c r="S821" s="236"/>
      <c r="T821" s="237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T821" s="238" t="s">
        <v>211</v>
      </c>
      <c r="AU821" s="238" t="s">
        <v>88</v>
      </c>
      <c r="AV821" s="13" t="s">
        <v>88</v>
      </c>
      <c r="AW821" s="13" t="s">
        <v>213</v>
      </c>
      <c r="AX821" s="13" t="s">
        <v>78</v>
      </c>
      <c r="AY821" s="238" t="s">
        <v>200</v>
      </c>
    </row>
    <row r="822" s="14" customFormat="1">
      <c r="A822" s="14"/>
      <c r="B822" s="239"/>
      <c r="C822" s="240"/>
      <c r="D822" s="229" t="s">
        <v>211</v>
      </c>
      <c r="E822" s="241" t="s">
        <v>32</v>
      </c>
      <c r="F822" s="242" t="s">
        <v>220</v>
      </c>
      <c r="G822" s="240"/>
      <c r="H822" s="243">
        <v>51.399999999999999</v>
      </c>
      <c r="I822" s="244"/>
      <c r="J822" s="240"/>
      <c r="K822" s="240"/>
      <c r="L822" s="245"/>
      <c r="M822" s="246"/>
      <c r="N822" s="247"/>
      <c r="O822" s="247"/>
      <c r="P822" s="247"/>
      <c r="Q822" s="247"/>
      <c r="R822" s="247"/>
      <c r="S822" s="247"/>
      <c r="T822" s="248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T822" s="249" t="s">
        <v>211</v>
      </c>
      <c r="AU822" s="249" t="s">
        <v>88</v>
      </c>
      <c r="AV822" s="14" t="s">
        <v>207</v>
      </c>
      <c r="AW822" s="14" t="s">
        <v>213</v>
      </c>
      <c r="AX822" s="14" t="s">
        <v>86</v>
      </c>
      <c r="AY822" s="249" t="s">
        <v>200</v>
      </c>
    </row>
    <row r="823" s="2" customFormat="1" ht="24.15" customHeight="1">
      <c r="A823" s="40"/>
      <c r="B823" s="41"/>
      <c r="C823" s="209" t="s">
        <v>1358</v>
      </c>
      <c r="D823" s="209" t="s">
        <v>202</v>
      </c>
      <c r="E823" s="210" t="s">
        <v>1359</v>
      </c>
      <c r="F823" s="211" t="s">
        <v>1360</v>
      </c>
      <c r="G823" s="212" t="s">
        <v>272</v>
      </c>
      <c r="H823" s="213">
        <v>113.645</v>
      </c>
      <c r="I823" s="214"/>
      <c r="J823" s="215">
        <f>ROUND(I823*H823,1)</f>
        <v>0</v>
      </c>
      <c r="K823" s="211" t="s">
        <v>206</v>
      </c>
      <c r="L823" s="46"/>
      <c r="M823" s="216" t="s">
        <v>32</v>
      </c>
      <c r="N823" s="217" t="s">
        <v>49</v>
      </c>
      <c r="O823" s="86"/>
      <c r="P823" s="218">
        <f>O823*H823</f>
        <v>0</v>
      </c>
      <c r="Q823" s="218">
        <v>0.0076</v>
      </c>
      <c r="R823" s="218">
        <f>Q823*H823</f>
        <v>0.86370199999999997</v>
      </c>
      <c r="S823" s="218">
        <v>0</v>
      </c>
      <c r="T823" s="219">
        <f>S823*H823</f>
        <v>0</v>
      </c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R823" s="220" t="s">
        <v>310</v>
      </c>
      <c r="AT823" s="220" t="s">
        <v>202</v>
      </c>
      <c r="AU823" s="220" t="s">
        <v>88</v>
      </c>
      <c r="AY823" s="18" t="s">
        <v>200</v>
      </c>
      <c r="BE823" s="221">
        <f>IF(N823="základní",J823,0)</f>
        <v>0</v>
      </c>
      <c r="BF823" s="221">
        <f>IF(N823="snížená",J823,0)</f>
        <v>0</v>
      </c>
      <c r="BG823" s="221">
        <f>IF(N823="zákl. přenesená",J823,0)</f>
        <v>0</v>
      </c>
      <c r="BH823" s="221">
        <f>IF(N823="sníž. přenesená",J823,0)</f>
        <v>0</v>
      </c>
      <c r="BI823" s="221">
        <f>IF(N823="nulová",J823,0)</f>
        <v>0</v>
      </c>
      <c r="BJ823" s="18" t="s">
        <v>86</v>
      </c>
      <c r="BK823" s="221">
        <f>ROUND(I823*H823,1)</f>
        <v>0</v>
      </c>
      <c r="BL823" s="18" t="s">
        <v>310</v>
      </c>
      <c r="BM823" s="220" t="s">
        <v>1361</v>
      </c>
    </row>
    <row r="824" s="2" customFormat="1">
      <c r="A824" s="40"/>
      <c r="B824" s="41"/>
      <c r="C824" s="42"/>
      <c r="D824" s="222" t="s">
        <v>209</v>
      </c>
      <c r="E824" s="42"/>
      <c r="F824" s="223" t="s">
        <v>1362</v>
      </c>
      <c r="G824" s="42"/>
      <c r="H824" s="42"/>
      <c r="I824" s="224"/>
      <c r="J824" s="42"/>
      <c r="K824" s="42"/>
      <c r="L824" s="46"/>
      <c r="M824" s="225"/>
      <c r="N824" s="226"/>
      <c r="O824" s="86"/>
      <c r="P824" s="86"/>
      <c r="Q824" s="86"/>
      <c r="R824" s="86"/>
      <c r="S824" s="86"/>
      <c r="T824" s="87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T824" s="18" t="s">
        <v>209</v>
      </c>
      <c r="AU824" s="18" t="s">
        <v>88</v>
      </c>
    </row>
    <row r="825" s="2" customFormat="1">
      <c r="A825" s="40"/>
      <c r="B825" s="41"/>
      <c r="C825" s="42"/>
      <c r="D825" s="229" t="s">
        <v>355</v>
      </c>
      <c r="E825" s="42"/>
      <c r="F825" s="281" t="s">
        <v>1327</v>
      </c>
      <c r="G825" s="42"/>
      <c r="H825" s="42"/>
      <c r="I825" s="224"/>
      <c r="J825" s="42"/>
      <c r="K825" s="42"/>
      <c r="L825" s="46"/>
      <c r="M825" s="225"/>
      <c r="N825" s="226"/>
      <c r="O825" s="86"/>
      <c r="P825" s="86"/>
      <c r="Q825" s="86"/>
      <c r="R825" s="86"/>
      <c r="S825" s="86"/>
      <c r="T825" s="87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T825" s="18" t="s">
        <v>355</v>
      </c>
      <c r="AU825" s="18" t="s">
        <v>88</v>
      </c>
    </row>
    <row r="826" s="13" customFormat="1">
      <c r="A826" s="13"/>
      <c r="B826" s="227"/>
      <c r="C826" s="228"/>
      <c r="D826" s="229" t="s">
        <v>211</v>
      </c>
      <c r="E826" s="230" t="s">
        <v>32</v>
      </c>
      <c r="F826" s="231" t="s">
        <v>1363</v>
      </c>
      <c r="G826" s="228"/>
      <c r="H826" s="232">
        <v>113.645</v>
      </c>
      <c r="I826" s="233"/>
      <c r="J826" s="228"/>
      <c r="K826" s="228"/>
      <c r="L826" s="234"/>
      <c r="M826" s="235"/>
      <c r="N826" s="236"/>
      <c r="O826" s="236"/>
      <c r="P826" s="236"/>
      <c r="Q826" s="236"/>
      <c r="R826" s="236"/>
      <c r="S826" s="236"/>
      <c r="T826" s="237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T826" s="238" t="s">
        <v>211</v>
      </c>
      <c r="AU826" s="238" t="s">
        <v>88</v>
      </c>
      <c r="AV826" s="13" t="s">
        <v>88</v>
      </c>
      <c r="AW826" s="13" t="s">
        <v>213</v>
      </c>
      <c r="AX826" s="13" t="s">
        <v>86</v>
      </c>
      <c r="AY826" s="238" t="s">
        <v>200</v>
      </c>
    </row>
    <row r="827" s="2" customFormat="1" ht="24.15" customHeight="1">
      <c r="A827" s="40"/>
      <c r="B827" s="41"/>
      <c r="C827" s="209" t="s">
        <v>1364</v>
      </c>
      <c r="D827" s="209" t="s">
        <v>202</v>
      </c>
      <c r="E827" s="210" t="s">
        <v>1365</v>
      </c>
      <c r="F827" s="211" t="s">
        <v>1366</v>
      </c>
      <c r="G827" s="212" t="s">
        <v>280</v>
      </c>
      <c r="H827" s="213">
        <v>14.65</v>
      </c>
      <c r="I827" s="214"/>
      <c r="J827" s="215">
        <f>ROUND(I827*H827,1)</f>
        <v>0</v>
      </c>
      <c r="K827" s="211" t="s">
        <v>206</v>
      </c>
      <c r="L827" s="46"/>
      <c r="M827" s="216" t="s">
        <v>32</v>
      </c>
      <c r="N827" s="217" t="s">
        <v>49</v>
      </c>
      <c r="O827" s="86"/>
      <c r="P827" s="218">
        <f>O827*H827</f>
        <v>0</v>
      </c>
      <c r="Q827" s="218">
        <v>0.0022000000000000001</v>
      </c>
      <c r="R827" s="218">
        <f>Q827*H827</f>
        <v>0.032230000000000002</v>
      </c>
      <c r="S827" s="218">
        <v>0</v>
      </c>
      <c r="T827" s="219">
        <f>S827*H827</f>
        <v>0</v>
      </c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R827" s="220" t="s">
        <v>310</v>
      </c>
      <c r="AT827" s="220" t="s">
        <v>202</v>
      </c>
      <c r="AU827" s="220" t="s">
        <v>88</v>
      </c>
      <c r="AY827" s="18" t="s">
        <v>200</v>
      </c>
      <c r="BE827" s="221">
        <f>IF(N827="základní",J827,0)</f>
        <v>0</v>
      </c>
      <c r="BF827" s="221">
        <f>IF(N827="snížená",J827,0)</f>
        <v>0</v>
      </c>
      <c r="BG827" s="221">
        <f>IF(N827="zákl. přenesená",J827,0)</f>
        <v>0</v>
      </c>
      <c r="BH827" s="221">
        <f>IF(N827="sníž. přenesená",J827,0)</f>
        <v>0</v>
      </c>
      <c r="BI827" s="221">
        <f>IF(N827="nulová",J827,0)</f>
        <v>0</v>
      </c>
      <c r="BJ827" s="18" t="s">
        <v>86</v>
      </c>
      <c r="BK827" s="221">
        <f>ROUND(I827*H827,1)</f>
        <v>0</v>
      </c>
      <c r="BL827" s="18" t="s">
        <v>310</v>
      </c>
      <c r="BM827" s="220" t="s">
        <v>1367</v>
      </c>
    </row>
    <row r="828" s="2" customFormat="1">
      <c r="A828" s="40"/>
      <c r="B828" s="41"/>
      <c r="C828" s="42"/>
      <c r="D828" s="222" t="s">
        <v>209</v>
      </c>
      <c r="E828" s="42"/>
      <c r="F828" s="223" t="s">
        <v>1368</v>
      </c>
      <c r="G828" s="42"/>
      <c r="H828" s="42"/>
      <c r="I828" s="224"/>
      <c r="J828" s="42"/>
      <c r="K828" s="42"/>
      <c r="L828" s="46"/>
      <c r="M828" s="225"/>
      <c r="N828" s="226"/>
      <c r="O828" s="86"/>
      <c r="P828" s="86"/>
      <c r="Q828" s="86"/>
      <c r="R828" s="86"/>
      <c r="S828" s="86"/>
      <c r="T828" s="87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T828" s="18" t="s">
        <v>209</v>
      </c>
      <c r="AU828" s="18" t="s">
        <v>88</v>
      </c>
    </row>
    <row r="829" s="2" customFormat="1">
      <c r="A829" s="40"/>
      <c r="B829" s="41"/>
      <c r="C829" s="42"/>
      <c r="D829" s="229" t="s">
        <v>355</v>
      </c>
      <c r="E829" s="42"/>
      <c r="F829" s="281" t="s">
        <v>1327</v>
      </c>
      <c r="G829" s="42"/>
      <c r="H829" s="42"/>
      <c r="I829" s="224"/>
      <c r="J829" s="42"/>
      <c r="K829" s="42"/>
      <c r="L829" s="46"/>
      <c r="M829" s="225"/>
      <c r="N829" s="226"/>
      <c r="O829" s="86"/>
      <c r="P829" s="86"/>
      <c r="Q829" s="86"/>
      <c r="R829" s="86"/>
      <c r="S829" s="86"/>
      <c r="T829" s="87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T829" s="18" t="s">
        <v>355</v>
      </c>
      <c r="AU829" s="18" t="s">
        <v>88</v>
      </c>
    </row>
    <row r="830" s="13" customFormat="1">
      <c r="A830" s="13"/>
      <c r="B830" s="227"/>
      <c r="C830" s="228"/>
      <c r="D830" s="229" t="s">
        <v>211</v>
      </c>
      <c r="E830" s="230" t="s">
        <v>32</v>
      </c>
      <c r="F830" s="231" t="s">
        <v>1369</v>
      </c>
      <c r="G830" s="228"/>
      <c r="H830" s="232">
        <v>14.65</v>
      </c>
      <c r="I830" s="233"/>
      <c r="J830" s="228"/>
      <c r="K830" s="228"/>
      <c r="L830" s="234"/>
      <c r="M830" s="235"/>
      <c r="N830" s="236"/>
      <c r="O830" s="236"/>
      <c r="P830" s="236"/>
      <c r="Q830" s="236"/>
      <c r="R830" s="236"/>
      <c r="S830" s="236"/>
      <c r="T830" s="237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T830" s="238" t="s">
        <v>211</v>
      </c>
      <c r="AU830" s="238" t="s">
        <v>88</v>
      </c>
      <c r="AV830" s="13" t="s">
        <v>88</v>
      </c>
      <c r="AW830" s="13" t="s">
        <v>213</v>
      </c>
      <c r="AX830" s="13" t="s">
        <v>86</v>
      </c>
      <c r="AY830" s="238" t="s">
        <v>200</v>
      </c>
    </row>
    <row r="831" s="2" customFormat="1" ht="21.75" customHeight="1">
      <c r="A831" s="40"/>
      <c r="B831" s="41"/>
      <c r="C831" s="209" t="s">
        <v>1370</v>
      </c>
      <c r="D831" s="209" t="s">
        <v>202</v>
      </c>
      <c r="E831" s="210" t="s">
        <v>1371</v>
      </c>
      <c r="F831" s="211" t="s">
        <v>1372</v>
      </c>
      <c r="G831" s="212" t="s">
        <v>280</v>
      </c>
      <c r="H831" s="213">
        <v>55.5</v>
      </c>
      <c r="I831" s="214"/>
      <c r="J831" s="215">
        <f>ROUND(I831*H831,1)</f>
        <v>0</v>
      </c>
      <c r="K831" s="211" t="s">
        <v>206</v>
      </c>
      <c r="L831" s="46"/>
      <c r="M831" s="216" t="s">
        <v>32</v>
      </c>
      <c r="N831" s="217" t="s">
        <v>49</v>
      </c>
      <c r="O831" s="86"/>
      <c r="P831" s="218">
        <f>O831*H831</f>
        <v>0</v>
      </c>
      <c r="Q831" s="218">
        <v>0.0016199999999999999</v>
      </c>
      <c r="R831" s="218">
        <f>Q831*H831</f>
        <v>0.08990999999999999</v>
      </c>
      <c r="S831" s="218">
        <v>0</v>
      </c>
      <c r="T831" s="219">
        <f>S831*H831</f>
        <v>0</v>
      </c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R831" s="220" t="s">
        <v>310</v>
      </c>
      <c r="AT831" s="220" t="s">
        <v>202</v>
      </c>
      <c r="AU831" s="220" t="s">
        <v>88</v>
      </c>
      <c r="AY831" s="18" t="s">
        <v>200</v>
      </c>
      <c r="BE831" s="221">
        <f>IF(N831="základní",J831,0)</f>
        <v>0</v>
      </c>
      <c r="BF831" s="221">
        <f>IF(N831="snížená",J831,0)</f>
        <v>0</v>
      </c>
      <c r="BG831" s="221">
        <f>IF(N831="zákl. přenesená",J831,0)</f>
        <v>0</v>
      </c>
      <c r="BH831" s="221">
        <f>IF(N831="sníž. přenesená",J831,0)</f>
        <v>0</v>
      </c>
      <c r="BI831" s="221">
        <f>IF(N831="nulová",J831,0)</f>
        <v>0</v>
      </c>
      <c r="BJ831" s="18" t="s">
        <v>86</v>
      </c>
      <c r="BK831" s="221">
        <f>ROUND(I831*H831,1)</f>
        <v>0</v>
      </c>
      <c r="BL831" s="18" t="s">
        <v>310</v>
      </c>
      <c r="BM831" s="220" t="s">
        <v>1373</v>
      </c>
    </row>
    <row r="832" s="2" customFormat="1">
      <c r="A832" s="40"/>
      <c r="B832" s="41"/>
      <c r="C832" s="42"/>
      <c r="D832" s="222" t="s">
        <v>209</v>
      </c>
      <c r="E832" s="42"/>
      <c r="F832" s="223" t="s">
        <v>1374</v>
      </c>
      <c r="G832" s="42"/>
      <c r="H832" s="42"/>
      <c r="I832" s="224"/>
      <c r="J832" s="42"/>
      <c r="K832" s="42"/>
      <c r="L832" s="46"/>
      <c r="M832" s="225"/>
      <c r="N832" s="226"/>
      <c r="O832" s="86"/>
      <c r="P832" s="86"/>
      <c r="Q832" s="86"/>
      <c r="R832" s="86"/>
      <c r="S832" s="86"/>
      <c r="T832" s="87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T832" s="18" t="s">
        <v>209</v>
      </c>
      <c r="AU832" s="18" t="s">
        <v>88</v>
      </c>
    </row>
    <row r="833" s="2" customFormat="1">
      <c r="A833" s="40"/>
      <c r="B833" s="41"/>
      <c r="C833" s="42"/>
      <c r="D833" s="229" t="s">
        <v>355</v>
      </c>
      <c r="E833" s="42"/>
      <c r="F833" s="281" t="s">
        <v>1327</v>
      </c>
      <c r="G833" s="42"/>
      <c r="H833" s="42"/>
      <c r="I833" s="224"/>
      <c r="J833" s="42"/>
      <c r="K833" s="42"/>
      <c r="L833" s="46"/>
      <c r="M833" s="225"/>
      <c r="N833" s="226"/>
      <c r="O833" s="86"/>
      <c r="P833" s="86"/>
      <c r="Q833" s="86"/>
      <c r="R833" s="86"/>
      <c r="S833" s="86"/>
      <c r="T833" s="87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T833" s="18" t="s">
        <v>355</v>
      </c>
      <c r="AU833" s="18" t="s">
        <v>88</v>
      </c>
    </row>
    <row r="834" s="13" customFormat="1">
      <c r="A834" s="13"/>
      <c r="B834" s="227"/>
      <c r="C834" s="228"/>
      <c r="D834" s="229" t="s">
        <v>211</v>
      </c>
      <c r="E834" s="230" t="s">
        <v>32</v>
      </c>
      <c r="F834" s="231" t="s">
        <v>1375</v>
      </c>
      <c r="G834" s="228"/>
      <c r="H834" s="232">
        <v>55.5</v>
      </c>
      <c r="I834" s="233"/>
      <c r="J834" s="228"/>
      <c r="K834" s="228"/>
      <c r="L834" s="234"/>
      <c r="M834" s="235"/>
      <c r="N834" s="236"/>
      <c r="O834" s="236"/>
      <c r="P834" s="236"/>
      <c r="Q834" s="236"/>
      <c r="R834" s="236"/>
      <c r="S834" s="236"/>
      <c r="T834" s="237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T834" s="238" t="s">
        <v>211</v>
      </c>
      <c r="AU834" s="238" t="s">
        <v>88</v>
      </c>
      <c r="AV834" s="13" t="s">
        <v>88</v>
      </c>
      <c r="AW834" s="13" t="s">
        <v>213</v>
      </c>
      <c r="AX834" s="13" t="s">
        <v>86</v>
      </c>
      <c r="AY834" s="238" t="s">
        <v>200</v>
      </c>
    </row>
    <row r="835" s="2" customFormat="1" ht="24.15" customHeight="1">
      <c r="A835" s="40"/>
      <c r="B835" s="41"/>
      <c r="C835" s="209" t="s">
        <v>1376</v>
      </c>
      <c r="D835" s="209" t="s">
        <v>202</v>
      </c>
      <c r="E835" s="210" t="s">
        <v>1377</v>
      </c>
      <c r="F835" s="211" t="s">
        <v>1378</v>
      </c>
      <c r="G835" s="212" t="s">
        <v>280</v>
      </c>
      <c r="H835" s="213">
        <v>26.399999999999999</v>
      </c>
      <c r="I835" s="214"/>
      <c r="J835" s="215">
        <f>ROUND(I835*H835,1)</f>
        <v>0</v>
      </c>
      <c r="K835" s="211" t="s">
        <v>206</v>
      </c>
      <c r="L835" s="46"/>
      <c r="M835" s="216" t="s">
        <v>32</v>
      </c>
      <c r="N835" s="217" t="s">
        <v>49</v>
      </c>
      <c r="O835" s="86"/>
      <c r="P835" s="218">
        <f>O835*H835</f>
        <v>0</v>
      </c>
      <c r="Q835" s="218">
        <v>0.0021700000000000001</v>
      </c>
      <c r="R835" s="218">
        <f>Q835*H835</f>
        <v>0.057287999999999999</v>
      </c>
      <c r="S835" s="218">
        <v>0</v>
      </c>
      <c r="T835" s="219">
        <f>S835*H835</f>
        <v>0</v>
      </c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R835" s="220" t="s">
        <v>310</v>
      </c>
      <c r="AT835" s="220" t="s">
        <v>202</v>
      </c>
      <c r="AU835" s="220" t="s">
        <v>88</v>
      </c>
      <c r="AY835" s="18" t="s">
        <v>200</v>
      </c>
      <c r="BE835" s="221">
        <f>IF(N835="základní",J835,0)</f>
        <v>0</v>
      </c>
      <c r="BF835" s="221">
        <f>IF(N835="snížená",J835,0)</f>
        <v>0</v>
      </c>
      <c r="BG835" s="221">
        <f>IF(N835="zákl. přenesená",J835,0)</f>
        <v>0</v>
      </c>
      <c r="BH835" s="221">
        <f>IF(N835="sníž. přenesená",J835,0)</f>
        <v>0</v>
      </c>
      <c r="BI835" s="221">
        <f>IF(N835="nulová",J835,0)</f>
        <v>0</v>
      </c>
      <c r="BJ835" s="18" t="s">
        <v>86</v>
      </c>
      <c r="BK835" s="221">
        <f>ROUND(I835*H835,1)</f>
        <v>0</v>
      </c>
      <c r="BL835" s="18" t="s">
        <v>310</v>
      </c>
      <c r="BM835" s="220" t="s">
        <v>1379</v>
      </c>
    </row>
    <row r="836" s="2" customFormat="1">
      <c r="A836" s="40"/>
      <c r="B836" s="41"/>
      <c r="C836" s="42"/>
      <c r="D836" s="222" t="s">
        <v>209</v>
      </c>
      <c r="E836" s="42"/>
      <c r="F836" s="223" t="s">
        <v>1380</v>
      </c>
      <c r="G836" s="42"/>
      <c r="H836" s="42"/>
      <c r="I836" s="224"/>
      <c r="J836" s="42"/>
      <c r="K836" s="42"/>
      <c r="L836" s="46"/>
      <c r="M836" s="225"/>
      <c r="N836" s="226"/>
      <c r="O836" s="86"/>
      <c r="P836" s="86"/>
      <c r="Q836" s="86"/>
      <c r="R836" s="86"/>
      <c r="S836" s="86"/>
      <c r="T836" s="87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T836" s="18" t="s">
        <v>209</v>
      </c>
      <c r="AU836" s="18" t="s">
        <v>88</v>
      </c>
    </row>
    <row r="837" s="2" customFormat="1">
      <c r="A837" s="40"/>
      <c r="B837" s="41"/>
      <c r="C837" s="42"/>
      <c r="D837" s="229" t="s">
        <v>355</v>
      </c>
      <c r="E837" s="42"/>
      <c r="F837" s="281" t="s">
        <v>1327</v>
      </c>
      <c r="G837" s="42"/>
      <c r="H837" s="42"/>
      <c r="I837" s="224"/>
      <c r="J837" s="42"/>
      <c r="K837" s="42"/>
      <c r="L837" s="46"/>
      <c r="M837" s="225"/>
      <c r="N837" s="226"/>
      <c r="O837" s="86"/>
      <c r="P837" s="86"/>
      <c r="Q837" s="86"/>
      <c r="R837" s="86"/>
      <c r="S837" s="86"/>
      <c r="T837" s="87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T837" s="18" t="s">
        <v>355</v>
      </c>
      <c r="AU837" s="18" t="s">
        <v>88</v>
      </c>
    </row>
    <row r="838" s="13" customFormat="1">
      <c r="A838" s="13"/>
      <c r="B838" s="227"/>
      <c r="C838" s="228"/>
      <c r="D838" s="229" t="s">
        <v>211</v>
      </c>
      <c r="E838" s="230" t="s">
        <v>32</v>
      </c>
      <c r="F838" s="231" t="s">
        <v>1381</v>
      </c>
      <c r="G838" s="228"/>
      <c r="H838" s="232">
        <v>26.399999999999999</v>
      </c>
      <c r="I838" s="233"/>
      <c r="J838" s="228"/>
      <c r="K838" s="228"/>
      <c r="L838" s="234"/>
      <c r="M838" s="235"/>
      <c r="N838" s="236"/>
      <c r="O838" s="236"/>
      <c r="P838" s="236"/>
      <c r="Q838" s="236"/>
      <c r="R838" s="236"/>
      <c r="S838" s="236"/>
      <c r="T838" s="237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T838" s="238" t="s">
        <v>211</v>
      </c>
      <c r="AU838" s="238" t="s">
        <v>88</v>
      </c>
      <c r="AV838" s="13" t="s">
        <v>88</v>
      </c>
      <c r="AW838" s="13" t="s">
        <v>213</v>
      </c>
      <c r="AX838" s="13" t="s">
        <v>86</v>
      </c>
      <c r="AY838" s="238" t="s">
        <v>200</v>
      </c>
    </row>
    <row r="839" s="2" customFormat="1" ht="24.15" customHeight="1">
      <c r="A839" s="40"/>
      <c r="B839" s="41"/>
      <c r="C839" s="209" t="s">
        <v>1382</v>
      </c>
      <c r="D839" s="209" t="s">
        <v>202</v>
      </c>
      <c r="E839" s="210" t="s">
        <v>1383</v>
      </c>
      <c r="F839" s="211" t="s">
        <v>1384</v>
      </c>
      <c r="G839" s="212" t="s">
        <v>250</v>
      </c>
      <c r="H839" s="213">
        <v>2.1259999999999999</v>
      </c>
      <c r="I839" s="214"/>
      <c r="J839" s="215">
        <f>ROUND(I839*H839,1)</f>
        <v>0</v>
      </c>
      <c r="K839" s="211" t="s">
        <v>206</v>
      </c>
      <c r="L839" s="46"/>
      <c r="M839" s="216" t="s">
        <v>32</v>
      </c>
      <c r="N839" s="217" t="s">
        <v>49</v>
      </c>
      <c r="O839" s="86"/>
      <c r="P839" s="218">
        <f>O839*H839</f>
        <v>0</v>
      </c>
      <c r="Q839" s="218">
        <v>0</v>
      </c>
      <c r="R839" s="218">
        <f>Q839*H839</f>
        <v>0</v>
      </c>
      <c r="S839" s="218">
        <v>0</v>
      </c>
      <c r="T839" s="219">
        <f>S839*H839</f>
        <v>0</v>
      </c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R839" s="220" t="s">
        <v>310</v>
      </c>
      <c r="AT839" s="220" t="s">
        <v>202</v>
      </c>
      <c r="AU839" s="220" t="s">
        <v>88</v>
      </c>
      <c r="AY839" s="18" t="s">
        <v>200</v>
      </c>
      <c r="BE839" s="221">
        <f>IF(N839="základní",J839,0)</f>
        <v>0</v>
      </c>
      <c r="BF839" s="221">
        <f>IF(N839="snížená",J839,0)</f>
        <v>0</v>
      </c>
      <c r="BG839" s="221">
        <f>IF(N839="zákl. přenesená",J839,0)</f>
        <v>0</v>
      </c>
      <c r="BH839" s="221">
        <f>IF(N839="sníž. přenesená",J839,0)</f>
        <v>0</v>
      </c>
      <c r="BI839" s="221">
        <f>IF(N839="nulová",J839,0)</f>
        <v>0</v>
      </c>
      <c r="BJ839" s="18" t="s">
        <v>86</v>
      </c>
      <c r="BK839" s="221">
        <f>ROUND(I839*H839,1)</f>
        <v>0</v>
      </c>
      <c r="BL839" s="18" t="s">
        <v>310</v>
      </c>
      <c r="BM839" s="220" t="s">
        <v>1385</v>
      </c>
    </row>
    <row r="840" s="2" customFormat="1">
      <c r="A840" s="40"/>
      <c r="B840" s="41"/>
      <c r="C840" s="42"/>
      <c r="D840" s="222" t="s">
        <v>209</v>
      </c>
      <c r="E840" s="42"/>
      <c r="F840" s="223" t="s">
        <v>1386</v>
      </c>
      <c r="G840" s="42"/>
      <c r="H840" s="42"/>
      <c r="I840" s="224"/>
      <c r="J840" s="42"/>
      <c r="K840" s="42"/>
      <c r="L840" s="46"/>
      <c r="M840" s="225"/>
      <c r="N840" s="226"/>
      <c r="O840" s="86"/>
      <c r="P840" s="86"/>
      <c r="Q840" s="86"/>
      <c r="R840" s="86"/>
      <c r="S840" s="86"/>
      <c r="T840" s="87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T840" s="18" t="s">
        <v>209</v>
      </c>
      <c r="AU840" s="18" t="s">
        <v>88</v>
      </c>
    </row>
    <row r="841" s="12" customFormat="1" ht="22.8" customHeight="1">
      <c r="A841" s="12"/>
      <c r="B841" s="193"/>
      <c r="C841" s="194"/>
      <c r="D841" s="195" t="s">
        <v>77</v>
      </c>
      <c r="E841" s="207" t="s">
        <v>1387</v>
      </c>
      <c r="F841" s="207" t="s">
        <v>1388</v>
      </c>
      <c r="G841" s="194"/>
      <c r="H841" s="194"/>
      <c r="I841" s="197"/>
      <c r="J841" s="208">
        <f>BK841</f>
        <v>0</v>
      </c>
      <c r="K841" s="194"/>
      <c r="L841" s="199"/>
      <c r="M841" s="200"/>
      <c r="N841" s="201"/>
      <c r="O841" s="201"/>
      <c r="P841" s="202">
        <f>SUM(P842:P859)</f>
        <v>0</v>
      </c>
      <c r="Q841" s="201"/>
      <c r="R841" s="202">
        <f>SUM(R842:R859)</f>
        <v>31.735004999999997</v>
      </c>
      <c r="S841" s="201"/>
      <c r="T841" s="203">
        <f>SUM(T842:T859)</f>
        <v>0</v>
      </c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R841" s="204" t="s">
        <v>88</v>
      </c>
      <c r="AT841" s="205" t="s">
        <v>77</v>
      </c>
      <c r="AU841" s="205" t="s">
        <v>86</v>
      </c>
      <c r="AY841" s="204" t="s">
        <v>200</v>
      </c>
      <c r="BK841" s="206">
        <f>SUM(BK842:BK859)</f>
        <v>0</v>
      </c>
    </row>
    <row r="842" s="2" customFormat="1" ht="24.15" customHeight="1">
      <c r="A842" s="40"/>
      <c r="B842" s="41"/>
      <c r="C842" s="209" t="s">
        <v>1389</v>
      </c>
      <c r="D842" s="209" t="s">
        <v>202</v>
      </c>
      <c r="E842" s="210" t="s">
        <v>1390</v>
      </c>
      <c r="F842" s="211" t="s">
        <v>1391</v>
      </c>
      <c r="G842" s="212" t="s">
        <v>272</v>
      </c>
      <c r="H842" s="213">
        <v>707.29999999999995</v>
      </c>
      <c r="I842" s="214"/>
      <c r="J842" s="215">
        <f>ROUND(I842*H842,1)</f>
        <v>0</v>
      </c>
      <c r="K842" s="211" t="s">
        <v>206</v>
      </c>
      <c r="L842" s="46"/>
      <c r="M842" s="216" t="s">
        <v>32</v>
      </c>
      <c r="N842" s="217" t="s">
        <v>49</v>
      </c>
      <c r="O842" s="86"/>
      <c r="P842" s="218">
        <f>O842*H842</f>
        <v>0</v>
      </c>
      <c r="Q842" s="218">
        <v>0.044740000000000002</v>
      </c>
      <c r="R842" s="218">
        <f>Q842*H842</f>
        <v>31.644601999999999</v>
      </c>
      <c r="S842" s="218">
        <v>0</v>
      </c>
      <c r="T842" s="219">
        <f>S842*H842</f>
        <v>0</v>
      </c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R842" s="220" t="s">
        <v>310</v>
      </c>
      <c r="AT842" s="220" t="s">
        <v>202</v>
      </c>
      <c r="AU842" s="220" t="s">
        <v>88</v>
      </c>
      <c r="AY842" s="18" t="s">
        <v>200</v>
      </c>
      <c r="BE842" s="221">
        <f>IF(N842="základní",J842,0)</f>
        <v>0</v>
      </c>
      <c r="BF842" s="221">
        <f>IF(N842="snížená",J842,0)</f>
        <v>0</v>
      </c>
      <c r="BG842" s="221">
        <f>IF(N842="zákl. přenesená",J842,0)</f>
        <v>0</v>
      </c>
      <c r="BH842" s="221">
        <f>IF(N842="sníž. přenesená",J842,0)</f>
        <v>0</v>
      </c>
      <c r="BI842" s="221">
        <f>IF(N842="nulová",J842,0)</f>
        <v>0</v>
      </c>
      <c r="BJ842" s="18" t="s">
        <v>86</v>
      </c>
      <c r="BK842" s="221">
        <f>ROUND(I842*H842,1)</f>
        <v>0</v>
      </c>
      <c r="BL842" s="18" t="s">
        <v>310</v>
      </c>
      <c r="BM842" s="220" t="s">
        <v>1392</v>
      </c>
    </row>
    <row r="843" s="2" customFormat="1">
      <c r="A843" s="40"/>
      <c r="B843" s="41"/>
      <c r="C843" s="42"/>
      <c r="D843" s="222" t="s">
        <v>209</v>
      </c>
      <c r="E843" s="42"/>
      <c r="F843" s="223" t="s">
        <v>1393</v>
      </c>
      <c r="G843" s="42"/>
      <c r="H843" s="42"/>
      <c r="I843" s="224"/>
      <c r="J843" s="42"/>
      <c r="K843" s="42"/>
      <c r="L843" s="46"/>
      <c r="M843" s="225"/>
      <c r="N843" s="226"/>
      <c r="O843" s="86"/>
      <c r="P843" s="86"/>
      <c r="Q843" s="86"/>
      <c r="R843" s="86"/>
      <c r="S843" s="86"/>
      <c r="T843" s="87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T843" s="18" t="s">
        <v>209</v>
      </c>
      <c r="AU843" s="18" t="s">
        <v>88</v>
      </c>
    </row>
    <row r="844" s="15" customFormat="1">
      <c r="A844" s="15"/>
      <c r="B844" s="250"/>
      <c r="C844" s="251"/>
      <c r="D844" s="229" t="s">
        <v>211</v>
      </c>
      <c r="E844" s="252" t="s">
        <v>32</v>
      </c>
      <c r="F844" s="253" t="s">
        <v>1394</v>
      </c>
      <c r="G844" s="251"/>
      <c r="H844" s="252" t="s">
        <v>32</v>
      </c>
      <c r="I844" s="254"/>
      <c r="J844" s="251"/>
      <c r="K844" s="251"/>
      <c r="L844" s="255"/>
      <c r="M844" s="256"/>
      <c r="N844" s="257"/>
      <c r="O844" s="257"/>
      <c r="P844" s="257"/>
      <c r="Q844" s="257"/>
      <c r="R844" s="257"/>
      <c r="S844" s="257"/>
      <c r="T844" s="25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T844" s="259" t="s">
        <v>211</v>
      </c>
      <c r="AU844" s="259" t="s">
        <v>88</v>
      </c>
      <c r="AV844" s="15" t="s">
        <v>86</v>
      </c>
      <c r="AW844" s="15" t="s">
        <v>213</v>
      </c>
      <c r="AX844" s="15" t="s">
        <v>78</v>
      </c>
      <c r="AY844" s="259" t="s">
        <v>200</v>
      </c>
    </row>
    <row r="845" s="13" customFormat="1">
      <c r="A845" s="13"/>
      <c r="B845" s="227"/>
      <c r="C845" s="228"/>
      <c r="D845" s="229" t="s">
        <v>211</v>
      </c>
      <c r="E845" s="230" t="s">
        <v>32</v>
      </c>
      <c r="F845" s="231" t="s">
        <v>1395</v>
      </c>
      <c r="G845" s="228"/>
      <c r="H845" s="232">
        <v>707.29999999999995</v>
      </c>
      <c r="I845" s="233"/>
      <c r="J845" s="228"/>
      <c r="K845" s="228"/>
      <c r="L845" s="234"/>
      <c r="M845" s="235"/>
      <c r="N845" s="236"/>
      <c r="O845" s="236"/>
      <c r="P845" s="236"/>
      <c r="Q845" s="236"/>
      <c r="R845" s="236"/>
      <c r="S845" s="236"/>
      <c r="T845" s="237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T845" s="238" t="s">
        <v>211</v>
      </c>
      <c r="AU845" s="238" t="s">
        <v>88</v>
      </c>
      <c r="AV845" s="13" t="s">
        <v>88</v>
      </c>
      <c r="AW845" s="13" t="s">
        <v>213</v>
      </c>
      <c r="AX845" s="13" t="s">
        <v>78</v>
      </c>
      <c r="AY845" s="238" t="s">
        <v>200</v>
      </c>
    </row>
    <row r="846" s="14" customFormat="1">
      <c r="A846" s="14"/>
      <c r="B846" s="239"/>
      <c r="C846" s="240"/>
      <c r="D846" s="229" t="s">
        <v>211</v>
      </c>
      <c r="E846" s="241" t="s">
        <v>149</v>
      </c>
      <c r="F846" s="242" t="s">
        <v>220</v>
      </c>
      <c r="G846" s="240"/>
      <c r="H846" s="243">
        <v>707.29999999999995</v>
      </c>
      <c r="I846" s="244"/>
      <c r="J846" s="240"/>
      <c r="K846" s="240"/>
      <c r="L846" s="245"/>
      <c r="M846" s="246"/>
      <c r="N846" s="247"/>
      <c r="O846" s="247"/>
      <c r="P846" s="247"/>
      <c r="Q846" s="247"/>
      <c r="R846" s="247"/>
      <c r="S846" s="247"/>
      <c r="T846" s="248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T846" s="249" t="s">
        <v>211</v>
      </c>
      <c r="AU846" s="249" t="s">
        <v>88</v>
      </c>
      <c r="AV846" s="14" t="s">
        <v>207</v>
      </c>
      <c r="AW846" s="14" t="s">
        <v>213</v>
      </c>
      <c r="AX846" s="14" t="s">
        <v>86</v>
      </c>
      <c r="AY846" s="249" t="s">
        <v>200</v>
      </c>
    </row>
    <row r="847" s="2" customFormat="1" ht="21.75" customHeight="1">
      <c r="A847" s="40"/>
      <c r="B847" s="41"/>
      <c r="C847" s="209" t="s">
        <v>1396</v>
      </c>
      <c r="D847" s="209" t="s">
        <v>202</v>
      </c>
      <c r="E847" s="210" t="s">
        <v>1397</v>
      </c>
      <c r="F847" s="211" t="s">
        <v>1398</v>
      </c>
      <c r="G847" s="212" t="s">
        <v>272</v>
      </c>
      <c r="H847" s="213">
        <v>707.29999999999995</v>
      </c>
      <c r="I847" s="214"/>
      <c r="J847" s="215">
        <f>ROUND(I847*H847,1)</f>
        <v>0</v>
      </c>
      <c r="K847" s="211" t="s">
        <v>206</v>
      </c>
      <c r="L847" s="46"/>
      <c r="M847" s="216" t="s">
        <v>32</v>
      </c>
      <c r="N847" s="217" t="s">
        <v>49</v>
      </c>
      <c r="O847" s="86"/>
      <c r="P847" s="218">
        <f>O847*H847</f>
        <v>0</v>
      </c>
      <c r="Q847" s="218">
        <v>0</v>
      </c>
      <c r="R847" s="218">
        <f>Q847*H847</f>
        <v>0</v>
      </c>
      <c r="S847" s="218">
        <v>0</v>
      </c>
      <c r="T847" s="219">
        <f>S847*H847</f>
        <v>0</v>
      </c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R847" s="220" t="s">
        <v>310</v>
      </c>
      <c r="AT847" s="220" t="s">
        <v>202</v>
      </c>
      <c r="AU847" s="220" t="s">
        <v>88</v>
      </c>
      <c r="AY847" s="18" t="s">
        <v>200</v>
      </c>
      <c r="BE847" s="221">
        <f>IF(N847="základní",J847,0)</f>
        <v>0</v>
      </c>
      <c r="BF847" s="221">
        <f>IF(N847="snížená",J847,0)</f>
        <v>0</v>
      </c>
      <c r="BG847" s="221">
        <f>IF(N847="zákl. přenesená",J847,0)</f>
        <v>0</v>
      </c>
      <c r="BH847" s="221">
        <f>IF(N847="sníž. přenesená",J847,0)</f>
        <v>0</v>
      </c>
      <c r="BI847" s="221">
        <f>IF(N847="nulová",J847,0)</f>
        <v>0</v>
      </c>
      <c r="BJ847" s="18" t="s">
        <v>86</v>
      </c>
      <c r="BK847" s="221">
        <f>ROUND(I847*H847,1)</f>
        <v>0</v>
      </c>
      <c r="BL847" s="18" t="s">
        <v>310</v>
      </c>
      <c r="BM847" s="220" t="s">
        <v>1399</v>
      </c>
    </row>
    <row r="848" s="2" customFormat="1">
      <c r="A848" s="40"/>
      <c r="B848" s="41"/>
      <c r="C848" s="42"/>
      <c r="D848" s="222" t="s">
        <v>209</v>
      </c>
      <c r="E848" s="42"/>
      <c r="F848" s="223" t="s">
        <v>1400</v>
      </c>
      <c r="G848" s="42"/>
      <c r="H848" s="42"/>
      <c r="I848" s="224"/>
      <c r="J848" s="42"/>
      <c r="K848" s="42"/>
      <c r="L848" s="46"/>
      <c r="M848" s="225"/>
      <c r="N848" s="226"/>
      <c r="O848" s="86"/>
      <c r="P848" s="86"/>
      <c r="Q848" s="86"/>
      <c r="R848" s="86"/>
      <c r="S848" s="86"/>
      <c r="T848" s="87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T848" s="18" t="s">
        <v>209</v>
      </c>
      <c r="AU848" s="18" t="s">
        <v>88</v>
      </c>
    </row>
    <row r="849" s="13" customFormat="1">
      <c r="A849" s="13"/>
      <c r="B849" s="227"/>
      <c r="C849" s="228"/>
      <c r="D849" s="229" t="s">
        <v>211</v>
      </c>
      <c r="E849" s="230" t="s">
        <v>32</v>
      </c>
      <c r="F849" s="231" t="s">
        <v>149</v>
      </c>
      <c r="G849" s="228"/>
      <c r="H849" s="232">
        <v>707.29999999999995</v>
      </c>
      <c r="I849" s="233"/>
      <c r="J849" s="228"/>
      <c r="K849" s="228"/>
      <c r="L849" s="234"/>
      <c r="M849" s="235"/>
      <c r="N849" s="236"/>
      <c r="O849" s="236"/>
      <c r="P849" s="236"/>
      <c r="Q849" s="236"/>
      <c r="R849" s="236"/>
      <c r="S849" s="236"/>
      <c r="T849" s="237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T849" s="238" t="s">
        <v>211</v>
      </c>
      <c r="AU849" s="238" t="s">
        <v>88</v>
      </c>
      <c r="AV849" s="13" t="s">
        <v>88</v>
      </c>
      <c r="AW849" s="13" t="s">
        <v>213</v>
      </c>
      <c r="AX849" s="13" t="s">
        <v>86</v>
      </c>
      <c r="AY849" s="238" t="s">
        <v>200</v>
      </c>
    </row>
    <row r="850" s="2" customFormat="1" ht="16.5" customHeight="1">
      <c r="A850" s="40"/>
      <c r="B850" s="41"/>
      <c r="C850" s="209" t="s">
        <v>1401</v>
      </c>
      <c r="D850" s="209" t="s">
        <v>202</v>
      </c>
      <c r="E850" s="210" t="s">
        <v>1402</v>
      </c>
      <c r="F850" s="211" t="s">
        <v>1403</v>
      </c>
      <c r="G850" s="212" t="s">
        <v>449</v>
      </c>
      <c r="H850" s="213">
        <v>2</v>
      </c>
      <c r="I850" s="214"/>
      <c r="J850" s="215">
        <f>ROUND(I850*H850,1)</f>
        <v>0</v>
      </c>
      <c r="K850" s="211" t="s">
        <v>206</v>
      </c>
      <c r="L850" s="46"/>
      <c r="M850" s="216" t="s">
        <v>32</v>
      </c>
      <c r="N850" s="217" t="s">
        <v>49</v>
      </c>
      <c r="O850" s="86"/>
      <c r="P850" s="218">
        <f>O850*H850</f>
        <v>0</v>
      </c>
      <c r="Q850" s="218">
        <v>0</v>
      </c>
      <c r="R850" s="218">
        <f>Q850*H850</f>
        <v>0</v>
      </c>
      <c r="S850" s="218">
        <v>0</v>
      </c>
      <c r="T850" s="219">
        <f>S850*H850</f>
        <v>0</v>
      </c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R850" s="220" t="s">
        <v>310</v>
      </c>
      <c r="AT850" s="220" t="s">
        <v>202</v>
      </c>
      <c r="AU850" s="220" t="s">
        <v>88</v>
      </c>
      <c r="AY850" s="18" t="s">
        <v>200</v>
      </c>
      <c r="BE850" s="221">
        <f>IF(N850="základní",J850,0)</f>
        <v>0</v>
      </c>
      <c r="BF850" s="221">
        <f>IF(N850="snížená",J850,0)</f>
        <v>0</v>
      </c>
      <c r="BG850" s="221">
        <f>IF(N850="zákl. přenesená",J850,0)</f>
        <v>0</v>
      </c>
      <c r="BH850" s="221">
        <f>IF(N850="sníž. přenesená",J850,0)</f>
        <v>0</v>
      </c>
      <c r="BI850" s="221">
        <f>IF(N850="nulová",J850,0)</f>
        <v>0</v>
      </c>
      <c r="BJ850" s="18" t="s">
        <v>86</v>
      </c>
      <c r="BK850" s="221">
        <f>ROUND(I850*H850,1)</f>
        <v>0</v>
      </c>
      <c r="BL850" s="18" t="s">
        <v>310</v>
      </c>
      <c r="BM850" s="220" t="s">
        <v>1404</v>
      </c>
    </row>
    <row r="851" s="2" customFormat="1">
      <c r="A851" s="40"/>
      <c r="B851" s="41"/>
      <c r="C851" s="42"/>
      <c r="D851" s="222" t="s">
        <v>209</v>
      </c>
      <c r="E851" s="42"/>
      <c r="F851" s="223" t="s">
        <v>1405</v>
      </c>
      <c r="G851" s="42"/>
      <c r="H851" s="42"/>
      <c r="I851" s="224"/>
      <c r="J851" s="42"/>
      <c r="K851" s="42"/>
      <c r="L851" s="46"/>
      <c r="M851" s="225"/>
      <c r="N851" s="226"/>
      <c r="O851" s="86"/>
      <c r="P851" s="86"/>
      <c r="Q851" s="86"/>
      <c r="R851" s="86"/>
      <c r="S851" s="86"/>
      <c r="T851" s="87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T851" s="18" t="s">
        <v>209</v>
      </c>
      <c r="AU851" s="18" t="s">
        <v>88</v>
      </c>
    </row>
    <row r="852" s="2" customFormat="1" ht="16.5" customHeight="1">
      <c r="A852" s="40"/>
      <c r="B852" s="41"/>
      <c r="C852" s="260" t="s">
        <v>1406</v>
      </c>
      <c r="D852" s="260" t="s">
        <v>292</v>
      </c>
      <c r="E852" s="261" t="s">
        <v>1407</v>
      </c>
      <c r="F852" s="262" t="s">
        <v>1408</v>
      </c>
      <c r="G852" s="263" t="s">
        <v>449</v>
      </c>
      <c r="H852" s="264">
        <v>2</v>
      </c>
      <c r="I852" s="265"/>
      <c r="J852" s="266">
        <f>ROUND(I852*H852,1)</f>
        <v>0</v>
      </c>
      <c r="K852" s="262" t="s">
        <v>206</v>
      </c>
      <c r="L852" s="267"/>
      <c r="M852" s="268" t="s">
        <v>32</v>
      </c>
      <c r="N852" s="269" t="s">
        <v>49</v>
      </c>
      <c r="O852" s="86"/>
      <c r="P852" s="218">
        <f>O852*H852</f>
        <v>0</v>
      </c>
      <c r="Q852" s="218">
        <v>0.0063</v>
      </c>
      <c r="R852" s="218">
        <f>Q852*H852</f>
        <v>0.0126</v>
      </c>
      <c r="S852" s="218">
        <v>0</v>
      </c>
      <c r="T852" s="219">
        <f>S852*H852</f>
        <v>0</v>
      </c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R852" s="220" t="s">
        <v>429</v>
      </c>
      <c r="AT852" s="220" t="s">
        <v>292</v>
      </c>
      <c r="AU852" s="220" t="s">
        <v>88</v>
      </c>
      <c r="AY852" s="18" t="s">
        <v>200</v>
      </c>
      <c r="BE852" s="221">
        <f>IF(N852="základní",J852,0)</f>
        <v>0</v>
      </c>
      <c r="BF852" s="221">
        <f>IF(N852="snížená",J852,0)</f>
        <v>0</v>
      </c>
      <c r="BG852" s="221">
        <f>IF(N852="zákl. přenesená",J852,0)</f>
        <v>0</v>
      </c>
      <c r="BH852" s="221">
        <f>IF(N852="sníž. přenesená",J852,0)</f>
        <v>0</v>
      </c>
      <c r="BI852" s="221">
        <f>IF(N852="nulová",J852,0)</f>
        <v>0</v>
      </c>
      <c r="BJ852" s="18" t="s">
        <v>86</v>
      </c>
      <c r="BK852" s="221">
        <f>ROUND(I852*H852,1)</f>
        <v>0</v>
      </c>
      <c r="BL852" s="18" t="s">
        <v>310</v>
      </c>
      <c r="BM852" s="220" t="s">
        <v>1409</v>
      </c>
    </row>
    <row r="853" s="2" customFormat="1" ht="24.15" customHeight="1">
      <c r="A853" s="40"/>
      <c r="B853" s="41"/>
      <c r="C853" s="209" t="s">
        <v>1410</v>
      </c>
      <c r="D853" s="209" t="s">
        <v>202</v>
      </c>
      <c r="E853" s="210" t="s">
        <v>1411</v>
      </c>
      <c r="F853" s="211" t="s">
        <v>1412</v>
      </c>
      <c r="G853" s="212" t="s">
        <v>272</v>
      </c>
      <c r="H853" s="213">
        <v>707.29999999999995</v>
      </c>
      <c r="I853" s="214"/>
      <c r="J853" s="215">
        <f>ROUND(I853*H853,1)</f>
        <v>0</v>
      </c>
      <c r="K853" s="211" t="s">
        <v>206</v>
      </c>
      <c r="L853" s="46"/>
      <c r="M853" s="216" t="s">
        <v>32</v>
      </c>
      <c r="N853" s="217" t="s">
        <v>49</v>
      </c>
      <c r="O853" s="86"/>
      <c r="P853" s="218">
        <f>O853*H853</f>
        <v>0</v>
      </c>
      <c r="Q853" s="218">
        <v>0</v>
      </c>
      <c r="R853" s="218">
        <f>Q853*H853</f>
        <v>0</v>
      </c>
      <c r="S853" s="218">
        <v>0</v>
      </c>
      <c r="T853" s="219">
        <f>S853*H853</f>
        <v>0</v>
      </c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R853" s="220" t="s">
        <v>310</v>
      </c>
      <c r="AT853" s="220" t="s">
        <v>202</v>
      </c>
      <c r="AU853" s="220" t="s">
        <v>88</v>
      </c>
      <c r="AY853" s="18" t="s">
        <v>200</v>
      </c>
      <c r="BE853" s="221">
        <f>IF(N853="základní",J853,0)</f>
        <v>0</v>
      </c>
      <c r="BF853" s="221">
        <f>IF(N853="snížená",J853,0)</f>
        <v>0</v>
      </c>
      <c r="BG853" s="221">
        <f>IF(N853="zákl. přenesená",J853,0)</f>
        <v>0</v>
      </c>
      <c r="BH853" s="221">
        <f>IF(N853="sníž. přenesená",J853,0)</f>
        <v>0</v>
      </c>
      <c r="BI853" s="221">
        <f>IF(N853="nulová",J853,0)</f>
        <v>0</v>
      </c>
      <c r="BJ853" s="18" t="s">
        <v>86</v>
      </c>
      <c r="BK853" s="221">
        <f>ROUND(I853*H853,1)</f>
        <v>0</v>
      </c>
      <c r="BL853" s="18" t="s">
        <v>310</v>
      </c>
      <c r="BM853" s="220" t="s">
        <v>1413</v>
      </c>
    </row>
    <row r="854" s="2" customFormat="1">
      <c r="A854" s="40"/>
      <c r="B854" s="41"/>
      <c r="C854" s="42"/>
      <c r="D854" s="222" t="s">
        <v>209</v>
      </c>
      <c r="E854" s="42"/>
      <c r="F854" s="223" t="s">
        <v>1414</v>
      </c>
      <c r="G854" s="42"/>
      <c r="H854" s="42"/>
      <c r="I854" s="224"/>
      <c r="J854" s="42"/>
      <c r="K854" s="42"/>
      <c r="L854" s="46"/>
      <c r="M854" s="225"/>
      <c r="N854" s="226"/>
      <c r="O854" s="86"/>
      <c r="P854" s="86"/>
      <c r="Q854" s="86"/>
      <c r="R854" s="86"/>
      <c r="S854" s="86"/>
      <c r="T854" s="87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T854" s="18" t="s">
        <v>209</v>
      </c>
      <c r="AU854" s="18" t="s">
        <v>88</v>
      </c>
    </row>
    <row r="855" s="13" customFormat="1">
      <c r="A855" s="13"/>
      <c r="B855" s="227"/>
      <c r="C855" s="228"/>
      <c r="D855" s="229" t="s">
        <v>211</v>
      </c>
      <c r="E855" s="230" t="s">
        <v>32</v>
      </c>
      <c r="F855" s="231" t="s">
        <v>149</v>
      </c>
      <c r="G855" s="228"/>
      <c r="H855" s="232">
        <v>707.29999999999995</v>
      </c>
      <c r="I855" s="233"/>
      <c r="J855" s="228"/>
      <c r="K855" s="228"/>
      <c r="L855" s="234"/>
      <c r="M855" s="235"/>
      <c r="N855" s="236"/>
      <c r="O855" s="236"/>
      <c r="P855" s="236"/>
      <c r="Q855" s="236"/>
      <c r="R855" s="236"/>
      <c r="S855" s="236"/>
      <c r="T855" s="237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T855" s="238" t="s">
        <v>211</v>
      </c>
      <c r="AU855" s="238" t="s">
        <v>88</v>
      </c>
      <c r="AV855" s="13" t="s">
        <v>88</v>
      </c>
      <c r="AW855" s="13" t="s">
        <v>213</v>
      </c>
      <c r="AX855" s="13" t="s">
        <v>86</v>
      </c>
      <c r="AY855" s="238" t="s">
        <v>200</v>
      </c>
    </row>
    <row r="856" s="2" customFormat="1" ht="24.15" customHeight="1">
      <c r="A856" s="40"/>
      <c r="B856" s="41"/>
      <c r="C856" s="260" t="s">
        <v>1415</v>
      </c>
      <c r="D856" s="260" t="s">
        <v>292</v>
      </c>
      <c r="E856" s="261" t="s">
        <v>1416</v>
      </c>
      <c r="F856" s="262" t="s">
        <v>1417</v>
      </c>
      <c r="G856" s="263" t="s">
        <v>272</v>
      </c>
      <c r="H856" s="264">
        <v>778.02999999999997</v>
      </c>
      <c r="I856" s="265"/>
      <c r="J856" s="266">
        <f>ROUND(I856*H856,1)</f>
        <v>0</v>
      </c>
      <c r="K856" s="262" t="s">
        <v>206</v>
      </c>
      <c r="L856" s="267"/>
      <c r="M856" s="268" t="s">
        <v>32</v>
      </c>
      <c r="N856" s="269" t="s">
        <v>49</v>
      </c>
      <c r="O856" s="86"/>
      <c r="P856" s="218">
        <f>O856*H856</f>
        <v>0</v>
      </c>
      <c r="Q856" s="218">
        <v>0.00010000000000000001</v>
      </c>
      <c r="R856" s="218">
        <f>Q856*H856</f>
        <v>0.077802999999999997</v>
      </c>
      <c r="S856" s="218">
        <v>0</v>
      </c>
      <c r="T856" s="219">
        <f>S856*H856</f>
        <v>0</v>
      </c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R856" s="220" t="s">
        <v>429</v>
      </c>
      <c r="AT856" s="220" t="s">
        <v>292</v>
      </c>
      <c r="AU856" s="220" t="s">
        <v>88</v>
      </c>
      <c r="AY856" s="18" t="s">
        <v>200</v>
      </c>
      <c r="BE856" s="221">
        <f>IF(N856="základní",J856,0)</f>
        <v>0</v>
      </c>
      <c r="BF856" s="221">
        <f>IF(N856="snížená",J856,0)</f>
        <v>0</v>
      </c>
      <c r="BG856" s="221">
        <f>IF(N856="zákl. přenesená",J856,0)</f>
        <v>0</v>
      </c>
      <c r="BH856" s="221">
        <f>IF(N856="sníž. přenesená",J856,0)</f>
        <v>0</v>
      </c>
      <c r="BI856" s="221">
        <f>IF(N856="nulová",J856,0)</f>
        <v>0</v>
      </c>
      <c r="BJ856" s="18" t="s">
        <v>86</v>
      </c>
      <c r="BK856" s="221">
        <f>ROUND(I856*H856,1)</f>
        <v>0</v>
      </c>
      <c r="BL856" s="18" t="s">
        <v>310</v>
      </c>
      <c r="BM856" s="220" t="s">
        <v>1418</v>
      </c>
    </row>
    <row r="857" s="13" customFormat="1">
      <c r="A857" s="13"/>
      <c r="B857" s="227"/>
      <c r="C857" s="228"/>
      <c r="D857" s="229" t="s">
        <v>211</v>
      </c>
      <c r="E857" s="228"/>
      <c r="F857" s="231" t="s">
        <v>1419</v>
      </c>
      <c r="G857" s="228"/>
      <c r="H857" s="232">
        <v>778.02999999999997</v>
      </c>
      <c r="I857" s="233"/>
      <c r="J857" s="228"/>
      <c r="K857" s="228"/>
      <c r="L857" s="234"/>
      <c r="M857" s="235"/>
      <c r="N857" s="236"/>
      <c r="O857" s="236"/>
      <c r="P857" s="236"/>
      <c r="Q857" s="236"/>
      <c r="R857" s="236"/>
      <c r="S857" s="236"/>
      <c r="T857" s="237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T857" s="238" t="s">
        <v>211</v>
      </c>
      <c r="AU857" s="238" t="s">
        <v>88</v>
      </c>
      <c r="AV857" s="13" t="s">
        <v>88</v>
      </c>
      <c r="AW857" s="13" t="s">
        <v>4</v>
      </c>
      <c r="AX857" s="13" t="s">
        <v>86</v>
      </c>
      <c r="AY857" s="238" t="s">
        <v>200</v>
      </c>
    </row>
    <row r="858" s="2" customFormat="1" ht="24.15" customHeight="1">
      <c r="A858" s="40"/>
      <c r="B858" s="41"/>
      <c r="C858" s="209" t="s">
        <v>1420</v>
      </c>
      <c r="D858" s="209" t="s">
        <v>202</v>
      </c>
      <c r="E858" s="210" t="s">
        <v>1421</v>
      </c>
      <c r="F858" s="211" t="s">
        <v>1422</v>
      </c>
      <c r="G858" s="212" t="s">
        <v>250</v>
      </c>
      <c r="H858" s="213">
        <v>31.734999999999999</v>
      </c>
      <c r="I858" s="214"/>
      <c r="J858" s="215">
        <f>ROUND(I858*H858,1)</f>
        <v>0</v>
      </c>
      <c r="K858" s="211" t="s">
        <v>206</v>
      </c>
      <c r="L858" s="46"/>
      <c r="M858" s="216" t="s">
        <v>32</v>
      </c>
      <c r="N858" s="217" t="s">
        <v>49</v>
      </c>
      <c r="O858" s="86"/>
      <c r="P858" s="218">
        <f>O858*H858</f>
        <v>0</v>
      </c>
      <c r="Q858" s="218">
        <v>0</v>
      </c>
      <c r="R858" s="218">
        <f>Q858*H858</f>
        <v>0</v>
      </c>
      <c r="S858" s="218">
        <v>0</v>
      </c>
      <c r="T858" s="219">
        <f>S858*H858</f>
        <v>0</v>
      </c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R858" s="220" t="s">
        <v>310</v>
      </c>
      <c r="AT858" s="220" t="s">
        <v>202</v>
      </c>
      <c r="AU858" s="220" t="s">
        <v>88</v>
      </c>
      <c r="AY858" s="18" t="s">
        <v>200</v>
      </c>
      <c r="BE858" s="221">
        <f>IF(N858="základní",J858,0)</f>
        <v>0</v>
      </c>
      <c r="BF858" s="221">
        <f>IF(N858="snížená",J858,0)</f>
        <v>0</v>
      </c>
      <c r="BG858" s="221">
        <f>IF(N858="zákl. přenesená",J858,0)</f>
        <v>0</v>
      </c>
      <c r="BH858" s="221">
        <f>IF(N858="sníž. přenesená",J858,0)</f>
        <v>0</v>
      </c>
      <c r="BI858" s="221">
        <f>IF(N858="nulová",J858,0)</f>
        <v>0</v>
      </c>
      <c r="BJ858" s="18" t="s">
        <v>86</v>
      </c>
      <c r="BK858" s="221">
        <f>ROUND(I858*H858,1)</f>
        <v>0</v>
      </c>
      <c r="BL858" s="18" t="s">
        <v>310</v>
      </c>
      <c r="BM858" s="220" t="s">
        <v>1423</v>
      </c>
    </row>
    <row r="859" s="2" customFormat="1">
      <c r="A859" s="40"/>
      <c r="B859" s="41"/>
      <c r="C859" s="42"/>
      <c r="D859" s="222" t="s">
        <v>209</v>
      </c>
      <c r="E859" s="42"/>
      <c r="F859" s="223" t="s">
        <v>1424</v>
      </c>
      <c r="G859" s="42"/>
      <c r="H859" s="42"/>
      <c r="I859" s="224"/>
      <c r="J859" s="42"/>
      <c r="K859" s="42"/>
      <c r="L859" s="46"/>
      <c r="M859" s="225"/>
      <c r="N859" s="226"/>
      <c r="O859" s="86"/>
      <c r="P859" s="86"/>
      <c r="Q859" s="86"/>
      <c r="R859" s="86"/>
      <c r="S859" s="86"/>
      <c r="T859" s="87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T859" s="18" t="s">
        <v>209</v>
      </c>
      <c r="AU859" s="18" t="s">
        <v>88</v>
      </c>
    </row>
    <row r="860" s="12" customFormat="1" ht="22.8" customHeight="1">
      <c r="A860" s="12"/>
      <c r="B860" s="193"/>
      <c r="C860" s="194"/>
      <c r="D860" s="195" t="s">
        <v>77</v>
      </c>
      <c r="E860" s="207" t="s">
        <v>1425</v>
      </c>
      <c r="F860" s="207" t="s">
        <v>1426</v>
      </c>
      <c r="G860" s="194"/>
      <c r="H860" s="194"/>
      <c r="I860" s="197"/>
      <c r="J860" s="208">
        <f>BK860</f>
        <v>0</v>
      </c>
      <c r="K860" s="194"/>
      <c r="L860" s="199"/>
      <c r="M860" s="200"/>
      <c r="N860" s="201"/>
      <c r="O860" s="201"/>
      <c r="P860" s="202">
        <f>SUM(P861:P957)</f>
        <v>0</v>
      </c>
      <c r="Q860" s="201"/>
      <c r="R860" s="202">
        <f>SUM(R861:R957)</f>
        <v>3.3811984000000002</v>
      </c>
      <c r="S860" s="201"/>
      <c r="T860" s="203">
        <f>SUM(T861:T957)</f>
        <v>0</v>
      </c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R860" s="204" t="s">
        <v>88</v>
      </c>
      <c r="AT860" s="205" t="s">
        <v>77</v>
      </c>
      <c r="AU860" s="205" t="s">
        <v>86</v>
      </c>
      <c r="AY860" s="204" t="s">
        <v>200</v>
      </c>
      <c r="BK860" s="206">
        <f>SUM(BK861:BK957)</f>
        <v>0</v>
      </c>
    </row>
    <row r="861" s="2" customFormat="1" ht="16.5" customHeight="1">
      <c r="A861" s="40"/>
      <c r="B861" s="41"/>
      <c r="C861" s="209" t="s">
        <v>1427</v>
      </c>
      <c r="D861" s="209" t="s">
        <v>202</v>
      </c>
      <c r="E861" s="210" t="s">
        <v>1428</v>
      </c>
      <c r="F861" s="211" t="s">
        <v>1429</v>
      </c>
      <c r="G861" s="212" t="s">
        <v>280</v>
      </c>
      <c r="H861" s="213">
        <v>16.899999999999999</v>
      </c>
      <c r="I861" s="214"/>
      <c r="J861" s="215">
        <f>ROUND(I861*H861,1)</f>
        <v>0</v>
      </c>
      <c r="K861" s="211" t="s">
        <v>32</v>
      </c>
      <c r="L861" s="46"/>
      <c r="M861" s="216" t="s">
        <v>32</v>
      </c>
      <c r="N861" s="217" t="s">
        <v>49</v>
      </c>
      <c r="O861" s="86"/>
      <c r="P861" s="218">
        <f>O861*H861</f>
        <v>0</v>
      </c>
      <c r="Q861" s="218">
        <v>0.00093000000000000005</v>
      </c>
      <c r="R861" s="218">
        <f>Q861*H861</f>
        <v>0.015716999999999998</v>
      </c>
      <c r="S861" s="218">
        <v>0</v>
      </c>
      <c r="T861" s="219">
        <f>S861*H861</f>
        <v>0</v>
      </c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R861" s="220" t="s">
        <v>310</v>
      </c>
      <c r="AT861" s="220" t="s">
        <v>202</v>
      </c>
      <c r="AU861" s="220" t="s">
        <v>88</v>
      </c>
      <c r="AY861" s="18" t="s">
        <v>200</v>
      </c>
      <c r="BE861" s="221">
        <f>IF(N861="základní",J861,0)</f>
        <v>0</v>
      </c>
      <c r="BF861" s="221">
        <f>IF(N861="snížená",J861,0)</f>
        <v>0</v>
      </c>
      <c r="BG861" s="221">
        <f>IF(N861="zákl. přenesená",J861,0)</f>
        <v>0</v>
      </c>
      <c r="BH861" s="221">
        <f>IF(N861="sníž. přenesená",J861,0)</f>
        <v>0</v>
      </c>
      <c r="BI861" s="221">
        <f>IF(N861="nulová",J861,0)</f>
        <v>0</v>
      </c>
      <c r="BJ861" s="18" t="s">
        <v>86</v>
      </c>
      <c r="BK861" s="221">
        <f>ROUND(I861*H861,1)</f>
        <v>0</v>
      </c>
      <c r="BL861" s="18" t="s">
        <v>310</v>
      </c>
      <c r="BM861" s="220" t="s">
        <v>1430</v>
      </c>
    </row>
    <row r="862" s="2" customFormat="1">
      <c r="A862" s="40"/>
      <c r="B862" s="41"/>
      <c r="C862" s="42"/>
      <c r="D862" s="229" t="s">
        <v>355</v>
      </c>
      <c r="E862" s="42"/>
      <c r="F862" s="281" t="s">
        <v>1431</v>
      </c>
      <c r="G862" s="42"/>
      <c r="H862" s="42"/>
      <c r="I862" s="224"/>
      <c r="J862" s="42"/>
      <c r="K862" s="42"/>
      <c r="L862" s="46"/>
      <c r="M862" s="225"/>
      <c r="N862" s="226"/>
      <c r="O862" s="86"/>
      <c r="P862" s="86"/>
      <c r="Q862" s="86"/>
      <c r="R862" s="86"/>
      <c r="S862" s="86"/>
      <c r="T862" s="87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T862" s="18" t="s">
        <v>355</v>
      </c>
      <c r="AU862" s="18" t="s">
        <v>88</v>
      </c>
    </row>
    <row r="863" s="13" customFormat="1">
      <c r="A863" s="13"/>
      <c r="B863" s="227"/>
      <c r="C863" s="228"/>
      <c r="D863" s="229" t="s">
        <v>211</v>
      </c>
      <c r="E863" s="230" t="s">
        <v>32</v>
      </c>
      <c r="F863" s="231" t="s">
        <v>1432</v>
      </c>
      <c r="G863" s="228"/>
      <c r="H863" s="232">
        <v>16.899999999999999</v>
      </c>
      <c r="I863" s="233"/>
      <c r="J863" s="228"/>
      <c r="K863" s="228"/>
      <c r="L863" s="234"/>
      <c r="M863" s="235"/>
      <c r="N863" s="236"/>
      <c r="O863" s="236"/>
      <c r="P863" s="236"/>
      <c r="Q863" s="236"/>
      <c r="R863" s="236"/>
      <c r="S863" s="236"/>
      <c r="T863" s="237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T863" s="238" t="s">
        <v>211</v>
      </c>
      <c r="AU863" s="238" t="s">
        <v>88</v>
      </c>
      <c r="AV863" s="13" t="s">
        <v>88</v>
      </c>
      <c r="AW863" s="13" t="s">
        <v>213</v>
      </c>
      <c r="AX863" s="13" t="s">
        <v>86</v>
      </c>
      <c r="AY863" s="238" t="s">
        <v>200</v>
      </c>
    </row>
    <row r="864" s="2" customFormat="1" ht="24.15" customHeight="1">
      <c r="A864" s="40"/>
      <c r="B864" s="41"/>
      <c r="C864" s="209" t="s">
        <v>1433</v>
      </c>
      <c r="D864" s="209" t="s">
        <v>202</v>
      </c>
      <c r="E864" s="210" t="s">
        <v>1434</v>
      </c>
      <c r="F864" s="211" t="s">
        <v>1435</v>
      </c>
      <c r="G864" s="212" t="s">
        <v>1436</v>
      </c>
      <c r="H864" s="213">
        <v>22</v>
      </c>
      <c r="I864" s="214"/>
      <c r="J864" s="215">
        <f>ROUND(I864*H864,1)</f>
        <v>0</v>
      </c>
      <c r="K864" s="211" t="s">
        <v>32</v>
      </c>
      <c r="L864" s="46"/>
      <c r="M864" s="216" t="s">
        <v>32</v>
      </c>
      <c r="N864" s="217" t="s">
        <v>49</v>
      </c>
      <c r="O864" s="86"/>
      <c r="P864" s="218">
        <f>O864*H864</f>
        <v>0</v>
      </c>
      <c r="Q864" s="218">
        <v>0.00093000000000000005</v>
      </c>
      <c r="R864" s="218">
        <f>Q864*H864</f>
        <v>0.020460000000000002</v>
      </c>
      <c r="S864" s="218">
        <v>0</v>
      </c>
      <c r="T864" s="219">
        <f>S864*H864</f>
        <v>0</v>
      </c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R864" s="220" t="s">
        <v>310</v>
      </c>
      <c r="AT864" s="220" t="s">
        <v>202</v>
      </c>
      <c r="AU864" s="220" t="s">
        <v>88</v>
      </c>
      <c r="AY864" s="18" t="s">
        <v>200</v>
      </c>
      <c r="BE864" s="221">
        <f>IF(N864="základní",J864,0)</f>
        <v>0</v>
      </c>
      <c r="BF864" s="221">
        <f>IF(N864="snížená",J864,0)</f>
        <v>0</v>
      </c>
      <c r="BG864" s="221">
        <f>IF(N864="zákl. přenesená",J864,0)</f>
        <v>0</v>
      </c>
      <c r="BH864" s="221">
        <f>IF(N864="sníž. přenesená",J864,0)</f>
        <v>0</v>
      </c>
      <c r="BI864" s="221">
        <f>IF(N864="nulová",J864,0)</f>
        <v>0</v>
      </c>
      <c r="BJ864" s="18" t="s">
        <v>86</v>
      </c>
      <c r="BK864" s="221">
        <f>ROUND(I864*H864,1)</f>
        <v>0</v>
      </c>
      <c r="BL864" s="18" t="s">
        <v>310</v>
      </c>
      <c r="BM864" s="220" t="s">
        <v>1437</v>
      </c>
    </row>
    <row r="865" s="2" customFormat="1">
      <c r="A865" s="40"/>
      <c r="B865" s="41"/>
      <c r="C865" s="42"/>
      <c r="D865" s="229" t="s">
        <v>355</v>
      </c>
      <c r="E865" s="42"/>
      <c r="F865" s="281" t="s">
        <v>1438</v>
      </c>
      <c r="G865" s="42"/>
      <c r="H865" s="42"/>
      <c r="I865" s="224"/>
      <c r="J865" s="42"/>
      <c r="K865" s="42"/>
      <c r="L865" s="46"/>
      <c r="M865" s="225"/>
      <c r="N865" s="226"/>
      <c r="O865" s="86"/>
      <c r="P865" s="86"/>
      <c r="Q865" s="86"/>
      <c r="R865" s="86"/>
      <c r="S865" s="86"/>
      <c r="T865" s="87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T865" s="18" t="s">
        <v>355</v>
      </c>
      <c r="AU865" s="18" t="s">
        <v>88</v>
      </c>
    </row>
    <row r="866" s="2" customFormat="1" ht="24.15" customHeight="1">
      <c r="A866" s="40"/>
      <c r="B866" s="41"/>
      <c r="C866" s="209" t="s">
        <v>1439</v>
      </c>
      <c r="D866" s="209" t="s">
        <v>202</v>
      </c>
      <c r="E866" s="210" t="s">
        <v>1440</v>
      </c>
      <c r="F866" s="211" t="s">
        <v>1441</v>
      </c>
      <c r="G866" s="212" t="s">
        <v>1436</v>
      </c>
      <c r="H866" s="213">
        <v>1</v>
      </c>
      <c r="I866" s="214"/>
      <c r="J866" s="215">
        <f>ROUND(I866*H866,1)</f>
        <v>0</v>
      </c>
      <c r="K866" s="211" t="s">
        <v>32</v>
      </c>
      <c r="L866" s="46"/>
      <c r="M866" s="216" t="s">
        <v>32</v>
      </c>
      <c r="N866" s="217" t="s">
        <v>49</v>
      </c>
      <c r="O866" s="86"/>
      <c r="P866" s="218">
        <f>O866*H866</f>
        <v>0</v>
      </c>
      <c r="Q866" s="218">
        <v>0.00093000000000000005</v>
      </c>
      <c r="R866" s="218">
        <f>Q866*H866</f>
        <v>0.00093000000000000005</v>
      </c>
      <c r="S866" s="218">
        <v>0</v>
      </c>
      <c r="T866" s="219">
        <f>S866*H866</f>
        <v>0</v>
      </c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R866" s="220" t="s">
        <v>310</v>
      </c>
      <c r="AT866" s="220" t="s">
        <v>202</v>
      </c>
      <c r="AU866" s="220" t="s">
        <v>88</v>
      </c>
      <c r="AY866" s="18" t="s">
        <v>200</v>
      </c>
      <c r="BE866" s="221">
        <f>IF(N866="základní",J866,0)</f>
        <v>0</v>
      </c>
      <c r="BF866" s="221">
        <f>IF(N866="snížená",J866,0)</f>
        <v>0</v>
      </c>
      <c r="BG866" s="221">
        <f>IF(N866="zákl. přenesená",J866,0)</f>
        <v>0</v>
      </c>
      <c r="BH866" s="221">
        <f>IF(N866="sníž. přenesená",J866,0)</f>
        <v>0</v>
      </c>
      <c r="BI866" s="221">
        <f>IF(N866="nulová",J866,0)</f>
        <v>0</v>
      </c>
      <c r="BJ866" s="18" t="s">
        <v>86</v>
      </c>
      <c r="BK866" s="221">
        <f>ROUND(I866*H866,1)</f>
        <v>0</v>
      </c>
      <c r="BL866" s="18" t="s">
        <v>310</v>
      </c>
      <c r="BM866" s="220" t="s">
        <v>1442</v>
      </c>
    </row>
    <row r="867" s="2" customFormat="1">
      <c r="A867" s="40"/>
      <c r="B867" s="41"/>
      <c r="C867" s="42"/>
      <c r="D867" s="229" t="s">
        <v>355</v>
      </c>
      <c r="E867" s="42"/>
      <c r="F867" s="281" t="s">
        <v>1438</v>
      </c>
      <c r="G867" s="42"/>
      <c r="H867" s="42"/>
      <c r="I867" s="224"/>
      <c r="J867" s="42"/>
      <c r="K867" s="42"/>
      <c r="L867" s="46"/>
      <c r="M867" s="225"/>
      <c r="N867" s="226"/>
      <c r="O867" s="86"/>
      <c r="P867" s="86"/>
      <c r="Q867" s="86"/>
      <c r="R867" s="86"/>
      <c r="S867" s="86"/>
      <c r="T867" s="87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T867" s="18" t="s">
        <v>355</v>
      </c>
      <c r="AU867" s="18" t="s">
        <v>88</v>
      </c>
    </row>
    <row r="868" s="2" customFormat="1" ht="21.75" customHeight="1">
      <c r="A868" s="40"/>
      <c r="B868" s="41"/>
      <c r="C868" s="209" t="s">
        <v>1443</v>
      </c>
      <c r="D868" s="209" t="s">
        <v>202</v>
      </c>
      <c r="E868" s="210" t="s">
        <v>1444</v>
      </c>
      <c r="F868" s="211" t="s">
        <v>1445</v>
      </c>
      <c r="G868" s="212" t="s">
        <v>272</v>
      </c>
      <c r="H868" s="213">
        <v>16.800000000000001</v>
      </c>
      <c r="I868" s="214"/>
      <c r="J868" s="215">
        <f>ROUND(I868*H868,1)</f>
        <v>0</v>
      </c>
      <c r="K868" s="211" t="s">
        <v>206</v>
      </c>
      <c r="L868" s="46"/>
      <c r="M868" s="216" t="s">
        <v>32</v>
      </c>
      <c r="N868" s="217" t="s">
        <v>49</v>
      </c>
      <c r="O868" s="86"/>
      <c r="P868" s="218">
        <f>O868*H868</f>
        <v>0</v>
      </c>
      <c r="Q868" s="218">
        <v>0.00025999999999999998</v>
      </c>
      <c r="R868" s="218">
        <f>Q868*H868</f>
        <v>0.0043679999999999995</v>
      </c>
      <c r="S868" s="218">
        <v>0</v>
      </c>
      <c r="T868" s="219">
        <f>S868*H868</f>
        <v>0</v>
      </c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R868" s="220" t="s">
        <v>310</v>
      </c>
      <c r="AT868" s="220" t="s">
        <v>202</v>
      </c>
      <c r="AU868" s="220" t="s">
        <v>88</v>
      </c>
      <c r="AY868" s="18" t="s">
        <v>200</v>
      </c>
      <c r="BE868" s="221">
        <f>IF(N868="základní",J868,0)</f>
        <v>0</v>
      </c>
      <c r="BF868" s="221">
        <f>IF(N868="snížená",J868,0)</f>
        <v>0</v>
      </c>
      <c r="BG868" s="221">
        <f>IF(N868="zákl. přenesená",J868,0)</f>
        <v>0</v>
      </c>
      <c r="BH868" s="221">
        <f>IF(N868="sníž. přenesená",J868,0)</f>
        <v>0</v>
      </c>
      <c r="BI868" s="221">
        <f>IF(N868="nulová",J868,0)</f>
        <v>0</v>
      </c>
      <c r="BJ868" s="18" t="s">
        <v>86</v>
      </c>
      <c r="BK868" s="221">
        <f>ROUND(I868*H868,1)</f>
        <v>0</v>
      </c>
      <c r="BL868" s="18" t="s">
        <v>310</v>
      </c>
      <c r="BM868" s="220" t="s">
        <v>1446</v>
      </c>
    </row>
    <row r="869" s="2" customFormat="1">
      <c r="A869" s="40"/>
      <c r="B869" s="41"/>
      <c r="C869" s="42"/>
      <c r="D869" s="222" t="s">
        <v>209</v>
      </c>
      <c r="E869" s="42"/>
      <c r="F869" s="223" t="s">
        <v>1447</v>
      </c>
      <c r="G869" s="42"/>
      <c r="H869" s="42"/>
      <c r="I869" s="224"/>
      <c r="J869" s="42"/>
      <c r="K869" s="42"/>
      <c r="L869" s="46"/>
      <c r="M869" s="225"/>
      <c r="N869" s="226"/>
      <c r="O869" s="86"/>
      <c r="P869" s="86"/>
      <c r="Q869" s="86"/>
      <c r="R869" s="86"/>
      <c r="S869" s="86"/>
      <c r="T869" s="87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T869" s="18" t="s">
        <v>209</v>
      </c>
      <c r="AU869" s="18" t="s">
        <v>88</v>
      </c>
    </row>
    <row r="870" s="13" customFormat="1">
      <c r="A870" s="13"/>
      <c r="B870" s="227"/>
      <c r="C870" s="228"/>
      <c r="D870" s="229" t="s">
        <v>211</v>
      </c>
      <c r="E870" s="230" t="s">
        <v>32</v>
      </c>
      <c r="F870" s="231" t="s">
        <v>1448</v>
      </c>
      <c r="G870" s="228"/>
      <c r="H870" s="232">
        <v>16.800000000000001</v>
      </c>
      <c r="I870" s="233"/>
      <c r="J870" s="228"/>
      <c r="K870" s="228"/>
      <c r="L870" s="234"/>
      <c r="M870" s="235"/>
      <c r="N870" s="236"/>
      <c r="O870" s="236"/>
      <c r="P870" s="236"/>
      <c r="Q870" s="236"/>
      <c r="R870" s="236"/>
      <c r="S870" s="236"/>
      <c r="T870" s="237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T870" s="238" t="s">
        <v>211</v>
      </c>
      <c r="AU870" s="238" t="s">
        <v>88</v>
      </c>
      <c r="AV870" s="13" t="s">
        <v>88</v>
      </c>
      <c r="AW870" s="13" t="s">
        <v>213</v>
      </c>
      <c r="AX870" s="13" t="s">
        <v>86</v>
      </c>
      <c r="AY870" s="238" t="s">
        <v>200</v>
      </c>
    </row>
    <row r="871" s="2" customFormat="1" ht="16.5" customHeight="1">
      <c r="A871" s="40"/>
      <c r="B871" s="41"/>
      <c r="C871" s="260" t="s">
        <v>1449</v>
      </c>
      <c r="D871" s="260" t="s">
        <v>292</v>
      </c>
      <c r="E871" s="261" t="s">
        <v>1450</v>
      </c>
      <c r="F871" s="262" t="s">
        <v>1451</v>
      </c>
      <c r="G871" s="263" t="s">
        <v>272</v>
      </c>
      <c r="H871" s="264">
        <v>16.800000000000001</v>
      </c>
      <c r="I871" s="265"/>
      <c r="J871" s="266">
        <f>ROUND(I871*H871,1)</f>
        <v>0</v>
      </c>
      <c r="K871" s="262" t="s">
        <v>206</v>
      </c>
      <c r="L871" s="267"/>
      <c r="M871" s="268" t="s">
        <v>32</v>
      </c>
      <c r="N871" s="269" t="s">
        <v>49</v>
      </c>
      <c r="O871" s="86"/>
      <c r="P871" s="218">
        <f>O871*H871</f>
        <v>0</v>
      </c>
      <c r="Q871" s="218">
        <v>0.033799999999999997</v>
      </c>
      <c r="R871" s="218">
        <f>Q871*H871</f>
        <v>0.56784000000000001</v>
      </c>
      <c r="S871" s="218">
        <v>0</v>
      </c>
      <c r="T871" s="219">
        <f>S871*H871</f>
        <v>0</v>
      </c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R871" s="220" t="s">
        <v>429</v>
      </c>
      <c r="AT871" s="220" t="s">
        <v>292</v>
      </c>
      <c r="AU871" s="220" t="s">
        <v>88</v>
      </c>
      <c r="AY871" s="18" t="s">
        <v>200</v>
      </c>
      <c r="BE871" s="221">
        <f>IF(N871="základní",J871,0)</f>
        <v>0</v>
      </c>
      <c r="BF871" s="221">
        <f>IF(N871="snížená",J871,0)</f>
        <v>0</v>
      </c>
      <c r="BG871" s="221">
        <f>IF(N871="zákl. přenesená",J871,0)</f>
        <v>0</v>
      </c>
      <c r="BH871" s="221">
        <f>IF(N871="sníž. přenesená",J871,0)</f>
        <v>0</v>
      </c>
      <c r="BI871" s="221">
        <f>IF(N871="nulová",J871,0)</f>
        <v>0</v>
      </c>
      <c r="BJ871" s="18" t="s">
        <v>86</v>
      </c>
      <c r="BK871" s="221">
        <f>ROUND(I871*H871,1)</f>
        <v>0</v>
      </c>
      <c r="BL871" s="18" t="s">
        <v>310</v>
      </c>
      <c r="BM871" s="220" t="s">
        <v>1452</v>
      </c>
    </row>
    <row r="872" s="2" customFormat="1" ht="21.75" customHeight="1">
      <c r="A872" s="40"/>
      <c r="B872" s="41"/>
      <c r="C872" s="209" t="s">
        <v>1453</v>
      </c>
      <c r="D872" s="209" t="s">
        <v>202</v>
      </c>
      <c r="E872" s="210" t="s">
        <v>1454</v>
      </c>
      <c r="F872" s="211" t="s">
        <v>1455</v>
      </c>
      <c r="G872" s="212" t="s">
        <v>272</v>
      </c>
      <c r="H872" s="213">
        <v>6.6900000000000004</v>
      </c>
      <c r="I872" s="214"/>
      <c r="J872" s="215">
        <f>ROUND(I872*H872,1)</f>
        <v>0</v>
      </c>
      <c r="K872" s="211" t="s">
        <v>206</v>
      </c>
      <c r="L872" s="46"/>
      <c r="M872" s="216" t="s">
        <v>32</v>
      </c>
      <c r="N872" s="217" t="s">
        <v>49</v>
      </c>
      <c r="O872" s="86"/>
      <c r="P872" s="218">
        <f>O872*H872</f>
        <v>0</v>
      </c>
      <c r="Q872" s="218">
        <v>0.00027</v>
      </c>
      <c r="R872" s="218">
        <f>Q872*H872</f>
        <v>0.0018063000000000001</v>
      </c>
      <c r="S872" s="218">
        <v>0</v>
      </c>
      <c r="T872" s="219">
        <f>S872*H872</f>
        <v>0</v>
      </c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R872" s="220" t="s">
        <v>310</v>
      </c>
      <c r="AT872" s="220" t="s">
        <v>202</v>
      </c>
      <c r="AU872" s="220" t="s">
        <v>88</v>
      </c>
      <c r="AY872" s="18" t="s">
        <v>200</v>
      </c>
      <c r="BE872" s="221">
        <f>IF(N872="základní",J872,0)</f>
        <v>0</v>
      </c>
      <c r="BF872" s="221">
        <f>IF(N872="snížená",J872,0)</f>
        <v>0</v>
      </c>
      <c r="BG872" s="221">
        <f>IF(N872="zákl. přenesená",J872,0)</f>
        <v>0</v>
      </c>
      <c r="BH872" s="221">
        <f>IF(N872="sníž. přenesená",J872,0)</f>
        <v>0</v>
      </c>
      <c r="BI872" s="221">
        <f>IF(N872="nulová",J872,0)</f>
        <v>0</v>
      </c>
      <c r="BJ872" s="18" t="s">
        <v>86</v>
      </c>
      <c r="BK872" s="221">
        <f>ROUND(I872*H872,1)</f>
        <v>0</v>
      </c>
      <c r="BL872" s="18" t="s">
        <v>310</v>
      </c>
      <c r="BM872" s="220" t="s">
        <v>1456</v>
      </c>
    </row>
    <row r="873" s="2" customFormat="1">
      <c r="A873" s="40"/>
      <c r="B873" s="41"/>
      <c r="C873" s="42"/>
      <c r="D873" s="222" t="s">
        <v>209</v>
      </c>
      <c r="E873" s="42"/>
      <c r="F873" s="223" t="s">
        <v>1457</v>
      </c>
      <c r="G873" s="42"/>
      <c r="H873" s="42"/>
      <c r="I873" s="224"/>
      <c r="J873" s="42"/>
      <c r="K873" s="42"/>
      <c r="L873" s="46"/>
      <c r="M873" s="225"/>
      <c r="N873" s="226"/>
      <c r="O873" s="86"/>
      <c r="P873" s="86"/>
      <c r="Q873" s="86"/>
      <c r="R873" s="86"/>
      <c r="S873" s="86"/>
      <c r="T873" s="87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T873" s="18" t="s">
        <v>209</v>
      </c>
      <c r="AU873" s="18" t="s">
        <v>88</v>
      </c>
    </row>
    <row r="874" s="13" customFormat="1">
      <c r="A874" s="13"/>
      <c r="B874" s="227"/>
      <c r="C874" s="228"/>
      <c r="D874" s="229" t="s">
        <v>211</v>
      </c>
      <c r="E874" s="230" t="s">
        <v>32</v>
      </c>
      <c r="F874" s="231" t="s">
        <v>1458</v>
      </c>
      <c r="G874" s="228"/>
      <c r="H874" s="232">
        <v>3.3599999999999999</v>
      </c>
      <c r="I874" s="233"/>
      <c r="J874" s="228"/>
      <c r="K874" s="228"/>
      <c r="L874" s="234"/>
      <c r="M874" s="235"/>
      <c r="N874" s="236"/>
      <c r="O874" s="236"/>
      <c r="P874" s="236"/>
      <c r="Q874" s="236"/>
      <c r="R874" s="236"/>
      <c r="S874" s="236"/>
      <c r="T874" s="237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T874" s="238" t="s">
        <v>211</v>
      </c>
      <c r="AU874" s="238" t="s">
        <v>88</v>
      </c>
      <c r="AV874" s="13" t="s">
        <v>88</v>
      </c>
      <c r="AW874" s="13" t="s">
        <v>213</v>
      </c>
      <c r="AX874" s="13" t="s">
        <v>78</v>
      </c>
      <c r="AY874" s="238" t="s">
        <v>200</v>
      </c>
    </row>
    <row r="875" s="13" customFormat="1">
      <c r="A875" s="13"/>
      <c r="B875" s="227"/>
      <c r="C875" s="228"/>
      <c r="D875" s="229" t="s">
        <v>211</v>
      </c>
      <c r="E875" s="230" t="s">
        <v>32</v>
      </c>
      <c r="F875" s="231" t="s">
        <v>1459</v>
      </c>
      <c r="G875" s="228"/>
      <c r="H875" s="232">
        <v>1.0800000000000001</v>
      </c>
      <c r="I875" s="233"/>
      <c r="J875" s="228"/>
      <c r="K875" s="228"/>
      <c r="L875" s="234"/>
      <c r="M875" s="235"/>
      <c r="N875" s="236"/>
      <c r="O875" s="236"/>
      <c r="P875" s="236"/>
      <c r="Q875" s="236"/>
      <c r="R875" s="236"/>
      <c r="S875" s="236"/>
      <c r="T875" s="237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T875" s="238" t="s">
        <v>211</v>
      </c>
      <c r="AU875" s="238" t="s">
        <v>88</v>
      </c>
      <c r="AV875" s="13" t="s">
        <v>88</v>
      </c>
      <c r="AW875" s="13" t="s">
        <v>213</v>
      </c>
      <c r="AX875" s="13" t="s">
        <v>78</v>
      </c>
      <c r="AY875" s="238" t="s">
        <v>200</v>
      </c>
    </row>
    <row r="876" s="13" customFormat="1">
      <c r="A876" s="13"/>
      <c r="B876" s="227"/>
      <c r="C876" s="228"/>
      <c r="D876" s="229" t="s">
        <v>211</v>
      </c>
      <c r="E876" s="230" t="s">
        <v>32</v>
      </c>
      <c r="F876" s="231" t="s">
        <v>1460</v>
      </c>
      <c r="G876" s="228"/>
      <c r="H876" s="232">
        <v>2.25</v>
      </c>
      <c r="I876" s="233"/>
      <c r="J876" s="228"/>
      <c r="K876" s="228"/>
      <c r="L876" s="234"/>
      <c r="M876" s="235"/>
      <c r="N876" s="236"/>
      <c r="O876" s="236"/>
      <c r="P876" s="236"/>
      <c r="Q876" s="236"/>
      <c r="R876" s="236"/>
      <c r="S876" s="236"/>
      <c r="T876" s="237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T876" s="238" t="s">
        <v>211</v>
      </c>
      <c r="AU876" s="238" t="s">
        <v>88</v>
      </c>
      <c r="AV876" s="13" t="s">
        <v>88</v>
      </c>
      <c r="AW876" s="13" t="s">
        <v>213</v>
      </c>
      <c r="AX876" s="13" t="s">
        <v>78</v>
      </c>
      <c r="AY876" s="238" t="s">
        <v>200</v>
      </c>
    </row>
    <row r="877" s="14" customFormat="1">
      <c r="A877" s="14"/>
      <c r="B877" s="239"/>
      <c r="C877" s="240"/>
      <c r="D877" s="229" t="s">
        <v>211</v>
      </c>
      <c r="E877" s="241" t="s">
        <v>32</v>
      </c>
      <c r="F877" s="242" t="s">
        <v>220</v>
      </c>
      <c r="G877" s="240"/>
      <c r="H877" s="243">
        <v>6.6900000000000004</v>
      </c>
      <c r="I877" s="244"/>
      <c r="J877" s="240"/>
      <c r="K877" s="240"/>
      <c r="L877" s="245"/>
      <c r="M877" s="246"/>
      <c r="N877" s="247"/>
      <c r="O877" s="247"/>
      <c r="P877" s="247"/>
      <c r="Q877" s="247"/>
      <c r="R877" s="247"/>
      <c r="S877" s="247"/>
      <c r="T877" s="248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T877" s="249" t="s">
        <v>211</v>
      </c>
      <c r="AU877" s="249" t="s">
        <v>88</v>
      </c>
      <c r="AV877" s="14" t="s">
        <v>207</v>
      </c>
      <c r="AW877" s="14" t="s">
        <v>213</v>
      </c>
      <c r="AX877" s="14" t="s">
        <v>86</v>
      </c>
      <c r="AY877" s="249" t="s">
        <v>200</v>
      </c>
    </row>
    <row r="878" s="2" customFormat="1" ht="16.5" customHeight="1">
      <c r="A878" s="40"/>
      <c r="B878" s="41"/>
      <c r="C878" s="260" t="s">
        <v>1461</v>
      </c>
      <c r="D878" s="260" t="s">
        <v>292</v>
      </c>
      <c r="E878" s="261" t="s">
        <v>1462</v>
      </c>
      <c r="F878" s="262" t="s">
        <v>1463</v>
      </c>
      <c r="G878" s="263" t="s">
        <v>272</v>
      </c>
      <c r="H878" s="264">
        <v>6.6900000000000004</v>
      </c>
      <c r="I878" s="265"/>
      <c r="J878" s="266">
        <f>ROUND(I878*H878,1)</f>
        <v>0</v>
      </c>
      <c r="K878" s="262" t="s">
        <v>206</v>
      </c>
      <c r="L878" s="267"/>
      <c r="M878" s="268" t="s">
        <v>32</v>
      </c>
      <c r="N878" s="269" t="s">
        <v>49</v>
      </c>
      <c r="O878" s="86"/>
      <c r="P878" s="218">
        <f>O878*H878</f>
        <v>0</v>
      </c>
      <c r="Q878" s="218">
        <v>0.036810000000000002</v>
      </c>
      <c r="R878" s="218">
        <f>Q878*H878</f>
        <v>0.24625890000000003</v>
      </c>
      <c r="S878" s="218">
        <v>0</v>
      </c>
      <c r="T878" s="219">
        <f>S878*H878</f>
        <v>0</v>
      </c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R878" s="220" t="s">
        <v>429</v>
      </c>
      <c r="AT878" s="220" t="s">
        <v>292</v>
      </c>
      <c r="AU878" s="220" t="s">
        <v>88</v>
      </c>
      <c r="AY878" s="18" t="s">
        <v>200</v>
      </c>
      <c r="BE878" s="221">
        <f>IF(N878="základní",J878,0)</f>
        <v>0</v>
      </c>
      <c r="BF878" s="221">
        <f>IF(N878="snížená",J878,0)</f>
        <v>0</v>
      </c>
      <c r="BG878" s="221">
        <f>IF(N878="zákl. přenesená",J878,0)</f>
        <v>0</v>
      </c>
      <c r="BH878" s="221">
        <f>IF(N878="sníž. přenesená",J878,0)</f>
        <v>0</v>
      </c>
      <c r="BI878" s="221">
        <f>IF(N878="nulová",J878,0)</f>
        <v>0</v>
      </c>
      <c r="BJ878" s="18" t="s">
        <v>86</v>
      </c>
      <c r="BK878" s="221">
        <f>ROUND(I878*H878,1)</f>
        <v>0</v>
      </c>
      <c r="BL878" s="18" t="s">
        <v>310</v>
      </c>
      <c r="BM878" s="220" t="s">
        <v>1464</v>
      </c>
    </row>
    <row r="879" s="2" customFormat="1" ht="21.75" customHeight="1">
      <c r="A879" s="40"/>
      <c r="B879" s="41"/>
      <c r="C879" s="209" t="s">
        <v>1465</v>
      </c>
      <c r="D879" s="209" t="s">
        <v>202</v>
      </c>
      <c r="E879" s="210" t="s">
        <v>1466</v>
      </c>
      <c r="F879" s="211" t="s">
        <v>1467</v>
      </c>
      <c r="G879" s="212" t="s">
        <v>272</v>
      </c>
      <c r="H879" s="213">
        <v>7.8600000000000003</v>
      </c>
      <c r="I879" s="214"/>
      <c r="J879" s="215">
        <f>ROUND(I879*H879,1)</f>
        <v>0</v>
      </c>
      <c r="K879" s="211" t="s">
        <v>206</v>
      </c>
      <c r="L879" s="46"/>
      <c r="M879" s="216" t="s">
        <v>32</v>
      </c>
      <c r="N879" s="217" t="s">
        <v>49</v>
      </c>
      <c r="O879" s="86"/>
      <c r="P879" s="218">
        <f>O879*H879</f>
        <v>0</v>
      </c>
      <c r="Q879" s="218">
        <v>0.00025999999999999998</v>
      </c>
      <c r="R879" s="218">
        <f>Q879*H879</f>
        <v>0.0020436</v>
      </c>
      <c r="S879" s="218">
        <v>0</v>
      </c>
      <c r="T879" s="219">
        <f>S879*H879</f>
        <v>0</v>
      </c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R879" s="220" t="s">
        <v>310</v>
      </c>
      <c r="AT879" s="220" t="s">
        <v>202</v>
      </c>
      <c r="AU879" s="220" t="s">
        <v>88</v>
      </c>
      <c r="AY879" s="18" t="s">
        <v>200</v>
      </c>
      <c r="BE879" s="221">
        <f>IF(N879="základní",J879,0)</f>
        <v>0</v>
      </c>
      <c r="BF879" s="221">
        <f>IF(N879="snížená",J879,0)</f>
        <v>0</v>
      </c>
      <c r="BG879" s="221">
        <f>IF(N879="zákl. přenesená",J879,0)</f>
        <v>0</v>
      </c>
      <c r="BH879" s="221">
        <f>IF(N879="sníž. přenesená",J879,0)</f>
        <v>0</v>
      </c>
      <c r="BI879" s="221">
        <f>IF(N879="nulová",J879,0)</f>
        <v>0</v>
      </c>
      <c r="BJ879" s="18" t="s">
        <v>86</v>
      </c>
      <c r="BK879" s="221">
        <f>ROUND(I879*H879,1)</f>
        <v>0</v>
      </c>
      <c r="BL879" s="18" t="s">
        <v>310</v>
      </c>
      <c r="BM879" s="220" t="s">
        <v>1468</v>
      </c>
    </row>
    <row r="880" s="2" customFormat="1">
      <c r="A880" s="40"/>
      <c r="B880" s="41"/>
      <c r="C880" s="42"/>
      <c r="D880" s="222" t="s">
        <v>209</v>
      </c>
      <c r="E880" s="42"/>
      <c r="F880" s="223" t="s">
        <v>1469</v>
      </c>
      <c r="G880" s="42"/>
      <c r="H880" s="42"/>
      <c r="I880" s="224"/>
      <c r="J880" s="42"/>
      <c r="K880" s="42"/>
      <c r="L880" s="46"/>
      <c r="M880" s="225"/>
      <c r="N880" s="226"/>
      <c r="O880" s="86"/>
      <c r="P880" s="86"/>
      <c r="Q880" s="86"/>
      <c r="R880" s="86"/>
      <c r="S880" s="86"/>
      <c r="T880" s="87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T880" s="18" t="s">
        <v>209</v>
      </c>
      <c r="AU880" s="18" t="s">
        <v>88</v>
      </c>
    </row>
    <row r="881" s="13" customFormat="1">
      <c r="A881" s="13"/>
      <c r="B881" s="227"/>
      <c r="C881" s="228"/>
      <c r="D881" s="229" t="s">
        <v>211</v>
      </c>
      <c r="E881" s="230" t="s">
        <v>32</v>
      </c>
      <c r="F881" s="231" t="s">
        <v>1470</v>
      </c>
      <c r="G881" s="228"/>
      <c r="H881" s="232">
        <v>4.0800000000000001</v>
      </c>
      <c r="I881" s="233"/>
      <c r="J881" s="228"/>
      <c r="K881" s="228"/>
      <c r="L881" s="234"/>
      <c r="M881" s="235"/>
      <c r="N881" s="236"/>
      <c r="O881" s="236"/>
      <c r="P881" s="236"/>
      <c r="Q881" s="236"/>
      <c r="R881" s="236"/>
      <c r="S881" s="236"/>
      <c r="T881" s="237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T881" s="238" t="s">
        <v>211</v>
      </c>
      <c r="AU881" s="238" t="s">
        <v>88</v>
      </c>
      <c r="AV881" s="13" t="s">
        <v>88</v>
      </c>
      <c r="AW881" s="13" t="s">
        <v>213</v>
      </c>
      <c r="AX881" s="13" t="s">
        <v>78</v>
      </c>
      <c r="AY881" s="238" t="s">
        <v>200</v>
      </c>
    </row>
    <row r="882" s="13" customFormat="1">
      <c r="A882" s="13"/>
      <c r="B882" s="227"/>
      <c r="C882" s="228"/>
      <c r="D882" s="229" t="s">
        <v>211</v>
      </c>
      <c r="E882" s="230" t="s">
        <v>32</v>
      </c>
      <c r="F882" s="231" t="s">
        <v>1471</v>
      </c>
      <c r="G882" s="228"/>
      <c r="H882" s="232">
        <v>3.7799999999999998</v>
      </c>
      <c r="I882" s="233"/>
      <c r="J882" s="228"/>
      <c r="K882" s="228"/>
      <c r="L882" s="234"/>
      <c r="M882" s="235"/>
      <c r="N882" s="236"/>
      <c r="O882" s="236"/>
      <c r="P882" s="236"/>
      <c r="Q882" s="236"/>
      <c r="R882" s="236"/>
      <c r="S882" s="236"/>
      <c r="T882" s="237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T882" s="238" t="s">
        <v>211</v>
      </c>
      <c r="AU882" s="238" t="s">
        <v>88</v>
      </c>
      <c r="AV882" s="13" t="s">
        <v>88</v>
      </c>
      <c r="AW882" s="13" t="s">
        <v>213</v>
      </c>
      <c r="AX882" s="13" t="s">
        <v>78</v>
      </c>
      <c r="AY882" s="238" t="s">
        <v>200</v>
      </c>
    </row>
    <row r="883" s="14" customFormat="1">
      <c r="A883" s="14"/>
      <c r="B883" s="239"/>
      <c r="C883" s="240"/>
      <c r="D883" s="229" t="s">
        <v>211</v>
      </c>
      <c r="E883" s="241" t="s">
        <v>32</v>
      </c>
      <c r="F883" s="242" t="s">
        <v>220</v>
      </c>
      <c r="G883" s="240"/>
      <c r="H883" s="243">
        <v>7.8600000000000003</v>
      </c>
      <c r="I883" s="244"/>
      <c r="J883" s="240"/>
      <c r="K883" s="240"/>
      <c r="L883" s="245"/>
      <c r="M883" s="246"/>
      <c r="N883" s="247"/>
      <c r="O883" s="247"/>
      <c r="P883" s="247"/>
      <c r="Q883" s="247"/>
      <c r="R883" s="247"/>
      <c r="S883" s="247"/>
      <c r="T883" s="248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T883" s="249" t="s">
        <v>211</v>
      </c>
      <c r="AU883" s="249" t="s">
        <v>88</v>
      </c>
      <c r="AV883" s="14" t="s">
        <v>207</v>
      </c>
      <c r="AW883" s="14" t="s">
        <v>213</v>
      </c>
      <c r="AX883" s="14" t="s">
        <v>86</v>
      </c>
      <c r="AY883" s="249" t="s">
        <v>200</v>
      </c>
    </row>
    <row r="884" s="2" customFormat="1" ht="16.5" customHeight="1">
      <c r="A884" s="40"/>
      <c r="B884" s="41"/>
      <c r="C884" s="260" t="s">
        <v>1472</v>
      </c>
      <c r="D884" s="260" t="s">
        <v>292</v>
      </c>
      <c r="E884" s="261" t="s">
        <v>1473</v>
      </c>
      <c r="F884" s="262" t="s">
        <v>1474</v>
      </c>
      <c r="G884" s="263" t="s">
        <v>272</v>
      </c>
      <c r="H884" s="264">
        <v>7.8600000000000003</v>
      </c>
      <c r="I884" s="265"/>
      <c r="J884" s="266">
        <f>ROUND(I884*H884,1)</f>
        <v>0</v>
      </c>
      <c r="K884" s="262" t="s">
        <v>206</v>
      </c>
      <c r="L884" s="267"/>
      <c r="M884" s="268" t="s">
        <v>32</v>
      </c>
      <c r="N884" s="269" t="s">
        <v>49</v>
      </c>
      <c r="O884" s="86"/>
      <c r="P884" s="218">
        <f>O884*H884</f>
        <v>0</v>
      </c>
      <c r="Q884" s="218">
        <v>0.036110000000000003</v>
      </c>
      <c r="R884" s="218">
        <f>Q884*H884</f>
        <v>0.28382460000000004</v>
      </c>
      <c r="S884" s="218">
        <v>0</v>
      </c>
      <c r="T884" s="219">
        <f>S884*H884</f>
        <v>0</v>
      </c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R884" s="220" t="s">
        <v>429</v>
      </c>
      <c r="AT884" s="220" t="s">
        <v>292</v>
      </c>
      <c r="AU884" s="220" t="s">
        <v>88</v>
      </c>
      <c r="AY884" s="18" t="s">
        <v>200</v>
      </c>
      <c r="BE884" s="221">
        <f>IF(N884="základní",J884,0)</f>
        <v>0</v>
      </c>
      <c r="BF884" s="221">
        <f>IF(N884="snížená",J884,0)</f>
        <v>0</v>
      </c>
      <c r="BG884" s="221">
        <f>IF(N884="zákl. přenesená",J884,0)</f>
        <v>0</v>
      </c>
      <c r="BH884" s="221">
        <f>IF(N884="sníž. přenesená",J884,0)</f>
        <v>0</v>
      </c>
      <c r="BI884" s="221">
        <f>IF(N884="nulová",J884,0)</f>
        <v>0</v>
      </c>
      <c r="BJ884" s="18" t="s">
        <v>86</v>
      </c>
      <c r="BK884" s="221">
        <f>ROUND(I884*H884,1)</f>
        <v>0</v>
      </c>
      <c r="BL884" s="18" t="s">
        <v>310</v>
      </c>
      <c r="BM884" s="220" t="s">
        <v>1475</v>
      </c>
    </row>
    <row r="885" s="2" customFormat="1" ht="24.15" customHeight="1">
      <c r="A885" s="40"/>
      <c r="B885" s="41"/>
      <c r="C885" s="209" t="s">
        <v>1476</v>
      </c>
      <c r="D885" s="209" t="s">
        <v>202</v>
      </c>
      <c r="E885" s="210" t="s">
        <v>1477</v>
      </c>
      <c r="F885" s="211" t="s">
        <v>1478</v>
      </c>
      <c r="G885" s="212" t="s">
        <v>449</v>
      </c>
      <c r="H885" s="213">
        <v>22</v>
      </c>
      <c r="I885" s="214"/>
      <c r="J885" s="215">
        <f>ROUND(I885*H885,1)</f>
        <v>0</v>
      </c>
      <c r="K885" s="211" t="s">
        <v>206</v>
      </c>
      <c r="L885" s="46"/>
      <c r="M885" s="216" t="s">
        <v>32</v>
      </c>
      <c r="N885" s="217" t="s">
        <v>49</v>
      </c>
      <c r="O885" s="86"/>
      <c r="P885" s="218">
        <f>O885*H885</f>
        <v>0</v>
      </c>
      <c r="Q885" s="218">
        <v>0</v>
      </c>
      <c r="R885" s="218">
        <f>Q885*H885</f>
        <v>0</v>
      </c>
      <c r="S885" s="218">
        <v>0</v>
      </c>
      <c r="T885" s="219">
        <f>S885*H885</f>
        <v>0</v>
      </c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R885" s="220" t="s">
        <v>310</v>
      </c>
      <c r="AT885" s="220" t="s">
        <v>202</v>
      </c>
      <c r="AU885" s="220" t="s">
        <v>88</v>
      </c>
      <c r="AY885" s="18" t="s">
        <v>200</v>
      </c>
      <c r="BE885" s="221">
        <f>IF(N885="základní",J885,0)</f>
        <v>0</v>
      </c>
      <c r="BF885" s="221">
        <f>IF(N885="snížená",J885,0)</f>
        <v>0</v>
      </c>
      <c r="BG885" s="221">
        <f>IF(N885="zákl. přenesená",J885,0)</f>
        <v>0</v>
      </c>
      <c r="BH885" s="221">
        <f>IF(N885="sníž. přenesená",J885,0)</f>
        <v>0</v>
      </c>
      <c r="BI885" s="221">
        <f>IF(N885="nulová",J885,0)</f>
        <v>0</v>
      </c>
      <c r="BJ885" s="18" t="s">
        <v>86</v>
      </c>
      <c r="BK885" s="221">
        <f>ROUND(I885*H885,1)</f>
        <v>0</v>
      </c>
      <c r="BL885" s="18" t="s">
        <v>310</v>
      </c>
      <c r="BM885" s="220" t="s">
        <v>1479</v>
      </c>
    </row>
    <row r="886" s="2" customFormat="1">
      <c r="A886" s="40"/>
      <c r="B886" s="41"/>
      <c r="C886" s="42"/>
      <c r="D886" s="222" t="s">
        <v>209</v>
      </c>
      <c r="E886" s="42"/>
      <c r="F886" s="223" t="s">
        <v>1480</v>
      </c>
      <c r="G886" s="42"/>
      <c r="H886" s="42"/>
      <c r="I886" s="224"/>
      <c r="J886" s="42"/>
      <c r="K886" s="42"/>
      <c r="L886" s="46"/>
      <c r="M886" s="225"/>
      <c r="N886" s="226"/>
      <c r="O886" s="86"/>
      <c r="P886" s="86"/>
      <c r="Q886" s="86"/>
      <c r="R886" s="86"/>
      <c r="S886" s="86"/>
      <c r="T886" s="87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T886" s="18" t="s">
        <v>209</v>
      </c>
      <c r="AU886" s="18" t="s">
        <v>88</v>
      </c>
    </row>
    <row r="887" s="2" customFormat="1" ht="24.15" customHeight="1">
      <c r="A887" s="40"/>
      <c r="B887" s="41"/>
      <c r="C887" s="260" t="s">
        <v>1481</v>
      </c>
      <c r="D887" s="260" t="s">
        <v>292</v>
      </c>
      <c r="E887" s="261" t="s">
        <v>1482</v>
      </c>
      <c r="F887" s="262" t="s">
        <v>1483</v>
      </c>
      <c r="G887" s="263" t="s">
        <v>449</v>
      </c>
      <c r="H887" s="264">
        <v>7</v>
      </c>
      <c r="I887" s="265"/>
      <c r="J887" s="266">
        <f>ROUND(I887*H887,1)</f>
        <v>0</v>
      </c>
      <c r="K887" s="262" t="s">
        <v>32</v>
      </c>
      <c r="L887" s="267"/>
      <c r="M887" s="268" t="s">
        <v>32</v>
      </c>
      <c r="N887" s="269" t="s">
        <v>49</v>
      </c>
      <c r="O887" s="86"/>
      <c r="P887" s="218">
        <f>O887*H887</f>
        <v>0</v>
      </c>
      <c r="Q887" s="218">
        <v>0.017500000000000002</v>
      </c>
      <c r="R887" s="218">
        <f>Q887*H887</f>
        <v>0.12250000000000001</v>
      </c>
      <c r="S887" s="218">
        <v>0</v>
      </c>
      <c r="T887" s="219">
        <f>S887*H887</f>
        <v>0</v>
      </c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R887" s="220" t="s">
        <v>429</v>
      </c>
      <c r="AT887" s="220" t="s">
        <v>292</v>
      </c>
      <c r="AU887" s="220" t="s">
        <v>88</v>
      </c>
      <c r="AY887" s="18" t="s">
        <v>200</v>
      </c>
      <c r="BE887" s="221">
        <f>IF(N887="základní",J887,0)</f>
        <v>0</v>
      </c>
      <c r="BF887" s="221">
        <f>IF(N887="snížená",J887,0)</f>
        <v>0</v>
      </c>
      <c r="BG887" s="221">
        <f>IF(N887="zákl. přenesená",J887,0)</f>
        <v>0</v>
      </c>
      <c r="BH887" s="221">
        <f>IF(N887="sníž. přenesená",J887,0)</f>
        <v>0</v>
      </c>
      <c r="BI887" s="221">
        <f>IF(N887="nulová",J887,0)</f>
        <v>0</v>
      </c>
      <c r="BJ887" s="18" t="s">
        <v>86</v>
      </c>
      <c r="BK887" s="221">
        <f>ROUND(I887*H887,1)</f>
        <v>0</v>
      </c>
      <c r="BL887" s="18" t="s">
        <v>310</v>
      </c>
      <c r="BM887" s="220" t="s">
        <v>1484</v>
      </c>
    </row>
    <row r="888" s="2" customFormat="1">
      <c r="A888" s="40"/>
      <c r="B888" s="41"/>
      <c r="C888" s="42"/>
      <c r="D888" s="229" t="s">
        <v>355</v>
      </c>
      <c r="E888" s="42"/>
      <c r="F888" s="281" t="s">
        <v>1485</v>
      </c>
      <c r="G888" s="42"/>
      <c r="H888" s="42"/>
      <c r="I888" s="224"/>
      <c r="J888" s="42"/>
      <c r="K888" s="42"/>
      <c r="L888" s="46"/>
      <c r="M888" s="225"/>
      <c r="N888" s="226"/>
      <c r="O888" s="86"/>
      <c r="P888" s="86"/>
      <c r="Q888" s="86"/>
      <c r="R888" s="86"/>
      <c r="S888" s="86"/>
      <c r="T888" s="87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T888" s="18" t="s">
        <v>355</v>
      </c>
      <c r="AU888" s="18" t="s">
        <v>88</v>
      </c>
    </row>
    <row r="889" s="13" customFormat="1">
      <c r="A889" s="13"/>
      <c r="B889" s="227"/>
      <c r="C889" s="228"/>
      <c r="D889" s="229" t="s">
        <v>211</v>
      </c>
      <c r="E889" s="230" t="s">
        <v>32</v>
      </c>
      <c r="F889" s="231" t="s">
        <v>1486</v>
      </c>
      <c r="G889" s="228"/>
      <c r="H889" s="232">
        <v>7</v>
      </c>
      <c r="I889" s="233"/>
      <c r="J889" s="228"/>
      <c r="K889" s="228"/>
      <c r="L889" s="234"/>
      <c r="M889" s="235"/>
      <c r="N889" s="236"/>
      <c r="O889" s="236"/>
      <c r="P889" s="236"/>
      <c r="Q889" s="236"/>
      <c r="R889" s="236"/>
      <c r="S889" s="236"/>
      <c r="T889" s="237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T889" s="238" t="s">
        <v>211</v>
      </c>
      <c r="AU889" s="238" t="s">
        <v>88</v>
      </c>
      <c r="AV889" s="13" t="s">
        <v>88</v>
      </c>
      <c r="AW889" s="13" t="s">
        <v>213</v>
      </c>
      <c r="AX889" s="13" t="s">
        <v>86</v>
      </c>
      <c r="AY889" s="238" t="s">
        <v>200</v>
      </c>
    </row>
    <row r="890" s="2" customFormat="1" ht="24.15" customHeight="1">
      <c r="A890" s="40"/>
      <c r="B890" s="41"/>
      <c r="C890" s="260" t="s">
        <v>1487</v>
      </c>
      <c r="D890" s="260" t="s">
        <v>292</v>
      </c>
      <c r="E890" s="261" t="s">
        <v>1488</v>
      </c>
      <c r="F890" s="262" t="s">
        <v>1489</v>
      </c>
      <c r="G890" s="263" t="s">
        <v>449</v>
      </c>
      <c r="H890" s="264">
        <v>1</v>
      </c>
      <c r="I890" s="265"/>
      <c r="J890" s="266">
        <f>ROUND(I890*H890,1)</f>
        <v>0</v>
      </c>
      <c r="K890" s="262" t="s">
        <v>32</v>
      </c>
      <c r="L890" s="267"/>
      <c r="M890" s="268" t="s">
        <v>32</v>
      </c>
      <c r="N890" s="269" t="s">
        <v>49</v>
      </c>
      <c r="O890" s="86"/>
      <c r="P890" s="218">
        <f>O890*H890</f>
        <v>0</v>
      </c>
      <c r="Q890" s="218">
        <v>0.017500000000000002</v>
      </c>
      <c r="R890" s="218">
        <f>Q890*H890</f>
        <v>0.017500000000000002</v>
      </c>
      <c r="S890" s="218">
        <v>0</v>
      </c>
      <c r="T890" s="219">
        <f>S890*H890</f>
        <v>0</v>
      </c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R890" s="220" t="s">
        <v>429</v>
      </c>
      <c r="AT890" s="220" t="s">
        <v>292</v>
      </c>
      <c r="AU890" s="220" t="s">
        <v>88</v>
      </c>
      <c r="AY890" s="18" t="s">
        <v>200</v>
      </c>
      <c r="BE890" s="221">
        <f>IF(N890="základní",J890,0)</f>
        <v>0</v>
      </c>
      <c r="BF890" s="221">
        <f>IF(N890="snížená",J890,0)</f>
        <v>0</v>
      </c>
      <c r="BG890" s="221">
        <f>IF(N890="zákl. přenesená",J890,0)</f>
        <v>0</v>
      </c>
      <c r="BH890" s="221">
        <f>IF(N890="sníž. přenesená",J890,0)</f>
        <v>0</v>
      </c>
      <c r="BI890" s="221">
        <f>IF(N890="nulová",J890,0)</f>
        <v>0</v>
      </c>
      <c r="BJ890" s="18" t="s">
        <v>86</v>
      </c>
      <c r="BK890" s="221">
        <f>ROUND(I890*H890,1)</f>
        <v>0</v>
      </c>
      <c r="BL890" s="18" t="s">
        <v>310</v>
      </c>
      <c r="BM890" s="220" t="s">
        <v>1490</v>
      </c>
    </row>
    <row r="891" s="2" customFormat="1">
      <c r="A891" s="40"/>
      <c r="B891" s="41"/>
      <c r="C891" s="42"/>
      <c r="D891" s="229" t="s">
        <v>355</v>
      </c>
      <c r="E891" s="42"/>
      <c r="F891" s="281" t="s">
        <v>1485</v>
      </c>
      <c r="G891" s="42"/>
      <c r="H891" s="42"/>
      <c r="I891" s="224"/>
      <c r="J891" s="42"/>
      <c r="K891" s="42"/>
      <c r="L891" s="46"/>
      <c r="M891" s="225"/>
      <c r="N891" s="226"/>
      <c r="O891" s="86"/>
      <c r="P891" s="86"/>
      <c r="Q891" s="86"/>
      <c r="R891" s="86"/>
      <c r="S891" s="86"/>
      <c r="T891" s="87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T891" s="18" t="s">
        <v>355</v>
      </c>
      <c r="AU891" s="18" t="s">
        <v>88</v>
      </c>
    </row>
    <row r="892" s="13" customFormat="1">
      <c r="A892" s="13"/>
      <c r="B892" s="227"/>
      <c r="C892" s="228"/>
      <c r="D892" s="229" t="s">
        <v>211</v>
      </c>
      <c r="E892" s="230" t="s">
        <v>32</v>
      </c>
      <c r="F892" s="231" t="s">
        <v>1491</v>
      </c>
      <c r="G892" s="228"/>
      <c r="H892" s="232">
        <v>1</v>
      </c>
      <c r="I892" s="233"/>
      <c r="J892" s="228"/>
      <c r="K892" s="228"/>
      <c r="L892" s="234"/>
      <c r="M892" s="235"/>
      <c r="N892" s="236"/>
      <c r="O892" s="236"/>
      <c r="P892" s="236"/>
      <c r="Q892" s="236"/>
      <c r="R892" s="236"/>
      <c r="S892" s="236"/>
      <c r="T892" s="237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T892" s="238" t="s">
        <v>211</v>
      </c>
      <c r="AU892" s="238" t="s">
        <v>88</v>
      </c>
      <c r="AV892" s="13" t="s">
        <v>88</v>
      </c>
      <c r="AW892" s="13" t="s">
        <v>213</v>
      </c>
      <c r="AX892" s="13" t="s">
        <v>86</v>
      </c>
      <c r="AY892" s="238" t="s">
        <v>200</v>
      </c>
    </row>
    <row r="893" s="2" customFormat="1" ht="24.15" customHeight="1">
      <c r="A893" s="40"/>
      <c r="B893" s="41"/>
      <c r="C893" s="260" t="s">
        <v>1492</v>
      </c>
      <c r="D893" s="260" t="s">
        <v>292</v>
      </c>
      <c r="E893" s="261" t="s">
        <v>1493</v>
      </c>
      <c r="F893" s="262" t="s">
        <v>1494</v>
      </c>
      <c r="G893" s="263" t="s">
        <v>449</v>
      </c>
      <c r="H893" s="264">
        <v>6</v>
      </c>
      <c r="I893" s="265"/>
      <c r="J893" s="266">
        <f>ROUND(I893*H893,1)</f>
        <v>0</v>
      </c>
      <c r="K893" s="262" t="s">
        <v>32</v>
      </c>
      <c r="L893" s="267"/>
      <c r="M893" s="268" t="s">
        <v>32</v>
      </c>
      <c r="N893" s="269" t="s">
        <v>49</v>
      </c>
      <c r="O893" s="86"/>
      <c r="P893" s="218">
        <f>O893*H893</f>
        <v>0</v>
      </c>
      <c r="Q893" s="218">
        <v>0.017500000000000002</v>
      </c>
      <c r="R893" s="218">
        <f>Q893*H893</f>
        <v>0.10500000000000001</v>
      </c>
      <c r="S893" s="218">
        <v>0</v>
      </c>
      <c r="T893" s="219">
        <f>S893*H893</f>
        <v>0</v>
      </c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R893" s="220" t="s">
        <v>429</v>
      </c>
      <c r="AT893" s="220" t="s">
        <v>292</v>
      </c>
      <c r="AU893" s="220" t="s">
        <v>88</v>
      </c>
      <c r="AY893" s="18" t="s">
        <v>200</v>
      </c>
      <c r="BE893" s="221">
        <f>IF(N893="základní",J893,0)</f>
        <v>0</v>
      </c>
      <c r="BF893" s="221">
        <f>IF(N893="snížená",J893,0)</f>
        <v>0</v>
      </c>
      <c r="BG893" s="221">
        <f>IF(N893="zákl. přenesená",J893,0)</f>
        <v>0</v>
      </c>
      <c r="BH893" s="221">
        <f>IF(N893="sníž. přenesená",J893,0)</f>
        <v>0</v>
      </c>
      <c r="BI893" s="221">
        <f>IF(N893="nulová",J893,0)</f>
        <v>0</v>
      </c>
      <c r="BJ893" s="18" t="s">
        <v>86</v>
      </c>
      <c r="BK893" s="221">
        <f>ROUND(I893*H893,1)</f>
        <v>0</v>
      </c>
      <c r="BL893" s="18" t="s">
        <v>310</v>
      </c>
      <c r="BM893" s="220" t="s">
        <v>1495</v>
      </c>
    </row>
    <row r="894" s="2" customFormat="1">
      <c r="A894" s="40"/>
      <c r="B894" s="41"/>
      <c r="C894" s="42"/>
      <c r="D894" s="229" t="s">
        <v>355</v>
      </c>
      <c r="E894" s="42"/>
      <c r="F894" s="281" t="s">
        <v>1485</v>
      </c>
      <c r="G894" s="42"/>
      <c r="H894" s="42"/>
      <c r="I894" s="224"/>
      <c r="J894" s="42"/>
      <c r="K894" s="42"/>
      <c r="L894" s="46"/>
      <c r="M894" s="225"/>
      <c r="N894" s="226"/>
      <c r="O894" s="86"/>
      <c r="P894" s="86"/>
      <c r="Q894" s="86"/>
      <c r="R894" s="86"/>
      <c r="S894" s="86"/>
      <c r="T894" s="87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T894" s="18" t="s">
        <v>355</v>
      </c>
      <c r="AU894" s="18" t="s">
        <v>88</v>
      </c>
    </row>
    <row r="895" s="13" customFormat="1">
      <c r="A895" s="13"/>
      <c r="B895" s="227"/>
      <c r="C895" s="228"/>
      <c r="D895" s="229" t="s">
        <v>211</v>
      </c>
      <c r="E895" s="230" t="s">
        <v>32</v>
      </c>
      <c r="F895" s="231" t="s">
        <v>1496</v>
      </c>
      <c r="G895" s="228"/>
      <c r="H895" s="232">
        <v>6</v>
      </c>
      <c r="I895" s="233"/>
      <c r="J895" s="228"/>
      <c r="K895" s="228"/>
      <c r="L895" s="234"/>
      <c r="M895" s="235"/>
      <c r="N895" s="236"/>
      <c r="O895" s="236"/>
      <c r="P895" s="236"/>
      <c r="Q895" s="236"/>
      <c r="R895" s="236"/>
      <c r="S895" s="236"/>
      <c r="T895" s="237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T895" s="238" t="s">
        <v>211</v>
      </c>
      <c r="AU895" s="238" t="s">
        <v>88</v>
      </c>
      <c r="AV895" s="13" t="s">
        <v>88</v>
      </c>
      <c r="AW895" s="13" t="s">
        <v>213</v>
      </c>
      <c r="AX895" s="13" t="s">
        <v>86</v>
      </c>
      <c r="AY895" s="238" t="s">
        <v>200</v>
      </c>
    </row>
    <row r="896" s="2" customFormat="1" ht="24.15" customHeight="1">
      <c r="A896" s="40"/>
      <c r="B896" s="41"/>
      <c r="C896" s="260" t="s">
        <v>1497</v>
      </c>
      <c r="D896" s="260" t="s">
        <v>292</v>
      </c>
      <c r="E896" s="261" t="s">
        <v>1498</v>
      </c>
      <c r="F896" s="262" t="s">
        <v>1499</v>
      </c>
      <c r="G896" s="263" t="s">
        <v>449</v>
      </c>
      <c r="H896" s="264">
        <v>1</v>
      </c>
      <c r="I896" s="265"/>
      <c r="J896" s="266">
        <f>ROUND(I896*H896,1)</f>
        <v>0</v>
      </c>
      <c r="K896" s="262" t="s">
        <v>32</v>
      </c>
      <c r="L896" s="267"/>
      <c r="M896" s="268" t="s">
        <v>32</v>
      </c>
      <c r="N896" s="269" t="s">
        <v>49</v>
      </c>
      <c r="O896" s="86"/>
      <c r="P896" s="218">
        <f>O896*H896</f>
        <v>0</v>
      </c>
      <c r="Q896" s="218">
        <v>0.017500000000000002</v>
      </c>
      <c r="R896" s="218">
        <f>Q896*H896</f>
        <v>0.017500000000000002</v>
      </c>
      <c r="S896" s="218">
        <v>0</v>
      </c>
      <c r="T896" s="219">
        <f>S896*H896</f>
        <v>0</v>
      </c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R896" s="220" t="s">
        <v>429</v>
      </c>
      <c r="AT896" s="220" t="s">
        <v>292</v>
      </c>
      <c r="AU896" s="220" t="s">
        <v>88</v>
      </c>
      <c r="AY896" s="18" t="s">
        <v>200</v>
      </c>
      <c r="BE896" s="221">
        <f>IF(N896="základní",J896,0)</f>
        <v>0</v>
      </c>
      <c r="BF896" s="221">
        <f>IF(N896="snížená",J896,0)</f>
        <v>0</v>
      </c>
      <c r="BG896" s="221">
        <f>IF(N896="zákl. přenesená",J896,0)</f>
        <v>0</v>
      </c>
      <c r="BH896" s="221">
        <f>IF(N896="sníž. přenesená",J896,0)</f>
        <v>0</v>
      </c>
      <c r="BI896" s="221">
        <f>IF(N896="nulová",J896,0)</f>
        <v>0</v>
      </c>
      <c r="BJ896" s="18" t="s">
        <v>86</v>
      </c>
      <c r="BK896" s="221">
        <f>ROUND(I896*H896,1)</f>
        <v>0</v>
      </c>
      <c r="BL896" s="18" t="s">
        <v>310</v>
      </c>
      <c r="BM896" s="220" t="s">
        <v>1500</v>
      </c>
    </row>
    <row r="897" s="2" customFormat="1">
      <c r="A897" s="40"/>
      <c r="B897" s="41"/>
      <c r="C897" s="42"/>
      <c r="D897" s="229" t="s">
        <v>355</v>
      </c>
      <c r="E897" s="42"/>
      <c r="F897" s="281" t="s">
        <v>1485</v>
      </c>
      <c r="G897" s="42"/>
      <c r="H897" s="42"/>
      <c r="I897" s="224"/>
      <c r="J897" s="42"/>
      <c r="K897" s="42"/>
      <c r="L897" s="46"/>
      <c r="M897" s="225"/>
      <c r="N897" s="226"/>
      <c r="O897" s="86"/>
      <c r="P897" s="86"/>
      <c r="Q897" s="86"/>
      <c r="R897" s="86"/>
      <c r="S897" s="86"/>
      <c r="T897" s="87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T897" s="18" t="s">
        <v>355</v>
      </c>
      <c r="AU897" s="18" t="s">
        <v>88</v>
      </c>
    </row>
    <row r="898" s="13" customFormat="1">
      <c r="A898" s="13"/>
      <c r="B898" s="227"/>
      <c r="C898" s="228"/>
      <c r="D898" s="229" t="s">
        <v>211</v>
      </c>
      <c r="E898" s="230" t="s">
        <v>32</v>
      </c>
      <c r="F898" s="231" t="s">
        <v>1501</v>
      </c>
      <c r="G898" s="228"/>
      <c r="H898" s="232">
        <v>1</v>
      </c>
      <c r="I898" s="233"/>
      <c r="J898" s="228"/>
      <c r="K898" s="228"/>
      <c r="L898" s="234"/>
      <c r="M898" s="235"/>
      <c r="N898" s="236"/>
      <c r="O898" s="236"/>
      <c r="P898" s="236"/>
      <c r="Q898" s="236"/>
      <c r="R898" s="236"/>
      <c r="S898" s="236"/>
      <c r="T898" s="237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T898" s="238" t="s">
        <v>211</v>
      </c>
      <c r="AU898" s="238" t="s">
        <v>88</v>
      </c>
      <c r="AV898" s="13" t="s">
        <v>88</v>
      </c>
      <c r="AW898" s="13" t="s">
        <v>213</v>
      </c>
      <c r="AX898" s="13" t="s">
        <v>86</v>
      </c>
      <c r="AY898" s="238" t="s">
        <v>200</v>
      </c>
    </row>
    <row r="899" s="2" customFormat="1" ht="24.15" customHeight="1">
      <c r="A899" s="40"/>
      <c r="B899" s="41"/>
      <c r="C899" s="260" t="s">
        <v>1502</v>
      </c>
      <c r="D899" s="260" t="s">
        <v>292</v>
      </c>
      <c r="E899" s="261" t="s">
        <v>1503</v>
      </c>
      <c r="F899" s="262" t="s">
        <v>1504</v>
      </c>
      <c r="G899" s="263" t="s">
        <v>449</v>
      </c>
      <c r="H899" s="264">
        <v>4</v>
      </c>
      <c r="I899" s="265"/>
      <c r="J899" s="266">
        <f>ROUND(I899*H899,1)</f>
        <v>0</v>
      </c>
      <c r="K899" s="262" t="s">
        <v>32</v>
      </c>
      <c r="L899" s="267"/>
      <c r="M899" s="268" t="s">
        <v>32</v>
      </c>
      <c r="N899" s="269" t="s">
        <v>49</v>
      </c>
      <c r="O899" s="86"/>
      <c r="P899" s="218">
        <f>O899*H899</f>
        <v>0</v>
      </c>
      <c r="Q899" s="218">
        <v>0.0195</v>
      </c>
      <c r="R899" s="218">
        <f>Q899*H899</f>
        <v>0.078</v>
      </c>
      <c r="S899" s="218">
        <v>0</v>
      </c>
      <c r="T899" s="219">
        <f>S899*H899</f>
        <v>0</v>
      </c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R899" s="220" t="s">
        <v>429</v>
      </c>
      <c r="AT899" s="220" t="s">
        <v>292</v>
      </c>
      <c r="AU899" s="220" t="s">
        <v>88</v>
      </c>
      <c r="AY899" s="18" t="s">
        <v>200</v>
      </c>
      <c r="BE899" s="221">
        <f>IF(N899="základní",J899,0)</f>
        <v>0</v>
      </c>
      <c r="BF899" s="221">
        <f>IF(N899="snížená",J899,0)</f>
        <v>0</v>
      </c>
      <c r="BG899" s="221">
        <f>IF(N899="zákl. přenesená",J899,0)</f>
        <v>0</v>
      </c>
      <c r="BH899" s="221">
        <f>IF(N899="sníž. přenesená",J899,0)</f>
        <v>0</v>
      </c>
      <c r="BI899" s="221">
        <f>IF(N899="nulová",J899,0)</f>
        <v>0</v>
      </c>
      <c r="BJ899" s="18" t="s">
        <v>86</v>
      </c>
      <c r="BK899" s="221">
        <f>ROUND(I899*H899,1)</f>
        <v>0</v>
      </c>
      <c r="BL899" s="18" t="s">
        <v>310</v>
      </c>
      <c r="BM899" s="220" t="s">
        <v>1505</v>
      </c>
    </row>
    <row r="900" s="2" customFormat="1">
      <c r="A900" s="40"/>
      <c r="B900" s="41"/>
      <c r="C900" s="42"/>
      <c r="D900" s="229" t="s">
        <v>355</v>
      </c>
      <c r="E900" s="42"/>
      <c r="F900" s="281" t="s">
        <v>1485</v>
      </c>
      <c r="G900" s="42"/>
      <c r="H900" s="42"/>
      <c r="I900" s="224"/>
      <c r="J900" s="42"/>
      <c r="K900" s="42"/>
      <c r="L900" s="46"/>
      <c r="M900" s="225"/>
      <c r="N900" s="226"/>
      <c r="O900" s="86"/>
      <c r="P900" s="86"/>
      <c r="Q900" s="86"/>
      <c r="R900" s="86"/>
      <c r="S900" s="86"/>
      <c r="T900" s="87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T900" s="18" t="s">
        <v>355</v>
      </c>
      <c r="AU900" s="18" t="s">
        <v>88</v>
      </c>
    </row>
    <row r="901" s="13" customFormat="1">
      <c r="A901" s="13"/>
      <c r="B901" s="227"/>
      <c r="C901" s="228"/>
      <c r="D901" s="229" t="s">
        <v>211</v>
      </c>
      <c r="E901" s="230" t="s">
        <v>32</v>
      </c>
      <c r="F901" s="231" t="s">
        <v>1506</v>
      </c>
      <c r="G901" s="228"/>
      <c r="H901" s="232">
        <v>4</v>
      </c>
      <c r="I901" s="233"/>
      <c r="J901" s="228"/>
      <c r="K901" s="228"/>
      <c r="L901" s="234"/>
      <c r="M901" s="235"/>
      <c r="N901" s="236"/>
      <c r="O901" s="236"/>
      <c r="P901" s="236"/>
      <c r="Q901" s="236"/>
      <c r="R901" s="236"/>
      <c r="S901" s="236"/>
      <c r="T901" s="237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T901" s="238" t="s">
        <v>211</v>
      </c>
      <c r="AU901" s="238" t="s">
        <v>88</v>
      </c>
      <c r="AV901" s="13" t="s">
        <v>88</v>
      </c>
      <c r="AW901" s="13" t="s">
        <v>213</v>
      </c>
      <c r="AX901" s="13" t="s">
        <v>86</v>
      </c>
      <c r="AY901" s="238" t="s">
        <v>200</v>
      </c>
    </row>
    <row r="902" s="2" customFormat="1" ht="24.15" customHeight="1">
      <c r="A902" s="40"/>
      <c r="B902" s="41"/>
      <c r="C902" s="260" t="s">
        <v>1507</v>
      </c>
      <c r="D902" s="260" t="s">
        <v>292</v>
      </c>
      <c r="E902" s="261" t="s">
        <v>1508</v>
      </c>
      <c r="F902" s="262" t="s">
        <v>1509</v>
      </c>
      <c r="G902" s="263" t="s">
        <v>449</v>
      </c>
      <c r="H902" s="264">
        <v>1</v>
      </c>
      <c r="I902" s="265"/>
      <c r="J902" s="266">
        <f>ROUND(I902*H902,1)</f>
        <v>0</v>
      </c>
      <c r="K902" s="262" t="s">
        <v>32</v>
      </c>
      <c r="L902" s="267"/>
      <c r="M902" s="268" t="s">
        <v>32</v>
      </c>
      <c r="N902" s="269" t="s">
        <v>49</v>
      </c>
      <c r="O902" s="86"/>
      <c r="P902" s="218">
        <f>O902*H902</f>
        <v>0</v>
      </c>
      <c r="Q902" s="218">
        <v>0.0195</v>
      </c>
      <c r="R902" s="218">
        <f>Q902*H902</f>
        <v>0.0195</v>
      </c>
      <c r="S902" s="218">
        <v>0</v>
      </c>
      <c r="T902" s="219">
        <f>S902*H902</f>
        <v>0</v>
      </c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R902" s="220" t="s">
        <v>429</v>
      </c>
      <c r="AT902" s="220" t="s">
        <v>292</v>
      </c>
      <c r="AU902" s="220" t="s">
        <v>88</v>
      </c>
      <c r="AY902" s="18" t="s">
        <v>200</v>
      </c>
      <c r="BE902" s="221">
        <f>IF(N902="základní",J902,0)</f>
        <v>0</v>
      </c>
      <c r="BF902" s="221">
        <f>IF(N902="snížená",J902,0)</f>
        <v>0</v>
      </c>
      <c r="BG902" s="221">
        <f>IF(N902="zákl. přenesená",J902,0)</f>
        <v>0</v>
      </c>
      <c r="BH902" s="221">
        <f>IF(N902="sníž. přenesená",J902,0)</f>
        <v>0</v>
      </c>
      <c r="BI902" s="221">
        <f>IF(N902="nulová",J902,0)</f>
        <v>0</v>
      </c>
      <c r="BJ902" s="18" t="s">
        <v>86</v>
      </c>
      <c r="BK902" s="221">
        <f>ROUND(I902*H902,1)</f>
        <v>0</v>
      </c>
      <c r="BL902" s="18" t="s">
        <v>310</v>
      </c>
      <c r="BM902" s="220" t="s">
        <v>1510</v>
      </c>
    </row>
    <row r="903" s="2" customFormat="1">
      <c r="A903" s="40"/>
      <c r="B903" s="41"/>
      <c r="C903" s="42"/>
      <c r="D903" s="229" t="s">
        <v>355</v>
      </c>
      <c r="E903" s="42"/>
      <c r="F903" s="281" t="s">
        <v>1485</v>
      </c>
      <c r="G903" s="42"/>
      <c r="H903" s="42"/>
      <c r="I903" s="224"/>
      <c r="J903" s="42"/>
      <c r="K903" s="42"/>
      <c r="L903" s="46"/>
      <c r="M903" s="225"/>
      <c r="N903" s="226"/>
      <c r="O903" s="86"/>
      <c r="P903" s="86"/>
      <c r="Q903" s="86"/>
      <c r="R903" s="86"/>
      <c r="S903" s="86"/>
      <c r="T903" s="87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T903" s="18" t="s">
        <v>355</v>
      </c>
      <c r="AU903" s="18" t="s">
        <v>88</v>
      </c>
    </row>
    <row r="904" s="13" customFormat="1">
      <c r="A904" s="13"/>
      <c r="B904" s="227"/>
      <c r="C904" s="228"/>
      <c r="D904" s="229" t="s">
        <v>211</v>
      </c>
      <c r="E904" s="230" t="s">
        <v>32</v>
      </c>
      <c r="F904" s="231" t="s">
        <v>1511</v>
      </c>
      <c r="G904" s="228"/>
      <c r="H904" s="232">
        <v>1</v>
      </c>
      <c r="I904" s="233"/>
      <c r="J904" s="228"/>
      <c r="K904" s="228"/>
      <c r="L904" s="234"/>
      <c r="M904" s="235"/>
      <c r="N904" s="236"/>
      <c r="O904" s="236"/>
      <c r="P904" s="236"/>
      <c r="Q904" s="236"/>
      <c r="R904" s="236"/>
      <c r="S904" s="236"/>
      <c r="T904" s="237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T904" s="238" t="s">
        <v>211</v>
      </c>
      <c r="AU904" s="238" t="s">
        <v>88</v>
      </c>
      <c r="AV904" s="13" t="s">
        <v>88</v>
      </c>
      <c r="AW904" s="13" t="s">
        <v>213</v>
      </c>
      <c r="AX904" s="13" t="s">
        <v>86</v>
      </c>
      <c r="AY904" s="238" t="s">
        <v>200</v>
      </c>
    </row>
    <row r="905" s="2" customFormat="1" ht="24.15" customHeight="1">
      <c r="A905" s="40"/>
      <c r="B905" s="41"/>
      <c r="C905" s="260" t="s">
        <v>1512</v>
      </c>
      <c r="D905" s="260" t="s">
        <v>292</v>
      </c>
      <c r="E905" s="261" t="s">
        <v>1513</v>
      </c>
      <c r="F905" s="262" t="s">
        <v>1514</v>
      </c>
      <c r="G905" s="263" t="s">
        <v>449</v>
      </c>
      <c r="H905" s="264">
        <v>2</v>
      </c>
      <c r="I905" s="265"/>
      <c r="J905" s="266">
        <f>ROUND(I905*H905,1)</f>
        <v>0</v>
      </c>
      <c r="K905" s="262" t="s">
        <v>32</v>
      </c>
      <c r="L905" s="267"/>
      <c r="M905" s="268" t="s">
        <v>32</v>
      </c>
      <c r="N905" s="269" t="s">
        <v>49</v>
      </c>
      <c r="O905" s="86"/>
      <c r="P905" s="218">
        <f>O905*H905</f>
        <v>0</v>
      </c>
      <c r="Q905" s="218">
        <v>0.0195</v>
      </c>
      <c r="R905" s="218">
        <f>Q905*H905</f>
        <v>0.039</v>
      </c>
      <c r="S905" s="218">
        <v>0</v>
      </c>
      <c r="T905" s="219">
        <f>S905*H905</f>
        <v>0</v>
      </c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R905" s="220" t="s">
        <v>429</v>
      </c>
      <c r="AT905" s="220" t="s">
        <v>292</v>
      </c>
      <c r="AU905" s="220" t="s">
        <v>88</v>
      </c>
      <c r="AY905" s="18" t="s">
        <v>200</v>
      </c>
      <c r="BE905" s="221">
        <f>IF(N905="základní",J905,0)</f>
        <v>0</v>
      </c>
      <c r="BF905" s="221">
        <f>IF(N905="snížená",J905,0)</f>
        <v>0</v>
      </c>
      <c r="BG905" s="221">
        <f>IF(N905="zákl. přenesená",J905,0)</f>
        <v>0</v>
      </c>
      <c r="BH905" s="221">
        <f>IF(N905="sníž. přenesená",J905,0)</f>
        <v>0</v>
      </c>
      <c r="BI905" s="221">
        <f>IF(N905="nulová",J905,0)</f>
        <v>0</v>
      </c>
      <c r="BJ905" s="18" t="s">
        <v>86</v>
      </c>
      <c r="BK905" s="221">
        <f>ROUND(I905*H905,1)</f>
        <v>0</v>
      </c>
      <c r="BL905" s="18" t="s">
        <v>310</v>
      </c>
      <c r="BM905" s="220" t="s">
        <v>1515</v>
      </c>
    </row>
    <row r="906" s="2" customFormat="1">
      <c r="A906" s="40"/>
      <c r="B906" s="41"/>
      <c r="C906" s="42"/>
      <c r="D906" s="229" t="s">
        <v>355</v>
      </c>
      <c r="E906" s="42"/>
      <c r="F906" s="281" t="s">
        <v>1485</v>
      </c>
      <c r="G906" s="42"/>
      <c r="H906" s="42"/>
      <c r="I906" s="224"/>
      <c r="J906" s="42"/>
      <c r="K906" s="42"/>
      <c r="L906" s="46"/>
      <c r="M906" s="225"/>
      <c r="N906" s="226"/>
      <c r="O906" s="86"/>
      <c r="P906" s="86"/>
      <c r="Q906" s="86"/>
      <c r="R906" s="86"/>
      <c r="S906" s="86"/>
      <c r="T906" s="87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T906" s="18" t="s">
        <v>355</v>
      </c>
      <c r="AU906" s="18" t="s">
        <v>88</v>
      </c>
    </row>
    <row r="907" s="13" customFormat="1">
      <c r="A907" s="13"/>
      <c r="B907" s="227"/>
      <c r="C907" s="228"/>
      <c r="D907" s="229" t="s">
        <v>211</v>
      </c>
      <c r="E907" s="230" t="s">
        <v>32</v>
      </c>
      <c r="F907" s="231" t="s">
        <v>1516</v>
      </c>
      <c r="G907" s="228"/>
      <c r="H907" s="232">
        <v>2</v>
      </c>
      <c r="I907" s="233"/>
      <c r="J907" s="228"/>
      <c r="K907" s="228"/>
      <c r="L907" s="234"/>
      <c r="M907" s="235"/>
      <c r="N907" s="236"/>
      <c r="O907" s="236"/>
      <c r="P907" s="236"/>
      <c r="Q907" s="236"/>
      <c r="R907" s="236"/>
      <c r="S907" s="236"/>
      <c r="T907" s="237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T907" s="238" t="s">
        <v>211</v>
      </c>
      <c r="AU907" s="238" t="s">
        <v>88</v>
      </c>
      <c r="AV907" s="13" t="s">
        <v>88</v>
      </c>
      <c r="AW907" s="13" t="s">
        <v>213</v>
      </c>
      <c r="AX907" s="13" t="s">
        <v>86</v>
      </c>
      <c r="AY907" s="238" t="s">
        <v>200</v>
      </c>
    </row>
    <row r="908" s="2" customFormat="1" ht="24.15" customHeight="1">
      <c r="A908" s="40"/>
      <c r="B908" s="41"/>
      <c r="C908" s="209" t="s">
        <v>1517</v>
      </c>
      <c r="D908" s="209" t="s">
        <v>202</v>
      </c>
      <c r="E908" s="210" t="s">
        <v>1518</v>
      </c>
      <c r="F908" s="211" t="s">
        <v>1519</v>
      </c>
      <c r="G908" s="212" t="s">
        <v>449</v>
      </c>
      <c r="H908" s="213">
        <v>12</v>
      </c>
      <c r="I908" s="214"/>
      <c r="J908" s="215">
        <f>ROUND(I908*H908,1)</f>
        <v>0</v>
      </c>
      <c r="K908" s="211" t="s">
        <v>206</v>
      </c>
      <c r="L908" s="46"/>
      <c r="M908" s="216" t="s">
        <v>32</v>
      </c>
      <c r="N908" s="217" t="s">
        <v>49</v>
      </c>
      <c r="O908" s="86"/>
      <c r="P908" s="218">
        <f>O908*H908</f>
        <v>0</v>
      </c>
      <c r="Q908" s="218">
        <v>0</v>
      </c>
      <c r="R908" s="218">
        <f>Q908*H908</f>
        <v>0</v>
      </c>
      <c r="S908" s="218">
        <v>0</v>
      </c>
      <c r="T908" s="219">
        <f>S908*H908</f>
        <v>0</v>
      </c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R908" s="220" t="s">
        <v>310</v>
      </c>
      <c r="AT908" s="220" t="s">
        <v>202</v>
      </c>
      <c r="AU908" s="220" t="s">
        <v>88</v>
      </c>
      <c r="AY908" s="18" t="s">
        <v>200</v>
      </c>
      <c r="BE908" s="221">
        <f>IF(N908="základní",J908,0)</f>
        <v>0</v>
      </c>
      <c r="BF908" s="221">
        <f>IF(N908="snížená",J908,0)</f>
        <v>0</v>
      </c>
      <c r="BG908" s="221">
        <f>IF(N908="zákl. přenesená",J908,0)</f>
        <v>0</v>
      </c>
      <c r="BH908" s="221">
        <f>IF(N908="sníž. přenesená",J908,0)</f>
        <v>0</v>
      </c>
      <c r="BI908" s="221">
        <f>IF(N908="nulová",J908,0)</f>
        <v>0</v>
      </c>
      <c r="BJ908" s="18" t="s">
        <v>86</v>
      </c>
      <c r="BK908" s="221">
        <f>ROUND(I908*H908,1)</f>
        <v>0</v>
      </c>
      <c r="BL908" s="18" t="s">
        <v>310</v>
      </c>
      <c r="BM908" s="220" t="s">
        <v>1520</v>
      </c>
    </row>
    <row r="909" s="2" customFormat="1">
      <c r="A909" s="40"/>
      <c r="B909" s="41"/>
      <c r="C909" s="42"/>
      <c r="D909" s="222" t="s">
        <v>209</v>
      </c>
      <c r="E909" s="42"/>
      <c r="F909" s="223" t="s">
        <v>1521</v>
      </c>
      <c r="G909" s="42"/>
      <c r="H909" s="42"/>
      <c r="I909" s="224"/>
      <c r="J909" s="42"/>
      <c r="K909" s="42"/>
      <c r="L909" s="46"/>
      <c r="M909" s="225"/>
      <c r="N909" s="226"/>
      <c r="O909" s="86"/>
      <c r="P909" s="86"/>
      <c r="Q909" s="86"/>
      <c r="R909" s="86"/>
      <c r="S909" s="86"/>
      <c r="T909" s="87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T909" s="18" t="s">
        <v>209</v>
      </c>
      <c r="AU909" s="18" t="s">
        <v>88</v>
      </c>
    </row>
    <row r="910" s="2" customFormat="1" ht="24.15" customHeight="1">
      <c r="A910" s="40"/>
      <c r="B910" s="41"/>
      <c r="C910" s="260" t="s">
        <v>1522</v>
      </c>
      <c r="D910" s="260" t="s">
        <v>292</v>
      </c>
      <c r="E910" s="261" t="s">
        <v>1523</v>
      </c>
      <c r="F910" s="262" t="s">
        <v>1524</v>
      </c>
      <c r="G910" s="263" t="s">
        <v>449</v>
      </c>
      <c r="H910" s="264">
        <v>2</v>
      </c>
      <c r="I910" s="265"/>
      <c r="J910" s="266">
        <f>ROUND(I910*H910,1)</f>
        <v>0</v>
      </c>
      <c r="K910" s="262" t="s">
        <v>32</v>
      </c>
      <c r="L910" s="267"/>
      <c r="M910" s="268" t="s">
        <v>32</v>
      </c>
      <c r="N910" s="269" t="s">
        <v>49</v>
      </c>
      <c r="O910" s="86"/>
      <c r="P910" s="218">
        <f>O910*H910</f>
        <v>0</v>
      </c>
      <c r="Q910" s="218">
        <v>0.020500000000000001</v>
      </c>
      <c r="R910" s="218">
        <f>Q910*H910</f>
        <v>0.041000000000000002</v>
      </c>
      <c r="S910" s="218">
        <v>0</v>
      </c>
      <c r="T910" s="219">
        <f>S910*H910</f>
        <v>0</v>
      </c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R910" s="220" t="s">
        <v>429</v>
      </c>
      <c r="AT910" s="220" t="s">
        <v>292</v>
      </c>
      <c r="AU910" s="220" t="s">
        <v>88</v>
      </c>
      <c r="AY910" s="18" t="s">
        <v>200</v>
      </c>
      <c r="BE910" s="221">
        <f>IF(N910="základní",J910,0)</f>
        <v>0</v>
      </c>
      <c r="BF910" s="221">
        <f>IF(N910="snížená",J910,0)</f>
        <v>0</v>
      </c>
      <c r="BG910" s="221">
        <f>IF(N910="zákl. přenesená",J910,0)</f>
        <v>0</v>
      </c>
      <c r="BH910" s="221">
        <f>IF(N910="sníž. přenesená",J910,0)</f>
        <v>0</v>
      </c>
      <c r="BI910" s="221">
        <f>IF(N910="nulová",J910,0)</f>
        <v>0</v>
      </c>
      <c r="BJ910" s="18" t="s">
        <v>86</v>
      </c>
      <c r="BK910" s="221">
        <f>ROUND(I910*H910,1)</f>
        <v>0</v>
      </c>
      <c r="BL910" s="18" t="s">
        <v>310</v>
      </c>
      <c r="BM910" s="220" t="s">
        <v>1525</v>
      </c>
    </row>
    <row r="911" s="2" customFormat="1">
      <c r="A911" s="40"/>
      <c r="B911" s="41"/>
      <c r="C911" s="42"/>
      <c r="D911" s="229" t="s">
        <v>355</v>
      </c>
      <c r="E911" s="42"/>
      <c r="F911" s="281" t="s">
        <v>1485</v>
      </c>
      <c r="G911" s="42"/>
      <c r="H911" s="42"/>
      <c r="I911" s="224"/>
      <c r="J911" s="42"/>
      <c r="K911" s="42"/>
      <c r="L911" s="46"/>
      <c r="M911" s="225"/>
      <c r="N911" s="226"/>
      <c r="O911" s="86"/>
      <c r="P911" s="86"/>
      <c r="Q911" s="86"/>
      <c r="R911" s="86"/>
      <c r="S911" s="86"/>
      <c r="T911" s="87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T911" s="18" t="s">
        <v>355</v>
      </c>
      <c r="AU911" s="18" t="s">
        <v>88</v>
      </c>
    </row>
    <row r="912" s="13" customFormat="1">
      <c r="A912" s="13"/>
      <c r="B912" s="227"/>
      <c r="C912" s="228"/>
      <c r="D912" s="229" t="s">
        <v>211</v>
      </c>
      <c r="E912" s="230" t="s">
        <v>32</v>
      </c>
      <c r="F912" s="231" t="s">
        <v>1526</v>
      </c>
      <c r="G912" s="228"/>
      <c r="H912" s="232">
        <v>2</v>
      </c>
      <c r="I912" s="233"/>
      <c r="J912" s="228"/>
      <c r="K912" s="228"/>
      <c r="L912" s="234"/>
      <c r="M912" s="235"/>
      <c r="N912" s="236"/>
      <c r="O912" s="236"/>
      <c r="P912" s="236"/>
      <c r="Q912" s="236"/>
      <c r="R912" s="236"/>
      <c r="S912" s="236"/>
      <c r="T912" s="237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T912" s="238" t="s">
        <v>211</v>
      </c>
      <c r="AU912" s="238" t="s">
        <v>88</v>
      </c>
      <c r="AV912" s="13" t="s">
        <v>88</v>
      </c>
      <c r="AW912" s="13" t="s">
        <v>213</v>
      </c>
      <c r="AX912" s="13" t="s">
        <v>86</v>
      </c>
      <c r="AY912" s="238" t="s">
        <v>200</v>
      </c>
    </row>
    <row r="913" s="2" customFormat="1" ht="24.15" customHeight="1">
      <c r="A913" s="40"/>
      <c r="B913" s="41"/>
      <c r="C913" s="260" t="s">
        <v>1527</v>
      </c>
      <c r="D913" s="260" t="s">
        <v>292</v>
      </c>
      <c r="E913" s="261" t="s">
        <v>1528</v>
      </c>
      <c r="F913" s="262" t="s">
        <v>1529</v>
      </c>
      <c r="G913" s="263" t="s">
        <v>449</v>
      </c>
      <c r="H913" s="264">
        <v>5</v>
      </c>
      <c r="I913" s="265"/>
      <c r="J913" s="266">
        <f>ROUND(I913*H913,1)</f>
        <v>0</v>
      </c>
      <c r="K913" s="262" t="s">
        <v>32</v>
      </c>
      <c r="L913" s="267"/>
      <c r="M913" s="268" t="s">
        <v>32</v>
      </c>
      <c r="N913" s="269" t="s">
        <v>49</v>
      </c>
      <c r="O913" s="86"/>
      <c r="P913" s="218">
        <f>O913*H913</f>
        <v>0</v>
      </c>
      <c r="Q913" s="218">
        <v>0.020500000000000001</v>
      </c>
      <c r="R913" s="218">
        <f>Q913*H913</f>
        <v>0.10250000000000001</v>
      </c>
      <c r="S913" s="218">
        <v>0</v>
      </c>
      <c r="T913" s="219">
        <f>S913*H913</f>
        <v>0</v>
      </c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R913" s="220" t="s">
        <v>429</v>
      </c>
      <c r="AT913" s="220" t="s">
        <v>292</v>
      </c>
      <c r="AU913" s="220" t="s">
        <v>88</v>
      </c>
      <c r="AY913" s="18" t="s">
        <v>200</v>
      </c>
      <c r="BE913" s="221">
        <f>IF(N913="základní",J913,0)</f>
        <v>0</v>
      </c>
      <c r="BF913" s="221">
        <f>IF(N913="snížená",J913,0)</f>
        <v>0</v>
      </c>
      <c r="BG913" s="221">
        <f>IF(N913="zákl. přenesená",J913,0)</f>
        <v>0</v>
      </c>
      <c r="BH913" s="221">
        <f>IF(N913="sníž. přenesená",J913,0)</f>
        <v>0</v>
      </c>
      <c r="BI913" s="221">
        <f>IF(N913="nulová",J913,0)</f>
        <v>0</v>
      </c>
      <c r="BJ913" s="18" t="s">
        <v>86</v>
      </c>
      <c r="BK913" s="221">
        <f>ROUND(I913*H913,1)</f>
        <v>0</v>
      </c>
      <c r="BL913" s="18" t="s">
        <v>310</v>
      </c>
      <c r="BM913" s="220" t="s">
        <v>1530</v>
      </c>
    </row>
    <row r="914" s="2" customFormat="1">
      <c r="A914" s="40"/>
      <c r="B914" s="41"/>
      <c r="C914" s="42"/>
      <c r="D914" s="229" t="s">
        <v>355</v>
      </c>
      <c r="E914" s="42"/>
      <c r="F914" s="281" t="s">
        <v>1485</v>
      </c>
      <c r="G914" s="42"/>
      <c r="H914" s="42"/>
      <c r="I914" s="224"/>
      <c r="J914" s="42"/>
      <c r="K914" s="42"/>
      <c r="L914" s="46"/>
      <c r="M914" s="225"/>
      <c r="N914" s="226"/>
      <c r="O914" s="86"/>
      <c r="P914" s="86"/>
      <c r="Q914" s="86"/>
      <c r="R914" s="86"/>
      <c r="S914" s="86"/>
      <c r="T914" s="87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T914" s="18" t="s">
        <v>355</v>
      </c>
      <c r="AU914" s="18" t="s">
        <v>88</v>
      </c>
    </row>
    <row r="915" s="13" customFormat="1">
      <c r="A915" s="13"/>
      <c r="B915" s="227"/>
      <c r="C915" s="228"/>
      <c r="D915" s="229" t="s">
        <v>211</v>
      </c>
      <c r="E915" s="230" t="s">
        <v>32</v>
      </c>
      <c r="F915" s="231" t="s">
        <v>1531</v>
      </c>
      <c r="G915" s="228"/>
      <c r="H915" s="232">
        <v>3</v>
      </c>
      <c r="I915" s="233"/>
      <c r="J915" s="228"/>
      <c r="K915" s="228"/>
      <c r="L915" s="234"/>
      <c r="M915" s="235"/>
      <c r="N915" s="236"/>
      <c r="O915" s="236"/>
      <c r="P915" s="236"/>
      <c r="Q915" s="236"/>
      <c r="R915" s="236"/>
      <c r="S915" s="236"/>
      <c r="T915" s="237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T915" s="238" t="s">
        <v>211</v>
      </c>
      <c r="AU915" s="238" t="s">
        <v>88</v>
      </c>
      <c r="AV915" s="13" t="s">
        <v>88</v>
      </c>
      <c r="AW915" s="13" t="s">
        <v>213</v>
      </c>
      <c r="AX915" s="13" t="s">
        <v>78</v>
      </c>
      <c r="AY915" s="238" t="s">
        <v>200</v>
      </c>
    </row>
    <row r="916" s="13" customFormat="1">
      <c r="A916" s="13"/>
      <c r="B916" s="227"/>
      <c r="C916" s="228"/>
      <c r="D916" s="229" t="s">
        <v>211</v>
      </c>
      <c r="E916" s="230" t="s">
        <v>32</v>
      </c>
      <c r="F916" s="231" t="s">
        <v>1532</v>
      </c>
      <c r="G916" s="228"/>
      <c r="H916" s="232">
        <v>2</v>
      </c>
      <c r="I916" s="233"/>
      <c r="J916" s="228"/>
      <c r="K916" s="228"/>
      <c r="L916" s="234"/>
      <c r="M916" s="235"/>
      <c r="N916" s="236"/>
      <c r="O916" s="236"/>
      <c r="P916" s="236"/>
      <c r="Q916" s="236"/>
      <c r="R916" s="236"/>
      <c r="S916" s="236"/>
      <c r="T916" s="237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T916" s="238" t="s">
        <v>211</v>
      </c>
      <c r="AU916" s="238" t="s">
        <v>88</v>
      </c>
      <c r="AV916" s="13" t="s">
        <v>88</v>
      </c>
      <c r="AW916" s="13" t="s">
        <v>213</v>
      </c>
      <c r="AX916" s="13" t="s">
        <v>78</v>
      </c>
      <c r="AY916" s="238" t="s">
        <v>200</v>
      </c>
    </row>
    <row r="917" s="14" customFormat="1">
      <c r="A917" s="14"/>
      <c r="B917" s="239"/>
      <c r="C917" s="240"/>
      <c r="D917" s="229" t="s">
        <v>211</v>
      </c>
      <c r="E917" s="241" t="s">
        <v>32</v>
      </c>
      <c r="F917" s="242" t="s">
        <v>220</v>
      </c>
      <c r="G917" s="240"/>
      <c r="H917" s="243">
        <v>5</v>
      </c>
      <c r="I917" s="244"/>
      <c r="J917" s="240"/>
      <c r="K917" s="240"/>
      <c r="L917" s="245"/>
      <c r="M917" s="246"/>
      <c r="N917" s="247"/>
      <c r="O917" s="247"/>
      <c r="P917" s="247"/>
      <c r="Q917" s="247"/>
      <c r="R917" s="247"/>
      <c r="S917" s="247"/>
      <c r="T917" s="248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T917" s="249" t="s">
        <v>211</v>
      </c>
      <c r="AU917" s="249" t="s">
        <v>88</v>
      </c>
      <c r="AV917" s="14" t="s">
        <v>207</v>
      </c>
      <c r="AW917" s="14" t="s">
        <v>213</v>
      </c>
      <c r="AX917" s="14" t="s">
        <v>86</v>
      </c>
      <c r="AY917" s="249" t="s">
        <v>200</v>
      </c>
    </row>
    <row r="918" s="2" customFormat="1" ht="24.15" customHeight="1">
      <c r="A918" s="40"/>
      <c r="B918" s="41"/>
      <c r="C918" s="260" t="s">
        <v>1533</v>
      </c>
      <c r="D918" s="260" t="s">
        <v>292</v>
      </c>
      <c r="E918" s="261" t="s">
        <v>1534</v>
      </c>
      <c r="F918" s="262" t="s">
        <v>1535</v>
      </c>
      <c r="G918" s="263" t="s">
        <v>449</v>
      </c>
      <c r="H918" s="264">
        <v>4</v>
      </c>
      <c r="I918" s="265"/>
      <c r="J918" s="266">
        <f>ROUND(I918*H918,1)</f>
        <v>0</v>
      </c>
      <c r="K918" s="262" t="s">
        <v>32</v>
      </c>
      <c r="L918" s="267"/>
      <c r="M918" s="268" t="s">
        <v>32</v>
      </c>
      <c r="N918" s="269" t="s">
        <v>49</v>
      </c>
      <c r="O918" s="86"/>
      <c r="P918" s="218">
        <f>O918*H918</f>
        <v>0</v>
      </c>
      <c r="Q918" s="218">
        <v>0.020500000000000001</v>
      </c>
      <c r="R918" s="218">
        <f>Q918*H918</f>
        <v>0.082000000000000003</v>
      </c>
      <c r="S918" s="218">
        <v>0</v>
      </c>
      <c r="T918" s="219">
        <f>S918*H918</f>
        <v>0</v>
      </c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R918" s="220" t="s">
        <v>429</v>
      </c>
      <c r="AT918" s="220" t="s">
        <v>292</v>
      </c>
      <c r="AU918" s="220" t="s">
        <v>88</v>
      </c>
      <c r="AY918" s="18" t="s">
        <v>200</v>
      </c>
      <c r="BE918" s="221">
        <f>IF(N918="základní",J918,0)</f>
        <v>0</v>
      </c>
      <c r="BF918" s="221">
        <f>IF(N918="snížená",J918,0)</f>
        <v>0</v>
      </c>
      <c r="BG918" s="221">
        <f>IF(N918="zákl. přenesená",J918,0)</f>
        <v>0</v>
      </c>
      <c r="BH918" s="221">
        <f>IF(N918="sníž. přenesená",J918,0)</f>
        <v>0</v>
      </c>
      <c r="BI918" s="221">
        <f>IF(N918="nulová",J918,0)</f>
        <v>0</v>
      </c>
      <c r="BJ918" s="18" t="s">
        <v>86</v>
      </c>
      <c r="BK918" s="221">
        <f>ROUND(I918*H918,1)</f>
        <v>0</v>
      </c>
      <c r="BL918" s="18" t="s">
        <v>310</v>
      </c>
      <c r="BM918" s="220" t="s">
        <v>1536</v>
      </c>
    </row>
    <row r="919" s="13" customFormat="1">
      <c r="A919" s="13"/>
      <c r="B919" s="227"/>
      <c r="C919" s="228"/>
      <c r="D919" s="229" t="s">
        <v>211</v>
      </c>
      <c r="E919" s="230" t="s">
        <v>32</v>
      </c>
      <c r="F919" s="231" t="s">
        <v>1537</v>
      </c>
      <c r="G919" s="228"/>
      <c r="H919" s="232">
        <v>4</v>
      </c>
      <c r="I919" s="233"/>
      <c r="J919" s="228"/>
      <c r="K919" s="228"/>
      <c r="L919" s="234"/>
      <c r="M919" s="235"/>
      <c r="N919" s="236"/>
      <c r="O919" s="236"/>
      <c r="P919" s="236"/>
      <c r="Q919" s="236"/>
      <c r="R919" s="236"/>
      <c r="S919" s="236"/>
      <c r="T919" s="237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T919" s="238" t="s">
        <v>211</v>
      </c>
      <c r="AU919" s="238" t="s">
        <v>88</v>
      </c>
      <c r="AV919" s="13" t="s">
        <v>88</v>
      </c>
      <c r="AW919" s="13" t="s">
        <v>213</v>
      </c>
      <c r="AX919" s="13" t="s">
        <v>86</v>
      </c>
      <c r="AY919" s="238" t="s">
        <v>200</v>
      </c>
    </row>
    <row r="920" s="2" customFormat="1" ht="24.15" customHeight="1">
      <c r="A920" s="40"/>
      <c r="B920" s="41"/>
      <c r="C920" s="260" t="s">
        <v>1538</v>
      </c>
      <c r="D920" s="260" t="s">
        <v>292</v>
      </c>
      <c r="E920" s="261" t="s">
        <v>1539</v>
      </c>
      <c r="F920" s="262" t="s">
        <v>1535</v>
      </c>
      <c r="G920" s="263" t="s">
        <v>449</v>
      </c>
      <c r="H920" s="264">
        <v>1</v>
      </c>
      <c r="I920" s="265"/>
      <c r="J920" s="266">
        <f>ROUND(I920*H920,1)</f>
        <v>0</v>
      </c>
      <c r="K920" s="262" t="s">
        <v>32</v>
      </c>
      <c r="L920" s="267"/>
      <c r="M920" s="268" t="s">
        <v>32</v>
      </c>
      <c r="N920" s="269" t="s">
        <v>49</v>
      </c>
      <c r="O920" s="86"/>
      <c r="P920" s="218">
        <f>O920*H920</f>
        <v>0</v>
      </c>
      <c r="Q920" s="218">
        <v>0.020500000000000001</v>
      </c>
      <c r="R920" s="218">
        <f>Q920*H920</f>
        <v>0.020500000000000001</v>
      </c>
      <c r="S920" s="218">
        <v>0</v>
      </c>
      <c r="T920" s="219">
        <f>S920*H920</f>
        <v>0</v>
      </c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R920" s="220" t="s">
        <v>429</v>
      </c>
      <c r="AT920" s="220" t="s">
        <v>292</v>
      </c>
      <c r="AU920" s="220" t="s">
        <v>88</v>
      </c>
      <c r="AY920" s="18" t="s">
        <v>200</v>
      </c>
      <c r="BE920" s="221">
        <f>IF(N920="základní",J920,0)</f>
        <v>0</v>
      </c>
      <c r="BF920" s="221">
        <f>IF(N920="snížená",J920,0)</f>
        <v>0</v>
      </c>
      <c r="BG920" s="221">
        <f>IF(N920="zákl. přenesená",J920,0)</f>
        <v>0</v>
      </c>
      <c r="BH920" s="221">
        <f>IF(N920="sníž. přenesená",J920,0)</f>
        <v>0</v>
      </c>
      <c r="BI920" s="221">
        <f>IF(N920="nulová",J920,0)</f>
        <v>0</v>
      </c>
      <c r="BJ920" s="18" t="s">
        <v>86</v>
      </c>
      <c r="BK920" s="221">
        <f>ROUND(I920*H920,1)</f>
        <v>0</v>
      </c>
      <c r="BL920" s="18" t="s">
        <v>310</v>
      </c>
      <c r="BM920" s="220" t="s">
        <v>1540</v>
      </c>
    </row>
    <row r="921" s="2" customFormat="1">
      <c r="A921" s="40"/>
      <c r="B921" s="41"/>
      <c r="C921" s="42"/>
      <c r="D921" s="229" t="s">
        <v>355</v>
      </c>
      <c r="E921" s="42"/>
      <c r="F921" s="281" t="s">
        <v>1541</v>
      </c>
      <c r="G921" s="42"/>
      <c r="H921" s="42"/>
      <c r="I921" s="224"/>
      <c r="J921" s="42"/>
      <c r="K921" s="42"/>
      <c r="L921" s="46"/>
      <c r="M921" s="225"/>
      <c r="N921" s="226"/>
      <c r="O921" s="86"/>
      <c r="P921" s="86"/>
      <c r="Q921" s="86"/>
      <c r="R921" s="86"/>
      <c r="S921" s="86"/>
      <c r="T921" s="87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T921" s="18" t="s">
        <v>355</v>
      </c>
      <c r="AU921" s="18" t="s">
        <v>88</v>
      </c>
    </row>
    <row r="922" s="13" customFormat="1">
      <c r="A922" s="13"/>
      <c r="B922" s="227"/>
      <c r="C922" s="228"/>
      <c r="D922" s="229" t="s">
        <v>211</v>
      </c>
      <c r="E922" s="230" t="s">
        <v>32</v>
      </c>
      <c r="F922" s="231" t="s">
        <v>1542</v>
      </c>
      <c r="G922" s="228"/>
      <c r="H922" s="232">
        <v>1</v>
      </c>
      <c r="I922" s="233"/>
      <c r="J922" s="228"/>
      <c r="K922" s="228"/>
      <c r="L922" s="234"/>
      <c r="M922" s="235"/>
      <c r="N922" s="236"/>
      <c r="O922" s="236"/>
      <c r="P922" s="236"/>
      <c r="Q922" s="236"/>
      <c r="R922" s="236"/>
      <c r="S922" s="236"/>
      <c r="T922" s="237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T922" s="238" t="s">
        <v>211</v>
      </c>
      <c r="AU922" s="238" t="s">
        <v>88</v>
      </c>
      <c r="AV922" s="13" t="s">
        <v>88</v>
      </c>
      <c r="AW922" s="13" t="s">
        <v>213</v>
      </c>
      <c r="AX922" s="13" t="s">
        <v>86</v>
      </c>
      <c r="AY922" s="238" t="s">
        <v>200</v>
      </c>
    </row>
    <row r="923" s="2" customFormat="1" ht="24.15" customHeight="1">
      <c r="A923" s="40"/>
      <c r="B923" s="41"/>
      <c r="C923" s="209" t="s">
        <v>1543</v>
      </c>
      <c r="D923" s="209" t="s">
        <v>202</v>
      </c>
      <c r="E923" s="210" t="s">
        <v>1544</v>
      </c>
      <c r="F923" s="211" t="s">
        <v>1545</v>
      </c>
      <c r="G923" s="212" t="s">
        <v>449</v>
      </c>
      <c r="H923" s="213">
        <v>2</v>
      </c>
      <c r="I923" s="214"/>
      <c r="J923" s="215">
        <f>ROUND(I923*H923,1)</f>
        <v>0</v>
      </c>
      <c r="K923" s="211" t="s">
        <v>206</v>
      </c>
      <c r="L923" s="46"/>
      <c r="M923" s="216" t="s">
        <v>32</v>
      </c>
      <c r="N923" s="217" t="s">
        <v>49</v>
      </c>
      <c r="O923" s="86"/>
      <c r="P923" s="218">
        <f>O923*H923</f>
        <v>0</v>
      </c>
      <c r="Q923" s="218">
        <v>0</v>
      </c>
      <c r="R923" s="218">
        <f>Q923*H923</f>
        <v>0</v>
      </c>
      <c r="S923" s="218">
        <v>0</v>
      </c>
      <c r="T923" s="219">
        <f>S923*H923</f>
        <v>0</v>
      </c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R923" s="220" t="s">
        <v>310</v>
      </c>
      <c r="AT923" s="220" t="s">
        <v>202</v>
      </c>
      <c r="AU923" s="220" t="s">
        <v>88</v>
      </c>
      <c r="AY923" s="18" t="s">
        <v>200</v>
      </c>
      <c r="BE923" s="221">
        <f>IF(N923="základní",J923,0)</f>
        <v>0</v>
      </c>
      <c r="BF923" s="221">
        <f>IF(N923="snížená",J923,0)</f>
        <v>0</v>
      </c>
      <c r="BG923" s="221">
        <f>IF(N923="zákl. přenesená",J923,0)</f>
        <v>0</v>
      </c>
      <c r="BH923" s="221">
        <f>IF(N923="sníž. přenesená",J923,0)</f>
        <v>0</v>
      </c>
      <c r="BI923" s="221">
        <f>IF(N923="nulová",J923,0)</f>
        <v>0</v>
      </c>
      <c r="BJ923" s="18" t="s">
        <v>86</v>
      </c>
      <c r="BK923" s="221">
        <f>ROUND(I923*H923,1)</f>
        <v>0</v>
      </c>
      <c r="BL923" s="18" t="s">
        <v>310</v>
      </c>
      <c r="BM923" s="220" t="s">
        <v>1546</v>
      </c>
    </row>
    <row r="924" s="2" customFormat="1">
      <c r="A924" s="40"/>
      <c r="B924" s="41"/>
      <c r="C924" s="42"/>
      <c r="D924" s="222" t="s">
        <v>209</v>
      </c>
      <c r="E924" s="42"/>
      <c r="F924" s="223" t="s">
        <v>1547</v>
      </c>
      <c r="G924" s="42"/>
      <c r="H924" s="42"/>
      <c r="I924" s="224"/>
      <c r="J924" s="42"/>
      <c r="K924" s="42"/>
      <c r="L924" s="46"/>
      <c r="M924" s="225"/>
      <c r="N924" s="226"/>
      <c r="O924" s="86"/>
      <c r="P924" s="86"/>
      <c r="Q924" s="86"/>
      <c r="R924" s="86"/>
      <c r="S924" s="86"/>
      <c r="T924" s="87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T924" s="18" t="s">
        <v>209</v>
      </c>
      <c r="AU924" s="18" t="s">
        <v>88</v>
      </c>
    </row>
    <row r="925" s="2" customFormat="1" ht="24.15" customHeight="1">
      <c r="A925" s="40"/>
      <c r="B925" s="41"/>
      <c r="C925" s="260" t="s">
        <v>1548</v>
      </c>
      <c r="D925" s="260" t="s">
        <v>292</v>
      </c>
      <c r="E925" s="261" t="s">
        <v>1549</v>
      </c>
      <c r="F925" s="262" t="s">
        <v>1550</v>
      </c>
      <c r="G925" s="263" t="s">
        <v>449</v>
      </c>
      <c r="H925" s="264">
        <v>2</v>
      </c>
      <c r="I925" s="265"/>
      <c r="J925" s="266">
        <f>ROUND(I925*H925,1)</f>
        <v>0</v>
      </c>
      <c r="K925" s="262" t="s">
        <v>32</v>
      </c>
      <c r="L925" s="267"/>
      <c r="M925" s="268" t="s">
        <v>32</v>
      </c>
      <c r="N925" s="269" t="s">
        <v>49</v>
      </c>
      <c r="O925" s="86"/>
      <c r="P925" s="218">
        <f>O925*H925</f>
        <v>0</v>
      </c>
      <c r="Q925" s="218">
        <v>0</v>
      </c>
      <c r="R925" s="218">
        <f>Q925*H925</f>
        <v>0</v>
      </c>
      <c r="S925" s="218">
        <v>0</v>
      </c>
      <c r="T925" s="219">
        <f>S925*H925</f>
        <v>0</v>
      </c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R925" s="220" t="s">
        <v>429</v>
      </c>
      <c r="AT925" s="220" t="s">
        <v>292</v>
      </c>
      <c r="AU925" s="220" t="s">
        <v>88</v>
      </c>
      <c r="AY925" s="18" t="s">
        <v>200</v>
      </c>
      <c r="BE925" s="221">
        <f>IF(N925="základní",J925,0)</f>
        <v>0</v>
      </c>
      <c r="BF925" s="221">
        <f>IF(N925="snížená",J925,0)</f>
        <v>0</v>
      </c>
      <c r="BG925" s="221">
        <f>IF(N925="zákl. přenesená",J925,0)</f>
        <v>0</v>
      </c>
      <c r="BH925" s="221">
        <f>IF(N925="sníž. přenesená",J925,0)</f>
        <v>0</v>
      </c>
      <c r="BI925" s="221">
        <f>IF(N925="nulová",J925,0)</f>
        <v>0</v>
      </c>
      <c r="BJ925" s="18" t="s">
        <v>86</v>
      </c>
      <c r="BK925" s="221">
        <f>ROUND(I925*H925,1)</f>
        <v>0</v>
      </c>
      <c r="BL925" s="18" t="s">
        <v>310</v>
      </c>
      <c r="BM925" s="220" t="s">
        <v>1551</v>
      </c>
    </row>
    <row r="926" s="2" customFormat="1">
      <c r="A926" s="40"/>
      <c r="B926" s="41"/>
      <c r="C926" s="42"/>
      <c r="D926" s="229" t="s">
        <v>355</v>
      </c>
      <c r="E926" s="42"/>
      <c r="F926" s="281" t="s">
        <v>1552</v>
      </c>
      <c r="G926" s="42"/>
      <c r="H926" s="42"/>
      <c r="I926" s="224"/>
      <c r="J926" s="42"/>
      <c r="K926" s="42"/>
      <c r="L926" s="46"/>
      <c r="M926" s="225"/>
      <c r="N926" s="226"/>
      <c r="O926" s="86"/>
      <c r="P926" s="86"/>
      <c r="Q926" s="86"/>
      <c r="R926" s="86"/>
      <c r="S926" s="86"/>
      <c r="T926" s="87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T926" s="18" t="s">
        <v>355</v>
      </c>
      <c r="AU926" s="18" t="s">
        <v>88</v>
      </c>
    </row>
    <row r="927" s="13" customFormat="1">
      <c r="A927" s="13"/>
      <c r="B927" s="227"/>
      <c r="C927" s="228"/>
      <c r="D927" s="229" t="s">
        <v>211</v>
      </c>
      <c r="E927" s="230" t="s">
        <v>32</v>
      </c>
      <c r="F927" s="231" t="s">
        <v>1553</v>
      </c>
      <c r="G927" s="228"/>
      <c r="H927" s="232">
        <v>2</v>
      </c>
      <c r="I927" s="233"/>
      <c r="J927" s="228"/>
      <c r="K927" s="228"/>
      <c r="L927" s="234"/>
      <c r="M927" s="235"/>
      <c r="N927" s="236"/>
      <c r="O927" s="236"/>
      <c r="P927" s="236"/>
      <c r="Q927" s="236"/>
      <c r="R927" s="236"/>
      <c r="S927" s="236"/>
      <c r="T927" s="237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T927" s="238" t="s">
        <v>211</v>
      </c>
      <c r="AU927" s="238" t="s">
        <v>88</v>
      </c>
      <c r="AV927" s="13" t="s">
        <v>88</v>
      </c>
      <c r="AW927" s="13" t="s">
        <v>213</v>
      </c>
      <c r="AX927" s="13" t="s">
        <v>86</v>
      </c>
      <c r="AY927" s="238" t="s">
        <v>200</v>
      </c>
    </row>
    <row r="928" s="2" customFormat="1" ht="33" customHeight="1">
      <c r="A928" s="40"/>
      <c r="B928" s="41"/>
      <c r="C928" s="209" t="s">
        <v>1554</v>
      </c>
      <c r="D928" s="209" t="s">
        <v>202</v>
      </c>
      <c r="E928" s="210" t="s">
        <v>1555</v>
      </c>
      <c r="F928" s="211" t="s">
        <v>1556</v>
      </c>
      <c r="G928" s="212" t="s">
        <v>449</v>
      </c>
      <c r="H928" s="213">
        <v>8</v>
      </c>
      <c r="I928" s="214"/>
      <c r="J928" s="215">
        <f>ROUND(I928*H928,1)</f>
        <v>0</v>
      </c>
      <c r="K928" s="211" t="s">
        <v>206</v>
      </c>
      <c r="L928" s="46"/>
      <c r="M928" s="216" t="s">
        <v>32</v>
      </c>
      <c r="N928" s="217" t="s">
        <v>49</v>
      </c>
      <c r="O928" s="86"/>
      <c r="P928" s="218">
        <f>O928*H928</f>
        <v>0</v>
      </c>
      <c r="Q928" s="218">
        <v>0.00027</v>
      </c>
      <c r="R928" s="218">
        <f>Q928*H928</f>
        <v>0.00216</v>
      </c>
      <c r="S928" s="218">
        <v>0</v>
      </c>
      <c r="T928" s="219">
        <f>S928*H928</f>
        <v>0</v>
      </c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R928" s="220" t="s">
        <v>310</v>
      </c>
      <c r="AT928" s="220" t="s">
        <v>202</v>
      </c>
      <c r="AU928" s="220" t="s">
        <v>88</v>
      </c>
      <c r="AY928" s="18" t="s">
        <v>200</v>
      </c>
      <c r="BE928" s="221">
        <f>IF(N928="základní",J928,0)</f>
        <v>0</v>
      </c>
      <c r="BF928" s="221">
        <f>IF(N928="snížená",J928,0)</f>
        <v>0</v>
      </c>
      <c r="BG928" s="221">
        <f>IF(N928="zákl. přenesená",J928,0)</f>
        <v>0</v>
      </c>
      <c r="BH928" s="221">
        <f>IF(N928="sníž. přenesená",J928,0)</f>
        <v>0</v>
      </c>
      <c r="BI928" s="221">
        <f>IF(N928="nulová",J928,0)</f>
        <v>0</v>
      </c>
      <c r="BJ928" s="18" t="s">
        <v>86</v>
      </c>
      <c r="BK928" s="221">
        <f>ROUND(I928*H928,1)</f>
        <v>0</v>
      </c>
      <c r="BL928" s="18" t="s">
        <v>310</v>
      </c>
      <c r="BM928" s="220" t="s">
        <v>1557</v>
      </c>
    </row>
    <row r="929" s="2" customFormat="1">
      <c r="A929" s="40"/>
      <c r="B929" s="41"/>
      <c r="C929" s="42"/>
      <c r="D929" s="222" t="s">
        <v>209</v>
      </c>
      <c r="E929" s="42"/>
      <c r="F929" s="223" t="s">
        <v>1558</v>
      </c>
      <c r="G929" s="42"/>
      <c r="H929" s="42"/>
      <c r="I929" s="224"/>
      <c r="J929" s="42"/>
      <c r="K929" s="42"/>
      <c r="L929" s="46"/>
      <c r="M929" s="225"/>
      <c r="N929" s="226"/>
      <c r="O929" s="86"/>
      <c r="P929" s="86"/>
      <c r="Q929" s="86"/>
      <c r="R929" s="86"/>
      <c r="S929" s="86"/>
      <c r="T929" s="87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T929" s="18" t="s">
        <v>209</v>
      </c>
      <c r="AU929" s="18" t="s">
        <v>88</v>
      </c>
    </row>
    <row r="930" s="2" customFormat="1" ht="16.5" customHeight="1">
      <c r="A930" s="40"/>
      <c r="B930" s="41"/>
      <c r="C930" s="260" t="s">
        <v>1559</v>
      </c>
      <c r="D930" s="260" t="s">
        <v>292</v>
      </c>
      <c r="E930" s="261" t="s">
        <v>1560</v>
      </c>
      <c r="F930" s="262" t="s">
        <v>1561</v>
      </c>
      <c r="G930" s="263" t="s">
        <v>449</v>
      </c>
      <c r="H930" s="264">
        <v>8</v>
      </c>
      <c r="I930" s="265"/>
      <c r="J930" s="266">
        <f>ROUND(I930*H930,1)</f>
        <v>0</v>
      </c>
      <c r="K930" s="262" t="s">
        <v>206</v>
      </c>
      <c r="L930" s="267"/>
      <c r="M930" s="268" t="s">
        <v>32</v>
      </c>
      <c r="N930" s="269" t="s">
        <v>49</v>
      </c>
      <c r="O930" s="86"/>
      <c r="P930" s="218">
        <f>O930*H930</f>
        <v>0</v>
      </c>
      <c r="Q930" s="218">
        <v>0.0080999999999999996</v>
      </c>
      <c r="R930" s="218">
        <f>Q930*H930</f>
        <v>0.064799999999999996</v>
      </c>
      <c r="S930" s="218">
        <v>0</v>
      </c>
      <c r="T930" s="219">
        <f>S930*H930</f>
        <v>0</v>
      </c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R930" s="220" t="s">
        <v>429</v>
      </c>
      <c r="AT930" s="220" t="s">
        <v>292</v>
      </c>
      <c r="AU930" s="220" t="s">
        <v>88</v>
      </c>
      <c r="AY930" s="18" t="s">
        <v>200</v>
      </c>
      <c r="BE930" s="221">
        <f>IF(N930="základní",J930,0)</f>
        <v>0</v>
      </c>
      <c r="BF930" s="221">
        <f>IF(N930="snížená",J930,0)</f>
        <v>0</v>
      </c>
      <c r="BG930" s="221">
        <f>IF(N930="zákl. přenesená",J930,0)</f>
        <v>0</v>
      </c>
      <c r="BH930" s="221">
        <f>IF(N930="sníž. přenesená",J930,0)</f>
        <v>0</v>
      </c>
      <c r="BI930" s="221">
        <f>IF(N930="nulová",J930,0)</f>
        <v>0</v>
      </c>
      <c r="BJ930" s="18" t="s">
        <v>86</v>
      </c>
      <c r="BK930" s="221">
        <f>ROUND(I930*H930,1)</f>
        <v>0</v>
      </c>
      <c r="BL930" s="18" t="s">
        <v>310</v>
      </c>
      <c r="BM930" s="220" t="s">
        <v>1562</v>
      </c>
    </row>
    <row r="931" s="2" customFormat="1" ht="16.5" customHeight="1">
      <c r="A931" s="40"/>
      <c r="B931" s="41"/>
      <c r="C931" s="260" t="s">
        <v>1563</v>
      </c>
      <c r="D931" s="260" t="s">
        <v>292</v>
      </c>
      <c r="E931" s="261" t="s">
        <v>1564</v>
      </c>
      <c r="F931" s="262" t="s">
        <v>1565</v>
      </c>
      <c r="G931" s="263" t="s">
        <v>449</v>
      </c>
      <c r="H931" s="264">
        <v>8</v>
      </c>
      <c r="I931" s="265"/>
      <c r="J931" s="266">
        <f>ROUND(I931*H931,1)</f>
        <v>0</v>
      </c>
      <c r="K931" s="262" t="s">
        <v>206</v>
      </c>
      <c r="L931" s="267"/>
      <c r="M931" s="268" t="s">
        <v>32</v>
      </c>
      <c r="N931" s="269" t="s">
        <v>49</v>
      </c>
      <c r="O931" s="86"/>
      <c r="P931" s="218">
        <f>O931*H931</f>
        <v>0</v>
      </c>
      <c r="Q931" s="218">
        <v>0.067919999999999994</v>
      </c>
      <c r="R931" s="218">
        <f>Q931*H931</f>
        <v>0.54335999999999995</v>
      </c>
      <c r="S931" s="218">
        <v>0</v>
      </c>
      <c r="T931" s="219">
        <f>S931*H931</f>
        <v>0</v>
      </c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R931" s="220" t="s">
        <v>429</v>
      </c>
      <c r="AT931" s="220" t="s">
        <v>292</v>
      </c>
      <c r="AU931" s="220" t="s">
        <v>88</v>
      </c>
      <c r="AY931" s="18" t="s">
        <v>200</v>
      </c>
      <c r="BE931" s="221">
        <f>IF(N931="základní",J931,0)</f>
        <v>0</v>
      </c>
      <c r="BF931" s="221">
        <f>IF(N931="snížená",J931,0)</f>
        <v>0</v>
      </c>
      <c r="BG931" s="221">
        <f>IF(N931="zákl. přenesená",J931,0)</f>
        <v>0</v>
      </c>
      <c r="BH931" s="221">
        <f>IF(N931="sníž. přenesená",J931,0)</f>
        <v>0</v>
      </c>
      <c r="BI931" s="221">
        <f>IF(N931="nulová",J931,0)</f>
        <v>0</v>
      </c>
      <c r="BJ931" s="18" t="s">
        <v>86</v>
      </c>
      <c r="BK931" s="221">
        <f>ROUND(I931*H931,1)</f>
        <v>0</v>
      </c>
      <c r="BL931" s="18" t="s">
        <v>310</v>
      </c>
      <c r="BM931" s="220" t="s">
        <v>1566</v>
      </c>
    </row>
    <row r="932" s="2" customFormat="1">
      <c r="A932" s="40"/>
      <c r="B932" s="41"/>
      <c r="C932" s="42"/>
      <c r="D932" s="229" t="s">
        <v>355</v>
      </c>
      <c r="E932" s="42"/>
      <c r="F932" s="281" t="s">
        <v>1567</v>
      </c>
      <c r="G932" s="42"/>
      <c r="H932" s="42"/>
      <c r="I932" s="224"/>
      <c r="J932" s="42"/>
      <c r="K932" s="42"/>
      <c r="L932" s="46"/>
      <c r="M932" s="225"/>
      <c r="N932" s="226"/>
      <c r="O932" s="86"/>
      <c r="P932" s="86"/>
      <c r="Q932" s="86"/>
      <c r="R932" s="86"/>
      <c r="S932" s="86"/>
      <c r="T932" s="87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T932" s="18" t="s">
        <v>355</v>
      </c>
      <c r="AU932" s="18" t="s">
        <v>88</v>
      </c>
    </row>
    <row r="933" s="13" customFormat="1">
      <c r="A933" s="13"/>
      <c r="B933" s="227"/>
      <c r="C933" s="228"/>
      <c r="D933" s="229" t="s">
        <v>211</v>
      </c>
      <c r="E933" s="230" t="s">
        <v>32</v>
      </c>
      <c r="F933" s="231" t="s">
        <v>1568</v>
      </c>
      <c r="G933" s="228"/>
      <c r="H933" s="232">
        <v>8</v>
      </c>
      <c r="I933" s="233"/>
      <c r="J933" s="228"/>
      <c r="K933" s="228"/>
      <c r="L933" s="234"/>
      <c r="M933" s="235"/>
      <c r="N933" s="236"/>
      <c r="O933" s="236"/>
      <c r="P933" s="236"/>
      <c r="Q933" s="236"/>
      <c r="R933" s="236"/>
      <c r="S933" s="236"/>
      <c r="T933" s="237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T933" s="238" t="s">
        <v>211</v>
      </c>
      <c r="AU933" s="238" t="s">
        <v>88</v>
      </c>
      <c r="AV933" s="13" t="s">
        <v>88</v>
      </c>
      <c r="AW933" s="13" t="s">
        <v>213</v>
      </c>
      <c r="AX933" s="13" t="s">
        <v>86</v>
      </c>
      <c r="AY933" s="238" t="s">
        <v>200</v>
      </c>
    </row>
    <row r="934" s="2" customFormat="1" ht="24.15" customHeight="1">
      <c r="A934" s="40"/>
      <c r="B934" s="41"/>
      <c r="C934" s="209" t="s">
        <v>1569</v>
      </c>
      <c r="D934" s="209" t="s">
        <v>202</v>
      </c>
      <c r="E934" s="210" t="s">
        <v>1570</v>
      </c>
      <c r="F934" s="211" t="s">
        <v>1571</v>
      </c>
      <c r="G934" s="212" t="s">
        <v>449</v>
      </c>
      <c r="H934" s="213">
        <v>21</v>
      </c>
      <c r="I934" s="214"/>
      <c r="J934" s="215">
        <f>ROUND(I934*H934,1)</f>
        <v>0</v>
      </c>
      <c r="K934" s="211" t="s">
        <v>206</v>
      </c>
      <c r="L934" s="46"/>
      <c r="M934" s="216" t="s">
        <v>32</v>
      </c>
      <c r="N934" s="217" t="s">
        <v>49</v>
      </c>
      <c r="O934" s="86"/>
      <c r="P934" s="218">
        <f>O934*H934</f>
        <v>0</v>
      </c>
      <c r="Q934" s="218">
        <v>0.00046999999999999999</v>
      </c>
      <c r="R934" s="218">
        <f>Q934*H934</f>
        <v>0.0098700000000000003</v>
      </c>
      <c r="S934" s="218">
        <v>0</v>
      </c>
      <c r="T934" s="219">
        <f>S934*H934</f>
        <v>0</v>
      </c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R934" s="220" t="s">
        <v>310</v>
      </c>
      <c r="AT934" s="220" t="s">
        <v>202</v>
      </c>
      <c r="AU934" s="220" t="s">
        <v>88</v>
      </c>
      <c r="AY934" s="18" t="s">
        <v>200</v>
      </c>
      <c r="BE934" s="221">
        <f>IF(N934="základní",J934,0)</f>
        <v>0</v>
      </c>
      <c r="BF934" s="221">
        <f>IF(N934="snížená",J934,0)</f>
        <v>0</v>
      </c>
      <c r="BG934" s="221">
        <f>IF(N934="zákl. přenesená",J934,0)</f>
        <v>0</v>
      </c>
      <c r="BH934" s="221">
        <f>IF(N934="sníž. přenesená",J934,0)</f>
        <v>0</v>
      </c>
      <c r="BI934" s="221">
        <f>IF(N934="nulová",J934,0)</f>
        <v>0</v>
      </c>
      <c r="BJ934" s="18" t="s">
        <v>86</v>
      </c>
      <c r="BK934" s="221">
        <f>ROUND(I934*H934,1)</f>
        <v>0</v>
      </c>
      <c r="BL934" s="18" t="s">
        <v>310</v>
      </c>
      <c r="BM934" s="220" t="s">
        <v>1572</v>
      </c>
    </row>
    <row r="935" s="2" customFormat="1">
      <c r="A935" s="40"/>
      <c r="B935" s="41"/>
      <c r="C935" s="42"/>
      <c r="D935" s="222" t="s">
        <v>209</v>
      </c>
      <c r="E935" s="42"/>
      <c r="F935" s="223" t="s">
        <v>1573</v>
      </c>
      <c r="G935" s="42"/>
      <c r="H935" s="42"/>
      <c r="I935" s="224"/>
      <c r="J935" s="42"/>
      <c r="K935" s="42"/>
      <c r="L935" s="46"/>
      <c r="M935" s="225"/>
      <c r="N935" s="226"/>
      <c r="O935" s="86"/>
      <c r="P935" s="86"/>
      <c r="Q935" s="86"/>
      <c r="R935" s="86"/>
      <c r="S935" s="86"/>
      <c r="T935" s="87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T935" s="18" t="s">
        <v>209</v>
      </c>
      <c r="AU935" s="18" t="s">
        <v>88</v>
      </c>
    </row>
    <row r="936" s="2" customFormat="1" ht="21.75" customHeight="1">
      <c r="A936" s="40"/>
      <c r="B936" s="41"/>
      <c r="C936" s="260" t="s">
        <v>1574</v>
      </c>
      <c r="D936" s="260" t="s">
        <v>292</v>
      </c>
      <c r="E936" s="261" t="s">
        <v>1575</v>
      </c>
      <c r="F936" s="262" t="s">
        <v>1576</v>
      </c>
      <c r="G936" s="263" t="s">
        <v>449</v>
      </c>
      <c r="H936" s="264">
        <v>21</v>
      </c>
      <c r="I936" s="265"/>
      <c r="J936" s="266">
        <f>ROUND(I936*H936,1)</f>
        <v>0</v>
      </c>
      <c r="K936" s="262" t="s">
        <v>206</v>
      </c>
      <c r="L936" s="267"/>
      <c r="M936" s="268" t="s">
        <v>32</v>
      </c>
      <c r="N936" s="269" t="s">
        <v>49</v>
      </c>
      <c r="O936" s="86"/>
      <c r="P936" s="218">
        <f>O936*H936</f>
        <v>0</v>
      </c>
      <c r="Q936" s="218">
        <v>0.016</v>
      </c>
      <c r="R936" s="218">
        <f>Q936*H936</f>
        <v>0.33600000000000002</v>
      </c>
      <c r="S936" s="218">
        <v>0</v>
      </c>
      <c r="T936" s="219">
        <f>S936*H936</f>
        <v>0</v>
      </c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R936" s="220" t="s">
        <v>429</v>
      </c>
      <c r="AT936" s="220" t="s">
        <v>292</v>
      </c>
      <c r="AU936" s="220" t="s">
        <v>88</v>
      </c>
      <c r="AY936" s="18" t="s">
        <v>200</v>
      </c>
      <c r="BE936" s="221">
        <f>IF(N936="základní",J936,0)</f>
        <v>0</v>
      </c>
      <c r="BF936" s="221">
        <f>IF(N936="snížená",J936,0)</f>
        <v>0</v>
      </c>
      <c r="BG936" s="221">
        <f>IF(N936="zákl. přenesená",J936,0)</f>
        <v>0</v>
      </c>
      <c r="BH936" s="221">
        <f>IF(N936="sníž. přenesená",J936,0)</f>
        <v>0</v>
      </c>
      <c r="BI936" s="221">
        <f>IF(N936="nulová",J936,0)</f>
        <v>0</v>
      </c>
      <c r="BJ936" s="18" t="s">
        <v>86</v>
      </c>
      <c r="BK936" s="221">
        <f>ROUND(I936*H936,1)</f>
        <v>0</v>
      </c>
      <c r="BL936" s="18" t="s">
        <v>310</v>
      </c>
      <c r="BM936" s="220" t="s">
        <v>1577</v>
      </c>
    </row>
    <row r="937" s="13" customFormat="1">
      <c r="A937" s="13"/>
      <c r="B937" s="227"/>
      <c r="C937" s="228"/>
      <c r="D937" s="229" t="s">
        <v>211</v>
      </c>
      <c r="E937" s="230" t="s">
        <v>32</v>
      </c>
      <c r="F937" s="231" t="s">
        <v>7</v>
      </c>
      <c r="G937" s="228"/>
      <c r="H937" s="232">
        <v>21</v>
      </c>
      <c r="I937" s="233"/>
      <c r="J937" s="228"/>
      <c r="K937" s="228"/>
      <c r="L937" s="234"/>
      <c r="M937" s="235"/>
      <c r="N937" s="236"/>
      <c r="O937" s="236"/>
      <c r="P937" s="236"/>
      <c r="Q937" s="236"/>
      <c r="R937" s="236"/>
      <c r="S937" s="236"/>
      <c r="T937" s="237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T937" s="238" t="s">
        <v>211</v>
      </c>
      <c r="AU937" s="238" t="s">
        <v>88</v>
      </c>
      <c r="AV937" s="13" t="s">
        <v>88</v>
      </c>
      <c r="AW937" s="13" t="s">
        <v>213</v>
      </c>
      <c r="AX937" s="13" t="s">
        <v>86</v>
      </c>
      <c r="AY937" s="238" t="s">
        <v>200</v>
      </c>
    </row>
    <row r="938" s="2" customFormat="1" ht="24.15" customHeight="1">
      <c r="A938" s="40"/>
      <c r="B938" s="41"/>
      <c r="C938" s="209" t="s">
        <v>1578</v>
      </c>
      <c r="D938" s="209" t="s">
        <v>202</v>
      </c>
      <c r="E938" s="210" t="s">
        <v>1579</v>
      </c>
      <c r="F938" s="211" t="s">
        <v>1580</v>
      </c>
      <c r="G938" s="212" t="s">
        <v>449</v>
      </c>
      <c r="H938" s="213">
        <v>13</v>
      </c>
      <c r="I938" s="214"/>
      <c r="J938" s="215">
        <f>ROUND(I938*H938,1)</f>
        <v>0</v>
      </c>
      <c r="K938" s="211" t="s">
        <v>206</v>
      </c>
      <c r="L938" s="46"/>
      <c r="M938" s="216" t="s">
        <v>32</v>
      </c>
      <c r="N938" s="217" t="s">
        <v>49</v>
      </c>
      <c r="O938" s="86"/>
      <c r="P938" s="218">
        <f>O938*H938</f>
        <v>0</v>
      </c>
      <c r="Q938" s="218">
        <v>0.00048000000000000001</v>
      </c>
      <c r="R938" s="218">
        <f>Q938*H938</f>
        <v>0.0062399999999999999</v>
      </c>
      <c r="S938" s="218">
        <v>0</v>
      </c>
      <c r="T938" s="219">
        <f>S938*H938</f>
        <v>0</v>
      </c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R938" s="220" t="s">
        <v>310</v>
      </c>
      <c r="AT938" s="220" t="s">
        <v>202</v>
      </c>
      <c r="AU938" s="220" t="s">
        <v>88</v>
      </c>
      <c r="AY938" s="18" t="s">
        <v>200</v>
      </c>
      <c r="BE938" s="221">
        <f>IF(N938="základní",J938,0)</f>
        <v>0</v>
      </c>
      <c r="BF938" s="221">
        <f>IF(N938="snížená",J938,0)</f>
        <v>0</v>
      </c>
      <c r="BG938" s="221">
        <f>IF(N938="zákl. přenesená",J938,0)</f>
        <v>0</v>
      </c>
      <c r="BH938" s="221">
        <f>IF(N938="sníž. přenesená",J938,0)</f>
        <v>0</v>
      </c>
      <c r="BI938" s="221">
        <f>IF(N938="nulová",J938,0)</f>
        <v>0</v>
      </c>
      <c r="BJ938" s="18" t="s">
        <v>86</v>
      </c>
      <c r="BK938" s="221">
        <f>ROUND(I938*H938,1)</f>
        <v>0</v>
      </c>
      <c r="BL938" s="18" t="s">
        <v>310</v>
      </c>
      <c r="BM938" s="220" t="s">
        <v>1581</v>
      </c>
    </row>
    <row r="939" s="2" customFormat="1">
      <c r="A939" s="40"/>
      <c r="B939" s="41"/>
      <c r="C939" s="42"/>
      <c r="D939" s="222" t="s">
        <v>209</v>
      </c>
      <c r="E939" s="42"/>
      <c r="F939" s="223" t="s">
        <v>1582</v>
      </c>
      <c r="G939" s="42"/>
      <c r="H939" s="42"/>
      <c r="I939" s="224"/>
      <c r="J939" s="42"/>
      <c r="K939" s="42"/>
      <c r="L939" s="46"/>
      <c r="M939" s="225"/>
      <c r="N939" s="226"/>
      <c r="O939" s="86"/>
      <c r="P939" s="86"/>
      <c r="Q939" s="86"/>
      <c r="R939" s="86"/>
      <c r="S939" s="86"/>
      <c r="T939" s="87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T939" s="18" t="s">
        <v>209</v>
      </c>
      <c r="AU939" s="18" t="s">
        <v>88</v>
      </c>
    </row>
    <row r="940" s="2" customFormat="1" ht="24.15" customHeight="1">
      <c r="A940" s="40"/>
      <c r="B940" s="41"/>
      <c r="C940" s="260" t="s">
        <v>1583</v>
      </c>
      <c r="D940" s="260" t="s">
        <v>292</v>
      </c>
      <c r="E940" s="261" t="s">
        <v>1584</v>
      </c>
      <c r="F940" s="262" t="s">
        <v>1585</v>
      </c>
      <c r="G940" s="263" t="s">
        <v>449</v>
      </c>
      <c r="H940" s="264">
        <v>13</v>
      </c>
      <c r="I940" s="265"/>
      <c r="J940" s="266">
        <f>ROUND(I940*H940,1)</f>
        <v>0</v>
      </c>
      <c r="K940" s="262" t="s">
        <v>206</v>
      </c>
      <c r="L940" s="267"/>
      <c r="M940" s="268" t="s">
        <v>32</v>
      </c>
      <c r="N940" s="269" t="s">
        <v>49</v>
      </c>
      <c r="O940" s="86"/>
      <c r="P940" s="218">
        <f>O940*H940</f>
        <v>0</v>
      </c>
      <c r="Q940" s="218">
        <v>0.035000000000000003</v>
      </c>
      <c r="R940" s="218">
        <f>Q940*H940</f>
        <v>0.45500000000000007</v>
      </c>
      <c r="S940" s="218">
        <v>0</v>
      </c>
      <c r="T940" s="219">
        <f>S940*H940</f>
        <v>0</v>
      </c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R940" s="220" t="s">
        <v>429</v>
      </c>
      <c r="AT940" s="220" t="s">
        <v>292</v>
      </c>
      <c r="AU940" s="220" t="s">
        <v>88</v>
      </c>
      <c r="AY940" s="18" t="s">
        <v>200</v>
      </c>
      <c r="BE940" s="221">
        <f>IF(N940="základní",J940,0)</f>
        <v>0</v>
      </c>
      <c r="BF940" s="221">
        <f>IF(N940="snížená",J940,0)</f>
        <v>0</v>
      </c>
      <c r="BG940" s="221">
        <f>IF(N940="zákl. přenesená",J940,0)</f>
        <v>0</v>
      </c>
      <c r="BH940" s="221">
        <f>IF(N940="sníž. přenesená",J940,0)</f>
        <v>0</v>
      </c>
      <c r="BI940" s="221">
        <f>IF(N940="nulová",J940,0)</f>
        <v>0</v>
      </c>
      <c r="BJ940" s="18" t="s">
        <v>86</v>
      </c>
      <c r="BK940" s="221">
        <f>ROUND(I940*H940,1)</f>
        <v>0</v>
      </c>
      <c r="BL940" s="18" t="s">
        <v>310</v>
      </c>
      <c r="BM940" s="220" t="s">
        <v>1586</v>
      </c>
    </row>
    <row r="941" s="13" customFormat="1">
      <c r="A941" s="13"/>
      <c r="B941" s="227"/>
      <c r="C941" s="228"/>
      <c r="D941" s="229" t="s">
        <v>211</v>
      </c>
      <c r="E941" s="230" t="s">
        <v>32</v>
      </c>
      <c r="F941" s="231" t="s">
        <v>1587</v>
      </c>
      <c r="G941" s="228"/>
      <c r="H941" s="232">
        <v>13</v>
      </c>
      <c r="I941" s="233"/>
      <c r="J941" s="228"/>
      <c r="K941" s="228"/>
      <c r="L941" s="234"/>
      <c r="M941" s="235"/>
      <c r="N941" s="236"/>
      <c r="O941" s="236"/>
      <c r="P941" s="236"/>
      <c r="Q941" s="236"/>
      <c r="R941" s="236"/>
      <c r="S941" s="236"/>
      <c r="T941" s="237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T941" s="238" t="s">
        <v>211</v>
      </c>
      <c r="AU941" s="238" t="s">
        <v>88</v>
      </c>
      <c r="AV941" s="13" t="s">
        <v>88</v>
      </c>
      <c r="AW941" s="13" t="s">
        <v>213</v>
      </c>
      <c r="AX941" s="13" t="s">
        <v>86</v>
      </c>
      <c r="AY941" s="238" t="s">
        <v>200</v>
      </c>
    </row>
    <row r="942" s="2" customFormat="1" ht="24.15" customHeight="1">
      <c r="A942" s="40"/>
      <c r="B942" s="41"/>
      <c r="C942" s="209" t="s">
        <v>1588</v>
      </c>
      <c r="D942" s="209" t="s">
        <v>202</v>
      </c>
      <c r="E942" s="210" t="s">
        <v>1589</v>
      </c>
      <c r="F942" s="211" t="s">
        <v>1590</v>
      </c>
      <c r="G942" s="212" t="s">
        <v>449</v>
      </c>
      <c r="H942" s="213">
        <v>2</v>
      </c>
      <c r="I942" s="214"/>
      <c r="J942" s="215">
        <f>ROUND(I942*H942,1)</f>
        <v>0</v>
      </c>
      <c r="K942" s="211" t="s">
        <v>206</v>
      </c>
      <c r="L942" s="46"/>
      <c r="M942" s="216" t="s">
        <v>32</v>
      </c>
      <c r="N942" s="217" t="s">
        <v>49</v>
      </c>
      <c r="O942" s="86"/>
      <c r="P942" s="218">
        <f>O942*H942</f>
        <v>0</v>
      </c>
      <c r="Q942" s="218">
        <v>0.00046999999999999999</v>
      </c>
      <c r="R942" s="218">
        <f>Q942*H942</f>
        <v>0.00093999999999999997</v>
      </c>
      <c r="S942" s="218">
        <v>0</v>
      </c>
      <c r="T942" s="219">
        <f>S942*H942</f>
        <v>0</v>
      </c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R942" s="220" t="s">
        <v>310</v>
      </c>
      <c r="AT942" s="220" t="s">
        <v>202</v>
      </c>
      <c r="AU942" s="220" t="s">
        <v>88</v>
      </c>
      <c r="AY942" s="18" t="s">
        <v>200</v>
      </c>
      <c r="BE942" s="221">
        <f>IF(N942="základní",J942,0)</f>
        <v>0</v>
      </c>
      <c r="BF942" s="221">
        <f>IF(N942="snížená",J942,0)</f>
        <v>0</v>
      </c>
      <c r="BG942" s="221">
        <f>IF(N942="zákl. přenesená",J942,0)</f>
        <v>0</v>
      </c>
      <c r="BH942" s="221">
        <f>IF(N942="sníž. přenesená",J942,0)</f>
        <v>0</v>
      </c>
      <c r="BI942" s="221">
        <f>IF(N942="nulová",J942,0)</f>
        <v>0</v>
      </c>
      <c r="BJ942" s="18" t="s">
        <v>86</v>
      </c>
      <c r="BK942" s="221">
        <f>ROUND(I942*H942,1)</f>
        <v>0</v>
      </c>
      <c r="BL942" s="18" t="s">
        <v>310</v>
      </c>
      <c r="BM942" s="220" t="s">
        <v>1591</v>
      </c>
    </row>
    <row r="943" s="2" customFormat="1">
      <c r="A943" s="40"/>
      <c r="B943" s="41"/>
      <c r="C943" s="42"/>
      <c r="D943" s="222" t="s">
        <v>209</v>
      </c>
      <c r="E943" s="42"/>
      <c r="F943" s="223" t="s">
        <v>1592</v>
      </c>
      <c r="G943" s="42"/>
      <c r="H943" s="42"/>
      <c r="I943" s="224"/>
      <c r="J943" s="42"/>
      <c r="K943" s="42"/>
      <c r="L943" s="46"/>
      <c r="M943" s="225"/>
      <c r="N943" s="226"/>
      <c r="O943" s="86"/>
      <c r="P943" s="86"/>
      <c r="Q943" s="86"/>
      <c r="R943" s="86"/>
      <c r="S943" s="86"/>
      <c r="T943" s="87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T943" s="18" t="s">
        <v>209</v>
      </c>
      <c r="AU943" s="18" t="s">
        <v>88</v>
      </c>
    </row>
    <row r="944" s="2" customFormat="1" ht="21.75" customHeight="1">
      <c r="A944" s="40"/>
      <c r="B944" s="41"/>
      <c r="C944" s="260" t="s">
        <v>1593</v>
      </c>
      <c r="D944" s="260" t="s">
        <v>292</v>
      </c>
      <c r="E944" s="261" t="s">
        <v>1594</v>
      </c>
      <c r="F944" s="262" t="s">
        <v>1595</v>
      </c>
      <c r="G944" s="263" t="s">
        <v>449</v>
      </c>
      <c r="H944" s="264">
        <v>2</v>
      </c>
      <c r="I944" s="265"/>
      <c r="J944" s="266">
        <f>ROUND(I944*H944,1)</f>
        <v>0</v>
      </c>
      <c r="K944" s="262" t="s">
        <v>32</v>
      </c>
      <c r="L944" s="267"/>
      <c r="M944" s="268" t="s">
        <v>32</v>
      </c>
      <c r="N944" s="269" t="s">
        <v>49</v>
      </c>
      <c r="O944" s="86"/>
      <c r="P944" s="218">
        <f>O944*H944</f>
        <v>0</v>
      </c>
      <c r="Q944" s="218">
        <v>0.041000000000000002</v>
      </c>
      <c r="R944" s="218">
        <f>Q944*H944</f>
        <v>0.082000000000000003</v>
      </c>
      <c r="S944" s="218">
        <v>0</v>
      </c>
      <c r="T944" s="219">
        <f>S944*H944</f>
        <v>0</v>
      </c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R944" s="220" t="s">
        <v>429</v>
      </c>
      <c r="AT944" s="220" t="s">
        <v>292</v>
      </c>
      <c r="AU944" s="220" t="s">
        <v>88</v>
      </c>
      <c r="AY944" s="18" t="s">
        <v>200</v>
      </c>
      <c r="BE944" s="221">
        <f>IF(N944="základní",J944,0)</f>
        <v>0</v>
      </c>
      <c r="BF944" s="221">
        <f>IF(N944="snížená",J944,0)</f>
        <v>0</v>
      </c>
      <c r="BG944" s="221">
        <f>IF(N944="zákl. přenesená",J944,0)</f>
        <v>0</v>
      </c>
      <c r="BH944" s="221">
        <f>IF(N944="sníž. přenesená",J944,0)</f>
        <v>0</v>
      </c>
      <c r="BI944" s="221">
        <f>IF(N944="nulová",J944,0)</f>
        <v>0</v>
      </c>
      <c r="BJ944" s="18" t="s">
        <v>86</v>
      </c>
      <c r="BK944" s="221">
        <f>ROUND(I944*H944,1)</f>
        <v>0</v>
      </c>
      <c r="BL944" s="18" t="s">
        <v>310</v>
      </c>
      <c r="BM944" s="220" t="s">
        <v>1596</v>
      </c>
    </row>
    <row r="945" s="2" customFormat="1" ht="21.75" customHeight="1">
      <c r="A945" s="40"/>
      <c r="B945" s="41"/>
      <c r="C945" s="209" t="s">
        <v>1597</v>
      </c>
      <c r="D945" s="209" t="s">
        <v>202</v>
      </c>
      <c r="E945" s="210" t="s">
        <v>1598</v>
      </c>
      <c r="F945" s="211" t="s">
        <v>1599</v>
      </c>
      <c r="G945" s="212" t="s">
        <v>280</v>
      </c>
      <c r="H945" s="213">
        <v>18.300000000000001</v>
      </c>
      <c r="I945" s="214"/>
      <c r="J945" s="215">
        <f>ROUND(I945*H945,1)</f>
        <v>0</v>
      </c>
      <c r="K945" s="211" t="s">
        <v>206</v>
      </c>
      <c r="L945" s="46"/>
      <c r="M945" s="216" t="s">
        <v>32</v>
      </c>
      <c r="N945" s="217" t="s">
        <v>49</v>
      </c>
      <c r="O945" s="86"/>
      <c r="P945" s="218">
        <f>O945*H945</f>
        <v>0</v>
      </c>
      <c r="Q945" s="218">
        <v>0</v>
      </c>
      <c r="R945" s="218">
        <f>Q945*H945</f>
        <v>0</v>
      </c>
      <c r="S945" s="218">
        <v>0</v>
      </c>
      <c r="T945" s="219">
        <f>S945*H945</f>
        <v>0</v>
      </c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R945" s="220" t="s">
        <v>310</v>
      </c>
      <c r="AT945" s="220" t="s">
        <v>202</v>
      </c>
      <c r="AU945" s="220" t="s">
        <v>88</v>
      </c>
      <c r="AY945" s="18" t="s">
        <v>200</v>
      </c>
      <c r="BE945" s="221">
        <f>IF(N945="základní",J945,0)</f>
        <v>0</v>
      </c>
      <c r="BF945" s="221">
        <f>IF(N945="snížená",J945,0)</f>
        <v>0</v>
      </c>
      <c r="BG945" s="221">
        <f>IF(N945="zákl. přenesená",J945,0)</f>
        <v>0</v>
      </c>
      <c r="BH945" s="221">
        <f>IF(N945="sníž. přenesená",J945,0)</f>
        <v>0</v>
      </c>
      <c r="BI945" s="221">
        <f>IF(N945="nulová",J945,0)</f>
        <v>0</v>
      </c>
      <c r="BJ945" s="18" t="s">
        <v>86</v>
      </c>
      <c r="BK945" s="221">
        <f>ROUND(I945*H945,1)</f>
        <v>0</v>
      </c>
      <c r="BL945" s="18" t="s">
        <v>310</v>
      </c>
      <c r="BM945" s="220" t="s">
        <v>1600</v>
      </c>
    </row>
    <row r="946" s="2" customFormat="1">
      <c r="A946" s="40"/>
      <c r="B946" s="41"/>
      <c r="C946" s="42"/>
      <c r="D946" s="222" t="s">
        <v>209</v>
      </c>
      <c r="E946" s="42"/>
      <c r="F946" s="223" t="s">
        <v>1601</v>
      </c>
      <c r="G946" s="42"/>
      <c r="H946" s="42"/>
      <c r="I946" s="224"/>
      <c r="J946" s="42"/>
      <c r="K946" s="42"/>
      <c r="L946" s="46"/>
      <c r="M946" s="225"/>
      <c r="N946" s="226"/>
      <c r="O946" s="86"/>
      <c r="P946" s="86"/>
      <c r="Q946" s="86"/>
      <c r="R946" s="86"/>
      <c r="S946" s="86"/>
      <c r="T946" s="87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T946" s="18" t="s">
        <v>209</v>
      </c>
      <c r="AU946" s="18" t="s">
        <v>88</v>
      </c>
    </row>
    <row r="947" s="13" customFormat="1">
      <c r="A947" s="13"/>
      <c r="B947" s="227"/>
      <c r="C947" s="228"/>
      <c r="D947" s="229" t="s">
        <v>211</v>
      </c>
      <c r="E947" s="230" t="s">
        <v>32</v>
      </c>
      <c r="F947" s="231" t="s">
        <v>1602</v>
      </c>
      <c r="G947" s="228"/>
      <c r="H947" s="232">
        <v>6</v>
      </c>
      <c r="I947" s="233"/>
      <c r="J947" s="228"/>
      <c r="K947" s="228"/>
      <c r="L947" s="234"/>
      <c r="M947" s="235"/>
      <c r="N947" s="236"/>
      <c r="O947" s="236"/>
      <c r="P947" s="236"/>
      <c r="Q947" s="236"/>
      <c r="R947" s="236"/>
      <c r="S947" s="236"/>
      <c r="T947" s="237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T947" s="238" t="s">
        <v>211</v>
      </c>
      <c r="AU947" s="238" t="s">
        <v>88</v>
      </c>
      <c r="AV947" s="13" t="s">
        <v>88</v>
      </c>
      <c r="AW947" s="13" t="s">
        <v>213</v>
      </c>
      <c r="AX947" s="13" t="s">
        <v>78</v>
      </c>
      <c r="AY947" s="238" t="s">
        <v>200</v>
      </c>
    </row>
    <row r="948" s="13" customFormat="1">
      <c r="A948" s="13"/>
      <c r="B948" s="227"/>
      <c r="C948" s="228"/>
      <c r="D948" s="229" t="s">
        <v>211</v>
      </c>
      <c r="E948" s="230" t="s">
        <v>32</v>
      </c>
      <c r="F948" s="231" t="s">
        <v>1603</v>
      </c>
      <c r="G948" s="228"/>
      <c r="H948" s="232">
        <v>8</v>
      </c>
      <c r="I948" s="233"/>
      <c r="J948" s="228"/>
      <c r="K948" s="228"/>
      <c r="L948" s="234"/>
      <c r="M948" s="235"/>
      <c r="N948" s="236"/>
      <c r="O948" s="236"/>
      <c r="P948" s="236"/>
      <c r="Q948" s="236"/>
      <c r="R948" s="236"/>
      <c r="S948" s="236"/>
      <c r="T948" s="237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T948" s="238" t="s">
        <v>211</v>
      </c>
      <c r="AU948" s="238" t="s">
        <v>88</v>
      </c>
      <c r="AV948" s="13" t="s">
        <v>88</v>
      </c>
      <c r="AW948" s="13" t="s">
        <v>213</v>
      </c>
      <c r="AX948" s="13" t="s">
        <v>78</v>
      </c>
      <c r="AY948" s="238" t="s">
        <v>200</v>
      </c>
    </row>
    <row r="949" s="13" customFormat="1">
      <c r="A949" s="13"/>
      <c r="B949" s="227"/>
      <c r="C949" s="228"/>
      <c r="D949" s="229" t="s">
        <v>211</v>
      </c>
      <c r="E949" s="230" t="s">
        <v>32</v>
      </c>
      <c r="F949" s="231" t="s">
        <v>1604</v>
      </c>
      <c r="G949" s="228"/>
      <c r="H949" s="232">
        <v>1.8</v>
      </c>
      <c r="I949" s="233"/>
      <c r="J949" s="228"/>
      <c r="K949" s="228"/>
      <c r="L949" s="234"/>
      <c r="M949" s="235"/>
      <c r="N949" s="236"/>
      <c r="O949" s="236"/>
      <c r="P949" s="236"/>
      <c r="Q949" s="236"/>
      <c r="R949" s="236"/>
      <c r="S949" s="236"/>
      <c r="T949" s="237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T949" s="238" t="s">
        <v>211</v>
      </c>
      <c r="AU949" s="238" t="s">
        <v>88</v>
      </c>
      <c r="AV949" s="13" t="s">
        <v>88</v>
      </c>
      <c r="AW949" s="13" t="s">
        <v>213</v>
      </c>
      <c r="AX949" s="13" t="s">
        <v>78</v>
      </c>
      <c r="AY949" s="238" t="s">
        <v>200</v>
      </c>
    </row>
    <row r="950" s="13" customFormat="1">
      <c r="A950" s="13"/>
      <c r="B950" s="227"/>
      <c r="C950" s="228"/>
      <c r="D950" s="229" t="s">
        <v>211</v>
      </c>
      <c r="E950" s="230" t="s">
        <v>32</v>
      </c>
      <c r="F950" s="231" t="s">
        <v>1605</v>
      </c>
      <c r="G950" s="228"/>
      <c r="H950" s="232">
        <v>2.5</v>
      </c>
      <c r="I950" s="233"/>
      <c r="J950" s="228"/>
      <c r="K950" s="228"/>
      <c r="L950" s="234"/>
      <c r="M950" s="235"/>
      <c r="N950" s="236"/>
      <c r="O950" s="236"/>
      <c r="P950" s="236"/>
      <c r="Q950" s="236"/>
      <c r="R950" s="236"/>
      <c r="S950" s="236"/>
      <c r="T950" s="237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T950" s="238" t="s">
        <v>211</v>
      </c>
      <c r="AU950" s="238" t="s">
        <v>88</v>
      </c>
      <c r="AV950" s="13" t="s">
        <v>88</v>
      </c>
      <c r="AW950" s="13" t="s">
        <v>213</v>
      </c>
      <c r="AX950" s="13" t="s">
        <v>78</v>
      </c>
      <c r="AY950" s="238" t="s">
        <v>200</v>
      </c>
    </row>
    <row r="951" s="14" customFormat="1">
      <c r="A951" s="14"/>
      <c r="B951" s="239"/>
      <c r="C951" s="240"/>
      <c r="D951" s="229" t="s">
        <v>211</v>
      </c>
      <c r="E951" s="241" t="s">
        <v>32</v>
      </c>
      <c r="F951" s="242" t="s">
        <v>220</v>
      </c>
      <c r="G951" s="240"/>
      <c r="H951" s="243">
        <v>18.300000000000001</v>
      </c>
      <c r="I951" s="244"/>
      <c r="J951" s="240"/>
      <c r="K951" s="240"/>
      <c r="L951" s="245"/>
      <c r="M951" s="246"/>
      <c r="N951" s="247"/>
      <c r="O951" s="247"/>
      <c r="P951" s="247"/>
      <c r="Q951" s="247"/>
      <c r="R951" s="247"/>
      <c r="S951" s="247"/>
      <c r="T951" s="248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T951" s="249" t="s">
        <v>211</v>
      </c>
      <c r="AU951" s="249" t="s">
        <v>88</v>
      </c>
      <c r="AV951" s="14" t="s">
        <v>207</v>
      </c>
      <c r="AW951" s="14" t="s">
        <v>213</v>
      </c>
      <c r="AX951" s="14" t="s">
        <v>86</v>
      </c>
      <c r="AY951" s="249" t="s">
        <v>200</v>
      </c>
    </row>
    <row r="952" s="2" customFormat="1" ht="16.5" customHeight="1">
      <c r="A952" s="40"/>
      <c r="B952" s="41"/>
      <c r="C952" s="260" t="s">
        <v>1606</v>
      </c>
      <c r="D952" s="260" t="s">
        <v>292</v>
      </c>
      <c r="E952" s="261" t="s">
        <v>1607</v>
      </c>
      <c r="F952" s="262" t="s">
        <v>1608</v>
      </c>
      <c r="G952" s="263" t="s">
        <v>280</v>
      </c>
      <c r="H952" s="264">
        <v>18.300000000000001</v>
      </c>
      <c r="I952" s="265"/>
      <c r="J952" s="266">
        <f>ROUND(I952*H952,1)</f>
        <v>0</v>
      </c>
      <c r="K952" s="262" t="s">
        <v>206</v>
      </c>
      <c r="L952" s="267"/>
      <c r="M952" s="268" t="s">
        <v>32</v>
      </c>
      <c r="N952" s="269" t="s">
        <v>49</v>
      </c>
      <c r="O952" s="86"/>
      <c r="P952" s="218">
        <f>O952*H952</f>
        <v>0</v>
      </c>
      <c r="Q952" s="218">
        <v>0.0050000000000000001</v>
      </c>
      <c r="R952" s="218">
        <f>Q952*H952</f>
        <v>0.091500000000000012</v>
      </c>
      <c r="S952" s="218">
        <v>0</v>
      </c>
      <c r="T952" s="219">
        <f>S952*H952</f>
        <v>0</v>
      </c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R952" s="220" t="s">
        <v>429</v>
      </c>
      <c r="AT952" s="220" t="s">
        <v>292</v>
      </c>
      <c r="AU952" s="220" t="s">
        <v>88</v>
      </c>
      <c r="AY952" s="18" t="s">
        <v>200</v>
      </c>
      <c r="BE952" s="221">
        <f>IF(N952="základní",J952,0)</f>
        <v>0</v>
      </c>
      <c r="BF952" s="221">
        <f>IF(N952="snížená",J952,0)</f>
        <v>0</v>
      </c>
      <c r="BG952" s="221">
        <f>IF(N952="zákl. přenesená",J952,0)</f>
        <v>0</v>
      </c>
      <c r="BH952" s="221">
        <f>IF(N952="sníž. přenesená",J952,0)</f>
        <v>0</v>
      </c>
      <c r="BI952" s="221">
        <f>IF(N952="nulová",J952,0)</f>
        <v>0</v>
      </c>
      <c r="BJ952" s="18" t="s">
        <v>86</v>
      </c>
      <c r="BK952" s="221">
        <f>ROUND(I952*H952,1)</f>
        <v>0</v>
      </c>
      <c r="BL952" s="18" t="s">
        <v>310</v>
      </c>
      <c r="BM952" s="220" t="s">
        <v>1609</v>
      </c>
    </row>
    <row r="953" s="2" customFormat="1">
      <c r="A953" s="40"/>
      <c r="B953" s="41"/>
      <c r="C953" s="42"/>
      <c r="D953" s="229" t="s">
        <v>355</v>
      </c>
      <c r="E953" s="42"/>
      <c r="F953" s="281" t="s">
        <v>1610</v>
      </c>
      <c r="G953" s="42"/>
      <c r="H953" s="42"/>
      <c r="I953" s="224"/>
      <c r="J953" s="42"/>
      <c r="K953" s="42"/>
      <c r="L953" s="46"/>
      <c r="M953" s="225"/>
      <c r="N953" s="226"/>
      <c r="O953" s="86"/>
      <c r="P953" s="86"/>
      <c r="Q953" s="86"/>
      <c r="R953" s="86"/>
      <c r="S953" s="86"/>
      <c r="T953" s="87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T953" s="18" t="s">
        <v>355</v>
      </c>
      <c r="AU953" s="18" t="s">
        <v>88</v>
      </c>
    </row>
    <row r="954" s="2" customFormat="1" ht="16.5" customHeight="1">
      <c r="A954" s="40"/>
      <c r="B954" s="41"/>
      <c r="C954" s="260" t="s">
        <v>1611</v>
      </c>
      <c r="D954" s="260" t="s">
        <v>292</v>
      </c>
      <c r="E954" s="261" t="s">
        <v>1612</v>
      </c>
      <c r="F954" s="262" t="s">
        <v>1613</v>
      </c>
      <c r="G954" s="263" t="s">
        <v>449</v>
      </c>
      <c r="H954" s="264">
        <v>18</v>
      </c>
      <c r="I954" s="265"/>
      <c r="J954" s="266">
        <f>ROUND(I954*H954,1)</f>
        <v>0</v>
      </c>
      <c r="K954" s="262" t="s">
        <v>206</v>
      </c>
      <c r="L954" s="267"/>
      <c r="M954" s="268" t="s">
        <v>32</v>
      </c>
      <c r="N954" s="269" t="s">
        <v>49</v>
      </c>
      <c r="O954" s="86"/>
      <c r="P954" s="218">
        <f>O954*H954</f>
        <v>0</v>
      </c>
      <c r="Q954" s="218">
        <v>6.0000000000000002E-05</v>
      </c>
      <c r="R954" s="218">
        <f>Q954*H954</f>
        <v>0.00108</v>
      </c>
      <c r="S954" s="218">
        <v>0</v>
      </c>
      <c r="T954" s="219">
        <f>S954*H954</f>
        <v>0</v>
      </c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R954" s="220" t="s">
        <v>429</v>
      </c>
      <c r="AT954" s="220" t="s">
        <v>292</v>
      </c>
      <c r="AU954" s="220" t="s">
        <v>88</v>
      </c>
      <c r="AY954" s="18" t="s">
        <v>200</v>
      </c>
      <c r="BE954" s="221">
        <f>IF(N954="základní",J954,0)</f>
        <v>0</v>
      </c>
      <c r="BF954" s="221">
        <f>IF(N954="snížená",J954,0)</f>
        <v>0</v>
      </c>
      <c r="BG954" s="221">
        <f>IF(N954="zákl. přenesená",J954,0)</f>
        <v>0</v>
      </c>
      <c r="BH954" s="221">
        <f>IF(N954="sníž. přenesená",J954,0)</f>
        <v>0</v>
      </c>
      <c r="BI954" s="221">
        <f>IF(N954="nulová",J954,0)</f>
        <v>0</v>
      </c>
      <c r="BJ954" s="18" t="s">
        <v>86</v>
      </c>
      <c r="BK954" s="221">
        <f>ROUND(I954*H954,1)</f>
        <v>0</v>
      </c>
      <c r="BL954" s="18" t="s">
        <v>310</v>
      </c>
      <c r="BM954" s="220" t="s">
        <v>1614</v>
      </c>
    </row>
    <row r="955" s="13" customFormat="1">
      <c r="A955" s="13"/>
      <c r="B955" s="227"/>
      <c r="C955" s="228"/>
      <c r="D955" s="229" t="s">
        <v>211</v>
      </c>
      <c r="E955" s="230" t="s">
        <v>32</v>
      </c>
      <c r="F955" s="231" t="s">
        <v>1615</v>
      </c>
      <c r="G955" s="228"/>
      <c r="H955" s="232">
        <v>18</v>
      </c>
      <c r="I955" s="233"/>
      <c r="J955" s="228"/>
      <c r="K955" s="228"/>
      <c r="L955" s="234"/>
      <c r="M955" s="235"/>
      <c r="N955" s="236"/>
      <c r="O955" s="236"/>
      <c r="P955" s="236"/>
      <c r="Q955" s="236"/>
      <c r="R955" s="236"/>
      <c r="S955" s="236"/>
      <c r="T955" s="237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T955" s="238" t="s">
        <v>211</v>
      </c>
      <c r="AU955" s="238" t="s">
        <v>88</v>
      </c>
      <c r="AV955" s="13" t="s">
        <v>88</v>
      </c>
      <c r="AW955" s="13" t="s">
        <v>213</v>
      </c>
      <c r="AX955" s="13" t="s">
        <v>86</v>
      </c>
      <c r="AY955" s="238" t="s">
        <v>200</v>
      </c>
    </row>
    <row r="956" s="2" customFormat="1" ht="24.15" customHeight="1">
      <c r="A956" s="40"/>
      <c r="B956" s="41"/>
      <c r="C956" s="209" t="s">
        <v>1616</v>
      </c>
      <c r="D956" s="209" t="s">
        <v>202</v>
      </c>
      <c r="E956" s="210" t="s">
        <v>1617</v>
      </c>
      <c r="F956" s="211" t="s">
        <v>1618</v>
      </c>
      <c r="G956" s="212" t="s">
        <v>250</v>
      </c>
      <c r="H956" s="213">
        <v>3.3809999999999998</v>
      </c>
      <c r="I956" s="214"/>
      <c r="J956" s="215">
        <f>ROUND(I956*H956,1)</f>
        <v>0</v>
      </c>
      <c r="K956" s="211" t="s">
        <v>206</v>
      </c>
      <c r="L956" s="46"/>
      <c r="M956" s="216" t="s">
        <v>32</v>
      </c>
      <c r="N956" s="217" t="s">
        <v>49</v>
      </c>
      <c r="O956" s="86"/>
      <c r="P956" s="218">
        <f>O956*H956</f>
        <v>0</v>
      </c>
      <c r="Q956" s="218">
        <v>0</v>
      </c>
      <c r="R956" s="218">
        <f>Q956*H956</f>
        <v>0</v>
      </c>
      <c r="S956" s="218">
        <v>0</v>
      </c>
      <c r="T956" s="219">
        <f>S956*H956</f>
        <v>0</v>
      </c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R956" s="220" t="s">
        <v>310</v>
      </c>
      <c r="AT956" s="220" t="s">
        <v>202</v>
      </c>
      <c r="AU956" s="220" t="s">
        <v>88</v>
      </c>
      <c r="AY956" s="18" t="s">
        <v>200</v>
      </c>
      <c r="BE956" s="221">
        <f>IF(N956="základní",J956,0)</f>
        <v>0</v>
      </c>
      <c r="BF956" s="221">
        <f>IF(N956="snížená",J956,0)</f>
        <v>0</v>
      </c>
      <c r="BG956" s="221">
        <f>IF(N956="zákl. přenesená",J956,0)</f>
        <v>0</v>
      </c>
      <c r="BH956" s="221">
        <f>IF(N956="sníž. přenesená",J956,0)</f>
        <v>0</v>
      </c>
      <c r="BI956" s="221">
        <f>IF(N956="nulová",J956,0)</f>
        <v>0</v>
      </c>
      <c r="BJ956" s="18" t="s">
        <v>86</v>
      </c>
      <c r="BK956" s="221">
        <f>ROUND(I956*H956,1)</f>
        <v>0</v>
      </c>
      <c r="BL956" s="18" t="s">
        <v>310</v>
      </c>
      <c r="BM956" s="220" t="s">
        <v>1619</v>
      </c>
    </row>
    <row r="957" s="2" customFormat="1">
      <c r="A957" s="40"/>
      <c r="B957" s="41"/>
      <c r="C957" s="42"/>
      <c r="D957" s="222" t="s">
        <v>209</v>
      </c>
      <c r="E957" s="42"/>
      <c r="F957" s="223" t="s">
        <v>1620</v>
      </c>
      <c r="G957" s="42"/>
      <c r="H957" s="42"/>
      <c r="I957" s="224"/>
      <c r="J957" s="42"/>
      <c r="K957" s="42"/>
      <c r="L957" s="46"/>
      <c r="M957" s="225"/>
      <c r="N957" s="226"/>
      <c r="O957" s="86"/>
      <c r="P957" s="86"/>
      <c r="Q957" s="86"/>
      <c r="R957" s="86"/>
      <c r="S957" s="86"/>
      <c r="T957" s="87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T957" s="18" t="s">
        <v>209</v>
      </c>
      <c r="AU957" s="18" t="s">
        <v>88</v>
      </c>
    </row>
    <row r="958" s="12" customFormat="1" ht="22.8" customHeight="1">
      <c r="A958" s="12"/>
      <c r="B958" s="193"/>
      <c r="C958" s="194"/>
      <c r="D958" s="195" t="s">
        <v>77</v>
      </c>
      <c r="E958" s="207" t="s">
        <v>1621</v>
      </c>
      <c r="F958" s="207" t="s">
        <v>1622</v>
      </c>
      <c r="G958" s="194"/>
      <c r="H958" s="194"/>
      <c r="I958" s="197"/>
      <c r="J958" s="208">
        <f>BK958</f>
        <v>0</v>
      </c>
      <c r="K958" s="194"/>
      <c r="L958" s="199"/>
      <c r="M958" s="200"/>
      <c r="N958" s="201"/>
      <c r="O958" s="201"/>
      <c r="P958" s="202">
        <f>SUM(P959:P1061)</f>
        <v>0</v>
      </c>
      <c r="Q958" s="201"/>
      <c r="R958" s="202">
        <f>SUM(R959:R1061)</f>
        <v>10.20198877</v>
      </c>
      <c r="S958" s="201"/>
      <c r="T958" s="203">
        <f>SUM(T959:T1061)</f>
        <v>0</v>
      </c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R958" s="204" t="s">
        <v>88</v>
      </c>
      <c r="AT958" s="205" t="s">
        <v>77</v>
      </c>
      <c r="AU958" s="205" t="s">
        <v>86</v>
      </c>
      <c r="AY958" s="204" t="s">
        <v>200</v>
      </c>
      <c r="BK958" s="206">
        <f>SUM(BK959:BK1061)</f>
        <v>0</v>
      </c>
    </row>
    <row r="959" s="2" customFormat="1" ht="24.15" customHeight="1">
      <c r="A959" s="40"/>
      <c r="B959" s="41"/>
      <c r="C959" s="209" t="s">
        <v>1623</v>
      </c>
      <c r="D959" s="209" t="s">
        <v>202</v>
      </c>
      <c r="E959" s="210" t="s">
        <v>1624</v>
      </c>
      <c r="F959" s="211" t="s">
        <v>1625</v>
      </c>
      <c r="G959" s="212" t="s">
        <v>272</v>
      </c>
      <c r="H959" s="213">
        <v>3.3399999999999999</v>
      </c>
      <c r="I959" s="214"/>
      <c r="J959" s="215">
        <f>ROUND(I959*H959,1)</f>
        <v>0</v>
      </c>
      <c r="K959" s="211" t="s">
        <v>206</v>
      </c>
      <c r="L959" s="46"/>
      <c r="M959" s="216" t="s">
        <v>32</v>
      </c>
      <c r="N959" s="217" t="s">
        <v>49</v>
      </c>
      <c r="O959" s="86"/>
      <c r="P959" s="218">
        <f>O959*H959</f>
        <v>0</v>
      </c>
      <c r="Q959" s="218">
        <v>0.00020000000000000001</v>
      </c>
      <c r="R959" s="218">
        <f>Q959*H959</f>
        <v>0.00066799999999999997</v>
      </c>
      <c r="S959" s="218">
        <v>0</v>
      </c>
      <c r="T959" s="219">
        <f>S959*H959</f>
        <v>0</v>
      </c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R959" s="220" t="s">
        <v>310</v>
      </c>
      <c r="AT959" s="220" t="s">
        <v>202</v>
      </c>
      <c r="AU959" s="220" t="s">
        <v>88</v>
      </c>
      <c r="AY959" s="18" t="s">
        <v>200</v>
      </c>
      <c r="BE959" s="221">
        <f>IF(N959="základní",J959,0)</f>
        <v>0</v>
      </c>
      <c r="BF959" s="221">
        <f>IF(N959="snížená",J959,0)</f>
        <v>0</v>
      </c>
      <c r="BG959" s="221">
        <f>IF(N959="zákl. přenesená",J959,0)</f>
        <v>0</v>
      </c>
      <c r="BH959" s="221">
        <f>IF(N959="sníž. přenesená",J959,0)</f>
        <v>0</v>
      </c>
      <c r="BI959" s="221">
        <f>IF(N959="nulová",J959,0)</f>
        <v>0</v>
      </c>
      <c r="BJ959" s="18" t="s">
        <v>86</v>
      </c>
      <c r="BK959" s="221">
        <f>ROUND(I959*H959,1)</f>
        <v>0</v>
      </c>
      <c r="BL959" s="18" t="s">
        <v>310</v>
      </c>
      <c r="BM959" s="220" t="s">
        <v>1626</v>
      </c>
    </row>
    <row r="960" s="2" customFormat="1">
      <c r="A960" s="40"/>
      <c r="B960" s="41"/>
      <c r="C960" s="42"/>
      <c r="D960" s="222" t="s">
        <v>209</v>
      </c>
      <c r="E960" s="42"/>
      <c r="F960" s="223" t="s">
        <v>1627</v>
      </c>
      <c r="G960" s="42"/>
      <c r="H960" s="42"/>
      <c r="I960" s="224"/>
      <c r="J960" s="42"/>
      <c r="K960" s="42"/>
      <c r="L960" s="46"/>
      <c r="M960" s="225"/>
      <c r="N960" s="226"/>
      <c r="O960" s="86"/>
      <c r="P960" s="86"/>
      <c r="Q960" s="86"/>
      <c r="R960" s="86"/>
      <c r="S960" s="86"/>
      <c r="T960" s="87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T960" s="18" t="s">
        <v>209</v>
      </c>
      <c r="AU960" s="18" t="s">
        <v>88</v>
      </c>
    </row>
    <row r="961" s="13" customFormat="1">
      <c r="A961" s="13"/>
      <c r="B961" s="227"/>
      <c r="C961" s="228"/>
      <c r="D961" s="229" t="s">
        <v>211</v>
      </c>
      <c r="E961" s="230" t="s">
        <v>32</v>
      </c>
      <c r="F961" s="231" t="s">
        <v>1628</v>
      </c>
      <c r="G961" s="228"/>
      <c r="H961" s="232">
        <v>3.3402500000000002</v>
      </c>
      <c r="I961" s="233"/>
      <c r="J961" s="228"/>
      <c r="K961" s="228"/>
      <c r="L961" s="234"/>
      <c r="M961" s="235"/>
      <c r="N961" s="236"/>
      <c r="O961" s="236"/>
      <c r="P961" s="236"/>
      <c r="Q961" s="236"/>
      <c r="R961" s="236"/>
      <c r="S961" s="236"/>
      <c r="T961" s="237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T961" s="238" t="s">
        <v>211</v>
      </c>
      <c r="AU961" s="238" t="s">
        <v>88</v>
      </c>
      <c r="AV961" s="13" t="s">
        <v>88</v>
      </c>
      <c r="AW961" s="13" t="s">
        <v>213</v>
      </c>
      <c r="AX961" s="13" t="s">
        <v>86</v>
      </c>
      <c r="AY961" s="238" t="s">
        <v>200</v>
      </c>
    </row>
    <row r="962" s="2" customFormat="1" ht="24.15" customHeight="1">
      <c r="A962" s="40"/>
      <c r="B962" s="41"/>
      <c r="C962" s="260" t="s">
        <v>1629</v>
      </c>
      <c r="D962" s="260" t="s">
        <v>292</v>
      </c>
      <c r="E962" s="261" t="s">
        <v>1630</v>
      </c>
      <c r="F962" s="262" t="s">
        <v>1631</v>
      </c>
      <c r="G962" s="263" t="s">
        <v>272</v>
      </c>
      <c r="H962" s="264">
        <v>3.3399999999999999</v>
      </c>
      <c r="I962" s="265"/>
      <c r="J962" s="266">
        <f>ROUND(I962*H962,1)</f>
        <v>0</v>
      </c>
      <c r="K962" s="262" t="s">
        <v>32</v>
      </c>
      <c r="L962" s="267"/>
      <c r="M962" s="268" t="s">
        <v>32</v>
      </c>
      <c r="N962" s="269" t="s">
        <v>49</v>
      </c>
      <c r="O962" s="86"/>
      <c r="P962" s="218">
        <f>O962*H962</f>
        <v>0</v>
      </c>
      <c r="Q962" s="218">
        <v>0.038289999999999998</v>
      </c>
      <c r="R962" s="218">
        <f>Q962*H962</f>
        <v>0.12788859999999999</v>
      </c>
      <c r="S962" s="218">
        <v>0</v>
      </c>
      <c r="T962" s="219">
        <f>S962*H962</f>
        <v>0</v>
      </c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R962" s="220" t="s">
        <v>429</v>
      </c>
      <c r="AT962" s="220" t="s">
        <v>292</v>
      </c>
      <c r="AU962" s="220" t="s">
        <v>88</v>
      </c>
      <c r="AY962" s="18" t="s">
        <v>200</v>
      </c>
      <c r="BE962" s="221">
        <f>IF(N962="základní",J962,0)</f>
        <v>0</v>
      </c>
      <c r="BF962" s="221">
        <f>IF(N962="snížená",J962,0)</f>
        <v>0</v>
      </c>
      <c r="BG962" s="221">
        <f>IF(N962="zákl. přenesená",J962,0)</f>
        <v>0</v>
      </c>
      <c r="BH962" s="221">
        <f>IF(N962="sníž. přenesená",J962,0)</f>
        <v>0</v>
      </c>
      <c r="BI962" s="221">
        <f>IF(N962="nulová",J962,0)</f>
        <v>0</v>
      </c>
      <c r="BJ962" s="18" t="s">
        <v>86</v>
      </c>
      <c r="BK962" s="221">
        <f>ROUND(I962*H962,1)</f>
        <v>0</v>
      </c>
      <c r="BL962" s="18" t="s">
        <v>310</v>
      </c>
      <c r="BM962" s="220" t="s">
        <v>1632</v>
      </c>
    </row>
    <row r="963" s="2" customFormat="1">
      <c r="A963" s="40"/>
      <c r="B963" s="41"/>
      <c r="C963" s="42"/>
      <c r="D963" s="229" t="s">
        <v>355</v>
      </c>
      <c r="E963" s="42"/>
      <c r="F963" s="281" t="s">
        <v>1633</v>
      </c>
      <c r="G963" s="42"/>
      <c r="H963" s="42"/>
      <c r="I963" s="224"/>
      <c r="J963" s="42"/>
      <c r="K963" s="42"/>
      <c r="L963" s="46"/>
      <c r="M963" s="225"/>
      <c r="N963" s="226"/>
      <c r="O963" s="86"/>
      <c r="P963" s="86"/>
      <c r="Q963" s="86"/>
      <c r="R963" s="86"/>
      <c r="S963" s="86"/>
      <c r="T963" s="87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T963" s="18" t="s">
        <v>355</v>
      </c>
      <c r="AU963" s="18" t="s">
        <v>88</v>
      </c>
    </row>
    <row r="964" s="2" customFormat="1" ht="24.15" customHeight="1">
      <c r="A964" s="40"/>
      <c r="B964" s="41"/>
      <c r="C964" s="209" t="s">
        <v>1634</v>
      </c>
      <c r="D964" s="209" t="s">
        <v>202</v>
      </c>
      <c r="E964" s="210" t="s">
        <v>1635</v>
      </c>
      <c r="F964" s="211" t="s">
        <v>1636</v>
      </c>
      <c r="G964" s="212" t="s">
        <v>272</v>
      </c>
      <c r="H964" s="213">
        <v>23.399999999999999</v>
      </c>
      <c r="I964" s="214"/>
      <c r="J964" s="215">
        <f>ROUND(I964*H964,1)</f>
        <v>0</v>
      </c>
      <c r="K964" s="211" t="s">
        <v>206</v>
      </c>
      <c r="L964" s="46"/>
      <c r="M964" s="216" t="s">
        <v>32</v>
      </c>
      <c r="N964" s="217" t="s">
        <v>49</v>
      </c>
      <c r="O964" s="86"/>
      <c r="P964" s="218">
        <f>O964*H964</f>
        <v>0</v>
      </c>
      <c r="Q964" s="218">
        <v>0.00019000000000000001</v>
      </c>
      <c r="R964" s="218">
        <f>Q964*H964</f>
        <v>0.0044460000000000003</v>
      </c>
      <c r="S964" s="218">
        <v>0</v>
      </c>
      <c r="T964" s="219">
        <f>S964*H964</f>
        <v>0</v>
      </c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R964" s="220" t="s">
        <v>310</v>
      </c>
      <c r="AT964" s="220" t="s">
        <v>202</v>
      </c>
      <c r="AU964" s="220" t="s">
        <v>88</v>
      </c>
      <c r="AY964" s="18" t="s">
        <v>200</v>
      </c>
      <c r="BE964" s="221">
        <f>IF(N964="základní",J964,0)</f>
        <v>0</v>
      </c>
      <c r="BF964" s="221">
        <f>IF(N964="snížená",J964,0)</f>
        <v>0</v>
      </c>
      <c r="BG964" s="221">
        <f>IF(N964="zákl. přenesená",J964,0)</f>
        <v>0</v>
      </c>
      <c r="BH964" s="221">
        <f>IF(N964="sníž. přenesená",J964,0)</f>
        <v>0</v>
      </c>
      <c r="BI964" s="221">
        <f>IF(N964="nulová",J964,0)</f>
        <v>0</v>
      </c>
      <c r="BJ964" s="18" t="s">
        <v>86</v>
      </c>
      <c r="BK964" s="221">
        <f>ROUND(I964*H964,1)</f>
        <v>0</v>
      </c>
      <c r="BL964" s="18" t="s">
        <v>310</v>
      </c>
      <c r="BM964" s="220" t="s">
        <v>1637</v>
      </c>
    </row>
    <row r="965" s="2" customFormat="1">
      <c r="A965" s="40"/>
      <c r="B965" s="41"/>
      <c r="C965" s="42"/>
      <c r="D965" s="222" t="s">
        <v>209</v>
      </c>
      <c r="E965" s="42"/>
      <c r="F965" s="223" t="s">
        <v>1638</v>
      </c>
      <c r="G965" s="42"/>
      <c r="H965" s="42"/>
      <c r="I965" s="224"/>
      <c r="J965" s="42"/>
      <c r="K965" s="42"/>
      <c r="L965" s="46"/>
      <c r="M965" s="225"/>
      <c r="N965" s="226"/>
      <c r="O965" s="86"/>
      <c r="P965" s="86"/>
      <c r="Q965" s="86"/>
      <c r="R965" s="86"/>
      <c r="S965" s="86"/>
      <c r="T965" s="87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T965" s="18" t="s">
        <v>209</v>
      </c>
      <c r="AU965" s="18" t="s">
        <v>88</v>
      </c>
    </row>
    <row r="966" s="2" customFormat="1">
      <c r="A966" s="40"/>
      <c r="B966" s="41"/>
      <c r="C966" s="42"/>
      <c r="D966" s="229" t="s">
        <v>355</v>
      </c>
      <c r="E966" s="42"/>
      <c r="F966" s="281" t="s">
        <v>1639</v>
      </c>
      <c r="G966" s="42"/>
      <c r="H966" s="42"/>
      <c r="I966" s="224"/>
      <c r="J966" s="42"/>
      <c r="K966" s="42"/>
      <c r="L966" s="46"/>
      <c r="M966" s="225"/>
      <c r="N966" s="226"/>
      <c r="O966" s="86"/>
      <c r="P966" s="86"/>
      <c r="Q966" s="86"/>
      <c r="R966" s="86"/>
      <c r="S966" s="86"/>
      <c r="T966" s="87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T966" s="18" t="s">
        <v>355</v>
      </c>
      <c r="AU966" s="18" t="s">
        <v>88</v>
      </c>
    </row>
    <row r="967" s="13" customFormat="1">
      <c r="A967" s="13"/>
      <c r="B967" s="227"/>
      <c r="C967" s="228"/>
      <c r="D967" s="229" t="s">
        <v>211</v>
      </c>
      <c r="E967" s="230" t="s">
        <v>32</v>
      </c>
      <c r="F967" s="231" t="s">
        <v>1640</v>
      </c>
      <c r="G967" s="228"/>
      <c r="H967" s="232">
        <v>23.399999999999999</v>
      </c>
      <c r="I967" s="233"/>
      <c r="J967" s="228"/>
      <c r="K967" s="228"/>
      <c r="L967" s="234"/>
      <c r="M967" s="235"/>
      <c r="N967" s="236"/>
      <c r="O967" s="236"/>
      <c r="P967" s="236"/>
      <c r="Q967" s="236"/>
      <c r="R967" s="236"/>
      <c r="S967" s="236"/>
      <c r="T967" s="237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T967" s="238" t="s">
        <v>211</v>
      </c>
      <c r="AU967" s="238" t="s">
        <v>88</v>
      </c>
      <c r="AV967" s="13" t="s">
        <v>88</v>
      </c>
      <c r="AW967" s="13" t="s">
        <v>213</v>
      </c>
      <c r="AX967" s="13" t="s">
        <v>86</v>
      </c>
      <c r="AY967" s="238" t="s">
        <v>200</v>
      </c>
    </row>
    <row r="968" s="2" customFormat="1" ht="16.5" customHeight="1">
      <c r="A968" s="40"/>
      <c r="B968" s="41"/>
      <c r="C968" s="260" t="s">
        <v>1641</v>
      </c>
      <c r="D968" s="260" t="s">
        <v>292</v>
      </c>
      <c r="E968" s="261" t="s">
        <v>1642</v>
      </c>
      <c r="F968" s="262" t="s">
        <v>1643</v>
      </c>
      <c r="G968" s="263" t="s">
        <v>272</v>
      </c>
      <c r="H968" s="264">
        <v>23.399999999999999</v>
      </c>
      <c r="I968" s="265"/>
      <c r="J968" s="266">
        <f>ROUND(I968*H968,1)</f>
        <v>0</v>
      </c>
      <c r="K968" s="262" t="s">
        <v>32</v>
      </c>
      <c r="L968" s="267"/>
      <c r="M968" s="268" t="s">
        <v>32</v>
      </c>
      <c r="N968" s="269" t="s">
        <v>49</v>
      </c>
      <c r="O968" s="86"/>
      <c r="P968" s="218">
        <f>O968*H968</f>
        <v>0</v>
      </c>
      <c r="Q968" s="218">
        <v>0.038289999999999998</v>
      </c>
      <c r="R968" s="218">
        <f>Q968*H968</f>
        <v>0.89598599999999984</v>
      </c>
      <c r="S968" s="218">
        <v>0</v>
      </c>
      <c r="T968" s="219">
        <f>S968*H968</f>
        <v>0</v>
      </c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R968" s="220" t="s">
        <v>429</v>
      </c>
      <c r="AT968" s="220" t="s">
        <v>292</v>
      </c>
      <c r="AU968" s="220" t="s">
        <v>88</v>
      </c>
      <c r="AY968" s="18" t="s">
        <v>200</v>
      </c>
      <c r="BE968" s="221">
        <f>IF(N968="základní",J968,0)</f>
        <v>0</v>
      </c>
      <c r="BF968" s="221">
        <f>IF(N968="snížená",J968,0)</f>
        <v>0</v>
      </c>
      <c r="BG968" s="221">
        <f>IF(N968="zákl. přenesená",J968,0)</f>
        <v>0</v>
      </c>
      <c r="BH968" s="221">
        <f>IF(N968="sníž. přenesená",J968,0)</f>
        <v>0</v>
      </c>
      <c r="BI968" s="221">
        <f>IF(N968="nulová",J968,0)</f>
        <v>0</v>
      </c>
      <c r="BJ968" s="18" t="s">
        <v>86</v>
      </c>
      <c r="BK968" s="221">
        <f>ROUND(I968*H968,1)</f>
        <v>0</v>
      </c>
      <c r="BL968" s="18" t="s">
        <v>310</v>
      </c>
      <c r="BM968" s="220" t="s">
        <v>1644</v>
      </c>
    </row>
    <row r="969" s="2" customFormat="1">
      <c r="A969" s="40"/>
      <c r="B969" s="41"/>
      <c r="C969" s="42"/>
      <c r="D969" s="229" t="s">
        <v>355</v>
      </c>
      <c r="E969" s="42"/>
      <c r="F969" s="281" t="s">
        <v>1645</v>
      </c>
      <c r="G969" s="42"/>
      <c r="H969" s="42"/>
      <c r="I969" s="224"/>
      <c r="J969" s="42"/>
      <c r="K969" s="42"/>
      <c r="L969" s="46"/>
      <c r="M969" s="225"/>
      <c r="N969" s="226"/>
      <c r="O969" s="86"/>
      <c r="P969" s="86"/>
      <c r="Q969" s="86"/>
      <c r="R969" s="86"/>
      <c r="S969" s="86"/>
      <c r="T969" s="87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T969" s="18" t="s">
        <v>355</v>
      </c>
      <c r="AU969" s="18" t="s">
        <v>88</v>
      </c>
    </row>
    <row r="970" s="2" customFormat="1" ht="24.15" customHeight="1">
      <c r="A970" s="40"/>
      <c r="B970" s="41"/>
      <c r="C970" s="209" t="s">
        <v>1646</v>
      </c>
      <c r="D970" s="209" t="s">
        <v>202</v>
      </c>
      <c r="E970" s="210" t="s">
        <v>1647</v>
      </c>
      <c r="F970" s="211" t="s">
        <v>1648</v>
      </c>
      <c r="G970" s="212" t="s">
        <v>272</v>
      </c>
      <c r="H970" s="213">
        <v>27.135000000000002</v>
      </c>
      <c r="I970" s="214"/>
      <c r="J970" s="215">
        <f>ROUND(I970*H970,1)</f>
        <v>0</v>
      </c>
      <c r="K970" s="211" t="s">
        <v>206</v>
      </c>
      <c r="L970" s="46"/>
      <c r="M970" s="216" t="s">
        <v>32</v>
      </c>
      <c r="N970" s="217" t="s">
        <v>49</v>
      </c>
      <c r="O970" s="86"/>
      <c r="P970" s="218">
        <f>O970*H970</f>
        <v>0</v>
      </c>
      <c r="Q970" s="218">
        <v>0.00017000000000000001</v>
      </c>
      <c r="R970" s="218">
        <f>Q970*H970</f>
        <v>0.0046129500000000002</v>
      </c>
      <c r="S970" s="218">
        <v>0</v>
      </c>
      <c r="T970" s="219">
        <f>S970*H970</f>
        <v>0</v>
      </c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R970" s="220" t="s">
        <v>310</v>
      </c>
      <c r="AT970" s="220" t="s">
        <v>202</v>
      </c>
      <c r="AU970" s="220" t="s">
        <v>88</v>
      </c>
      <c r="AY970" s="18" t="s">
        <v>200</v>
      </c>
      <c r="BE970" s="221">
        <f>IF(N970="základní",J970,0)</f>
        <v>0</v>
      </c>
      <c r="BF970" s="221">
        <f>IF(N970="snížená",J970,0)</f>
        <v>0</v>
      </c>
      <c r="BG970" s="221">
        <f>IF(N970="zákl. přenesená",J970,0)</f>
        <v>0</v>
      </c>
      <c r="BH970" s="221">
        <f>IF(N970="sníž. přenesená",J970,0)</f>
        <v>0</v>
      </c>
      <c r="BI970" s="221">
        <f>IF(N970="nulová",J970,0)</f>
        <v>0</v>
      </c>
      <c r="BJ970" s="18" t="s">
        <v>86</v>
      </c>
      <c r="BK970" s="221">
        <f>ROUND(I970*H970,1)</f>
        <v>0</v>
      </c>
      <c r="BL970" s="18" t="s">
        <v>310</v>
      </c>
      <c r="BM970" s="220" t="s">
        <v>1649</v>
      </c>
    </row>
    <row r="971" s="2" customFormat="1">
      <c r="A971" s="40"/>
      <c r="B971" s="41"/>
      <c r="C971" s="42"/>
      <c r="D971" s="222" t="s">
        <v>209</v>
      </c>
      <c r="E971" s="42"/>
      <c r="F971" s="223" t="s">
        <v>1650</v>
      </c>
      <c r="G971" s="42"/>
      <c r="H971" s="42"/>
      <c r="I971" s="224"/>
      <c r="J971" s="42"/>
      <c r="K971" s="42"/>
      <c r="L971" s="46"/>
      <c r="M971" s="225"/>
      <c r="N971" s="226"/>
      <c r="O971" s="86"/>
      <c r="P971" s="86"/>
      <c r="Q971" s="86"/>
      <c r="R971" s="86"/>
      <c r="S971" s="86"/>
      <c r="T971" s="87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T971" s="18" t="s">
        <v>209</v>
      </c>
      <c r="AU971" s="18" t="s">
        <v>88</v>
      </c>
    </row>
    <row r="972" s="2" customFormat="1">
      <c r="A972" s="40"/>
      <c r="B972" s="41"/>
      <c r="C972" s="42"/>
      <c r="D972" s="229" t="s">
        <v>355</v>
      </c>
      <c r="E972" s="42"/>
      <c r="F972" s="281" t="s">
        <v>1639</v>
      </c>
      <c r="G972" s="42"/>
      <c r="H972" s="42"/>
      <c r="I972" s="224"/>
      <c r="J972" s="42"/>
      <c r="K972" s="42"/>
      <c r="L972" s="46"/>
      <c r="M972" s="225"/>
      <c r="N972" s="226"/>
      <c r="O972" s="86"/>
      <c r="P972" s="86"/>
      <c r="Q972" s="86"/>
      <c r="R972" s="86"/>
      <c r="S972" s="86"/>
      <c r="T972" s="87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T972" s="18" t="s">
        <v>355</v>
      </c>
      <c r="AU972" s="18" t="s">
        <v>88</v>
      </c>
    </row>
    <row r="973" s="13" customFormat="1">
      <c r="A973" s="13"/>
      <c r="B973" s="227"/>
      <c r="C973" s="228"/>
      <c r="D973" s="229" t="s">
        <v>211</v>
      </c>
      <c r="E973" s="230" t="s">
        <v>32</v>
      </c>
      <c r="F973" s="231" t="s">
        <v>1651</v>
      </c>
      <c r="G973" s="228"/>
      <c r="H973" s="232">
        <v>27.135000000000002</v>
      </c>
      <c r="I973" s="233"/>
      <c r="J973" s="228"/>
      <c r="K973" s="228"/>
      <c r="L973" s="234"/>
      <c r="M973" s="235"/>
      <c r="N973" s="236"/>
      <c r="O973" s="236"/>
      <c r="P973" s="236"/>
      <c r="Q973" s="236"/>
      <c r="R973" s="236"/>
      <c r="S973" s="236"/>
      <c r="T973" s="237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T973" s="238" t="s">
        <v>211</v>
      </c>
      <c r="AU973" s="238" t="s">
        <v>88</v>
      </c>
      <c r="AV973" s="13" t="s">
        <v>88</v>
      </c>
      <c r="AW973" s="13" t="s">
        <v>213</v>
      </c>
      <c r="AX973" s="13" t="s">
        <v>86</v>
      </c>
      <c r="AY973" s="238" t="s">
        <v>200</v>
      </c>
    </row>
    <row r="974" s="2" customFormat="1" ht="16.5" customHeight="1">
      <c r="A974" s="40"/>
      <c r="B974" s="41"/>
      <c r="C974" s="260" t="s">
        <v>1652</v>
      </c>
      <c r="D974" s="260" t="s">
        <v>292</v>
      </c>
      <c r="E974" s="261" t="s">
        <v>1653</v>
      </c>
      <c r="F974" s="262" t="s">
        <v>1654</v>
      </c>
      <c r="G974" s="263" t="s">
        <v>272</v>
      </c>
      <c r="H974" s="264">
        <v>27.135000000000002</v>
      </c>
      <c r="I974" s="265"/>
      <c r="J974" s="266">
        <f>ROUND(I974*H974,1)</f>
        <v>0</v>
      </c>
      <c r="K974" s="262" t="s">
        <v>32</v>
      </c>
      <c r="L974" s="267"/>
      <c r="M974" s="268" t="s">
        <v>32</v>
      </c>
      <c r="N974" s="269" t="s">
        <v>49</v>
      </c>
      <c r="O974" s="86"/>
      <c r="P974" s="218">
        <f>O974*H974</f>
        <v>0</v>
      </c>
      <c r="Q974" s="218">
        <v>0.038289999999999998</v>
      </c>
      <c r="R974" s="218">
        <f>Q974*H974</f>
        <v>1.03899915</v>
      </c>
      <c r="S974" s="218">
        <v>0</v>
      </c>
      <c r="T974" s="219">
        <f>S974*H974</f>
        <v>0</v>
      </c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R974" s="220" t="s">
        <v>429</v>
      </c>
      <c r="AT974" s="220" t="s">
        <v>292</v>
      </c>
      <c r="AU974" s="220" t="s">
        <v>88</v>
      </c>
      <c r="AY974" s="18" t="s">
        <v>200</v>
      </c>
      <c r="BE974" s="221">
        <f>IF(N974="základní",J974,0)</f>
        <v>0</v>
      </c>
      <c r="BF974" s="221">
        <f>IF(N974="snížená",J974,0)</f>
        <v>0</v>
      </c>
      <c r="BG974" s="221">
        <f>IF(N974="zákl. přenesená",J974,0)</f>
        <v>0</v>
      </c>
      <c r="BH974" s="221">
        <f>IF(N974="sníž. přenesená",J974,0)</f>
        <v>0</v>
      </c>
      <c r="BI974" s="221">
        <f>IF(N974="nulová",J974,0)</f>
        <v>0</v>
      </c>
      <c r="BJ974" s="18" t="s">
        <v>86</v>
      </c>
      <c r="BK974" s="221">
        <f>ROUND(I974*H974,1)</f>
        <v>0</v>
      </c>
      <c r="BL974" s="18" t="s">
        <v>310</v>
      </c>
      <c r="BM974" s="220" t="s">
        <v>1655</v>
      </c>
    </row>
    <row r="975" s="2" customFormat="1">
      <c r="A975" s="40"/>
      <c r="B975" s="41"/>
      <c r="C975" s="42"/>
      <c r="D975" s="229" t="s">
        <v>355</v>
      </c>
      <c r="E975" s="42"/>
      <c r="F975" s="281" t="s">
        <v>1656</v>
      </c>
      <c r="G975" s="42"/>
      <c r="H975" s="42"/>
      <c r="I975" s="224"/>
      <c r="J975" s="42"/>
      <c r="K975" s="42"/>
      <c r="L975" s="46"/>
      <c r="M975" s="225"/>
      <c r="N975" s="226"/>
      <c r="O975" s="86"/>
      <c r="P975" s="86"/>
      <c r="Q975" s="86"/>
      <c r="R975" s="86"/>
      <c r="S975" s="86"/>
      <c r="T975" s="87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T975" s="18" t="s">
        <v>355</v>
      </c>
      <c r="AU975" s="18" t="s">
        <v>88</v>
      </c>
    </row>
    <row r="976" s="2" customFormat="1" ht="24.15" customHeight="1">
      <c r="A976" s="40"/>
      <c r="B976" s="41"/>
      <c r="C976" s="209" t="s">
        <v>1657</v>
      </c>
      <c r="D976" s="209" t="s">
        <v>202</v>
      </c>
      <c r="E976" s="210" t="s">
        <v>1647</v>
      </c>
      <c r="F976" s="211" t="s">
        <v>1648</v>
      </c>
      <c r="G976" s="212" t="s">
        <v>272</v>
      </c>
      <c r="H976" s="213">
        <v>20.280000000000001</v>
      </c>
      <c r="I976" s="214"/>
      <c r="J976" s="215">
        <f>ROUND(I976*H976,1)</f>
        <v>0</v>
      </c>
      <c r="K976" s="211" t="s">
        <v>206</v>
      </c>
      <c r="L976" s="46"/>
      <c r="M976" s="216" t="s">
        <v>32</v>
      </c>
      <c r="N976" s="217" t="s">
        <v>49</v>
      </c>
      <c r="O976" s="86"/>
      <c r="P976" s="218">
        <f>O976*H976</f>
        <v>0</v>
      </c>
      <c r="Q976" s="218">
        <v>0.00017000000000000001</v>
      </c>
      <c r="R976" s="218">
        <f>Q976*H976</f>
        <v>0.0034476000000000003</v>
      </c>
      <c r="S976" s="218">
        <v>0</v>
      </c>
      <c r="T976" s="219">
        <f>S976*H976</f>
        <v>0</v>
      </c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R976" s="220" t="s">
        <v>310</v>
      </c>
      <c r="AT976" s="220" t="s">
        <v>202</v>
      </c>
      <c r="AU976" s="220" t="s">
        <v>88</v>
      </c>
      <c r="AY976" s="18" t="s">
        <v>200</v>
      </c>
      <c r="BE976" s="221">
        <f>IF(N976="základní",J976,0)</f>
        <v>0</v>
      </c>
      <c r="BF976" s="221">
        <f>IF(N976="snížená",J976,0)</f>
        <v>0</v>
      </c>
      <c r="BG976" s="221">
        <f>IF(N976="zákl. přenesená",J976,0)</f>
        <v>0</v>
      </c>
      <c r="BH976" s="221">
        <f>IF(N976="sníž. přenesená",J976,0)</f>
        <v>0</v>
      </c>
      <c r="BI976" s="221">
        <f>IF(N976="nulová",J976,0)</f>
        <v>0</v>
      </c>
      <c r="BJ976" s="18" t="s">
        <v>86</v>
      </c>
      <c r="BK976" s="221">
        <f>ROUND(I976*H976,1)</f>
        <v>0</v>
      </c>
      <c r="BL976" s="18" t="s">
        <v>310</v>
      </c>
      <c r="BM976" s="220" t="s">
        <v>1658</v>
      </c>
    </row>
    <row r="977" s="2" customFormat="1">
      <c r="A977" s="40"/>
      <c r="B977" s="41"/>
      <c r="C977" s="42"/>
      <c r="D977" s="222" t="s">
        <v>209</v>
      </c>
      <c r="E977" s="42"/>
      <c r="F977" s="223" t="s">
        <v>1650</v>
      </c>
      <c r="G977" s="42"/>
      <c r="H977" s="42"/>
      <c r="I977" s="224"/>
      <c r="J977" s="42"/>
      <c r="K977" s="42"/>
      <c r="L977" s="46"/>
      <c r="M977" s="225"/>
      <c r="N977" s="226"/>
      <c r="O977" s="86"/>
      <c r="P977" s="86"/>
      <c r="Q977" s="86"/>
      <c r="R977" s="86"/>
      <c r="S977" s="86"/>
      <c r="T977" s="87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T977" s="18" t="s">
        <v>209</v>
      </c>
      <c r="AU977" s="18" t="s">
        <v>88</v>
      </c>
    </row>
    <row r="978" s="2" customFormat="1">
      <c r="A978" s="40"/>
      <c r="B978" s="41"/>
      <c r="C978" s="42"/>
      <c r="D978" s="229" t="s">
        <v>355</v>
      </c>
      <c r="E978" s="42"/>
      <c r="F978" s="281" t="s">
        <v>1639</v>
      </c>
      <c r="G978" s="42"/>
      <c r="H978" s="42"/>
      <c r="I978" s="224"/>
      <c r="J978" s="42"/>
      <c r="K978" s="42"/>
      <c r="L978" s="46"/>
      <c r="M978" s="225"/>
      <c r="N978" s="226"/>
      <c r="O978" s="86"/>
      <c r="P978" s="86"/>
      <c r="Q978" s="86"/>
      <c r="R978" s="86"/>
      <c r="S978" s="86"/>
      <c r="T978" s="87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T978" s="18" t="s">
        <v>355</v>
      </c>
      <c r="AU978" s="18" t="s">
        <v>88</v>
      </c>
    </row>
    <row r="979" s="13" customFormat="1">
      <c r="A979" s="13"/>
      <c r="B979" s="227"/>
      <c r="C979" s="228"/>
      <c r="D979" s="229" t="s">
        <v>211</v>
      </c>
      <c r="E979" s="230" t="s">
        <v>32</v>
      </c>
      <c r="F979" s="231" t="s">
        <v>1659</v>
      </c>
      <c r="G979" s="228"/>
      <c r="H979" s="232">
        <v>20.280000000000001</v>
      </c>
      <c r="I979" s="233"/>
      <c r="J979" s="228"/>
      <c r="K979" s="228"/>
      <c r="L979" s="234"/>
      <c r="M979" s="235"/>
      <c r="N979" s="236"/>
      <c r="O979" s="236"/>
      <c r="P979" s="236"/>
      <c r="Q979" s="236"/>
      <c r="R979" s="236"/>
      <c r="S979" s="236"/>
      <c r="T979" s="237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T979" s="238" t="s">
        <v>211</v>
      </c>
      <c r="AU979" s="238" t="s">
        <v>88</v>
      </c>
      <c r="AV979" s="13" t="s">
        <v>88</v>
      </c>
      <c r="AW979" s="13" t="s">
        <v>213</v>
      </c>
      <c r="AX979" s="13" t="s">
        <v>86</v>
      </c>
      <c r="AY979" s="238" t="s">
        <v>200</v>
      </c>
    </row>
    <row r="980" s="2" customFormat="1" ht="16.5" customHeight="1">
      <c r="A980" s="40"/>
      <c r="B980" s="41"/>
      <c r="C980" s="260" t="s">
        <v>1660</v>
      </c>
      <c r="D980" s="260" t="s">
        <v>292</v>
      </c>
      <c r="E980" s="261" t="s">
        <v>1661</v>
      </c>
      <c r="F980" s="262" t="s">
        <v>1662</v>
      </c>
      <c r="G980" s="263" t="s">
        <v>272</v>
      </c>
      <c r="H980" s="264">
        <v>20.280000000000001</v>
      </c>
      <c r="I980" s="265"/>
      <c r="J980" s="266">
        <f>ROUND(I980*H980,1)</f>
        <v>0</v>
      </c>
      <c r="K980" s="262" t="s">
        <v>32</v>
      </c>
      <c r="L980" s="267"/>
      <c r="M980" s="268" t="s">
        <v>32</v>
      </c>
      <c r="N980" s="269" t="s">
        <v>49</v>
      </c>
      <c r="O980" s="86"/>
      <c r="P980" s="218">
        <f>O980*H980</f>
        <v>0</v>
      </c>
      <c r="Q980" s="218">
        <v>0.038289999999999998</v>
      </c>
      <c r="R980" s="218">
        <f>Q980*H980</f>
        <v>0.77652120000000002</v>
      </c>
      <c r="S980" s="218">
        <v>0</v>
      </c>
      <c r="T980" s="219">
        <f>S980*H980</f>
        <v>0</v>
      </c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R980" s="220" t="s">
        <v>429</v>
      </c>
      <c r="AT980" s="220" t="s">
        <v>292</v>
      </c>
      <c r="AU980" s="220" t="s">
        <v>88</v>
      </c>
      <c r="AY980" s="18" t="s">
        <v>200</v>
      </c>
      <c r="BE980" s="221">
        <f>IF(N980="základní",J980,0)</f>
        <v>0</v>
      </c>
      <c r="BF980" s="221">
        <f>IF(N980="snížená",J980,0)</f>
        <v>0</v>
      </c>
      <c r="BG980" s="221">
        <f>IF(N980="zákl. přenesená",J980,0)</f>
        <v>0</v>
      </c>
      <c r="BH980" s="221">
        <f>IF(N980="sníž. přenesená",J980,0)</f>
        <v>0</v>
      </c>
      <c r="BI980" s="221">
        <f>IF(N980="nulová",J980,0)</f>
        <v>0</v>
      </c>
      <c r="BJ980" s="18" t="s">
        <v>86</v>
      </c>
      <c r="BK980" s="221">
        <f>ROUND(I980*H980,1)</f>
        <v>0</v>
      </c>
      <c r="BL980" s="18" t="s">
        <v>310</v>
      </c>
      <c r="BM980" s="220" t="s">
        <v>1663</v>
      </c>
    </row>
    <row r="981" s="2" customFormat="1">
      <c r="A981" s="40"/>
      <c r="B981" s="41"/>
      <c r="C981" s="42"/>
      <c r="D981" s="229" t="s">
        <v>355</v>
      </c>
      <c r="E981" s="42"/>
      <c r="F981" s="281" t="s">
        <v>1664</v>
      </c>
      <c r="G981" s="42"/>
      <c r="H981" s="42"/>
      <c r="I981" s="224"/>
      <c r="J981" s="42"/>
      <c r="K981" s="42"/>
      <c r="L981" s="46"/>
      <c r="M981" s="225"/>
      <c r="N981" s="226"/>
      <c r="O981" s="86"/>
      <c r="P981" s="86"/>
      <c r="Q981" s="86"/>
      <c r="R981" s="86"/>
      <c r="S981" s="86"/>
      <c r="T981" s="87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T981" s="18" t="s">
        <v>355</v>
      </c>
      <c r="AU981" s="18" t="s">
        <v>88</v>
      </c>
    </row>
    <row r="982" s="2" customFormat="1" ht="24.15" customHeight="1">
      <c r="A982" s="40"/>
      <c r="B982" s="41"/>
      <c r="C982" s="209" t="s">
        <v>1665</v>
      </c>
      <c r="D982" s="209" t="s">
        <v>202</v>
      </c>
      <c r="E982" s="210" t="s">
        <v>1647</v>
      </c>
      <c r="F982" s="211" t="s">
        <v>1648</v>
      </c>
      <c r="G982" s="212" t="s">
        <v>272</v>
      </c>
      <c r="H982" s="213">
        <v>86.001999999999995</v>
      </c>
      <c r="I982" s="214"/>
      <c r="J982" s="215">
        <f>ROUND(I982*H982,1)</f>
        <v>0</v>
      </c>
      <c r="K982" s="211" t="s">
        <v>206</v>
      </c>
      <c r="L982" s="46"/>
      <c r="M982" s="216" t="s">
        <v>32</v>
      </c>
      <c r="N982" s="217" t="s">
        <v>49</v>
      </c>
      <c r="O982" s="86"/>
      <c r="P982" s="218">
        <f>O982*H982</f>
        <v>0</v>
      </c>
      <c r="Q982" s="218">
        <v>0.00017000000000000001</v>
      </c>
      <c r="R982" s="218">
        <f>Q982*H982</f>
        <v>0.014620340000000001</v>
      </c>
      <c r="S982" s="218">
        <v>0</v>
      </c>
      <c r="T982" s="219">
        <f>S982*H982</f>
        <v>0</v>
      </c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R982" s="220" t="s">
        <v>310</v>
      </c>
      <c r="AT982" s="220" t="s">
        <v>202</v>
      </c>
      <c r="AU982" s="220" t="s">
        <v>88</v>
      </c>
      <c r="AY982" s="18" t="s">
        <v>200</v>
      </c>
      <c r="BE982" s="221">
        <f>IF(N982="základní",J982,0)</f>
        <v>0</v>
      </c>
      <c r="BF982" s="221">
        <f>IF(N982="snížená",J982,0)</f>
        <v>0</v>
      </c>
      <c r="BG982" s="221">
        <f>IF(N982="zákl. přenesená",J982,0)</f>
        <v>0</v>
      </c>
      <c r="BH982" s="221">
        <f>IF(N982="sníž. přenesená",J982,0)</f>
        <v>0</v>
      </c>
      <c r="BI982" s="221">
        <f>IF(N982="nulová",J982,0)</f>
        <v>0</v>
      </c>
      <c r="BJ982" s="18" t="s">
        <v>86</v>
      </c>
      <c r="BK982" s="221">
        <f>ROUND(I982*H982,1)</f>
        <v>0</v>
      </c>
      <c r="BL982" s="18" t="s">
        <v>310</v>
      </c>
      <c r="BM982" s="220" t="s">
        <v>1666</v>
      </c>
    </row>
    <row r="983" s="2" customFormat="1">
      <c r="A983" s="40"/>
      <c r="B983" s="41"/>
      <c r="C983" s="42"/>
      <c r="D983" s="222" t="s">
        <v>209</v>
      </c>
      <c r="E983" s="42"/>
      <c r="F983" s="223" t="s">
        <v>1650</v>
      </c>
      <c r="G983" s="42"/>
      <c r="H983" s="42"/>
      <c r="I983" s="224"/>
      <c r="J983" s="42"/>
      <c r="K983" s="42"/>
      <c r="L983" s="46"/>
      <c r="M983" s="225"/>
      <c r="N983" s="226"/>
      <c r="O983" s="86"/>
      <c r="P983" s="86"/>
      <c r="Q983" s="86"/>
      <c r="R983" s="86"/>
      <c r="S983" s="86"/>
      <c r="T983" s="87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T983" s="18" t="s">
        <v>209</v>
      </c>
      <c r="AU983" s="18" t="s">
        <v>88</v>
      </c>
    </row>
    <row r="984" s="2" customFormat="1">
      <c r="A984" s="40"/>
      <c r="B984" s="41"/>
      <c r="C984" s="42"/>
      <c r="D984" s="229" t="s">
        <v>355</v>
      </c>
      <c r="E984" s="42"/>
      <c r="F984" s="281" t="s">
        <v>1639</v>
      </c>
      <c r="G984" s="42"/>
      <c r="H984" s="42"/>
      <c r="I984" s="224"/>
      <c r="J984" s="42"/>
      <c r="K984" s="42"/>
      <c r="L984" s="46"/>
      <c r="M984" s="225"/>
      <c r="N984" s="226"/>
      <c r="O984" s="86"/>
      <c r="P984" s="86"/>
      <c r="Q984" s="86"/>
      <c r="R984" s="86"/>
      <c r="S984" s="86"/>
      <c r="T984" s="87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T984" s="18" t="s">
        <v>355</v>
      </c>
      <c r="AU984" s="18" t="s">
        <v>88</v>
      </c>
    </row>
    <row r="985" s="2" customFormat="1" ht="16.5" customHeight="1">
      <c r="A985" s="40"/>
      <c r="B985" s="41"/>
      <c r="C985" s="260" t="s">
        <v>1667</v>
      </c>
      <c r="D985" s="260" t="s">
        <v>292</v>
      </c>
      <c r="E985" s="261" t="s">
        <v>1668</v>
      </c>
      <c r="F985" s="262" t="s">
        <v>1669</v>
      </c>
      <c r="G985" s="263" t="s">
        <v>272</v>
      </c>
      <c r="H985" s="264">
        <v>86.001999999999995</v>
      </c>
      <c r="I985" s="265"/>
      <c r="J985" s="266">
        <f>ROUND(I985*H985,1)</f>
        <v>0</v>
      </c>
      <c r="K985" s="262" t="s">
        <v>32</v>
      </c>
      <c r="L985" s="267"/>
      <c r="M985" s="268" t="s">
        <v>32</v>
      </c>
      <c r="N985" s="269" t="s">
        <v>49</v>
      </c>
      <c r="O985" s="86"/>
      <c r="P985" s="218">
        <f>O985*H985</f>
        <v>0</v>
      </c>
      <c r="Q985" s="218">
        <v>0.038289999999999998</v>
      </c>
      <c r="R985" s="218">
        <f>Q985*H985</f>
        <v>3.2930165799999997</v>
      </c>
      <c r="S985" s="218">
        <v>0</v>
      </c>
      <c r="T985" s="219">
        <f>S985*H985</f>
        <v>0</v>
      </c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R985" s="220" t="s">
        <v>429</v>
      </c>
      <c r="AT985" s="220" t="s">
        <v>292</v>
      </c>
      <c r="AU985" s="220" t="s">
        <v>88</v>
      </c>
      <c r="AY985" s="18" t="s">
        <v>200</v>
      </c>
      <c r="BE985" s="221">
        <f>IF(N985="základní",J985,0)</f>
        <v>0</v>
      </c>
      <c r="BF985" s="221">
        <f>IF(N985="snížená",J985,0)</f>
        <v>0</v>
      </c>
      <c r="BG985" s="221">
        <f>IF(N985="zákl. přenesená",J985,0)</f>
        <v>0</v>
      </c>
      <c r="BH985" s="221">
        <f>IF(N985="sníž. přenesená",J985,0)</f>
        <v>0</v>
      </c>
      <c r="BI985" s="221">
        <f>IF(N985="nulová",J985,0)</f>
        <v>0</v>
      </c>
      <c r="BJ985" s="18" t="s">
        <v>86</v>
      </c>
      <c r="BK985" s="221">
        <f>ROUND(I985*H985,1)</f>
        <v>0</v>
      </c>
      <c r="BL985" s="18" t="s">
        <v>310</v>
      </c>
      <c r="BM985" s="220" t="s">
        <v>1670</v>
      </c>
    </row>
    <row r="986" s="2" customFormat="1">
      <c r="A986" s="40"/>
      <c r="B986" s="41"/>
      <c r="C986" s="42"/>
      <c r="D986" s="229" t="s">
        <v>355</v>
      </c>
      <c r="E986" s="42"/>
      <c r="F986" s="281" t="s">
        <v>1567</v>
      </c>
      <c r="G986" s="42"/>
      <c r="H986" s="42"/>
      <c r="I986" s="224"/>
      <c r="J986" s="42"/>
      <c r="K986" s="42"/>
      <c r="L986" s="46"/>
      <c r="M986" s="225"/>
      <c r="N986" s="226"/>
      <c r="O986" s="86"/>
      <c r="P986" s="86"/>
      <c r="Q986" s="86"/>
      <c r="R986" s="86"/>
      <c r="S986" s="86"/>
      <c r="T986" s="87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T986" s="18" t="s">
        <v>355</v>
      </c>
      <c r="AU986" s="18" t="s">
        <v>88</v>
      </c>
    </row>
    <row r="987" s="2" customFormat="1" ht="16.5" customHeight="1">
      <c r="A987" s="40"/>
      <c r="B987" s="41"/>
      <c r="C987" s="209" t="s">
        <v>1671</v>
      </c>
      <c r="D987" s="209" t="s">
        <v>202</v>
      </c>
      <c r="E987" s="210" t="s">
        <v>1672</v>
      </c>
      <c r="F987" s="211" t="s">
        <v>1673</v>
      </c>
      <c r="G987" s="212" t="s">
        <v>272</v>
      </c>
      <c r="H987" s="213">
        <v>3.5699999999999998</v>
      </c>
      <c r="I987" s="214"/>
      <c r="J987" s="215">
        <f>ROUND(I987*H987,1)</f>
        <v>0</v>
      </c>
      <c r="K987" s="211" t="s">
        <v>206</v>
      </c>
      <c r="L987" s="46"/>
      <c r="M987" s="216" t="s">
        <v>32</v>
      </c>
      <c r="N987" s="217" t="s">
        <v>49</v>
      </c>
      <c r="O987" s="86"/>
      <c r="P987" s="218">
        <f>O987*H987</f>
        <v>0</v>
      </c>
      <c r="Q987" s="218">
        <v>0</v>
      </c>
      <c r="R987" s="218">
        <f>Q987*H987</f>
        <v>0</v>
      </c>
      <c r="S987" s="218">
        <v>0</v>
      </c>
      <c r="T987" s="219">
        <f>S987*H987</f>
        <v>0</v>
      </c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R987" s="220" t="s">
        <v>310</v>
      </c>
      <c r="AT987" s="220" t="s">
        <v>202</v>
      </c>
      <c r="AU987" s="220" t="s">
        <v>88</v>
      </c>
      <c r="AY987" s="18" t="s">
        <v>200</v>
      </c>
      <c r="BE987" s="221">
        <f>IF(N987="základní",J987,0)</f>
        <v>0</v>
      </c>
      <c r="BF987" s="221">
        <f>IF(N987="snížená",J987,0)</f>
        <v>0</v>
      </c>
      <c r="BG987" s="221">
        <f>IF(N987="zákl. přenesená",J987,0)</f>
        <v>0</v>
      </c>
      <c r="BH987" s="221">
        <f>IF(N987="sníž. přenesená",J987,0)</f>
        <v>0</v>
      </c>
      <c r="BI987" s="221">
        <f>IF(N987="nulová",J987,0)</f>
        <v>0</v>
      </c>
      <c r="BJ987" s="18" t="s">
        <v>86</v>
      </c>
      <c r="BK987" s="221">
        <f>ROUND(I987*H987,1)</f>
        <v>0</v>
      </c>
      <c r="BL987" s="18" t="s">
        <v>310</v>
      </c>
      <c r="BM987" s="220" t="s">
        <v>1674</v>
      </c>
    </row>
    <row r="988" s="2" customFormat="1">
      <c r="A988" s="40"/>
      <c r="B988" s="41"/>
      <c r="C988" s="42"/>
      <c r="D988" s="222" t="s">
        <v>209</v>
      </c>
      <c r="E988" s="42"/>
      <c r="F988" s="223" t="s">
        <v>1675</v>
      </c>
      <c r="G988" s="42"/>
      <c r="H988" s="42"/>
      <c r="I988" s="224"/>
      <c r="J988" s="42"/>
      <c r="K988" s="42"/>
      <c r="L988" s="46"/>
      <c r="M988" s="225"/>
      <c r="N988" s="226"/>
      <c r="O988" s="86"/>
      <c r="P988" s="86"/>
      <c r="Q988" s="86"/>
      <c r="R988" s="86"/>
      <c r="S988" s="86"/>
      <c r="T988" s="87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T988" s="18" t="s">
        <v>209</v>
      </c>
      <c r="AU988" s="18" t="s">
        <v>88</v>
      </c>
    </row>
    <row r="989" s="13" customFormat="1">
      <c r="A989" s="13"/>
      <c r="B989" s="227"/>
      <c r="C989" s="228"/>
      <c r="D989" s="229" t="s">
        <v>211</v>
      </c>
      <c r="E989" s="230" t="s">
        <v>32</v>
      </c>
      <c r="F989" s="231" t="s">
        <v>1676</v>
      </c>
      <c r="G989" s="228"/>
      <c r="H989" s="232">
        <v>2.3999999999999999</v>
      </c>
      <c r="I989" s="233"/>
      <c r="J989" s="228"/>
      <c r="K989" s="228"/>
      <c r="L989" s="234"/>
      <c r="M989" s="235"/>
      <c r="N989" s="236"/>
      <c r="O989" s="236"/>
      <c r="P989" s="236"/>
      <c r="Q989" s="236"/>
      <c r="R989" s="236"/>
      <c r="S989" s="236"/>
      <c r="T989" s="237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T989" s="238" t="s">
        <v>211</v>
      </c>
      <c r="AU989" s="238" t="s">
        <v>88</v>
      </c>
      <c r="AV989" s="13" t="s">
        <v>88</v>
      </c>
      <c r="AW989" s="13" t="s">
        <v>213</v>
      </c>
      <c r="AX989" s="13" t="s">
        <v>78</v>
      </c>
      <c r="AY989" s="238" t="s">
        <v>200</v>
      </c>
    </row>
    <row r="990" s="13" customFormat="1">
      <c r="A990" s="13"/>
      <c r="B990" s="227"/>
      <c r="C990" s="228"/>
      <c r="D990" s="229" t="s">
        <v>211</v>
      </c>
      <c r="E990" s="230" t="s">
        <v>32</v>
      </c>
      <c r="F990" s="231" t="s">
        <v>1677</v>
      </c>
      <c r="G990" s="228"/>
      <c r="H990" s="232">
        <v>0.52000000000000002</v>
      </c>
      <c r="I990" s="233"/>
      <c r="J990" s="228"/>
      <c r="K990" s="228"/>
      <c r="L990" s="234"/>
      <c r="M990" s="235"/>
      <c r="N990" s="236"/>
      <c r="O990" s="236"/>
      <c r="P990" s="236"/>
      <c r="Q990" s="236"/>
      <c r="R990" s="236"/>
      <c r="S990" s="236"/>
      <c r="T990" s="237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T990" s="238" t="s">
        <v>211</v>
      </c>
      <c r="AU990" s="238" t="s">
        <v>88</v>
      </c>
      <c r="AV990" s="13" t="s">
        <v>88</v>
      </c>
      <c r="AW990" s="13" t="s">
        <v>213</v>
      </c>
      <c r="AX990" s="13" t="s">
        <v>78</v>
      </c>
      <c r="AY990" s="238" t="s">
        <v>200</v>
      </c>
    </row>
    <row r="991" s="13" customFormat="1">
      <c r="A991" s="13"/>
      <c r="B991" s="227"/>
      <c r="C991" s="228"/>
      <c r="D991" s="229" t="s">
        <v>211</v>
      </c>
      <c r="E991" s="230" t="s">
        <v>32</v>
      </c>
      <c r="F991" s="231" t="s">
        <v>1678</v>
      </c>
      <c r="G991" s="228"/>
      <c r="H991" s="232">
        <v>0.65000000000000002</v>
      </c>
      <c r="I991" s="233"/>
      <c r="J991" s="228"/>
      <c r="K991" s="228"/>
      <c r="L991" s="234"/>
      <c r="M991" s="235"/>
      <c r="N991" s="236"/>
      <c r="O991" s="236"/>
      <c r="P991" s="236"/>
      <c r="Q991" s="236"/>
      <c r="R991" s="236"/>
      <c r="S991" s="236"/>
      <c r="T991" s="237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T991" s="238" t="s">
        <v>211</v>
      </c>
      <c r="AU991" s="238" t="s">
        <v>88</v>
      </c>
      <c r="AV991" s="13" t="s">
        <v>88</v>
      </c>
      <c r="AW991" s="13" t="s">
        <v>213</v>
      </c>
      <c r="AX991" s="13" t="s">
        <v>78</v>
      </c>
      <c r="AY991" s="238" t="s">
        <v>200</v>
      </c>
    </row>
    <row r="992" s="14" customFormat="1">
      <c r="A992" s="14"/>
      <c r="B992" s="239"/>
      <c r="C992" s="240"/>
      <c r="D992" s="229" t="s">
        <v>211</v>
      </c>
      <c r="E992" s="241" t="s">
        <v>32</v>
      </c>
      <c r="F992" s="242" t="s">
        <v>220</v>
      </c>
      <c r="G992" s="240"/>
      <c r="H992" s="243">
        <v>3.5699999999999998</v>
      </c>
      <c r="I992" s="244"/>
      <c r="J992" s="240"/>
      <c r="K992" s="240"/>
      <c r="L992" s="245"/>
      <c r="M992" s="246"/>
      <c r="N992" s="247"/>
      <c r="O992" s="247"/>
      <c r="P992" s="247"/>
      <c r="Q992" s="247"/>
      <c r="R992" s="247"/>
      <c r="S992" s="247"/>
      <c r="T992" s="248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T992" s="249" t="s">
        <v>211</v>
      </c>
      <c r="AU992" s="249" t="s">
        <v>88</v>
      </c>
      <c r="AV992" s="14" t="s">
        <v>207</v>
      </c>
      <c r="AW992" s="14" t="s">
        <v>213</v>
      </c>
      <c r="AX992" s="14" t="s">
        <v>86</v>
      </c>
      <c r="AY992" s="249" t="s">
        <v>200</v>
      </c>
    </row>
    <row r="993" s="2" customFormat="1" ht="16.5" customHeight="1">
      <c r="A993" s="40"/>
      <c r="B993" s="41"/>
      <c r="C993" s="260" t="s">
        <v>1679</v>
      </c>
      <c r="D993" s="260" t="s">
        <v>292</v>
      </c>
      <c r="E993" s="261" t="s">
        <v>1680</v>
      </c>
      <c r="F993" s="262" t="s">
        <v>1681</v>
      </c>
      <c r="G993" s="263" t="s">
        <v>272</v>
      </c>
      <c r="H993" s="264">
        <v>3.927</v>
      </c>
      <c r="I993" s="265"/>
      <c r="J993" s="266">
        <f>ROUND(I993*H993,1)</f>
        <v>0</v>
      </c>
      <c r="K993" s="262" t="s">
        <v>206</v>
      </c>
      <c r="L993" s="267"/>
      <c r="M993" s="268" t="s">
        <v>32</v>
      </c>
      <c r="N993" s="269" t="s">
        <v>49</v>
      </c>
      <c r="O993" s="86"/>
      <c r="P993" s="218">
        <f>O993*H993</f>
        <v>0</v>
      </c>
      <c r="Q993" s="218">
        <v>0.016</v>
      </c>
      <c r="R993" s="218">
        <f>Q993*H993</f>
        <v>0.062831999999999999</v>
      </c>
      <c r="S993" s="218">
        <v>0</v>
      </c>
      <c r="T993" s="219">
        <f>S993*H993</f>
        <v>0</v>
      </c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R993" s="220" t="s">
        <v>429</v>
      </c>
      <c r="AT993" s="220" t="s">
        <v>292</v>
      </c>
      <c r="AU993" s="220" t="s">
        <v>88</v>
      </c>
      <c r="AY993" s="18" t="s">
        <v>200</v>
      </c>
      <c r="BE993" s="221">
        <f>IF(N993="základní",J993,0)</f>
        <v>0</v>
      </c>
      <c r="BF993" s="221">
        <f>IF(N993="snížená",J993,0)</f>
        <v>0</v>
      </c>
      <c r="BG993" s="221">
        <f>IF(N993="zákl. přenesená",J993,0)</f>
        <v>0</v>
      </c>
      <c r="BH993" s="221">
        <f>IF(N993="sníž. přenesená",J993,0)</f>
        <v>0</v>
      </c>
      <c r="BI993" s="221">
        <f>IF(N993="nulová",J993,0)</f>
        <v>0</v>
      </c>
      <c r="BJ993" s="18" t="s">
        <v>86</v>
      </c>
      <c r="BK993" s="221">
        <f>ROUND(I993*H993,1)</f>
        <v>0</v>
      </c>
      <c r="BL993" s="18" t="s">
        <v>310</v>
      </c>
      <c r="BM993" s="220" t="s">
        <v>1682</v>
      </c>
    </row>
    <row r="994" s="13" customFormat="1">
      <c r="A994" s="13"/>
      <c r="B994" s="227"/>
      <c r="C994" s="228"/>
      <c r="D994" s="229" t="s">
        <v>211</v>
      </c>
      <c r="E994" s="228"/>
      <c r="F994" s="231" t="s">
        <v>1683</v>
      </c>
      <c r="G994" s="228"/>
      <c r="H994" s="232">
        <v>3.927</v>
      </c>
      <c r="I994" s="233"/>
      <c r="J994" s="228"/>
      <c r="K994" s="228"/>
      <c r="L994" s="234"/>
      <c r="M994" s="235"/>
      <c r="N994" s="236"/>
      <c r="O994" s="236"/>
      <c r="P994" s="236"/>
      <c r="Q994" s="236"/>
      <c r="R994" s="236"/>
      <c r="S994" s="236"/>
      <c r="T994" s="237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T994" s="238" t="s">
        <v>211</v>
      </c>
      <c r="AU994" s="238" t="s">
        <v>88</v>
      </c>
      <c r="AV994" s="13" t="s">
        <v>88</v>
      </c>
      <c r="AW994" s="13" t="s">
        <v>4</v>
      </c>
      <c r="AX994" s="13" t="s">
        <v>86</v>
      </c>
      <c r="AY994" s="238" t="s">
        <v>200</v>
      </c>
    </row>
    <row r="995" s="2" customFormat="1" ht="21.75" customHeight="1">
      <c r="A995" s="40"/>
      <c r="B995" s="41"/>
      <c r="C995" s="209" t="s">
        <v>1684</v>
      </c>
      <c r="D995" s="209" t="s">
        <v>202</v>
      </c>
      <c r="E995" s="210" t="s">
        <v>1685</v>
      </c>
      <c r="F995" s="211" t="s">
        <v>1686</v>
      </c>
      <c r="G995" s="212" t="s">
        <v>280</v>
      </c>
      <c r="H995" s="213">
        <v>19.280000000000001</v>
      </c>
      <c r="I995" s="214"/>
      <c r="J995" s="215">
        <f>ROUND(I995*H995,1)</f>
        <v>0</v>
      </c>
      <c r="K995" s="211" t="s">
        <v>206</v>
      </c>
      <c r="L995" s="46"/>
      <c r="M995" s="216" t="s">
        <v>32</v>
      </c>
      <c r="N995" s="217" t="s">
        <v>49</v>
      </c>
      <c r="O995" s="86"/>
      <c r="P995" s="218">
        <f>O995*H995</f>
        <v>0</v>
      </c>
      <c r="Q995" s="218">
        <v>0</v>
      </c>
      <c r="R995" s="218">
        <f>Q995*H995</f>
        <v>0</v>
      </c>
      <c r="S995" s="218">
        <v>0</v>
      </c>
      <c r="T995" s="219">
        <f>S995*H995</f>
        <v>0</v>
      </c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R995" s="220" t="s">
        <v>310</v>
      </c>
      <c r="AT995" s="220" t="s">
        <v>202</v>
      </c>
      <c r="AU995" s="220" t="s">
        <v>88</v>
      </c>
      <c r="AY995" s="18" t="s">
        <v>200</v>
      </c>
      <c r="BE995" s="221">
        <f>IF(N995="základní",J995,0)</f>
        <v>0</v>
      </c>
      <c r="BF995" s="221">
        <f>IF(N995="snížená",J995,0)</f>
        <v>0</v>
      </c>
      <c r="BG995" s="221">
        <f>IF(N995="zákl. přenesená",J995,0)</f>
        <v>0</v>
      </c>
      <c r="BH995" s="221">
        <f>IF(N995="sníž. přenesená",J995,0)</f>
        <v>0</v>
      </c>
      <c r="BI995" s="221">
        <f>IF(N995="nulová",J995,0)</f>
        <v>0</v>
      </c>
      <c r="BJ995" s="18" t="s">
        <v>86</v>
      </c>
      <c r="BK995" s="221">
        <f>ROUND(I995*H995,1)</f>
        <v>0</v>
      </c>
      <c r="BL995" s="18" t="s">
        <v>310</v>
      </c>
      <c r="BM995" s="220" t="s">
        <v>1687</v>
      </c>
    </row>
    <row r="996" s="2" customFormat="1">
      <c r="A996" s="40"/>
      <c r="B996" s="41"/>
      <c r="C996" s="42"/>
      <c r="D996" s="222" t="s">
        <v>209</v>
      </c>
      <c r="E996" s="42"/>
      <c r="F996" s="223" t="s">
        <v>1688</v>
      </c>
      <c r="G996" s="42"/>
      <c r="H996" s="42"/>
      <c r="I996" s="224"/>
      <c r="J996" s="42"/>
      <c r="K996" s="42"/>
      <c r="L996" s="46"/>
      <c r="M996" s="225"/>
      <c r="N996" s="226"/>
      <c r="O996" s="86"/>
      <c r="P996" s="86"/>
      <c r="Q996" s="86"/>
      <c r="R996" s="86"/>
      <c r="S996" s="86"/>
      <c r="T996" s="87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T996" s="18" t="s">
        <v>209</v>
      </c>
      <c r="AU996" s="18" t="s">
        <v>88</v>
      </c>
    </row>
    <row r="997" s="13" customFormat="1">
      <c r="A997" s="13"/>
      <c r="B997" s="227"/>
      <c r="C997" s="228"/>
      <c r="D997" s="229" t="s">
        <v>211</v>
      </c>
      <c r="E997" s="230" t="s">
        <v>32</v>
      </c>
      <c r="F997" s="231" t="s">
        <v>1689</v>
      </c>
      <c r="G997" s="228"/>
      <c r="H997" s="232">
        <v>19.280000000000001</v>
      </c>
      <c r="I997" s="233"/>
      <c r="J997" s="228"/>
      <c r="K997" s="228"/>
      <c r="L997" s="234"/>
      <c r="M997" s="235"/>
      <c r="N997" s="236"/>
      <c r="O997" s="236"/>
      <c r="P997" s="236"/>
      <c r="Q997" s="236"/>
      <c r="R997" s="236"/>
      <c r="S997" s="236"/>
      <c r="T997" s="237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T997" s="238" t="s">
        <v>211</v>
      </c>
      <c r="AU997" s="238" t="s">
        <v>88</v>
      </c>
      <c r="AV997" s="13" t="s">
        <v>88</v>
      </c>
      <c r="AW997" s="13" t="s">
        <v>213</v>
      </c>
      <c r="AX997" s="13" t="s">
        <v>86</v>
      </c>
      <c r="AY997" s="238" t="s">
        <v>200</v>
      </c>
    </row>
    <row r="998" s="2" customFormat="1" ht="16.5" customHeight="1">
      <c r="A998" s="40"/>
      <c r="B998" s="41"/>
      <c r="C998" s="260" t="s">
        <v>1690</v>
      </c>
      <c r="D998" s="260" t="s">
        <v>292</v>
      </c>
      <c r="E998" s="261" t="s">
        <v>1691</v>
      </c>
      <c r="F998" s="262" t="s">
        <v>1692</v>
      </c>
      <c r="G998" s="263" t="s">
        <v>280</v>
      </c>
      <c r="H998" s="264">
        <v>21.207999999999998</v>
      </c>
      <c r="I998" s="265"/>
      <c r="J998" s="266">
        <f>ROUND(I998*H998,1)</f>
        <v>0</v>
      </c>
      <c r="K998" s="262" t="s">
        <v>206</v>
      </c>
      <c r="L998" s="267"/>
      <c r="M998" s="268" t="s">
        <v>32</v>
      </c>
      <c r="N998" s="269" t="s">
        <v>49</v>
      </c>
      <c r="O998" s="86"/>
      <c r="P998" s="218">
        <f>O998*H998</f>
        <v>0</v>
      </c>
      <c r="Q998" s="218">
        <v>0.00020000000000000001</v>
      </c>
      <c r="R998" s="218">
        <f>Q998*H998</f>
        <v>0.0042415999999999999</v>
      </c>
      <c r="S998" s="218">
        <v>0</v>
      </c>
      <c r="T998" s="219">
        <f>S998*H998</f>
        <v>0</v>
      </c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R998" s="220" t="s">
        <v>429</v>
      </c>
      <c r="AT998" s="220" t="s">
        <v>292</v>
      </c>
      <c r="AU998" s="220" t="s">
        <v>88</v>
      </c>
      <c r="AY998" s="18" t="s">
        <v>200</v>
      </c>
      <c r="BE998" s="221">
        <f>IF(N998="základní",J998,0)</f>
        <v>0</v>
      </c>
      <c r="BF998" s="221">
        <f>IF(N998="snížená",J998,0)</f>
        <v>0</v>
      </c>
      <c r="BG998" s="221">
        <f>IF(N998="zákl. přenesená",J998,0)</f>
        <v>0</v>
      </c>
      <c r="BH998" s="221">
        <f>IF(N998="sníž. přenesená",J998,0)</f>
        <v>0</v>
      </c>
      <c r="BI998" s="221">
        <f>IF(N998="nulová",J998,0)</f>
        <v>0</v>
      </c>
      <c r="BJ998" s="18" t="s">
        <v>86</v>
      </c>
      <c r="BK998" s="221">
        <f>ROUND(I998*H998,1)</f>
        <v>0</v>
      </c>
      <c r="BL998" s="18" t="s">
        <v>310</v>
      </c>
      <c r="BM998" s="220" t="s">
        <v>1693</v>
      </c>
    </row>
    <row r="999" s="13" customFormat="1">
      <c r="A999" s="13"/>
      <c r="B999" s="227"/>
      <c r="C999" s="228"/>
      <c r="D999" s="229" t="s">
        <v>211</v>
      </c>
      <c r="E999" s="228"/>
      <c r="F999" s="231" t="s">
        <v>1694</v>
      </c>
      <c r="G999" s="228"/>
      <c r="H999" s="232">
        <v>21.207999999999998</v>
      </c>
      <c r="I999" s="233"/>
      <c r="J999" s="228"/>
      <c r="K999" s="228"/>
      <c r="L999" s="234"/>
      <c r="M999" s="235"/>
      <c r="N999" s="236"/>
      <c r="O999" s="236"/>
      <c r="P999" s="236"/>
      <c r="Q999" s="236"/>
      <c r="R999" s="236"/>
      <c r="S999" s="236"/>
      <c r="T999" s="237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T999" s="238" t="s">
        <v>211</v>
      </c>
      <c r="AU999" s="238" t="s">
        <v>88</v>
      </c>
      <c r="AV999" s="13" t="s">
        <v>88</v>
      </c>
      <c r="AW999" s="13" t="s">
        <v>4</v>
      </c>
      <c r="AX999" s="13" t="s">
        <v>86</v>
      </c>
      <c r="AY999" s="238" t="s">
        <v>200</v>
      </c>
    </row>
    <row r="1000" s="2" customFormat="1" ht="16.5" customHeight="1">
      <c r="A1000" s="40"/>
      <c r="B1000" s="41"/>
      <c r="C1000" s="209" t="s">
        <v>1695</v>
      </c>
      <c r="D1000" s="209" t="s">
        <v>202</v>
      </c>
      <c r="E1000" s="210" t="s">
        <v>1696</v>
      </c>
      <c r="F1000" s="211" t="s">
        <v>1697</v>
      </c>
      <c r="G1000" s="212" t="s">
        <v>449</v>
      </c>
      <c r="H1000" s="213">
        <v>1</v>
      </c>
      <c r="I1000" s="214"/>
      <c r="J1000" s="215">
        <f>ROUND(I1000*H1000,1)</f>
        <v>0</v>
      </c>
      <c r="K1000" s="211" t="s">
        <v>206</v>
      </c>
      <c r="L1000" s="46"/>
      <c r="M1000" s="216" t="s">
        <v>32</v>
      </c>
      <c r="N1000" s="217" t="s">
        <v>49</v>
      </c>
      <c r="O1000" s="86"/>
      <c r="P1000" s="218">
        <f>O1000*H1000</f>
        <v>0</v>
      </c>
      <c r="Q1000" s="218">
        <v>0</v>
      </c>
      <c r="R1000" s="218">
        <f>Q1000*H1000</f>
        <v>0</v>
      </c>
      <c r="S1000" s="218">
        <v>0</v>
      </c>
      <c r="T1000" s="219">
        <f>S1000*H1000</f>
        <v>0</v>
      </c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R1000" s="220" t="s">
        <v>310</v>
      </c>
      <c r="AT1000" s="220" t="s">
        <v>202</v>
      </c>
      <c r="AU1000" s="220" t="s">
        <v>88</v>
      </c>
      <c r="AY1000" s="18" t="s">
        <v>200</v>
      </c>
      <c r="BE1000" s="221">
        <f>IF(N1000="základní",J1000,0)</f>
        <v>0</v>
      </c>
      <c r="BF1000" s="221">
        <f>IF(N1000="snížená",J1000,0)</f>
        <v>0</v>
      </c>
      <c r="BG1000" s="221">
        <f>IF(N1000="zákl. přenesená",J1000,0)</f>
        <v>0</v>
      </c>
      <c r="BH1000" s="221">
        <f>IF(N1000="sníž. přenesená",J1000,0)</f>
        <v>0</v>
      </c>
      <c r="BI1000" s="221">
        <f>IF(N1000="nulová",J1000,0)</f>
        <v>0</v>
      </c>
      <c r="BJ1000" s="18" t="s">
        <v>86</v>
      </c>
      <c r="BK1000" s="221">
        <f>ROUND(I1000*H1000,1)</f>
        <v>0</v>
      </c>
      <c r="BL1000" s="18" t="s">
        <v>310</v>
      </c>
      <c r="BM1000" s="220" t="s">
        <v>1698</v>
      </c>
    </row>
    <row r="1001" s="2" customFormat="1">
      <c r="A1001" s="40"/>
      <c r="B1001" s="41"/>
      <c r="C1001" s="42"/>
      <c r="D1001" s="222" t="s">
        <v>209</v>
      </c>
      <c r="E1001" s="42"/>
      <c r="F1001" s="223" t="s">
        <v>1699</v>
      </c>
      <c r="G1001" s="42"/>
      <c r="H1001" s="42"/>
      <c r="I1001" s="224"/>
      <c r="J1001" s="42"/>
      <c r="K1001" s="42"/>
      <c r="L1001" s="46"/>
      <c r="M1001" s="225"/>
      <c r="N1001" s="226"/>
      <c r="O1001" s="86"/>
      <c r="P1001" s="86"/>
      <c r="Q1001" s="86"/>
      <c r="R1001" s="86"/>
      <c r="S1001" s="86"/>
      <c r="T1001" s="87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T1001" s="18" t="s">
        <v>209</v>
      </c>
      <c r="AU1001" s="18" t="s">
        <v>88</v>
      </c>
    </row>
    <row r="1002" s="2" customFormat="1">
      <c r="A1002" s="40"/>
      <c r="B1002" s="41"/>
      <c r="C1002" s="42"/>
      <c r="D1002" s="229" t="s">
        <v>355</v>
      </c>
      <c r="E1002" s="42"/>
      <c r="F1002" s="281" t="s">
        <v>1639</v>
      </c>
      <c r="G1002" s="42"/>
      <c r="H1002" s="42"/>
      <c r="I1002" s="224"/>
      <c r="J1002" s="42"/>
      <c r="K1002" s="42"/>
      <c r="L1002" s="46"/>
      <c r="M1002" s="225"/>
      <c r="N1002" s="226"/>
      <c r="O1002" s="86"/>
      <c r="P1002" s="86"/>
      <c r="Q1002" s="86"/>
      <c r="R1002" s="86"/>
      <c r="S1002" s="86"/>
      <c r="T1002" s="87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T1002" s="18" t="s">
        <v>355</v>
      </c>
      <c r="AU1002" s="18" t="s">
        <v>88</v>
      </c>
    </row>
    <row r="1003" s="13" customFormat="1">
      <c r="A1003" s="13"/>
      <c r="B1003" s="227"/>
      <c r="C1003" s="228"/>
      <c r="D1003" s="229" t="s">
        <v>211</v>
      </c>
      <c r="E1003" s="230" t="s">
        <v>32</v>
      </c>
      <c r="F1003" s="231" t="s">
        <v>1700</v>
      </c>
      <c r="G1003" s="228"/>
      <c r="H1003" s="232">
        <v>1</v>
      </c>
      <c r="I1003" s="233"/>
      <c r="J1003" s="228"/>
      <c r="K1003" s="228"/>
      <c r="L1003" s="234"/>
      <c r="M1003" s="235"/>
      <c r="N1003" s="236"/>
      <c r="O1003" s="236"/>
      <c r="P1003" s="236"/>
      <c r="Q1003" s="236"/>
      <c r="R1003" s="236"/>
      <c r="S1003" s="236"/>
      <c r="T1003" s="237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T1003" s="238" t="s">
        <v>211</v>
      </c>
      <c r="AU1003" s="238" t="s">
        <v>88</v>
      </c>
      <c r="AV1003" s="13" t="s">
        <v>88</v>
      </c>
      <c r="AW1003" s="13" t="s">
        <v>213</v>
      </c>
      <c r="AX1003" s="13" t="s">
        <v>86</v>
      </c>
      <c r="AY1003" s="238" t="s">
        <v>200</v>
      </c>
    </row>
    <row r="1004" s="2" customFormat="1" ht="16.5" customHeight="1">
      <c r="A1004" s="40"/>
      <c r="B1004" s="41"/>
      <c r="C1004" s="260" t="s">
        <v>1701</v>
      </c>
      <c r="D1004" s="260" t="s">
        <v>292</v>
      </c>
      <c r="E1004" s="261" t="s">
        <v>1702</v>
      </c>
      <c r="F1004" s="262" t="s">
        <v>1703</v>
      </c>
      <c r="G1004" s="263" t="s">
        <v>272</v>
      </c>
      <c r="H1004" s="264">
        <v>1.6799999999999999</v>
      </c>
      <c r="I1004" s="265"/>
      <c r="J1004" s="266">
        <f>ROUND(I1004*H1004,1)</f>
        <v>0</v>
      </c>
      <c r="K1004" s="262" t="s">
        <v>206</v>
      </c>
      <c r="L1004" s="267"/>
      <c r="M1004" s="268" t="s">
        <v>32</v>
      </c>
      <c r="N1004" s="269" t="s">
        <v>49</v>
      </c>
      <c r="O1004" s="86"/>
      <c r="P1004" s="218">
        <f>O1004*H1004</f>
        <v>0</v>
      </c>
      <c r="Q1004" s="218">
        <v>0.03227</v>
      </c>
      <c r="R1004" s="218">
        <f>Q1004*H1004</f>
        <v>0.054213600000000001</v>
      </c>
      <c r="S1004" s="218">
        <v>0</v>
      </c>
      <c r="T1004" s="219">
        <f>S1004*H1004</f>
        <v>0</v>
      </c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R1004" s="220" t="s">
        <v>429</v>
      </c>
      <c r="AT1004" s="220" t="s">
        <v>292</v>
      </c>
      <c r="AU1004" s="220" t="s">
        <v>88</v>
      </c>
      <c r="AY1004" s="18" t="s">
        <v>200</v>
      </c>
      <c r="BE1004" s="221">
        <f>IF(N1004="základní",J1004,0)</f>
        <v>0</v>
      </c>
      <c r="BF1004" s="221">
        <f>IF(N1004="snížená",J1004,0)</f>
        <v>0</v>
      </c>
      <c r="BG1004" s="221">
        <f>IF(N1004="zákl. přenesená",J1004,0)</f>
        <v>0</v>
      </c>
      <c r="BH1004" s="221">
        <f>IF(N1004="sníž. přenesená",J1004,0)</f>
        <v>0</v>
      </c>
      <c r="BI1004" s="221">
        <f>IF(N1004="nulová",J1004,0)</f>
        <v>0</v>
      </c>
      <c r="BJ1004" s="18" t="s">
        <v>86</v>
      </c>
      <c r="BK1004" s="221">
        <f>ROUND(I1004*H1004,1)</f>
        <v>0</v>
      </c>
      <c r="BL1004" s="18" t="s">
        <v>310</v>
      </c>
      <c r="BM1004" s="220" t="s">
        <v>1704</v>
      </c>
    </row>
    <row r="1005" s="2" customFormat="1">
      <c r="A1005" s="40"/>
      <c r="B1005" s="41"/>
      <c r="C1005" s="42"/>
      <c r="D1005" s="229" t="s">
        <v>355</v>
      </c>
      <c r="E1005" s="42"/>
      <c r="F1005" s="281" t="s">
        <v>1705</v>
      </c>
      <c r="G1005" s="42"/>
      <c r="H1005" s="42"/>
      <c r="I1005" s="224"/>
      <c r="J1005" s="42"/>
      <c r="K1005" s="42"/>
      <c r="L1005" s="46"/>
      <c r="M1005" s="225"/>
      <c r="N1005" s="226"/>
      <c r="O1005" s="86"/>
      <c r="P1005" s="86"/>
      <c r="Q1005" s="86"/>
      <c r="R1005" s="86"/>
      <c r="S1005" s="86"/>
      <c r="T1005" s="87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T1005" s="18" t="s">
        <v>355</v>
      </c>
      <c r="AU1005" s="18" t="s">
        <v>88</v>
      </c>
    </row>
    <row r="1006" s="13" customFormat="1">
      <c r="A1006" s="13"/>
      <c r="B1006" s="227"/>
      <c r="C1006" s="228"/>
      <c r="D1006" s="229" t="s">
        <v>211</v>
      </c>
      <c r="E1006" s="230" t="s">
        <v>32</v>
      </c>
      <c r="F1006" s="231" t="s">
        <v>1706</v>
      </c>
      <c r="G1006" s="228"/>
      <c r="H1006" s="232">
        <v>1.6799999999999999</v>
      </c>
      <c r="I1006" s="233"/>
      <c r="J1006" s="228"/>
      <c r="K1006" s="228"/>
      <c r="L1006" s="234"/>
      <c r="M1006" s="235"/>
      <c r="N1006" s="236"/>
      <c r="O1006" s="236"/>
      <c r="P1006" s="236"/>
      <c r="Q1006" s="236"/>
      <c r="R1006" s="236"/>
      <c r="S1006" s="236"/>
      <c r="T1006" s="237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T1006" s="238" t="s">
        <v>211</v>
      </c>
      <c r="AU1006" s="238" t="s">
        <v>88</v>
      </c>
      <c r="AV1006" s="13" t="s">
        <v>88</v>
      </c>
      <c r="AW1006" s="13" t="s">
        <v>213</v>
      </c>
      <c r="AX1006" s="13" t="s">
        <v>86</v>
      </c>
      <c r="AY1006" s="238" t="s">
        <v>200</v>
      </c>
    </row>
    <row r="1007" s="2" customFormat="1" ht="16.5" customHeight="1">
      <c r="A1007" s="40"/>
      <c r="B1007" s="41"/>
      <c r="C1007" s="209" t="s">
        <v>1707</v>
      </c>
      <c r="D1007" s="209" t="s">
        <v>202</v>
      </c>
      <c r="E1007" s="210" t="s">
        <v>1696</v>
      </c>
      <c r="F1007" s="211" t="s">
        <v>1697</v>
      </c>
      <c r="G1007" s="212" t="s">
        <v>449</v>
      </c>
      <c r="H1007" s="213">
        <v>1.8899999999999999</v>
      </c>
      <c r="I1007" s="214"/>
      <c r="J1007" s="215">
        <f>ROUND(I1007*H1007,1)</f>
        <v>0</v>
      </c>
      <c r="K1007" s="211" t="s">
        <v>206</v>
      </c>
      <c r="L1007" s="46"/>
      <c r="M1007" s="216" t="s">
        <v>32</v>
      </c>
      <c r="N1007" s="217" t="s">
        <v>49</v>
      </c>
      <c r="O1007" s="86"/>
      <c r="P1007" s="218">
        <f>O1007*H1007</f>
        <v>0</v>
      </c>
      <c r="Q1007" s="218">
        <v>0</v>
      </c>
      <c r="R1007" s="218">
        <f>Q1007*H1007</f>
        <v>0</v>
      </c>
      <c r="S1007" s="218">
        <v>0</v>
      </c>
      <c r="T1007" s="219">
        <f>S1007*H1007</f>
        <v>0</v>
      </c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R1007" s="220" t="s">
        <v>310</v>
      </c>
      <c r="AT1007" s="220" t="s">
        <v>202</v>
      </c>
      <c r="AU1007" s="220" t="s">
        <v>88</v>
      </c>
      <c r="AY1007" s="18" t="s">
        <v>200</v>
      </c>
      <c r="BE1007" s="221">
        <f>IF(N1007="základní",J1007,0)</f>
        <v>0</v>
      </c>
      <c r="BF1007" s="221">
        <f>IF(N1007="snížená",J1007,0)</f>
        <v>0</v>
      </c>
      <c r="BG1007" s="221">
        <f>IF(N1007="zákl. přenesená",J1007,0)</f>
        <v>0</v>
      </c>
      <c r="BH1007" s="221">
        <f>IF(N1007="sníž. přenesená",J1007,0)</f>
        <v>0</v>
      </c>
      <c r="BI1007" s="221">
        <f>IF(N1007="nulová",J1007,0)</f>
        <v>0</v>
      </c>
      <c r="BJ1007" s="18" t="s">
        <v>86</v>
      </c>
      <c r="BK1007" s="221">
        <f>ROUND(I1007*H1007,1)</f>
        <v>0</v>
      </c>
      <c r="BL1007" s="18" t="s">
        <v>310</v>
      </c>
      <c r="BM1007" s="220" t="s">
        <v>1708</v>
      </c>
    </row>
    <row r="1008" s="2" customFormat="1">
      <c r="A1008" s="40"/>
      <c r="B1008" s="41"/>
      <c r="C1008" s="42"/>
      <c r="D1008" s="222" t="s">
        <v>209</v>
      </c>
      <c r="E1008" s="42"/>
      <c r="F1008" s="223" t="s">
        <v>1699</v>
      </c>
      <c r="G1008" s="42"/>
      <c r="H1008" s="42"/>
      <c r="I1008" s="224"/>
      <c r="J1008" s="42"/>
      <c r="K1008" s="42"/>
      <c r="L1008" s="46"/>
      <c r="M1008" s="225"/>
      <c r="N1008" s="226"/>
      <c r="O1008" s="86"/>
      <c r="P1008" s="86"/>
      <c r="Q1008" s="86"/>
      <c r="R1008" s="86"/>
      <c r="S1008" s="86"/>
      <c r="T1008" s="87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T1008" s="18" t="s">
        <v>209</v>
      </c>
      <c r="AU1008" s="18" t="s">
        <v>88</v>
      </c>
    </row>
    <row r="1009" s="2" customFormat="1">
      <c r="A1009" s="40"/>
      <c r="B1009" s="41"/>
      <c r="C1009" s="42"/>
      <c r="D1009" s="229" t="s">
        <v>355</v>
      </c>
      <c r="E1009" s="42"/>
      <c r="F1009" s="281" t="s">
        <v>1639</v>
      </c>
      <c r="G1009" s="42"/>
      <c r="H1009" s="42"/>
      <c r="I1009" s="224"/>
      <c r="J1009" s="42"/>
      <c r="K1009" s="42"/>
      <c r="L1009" s="46"/>
      <c r="M1009" s="225"/>
      <c r="N1009" s="226"/>
      <c r="O1009" s="86"/>
      <c r="P1009" s="86"/>
      <c r="Q1009" s="86"/>
      <c r="R1009" s="86"/>
      <c r="S1009" s="86"/>
      <c r="T1009" s="87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T1009" s="18" t="s">
        <v>355</v>
      </c>
      <c r="AU1009" s="18" t="s">
        <v>88</v>
      </c>
    </row>
    <row r="1010" s="2" customFormat="1" ht="16.5" customHeight="1">
      <c r="A1010" s="40"/>
      <c r="B1010" s="41"/>
      <c r="C1010" s="260" t="s">
        <v>1709</v>
      </c>
      <c r="D1010" s="260" t="s">
        <v>292</v>
      </c>
      <c r="E1010" s="261" t="s">
        <v>1702</v>
      </c>
      <c r="F1010" s="262" t="s">
        <v>1703</v>
      </c>
      <c r="G1010" s="263" t="s">
        <v>272</v>
      </c>
      <c r="H1010" s="264">
        <v>1.8899999999999999</v>
      </c>
      <c r="I1010" s="265"/>
      <c r="J1010" s="266">
        <f>ROUND(I1010*H1010,1)</f>
        <v>0</v>
      </c>
      <c r="K1010" s="262" t="s">
        <v>206</v>
      </c>
      <c r="L1010" s="267"/>
      <c r="M1010" s="268" t="s">
        <v>32</v>
      </c>
      <c r="N1010" s="269" t="s">
        <v>49</v>
      </c>
      <c r="O1010" s="86"/>
      <c r="P1010" s="218">
        <f>O1010*H1010</f>
        <v>0</v>
      </c>
      <c r="Q1010" s="218">
        <v>0.03227</v>
      </c>
      <c r="R1010" s="218">
        <f>Q1010*H1010</f>
        <v>0.060990299999999997</v>
      </c>
      <c r="S1010" s="218">
        <v>0</v>
      </c>
      <c r="T1010" s="219">
        <f>S1010*H1010</f>
        <v>0</v>
      </c>
      <c r="U1010" s="40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  <c r="AR1010" s="220" t="s">
        <v>429</v>
      </c>
      <c r="AT1010" s="220" t="s">
        <v>292</v>
      </c>
      <c r="AU1010" s="220" t="s">
        <v>88</v>
      </c>
      <c r="AY1010" s="18" t="s">
        <v>200</v>
      </c>
      <c r="BE1010" s="221">
        <f>IF(N1010="základní",J1010,0)</f>
        <v>0</v>
      </c>
      <c r="BF1010" s="221">
        <f>IF(N1010="snížená",J1010,0)</f>
        <v>0</v>
      </c>
      <c r="BG1010" s="221">
        <f>IF(N1010="zákl. přenesená",J1010,0)</f>
        <v>0</v>
      </c>
      <c r="BH1010" s="221">
        <f>IF(N1010="sníž. přenesená",J1010,0)</f>
        <v>0</v>
      </c>
      <c r="BI1010" s="221">
        <f>IF(N1010="nulová",J1010,0)</f>
        <v>0</v>
      </c>
      <c r="BJ1010" s="18" t="s">
        <v>86</v>
      </c>
      <c r="BK1010" s="221">
        <f>ROUND(I1010*H1010,1)</f>
        <v>0</v>
      </c>
      <c r="BL1010" s="18" t="s">
        <v>310</v>
      </c>
      <c r="BM1010" s="220" t="s">
        <v>1710</v>
      </c>
    </row>
    <row r="1011" s="13" customFormat="1">
      <c r="A1011" s="13"/>
      <c r="B1011" s="227"/>
      <c r="C1011" s="228"/>
      <c r="D1011" s="229" t="s">
        <v>211</v>
      </c>
      <c r="E1011" s="230" t="s">
        <v>32</v>
      </c>
      <c r="F1011" s="231" t="s">
        <v>1711</v>
      </c>
      <c r="G1011" s="228"/>
      <c r="H1011" s="232">
        <v>1.8899999999999999</v>
      </c>
      <c r="I1011" s="233"/>
      <c r="J1011" s="228"/>
      <c r="K1011" s="228"/>
      <c r="L1011" s="234"/>
      <c r="M1011" s="235"/>
      <c r="N1011" s="236"/>
      <c r="O1011" s="236"/>
      <c r="P1011" s="236"/>
      <c r="Q1011" s="236"/>
      <c r="R1011" s="236"/>
      <c r="S1011" s="236"/>
      <c r="T1011" s="237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T1011" s="238" t="s">
        <v>211</v>
      </c>
      <c r="AU1011" s="238" t="s">
        <v>88</v>
      </c>
      <c r="AV1011" s="13" t="s">
        <v>88</v>
      </c>
      <c r="AW1011" s="13" t="s">
        <v>213</v>
      </c>
      <c r="AX1011" s="13" t="s">
        <v>86</v>
      </c>
      <c r="AY1011" s="238" t="s">
        <v>200</v>
      </c>
    </row>
    <row r="1012" s="2" customFormat="1" ht="16.5" customHeight="1">
      <c r="A1012" s="40"/>
      <c r="B1012" s="41"/>
      <c r="C1012" s="209" t="s">
        <v>1712</v>
      </c>
      <c r="D1012" s="209" t="s">
        <v>202</v>
      </c>
      <c r="E1012" s="210" t="s">
        <v>1713</v>
      </c>
      <c r="F1012" s="211" t="s">
        <v>1714</v>
      </c>
      <c r="G1012" s="212" t="s">
        <v>449</v>
      </c>
      <c r="H1012" s="213">
        <v>1</v>
      </c>
      <c r="I1012" s="214"/>
      <c r="J1012" s="215">
        <f>ROUND(I1012*H1012,1)</f>
        <v>0</v>
      </c>
      <c r="K1012" s="211" t="s">
        <v>206</v>
      </c>
      <c r="L1012" s="46"/>
      <c r="M1012" s="216" t="s">
        <v>32</v>
      </c>
      <c r="N1012" s="217" t="s">
        <v>49</v>
      </c>
      <c r="O1012" s="86"/>
      <c r="P1012" s="218">
        <f>O1012*H1012</f>
        <v>0</v>
      </c>
      <c r="Q1012" s="218">
        <v>0</v>
      </c>
      <c r="R1012" s="218">
        <f>Q1012*H1012</f>
        <v>0</v>
      </c>
      <c r="S1012" s="218">
        <v>0</v>
      </c>
      <c r="T1012" s="219">
        <f>S1012*H1012</f>
        <v>0</v>
      </c>
      <c r="U1012" s="40"/>
      <c r="V1012" s="40"/>
      <c r="W1012" s="40"/>
      <c r="X1012" s="40"/>
      <c r="Y1012" s="40"/>
      <c r="Z1012" s="40"/>
      <c r="AA1012" s="40"/>
      <c r="AB1012" s="40"/>
      <c r="AC1012" s="40"/>
      <c r="AD1012" s="40"/>
      <c r="AE1012" s="40"/>
      <c r="AR1012" s="220" t="s">
        <v>310</v>
      </c>
      <c r="AT1012" s="220" t="s">
        <v>202</v>
      </c>
      <c r="AU1012" s="220" t="s">
        <v>88</v>
      </c>
      <c r="AY1012" s="18" t="s">
        <v>200</v>
      </c>
      <c r="BE1012" s="221">
        <f>IF(N1012="základní",J1012,0)</f>
        <v>0</v>
      </c>
      <c r="BF1012" s="221">
        <f>IF(N1012="snížená",J1012,0)</f>
        <v>0</v>
      </c>
      <c r="BG1012" s="221">
        <f>IF(N1012="zákl. přenesená",J1012,0)</f>
        <v>0</v>
      </c>
      <c r="BH1012" s="221">
        <f>IF(N1012="sníž. přenesená",J1012,0)</f>
        <v>0</v>
      </c>
      <c r="BI1012" s="221">
        <f>IF(N1012="nulová",J1012,0)</f>
        <v>0</v>
      </c>
      <c r="BJ1012" s="18" t="s">
        <v>86</v>
      </c>
      <c r="BK1012" s="221">
        <f>ROUND(I1012*H1012,1)</f>
        <v>0</v>
      </c>
      <c r="BL1012" s="18" t="s">
        <v>310</v>
      </c>
      <c r="BM1012" s="220" t="s">
        <v>1715</v>
      </c>
    </row>
    <row r="1013" s="2" customFormat="1">
      <c r="A1013" s="40"/>
      <c r="B1013" s="41"/>
      <c r="C1013" s="42"/>
      <c r="D1013" s="222" t="s">
        <v>209</v>
      </c>
      <c r="E1013" s="42"/>
      <c r="F1013" s="223" t="s">
        <v>1716</v>
      </c>
      <c r="G1013" s="42"/>
      <c r="H1013" s="42"/>
      <c r="I1013" s="224"/>
      <c r="J1013" s="42"/>
      <c r="K1013" s="42"/>
      <c r="L1013" s="46"/>
      <c r="M1013" s="225"/>
      <c r="N1013" s="226"/>
      <c r="O1013" s="86"/>
      <c r="P1013" s="86"/>
      <c r="Q1013" s="86"/>
      <c r="R1013" s="86"/>
      <c r="S1013" s="86"/>
      <c r="T1013" s="87"/>
      <c r="U1013" s="40"/>
      <c r="V1013" s="40"/>
      <c r="W1013" s="40"/>
      <c r="X1013" s="40"/>
      <c r="Y1013" s="40"/>
      <c r="Z1013" s="40"/>
      <c r="AA1013" s="40"/>
      <c r="AB1013" s="40"/>
      <c r="AC1013" s="40"/>
      <c r="AD1013" s="40"/>
      <c r="AE1013" s="40"/>
      <c r="AT1013" s="18" t="s">
        <v>209</v>
      </c>
      <c r="AU1013" s="18" t="s">
        <v>88</v>
      </c>
    </row>
    <row r="1014" s="2" customFormat="1">
      <c r="A1014" s="40"/>
      <c r="B1014" s="41"/>
      <c r="C1014" s="42"/>
      <c r="D1014" s="229" t="s">
        <v>355</v>
      </c>
      <c r="E1014" s="42"/>
      <c r="F1014" s="281" t="s">
        <v>1639</v>
      </c>
      <c r="G1014" s="42"/>
      <c r="H1014" s="42"/>
      <c r="I1014" s="224"/>
      <c r="J1014" s="42"/>
      <c r="K1014" s="42"/>
      <c r="L1014" s="46"/>
      <c r="M1014" s="225"/>
      <c r="N1014" s="226"/>
      <c r="O1014" s="86"/>
      <c r="P1014" s="86"/>
      <c r="Q1014" s="86"/>
      <c r="R1014" s="86"/>
      <c r="S1014" s="86"/>
      <c r="T1014" s="87"/>
      <c r="U1014" s="40"/>
      <c r="V1014" s="40"/>
      <c r="W1014" s="40"/>
      <c r="X1014" s="40"/>
      <c r="Y1014" s="40"/>
      <c r="Z1014" s="40"/>
      <c r="AA1014" s="40"/>
      <c r="AB1014" s="40"/>
      <c r="AC1014" s="40"/>
      <c r="AD1014" s="40"/>
      <c r="AE1014" s="40"/>
      <c r="AT1014" s="18" t="s">
        <v>355</v>
      </c>
      <c r="AU1014" s="18" t="s">
        <v>88</v>
      </c>
    </row>
    <row r="1015" s="13" customFormat="1">
      <c r="A1015" s="13"/>
      <c r="B1015" s="227"/>
      <c r="C1015" s="228"/>
      <c r="D1015" s="229" t="s">
        <v>211</v>
      </c>
      <c r="E1015" s="230" t="s">
        <v>32</v>
      </c>
      <c r="F1015" s="231" t="s">
        <v>1717</v>
      </c>
      <c r="G1015" s="228"/>
      <c r="H1015" s="232">
        <v>1</v>
      </c>
      <c r="I1015" s="233"/>
      <c r="J1015" s="228"/>
      <c r="K1015" s="228"/>
      <c r="L1015" s="234"/>
      <c r="M1015" s="235"/>
      <c r="N1015" s="236"/>
      <c r="O1015" s="236"/>
      <c r="P1015" s="236"/>
      <c r="Q1015" s="236"/>
      <c r="R1015" s="236"/>
      <c r="S1015" s="236"/>
      <c r="T1015" s="237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T1015" s="238" t="s">
        <v>211</v>
      </c>
      <c r="AU1015" s="238" t="s">
        <v>88</v>
      </c>
      <c r="AV1015" s="13" t="s">
        <v>88</v>
      </c>
      <c r="AW1015" s="13" t="s">
        <v>213</v>
      </c>
      <c r="AX1015" s="13" t="s">
        <v>86</v>
      </c>
      <c r="AY1015" s="238" t="s">
        <v>200</v>
      </c>
    </row>
    <row r="1016" s="2" customFormat="1" ht="16.5" customHeight="1">
      <c r="A1016" s="40"/>
      <c r="B1016" s="41"/>
      <c r="C1016" s="260" t="s">
        <v>1718</v>
      </c>
      <c r="D1016" s="260" t="s">
        <v>292</v>
      </c>
      <c r="E1016" s="261" t="s">
        <v>1719</v>
      </c>
      <c r="F1016" s="262" t="s">
        <v>1720</v>
      </c>
      <c r="G1016" s="263" t="s">
        <v>272</v>
      </c>
      <c r="H1016" s="264">
        <v>3.2549999999999999</v>
      </c>
      <c r="I1016" s="265"/>
      <c r="J1016" s="266">
        <f>ROUND(I1016*H1016,1)</f>
        <v>0</v>
      </c>
      <c r="K1016" s="262" t="s">
        <v>206</v>
      </c>
      <c r="L1016" s="267"/>
      <c r="M1016" s="268" t="s">
        <v>32</v>
      </c>
      <c r="N1016" s="269" t="s">
        <v>49</v>
      </c>
      <c r="O1016" s="86"/>
      <c r="P1016" s="218">
        <f>O1016*H1016</f>
        <v>0</v>
      </c>
      <c r="Q1016" s="218">
        <v>0.03227</v>
      </c>
      <c r="R1016" s="218">
        <f>Q1016*H1016</f>
        <v>0.10503885</v>
      </c>
      <c r="S1016" s="218">
        <v>0</v>
      </c>
      <c r="T1016" s="219">
        <f>S1016*H1016</f>
        <v>0</v>
      </c>
      <c r="U1016" s="40"/>
      <c r="V1016" s="40"/>
      <c r="W1016" s="40"/>
      <c r="X1016" s="40"/>
      <c r="Y1016" s="40"/>
      <c r="Z1016" s="40"/>
      <c r="AA1016" s="40"/>
      <c r="AB1016" s="40"/>
      <c r="AC1016" s="40"/>
      <c r="AD1016" s="40"/>
      <c r="AE1016" s="40"/>
      <c r="AR1016" s="220" t="s">
        <v>429</v>
      </c>
      <c r="AT1016" s="220" t="s">
        <v>292</v>
      </c>
      <c r="AU1016" s="220" t="s">
        <v>88</v>
      </c>
      <c r="AY1016" s="18" t="s">
        <v>200</v>
      </c>
      <c r="BE1016" s="221">
        <f>IF(N1016="základní",J1016,0)</f>
        <v>0</v>
      </c>
      <c r="BF1016" s="221">
        <f>IF(N1016="snížená",J1016,0)</f>
        <v>0</v>
      </c>
      <c r="BG1016" s="221">
        <f>IF(N1016="zákl. přenesená",J1016,0)</f>
        <v>0</v>
      </c>
      <c r="BH1016" s="221">
        <f>IF(N1016="sníž. přenesená",J1016,0)</f>
        <v>0</v>
      </c>
      <c r="BI1016" s="221">
        <f>IF(N1016="nulová",J1016,0)</f>
        <v>0</v>
      </c>
      <c r="BJ1016" s="18" t="s">
        <v>86</v>
      </c>
      <c r="BK1016" s="221">
        <f>ROUND(I1016*H1016,1)</f>
        <v>0</v>
      </c>
      <c r="BL1016" s="18" t="s">
        <v>310</v>
      </c>
      <c r="BM1016" s="220" t="s">
        <v>1721</v>
      </c>
    </row>
    <row r="1017" s="2" customFormat="1">
      <c r="A1017" s="40"/>
      <c r="B1017" s="41"/>
      <c r="C1017" s="42"/>
      <c r="D1017" s="229" t="s">
        <v>355</v>
      </c>
      <c r="E1017" s="42"/>
      <c r="F1017" s="281" t="s">
        <v>1722</v>
      </c>
      <c r="G1017" s="42"/>
      <c r="H1017" s="42"/>
      <c r="I1017" s="224"/>
      <c r="J1017" s="42"/>
      <c r="K1017" s="42"/>
      <c r="L1017" s="46"/>
      <c r="M1017" s="225"/>
      <c r="N1017" s="226"/>
      <c r="O1017" s="86"/>
      <c r="P1017" s="86"/>
      <c r="Q1017" s="86"/>
      <c r="R1017" s="86"/>
      <c r="S1017" s="86"/>
      <c r="T1017" s="87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  <c r="AT1017" s="18" t="s">
        <v>355</v>
      </c>
      <c r="AU1017" s="18" t="s">
        <v>88</v>
      </c>
    </row>
    <row r="1018" s="13" customFormat="1">
      <c r="A1018" s="13"/>
      <c r="B1018" s="227"/>
      <c r="C1018" s="228"/>
      <c r="D1018" s="229" t="s">
        <v>211</v>
      </c>
      <c r="E1018" s="230" t="s">
        <v>32</v>
      </c>
      <c r="F1018" s="231" t="s">
        <v>1723</v>
      </c>
      <c r="G1018" s="228"/>
      <c r="H1018" s="232">
        <v>3.2549999999999999</v>
      </c>
      <c r="I1018" s="233"/>
      <c r="J1018" s="228"/>
      <c r="K1018" s="228"/>
      <c r="L1018" s="234"/>
      <c r="M1018" s="235"/>
      <c r="N1018" s="236"/>
      <c r="O1018" s="236"/>
      <c r="P1018" s="236"/>
      <c r="Q1018" s="236"/>
      <c r="R1018" s="236"/>
      <c r="S1018" s="236"/>
      <c r="T1018" s="237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T1018" s="238" t="s">
        <v>211</v>
      </c>
      <c r="AU1018" s="238" t="s">
        <v>88</v>
      </c>
      <c r="AV1018" s="13" t="s">
        <v>88</v>
      </c>
      <c r="AW1018" s="13" t="s">
        <v>213</v>
      </c>
      <c r="AX1018" s="13" t="s">
        <v>86</v>
      </c>
      <c r="AY1018" s="238" t="s">
        <v>200</v>
      </c>
    </row>
    <row r="1019" s="2" customFormat="1" ht="16.5" customHeight="1">
      <c r="A1019" s="40"/>
      <c r="B1019" s="41"/>
      <c r="C1019" s="209" t="s">
        <v>1724</v>
      </c>
      <c r="D1019" s="209" t="s">
        <v>202</v>
      </c>
      <c r="E1019" s="210" t="s">
        <v>1713</v>
      </c>
      <c r="F1019" s="211" t="s">
        <v>1714</v>
      </c>
      <c r="G1019" s="212" t="s">
        <v>449</v>
      </c>
      <c r="H1019" s="213">
        <v>1</v>
      </c>
      <c r="I1019" s="214"/>
      <c r="J1019" s="215">
        <f>ROUND(I1019*H1019,1)</f>
        <v>0</v>
      </c>
      <c r="K1019" s="211" t="s">
        <v>206</v>
      </c>
      <c r="L1019" s="46"/>
      <c r="M1019" s="216" t="s">
        <v>32</v>
      </c>
      <c r="N1019" s="217" t="s">
        <v>49</v>
      </c>
      <c r="O1019" s="86"/>
      <c r="P1019" s="218">
        <f>O1019*H1019</f>
        <v>0</v>
      </c>
      <c r="Q1019" s="218">
        <v>0</v>
      </c>
      <c r="R1019" s="218">
        <f>Q1019*H1019</f>
        <v>0</v>
      </c>
      <c r="S1019" s="218">
        <v>0</v>
      </c>
      <c r="T1019" s="219">
        <f>S1019*H1019</f>
        <v>0</v>
      </c>
      <c r="U1019" s="40"/>
      <c r="V1019" s="40"/>
      <c r="W1019" s="40"/>
      <c r="X1019" s="40"/>
      <c r="Y1019" s="40"/>
      <c r="Z1019" s="40"/>
      <c r="AA1019" s="40"/>
      <c r="AB1019" s="40"/>
      <c r="AC1019" s="40"/>
      <c r="AD1019" s="40"/>
      <c r="AE1019" s="40"/>
      <c r="AR1019" s="220" t="s">
        <v>310</v>
      </c>
      <c r="AT1019" s="220" t="s">
        <v>202</v>
      </c>
      <c r="AU1019" s="220" t="s">
        <v>88</v>
      </c>
      <c r="AY1019" s="18" t="s">
        <v>200</v>
      </c>
      <c r="BE1019" s="221">
        <f>IF(N1019="základní",J1019,0)</f>
        <v>0</v>
      </c>
      <c r="BF1019" s="221">
        <f>IF(N1019="snížená",J1019,0)</f>
        <v>0</v>
      </c>
      <c r="BG1019" s="221">
        <f>IF(N1019="zákl. přenesená",J1019,0)</f>
        <v>0</v>
      </c>
      <c r="BH1019" s="221">
        <f>IF(N1019="sníž. přenesená",J1019,0)</f>
        <v>0</v>
      </c>
      <c r="BI1019" s="221">
        <f>IF(N1019="nulová",J1019,0)</f>
        <v>0</v>
      </c>
      <c r="BJ1019" s="18" t="s">
        <v>86</v>
      </c>
      <c r="BK1019" s="221">
        <f>ROUND(I1019*H1019,1)</f>
        <v>0</v>
      </c>
      <c r="BL1019" s="18" t="s">
        <v>310</v>
      </c>
      <c r="BM1019" s="220" t="s">
        <v>1725</v>
      </c>
    </row>
    <row r="1020" s="2" customFormat="1">
      <c r="A1020" s="40"/>
      <c r="B1020" s="41"/>
      <c r="C1020" s="42"/>
      <c r="D1020" s="222" t="s">
        <v>209</v>
      </c>
      <c r="E1020" s="42"/>
      <c r="F1020" s="223" t="s">
        <v>1716</v>
      </c>
      <c r="G1020" s="42"/>
      <c r="H1020" s="42"/>
      <c r="I1020" s="224"/>
      <c r="J1020" s="42"/>
      <c r="K1020" s="42"/>
      <c r="L1020" s="46"/>
      <c r="M1020" s="225"/>
      <c r="N1020" s="226"/>
      <c r="O1020" s="86"/>
      <c r="P1020" s="86"/>
      <c r="Q1020" s="86"/>
      <c r="R1020" s="86"/>
      <c r="S1020" s="86"/>
      <c r="T1020" s="87"/>
      <c r="U1020" s="40"/>
      <c r="V1020" s="40"/>
      <c r="W1020" s="40"/>
      <c r="X1020" s="40"/>
      <c r="Y1020" s="40"/>
      <c r="Z1020" s="40"/>
      <c r="AA1020" s="40"/>
      <c r="AB1020" s="40"/>
      <c r="AC1020" s="40"/>
      <c r="AD1020" s="40"/>
      <c r="AE1020" s="40"/>
      <c r="AT1020" s="18" t="s">
        <v>209</v>
      </c>
      <c r="AU1020" s="18" t="s">
        <v>88</v>
      </c>
    </row>
    <row r="1021" s="2" customFormat="1">
      <c r="A1021" s="40"/>
      <c r="B1021" s="41"/>
      <c r="C1021" s="42"/>
      <c r="D1021" s="229" t="s">
        <v>355</v>
      </c>
      <c r="E1021" s="42"/>
      <c r="F1021" s="281" t="s">
        <v>1639</v>
      </c>
      <c r="G1021" s="42"/>
      <c r="H1021" s="42"/>
      <c r="I1021" s="224"/>
      <c r="J1021" s="42"/>
      <c r="K1021" s="42"/>
      <c r="L1021" s="46"/>
      <c r="M1021" s="225"/>
      <c r="N1021" s="226"/>
      <c r="O1021" s="86"/>
      <c r="P1021" s="86"/>
      <c r="Q1021" s="86"/>
      <c r="R1021" s="86"/>
      <c r="S1021" s="86"/>
      <c r="T1021" s="87"/>
      <c r="U1021" s="40"/>
      <c r="V1021" s="40"/>
      <c r="W1021" s="40"/>
      <c r="X1021" s="40"/>
      <c r="Y1021" s="40"/>
      <c r="Z1021" s="40"/>
      <c r="AA1021" s="40"/>
      <c r="AB1021" s="40"/>
      <c r="AC1021" s="40"/>
      <c r="AD1021" s="40"/>
      <c r="AE1021" s="40"/>
      <c r="AT1021" s="18" t="s">
        <v>355</v>
      </c>
      <c r="AU1021" s="18" t="s">
        <v>88</v>
      </c>
    </row>
    <row r="1022" s="2" customFormat="1" ht="16.5" customHeight="1">
      <c r="A1022" s="40"/>
      <c r="B1022" s="41"/>
      <c r="C1022" s="260" t="s">
        <v>1726</v>
      </c>
      <c r="D1022" s="260" t="s">
        <v>292</v>
      </c>
      <c r="E1022" s="261" t="s">
        <v>1719</v>
      </c>
      <c r="F1022" s="262" t="s">
        <v>1720</v>
      </c>
      <c r="G1022" s="263" t="s">
        <v>272</v>
      </c>
      <c r="H1022" s="264">
        <v>3.3599999999999999</v>
      </c>
      <c r="I1022" s="265"/>
      <c r="J1022" s="266">
        <f>ROUND(I1022*H1022,1)</f>
        <v>0</v>
      </c>
      <c r="K1022" s="262" t="s">
        <v>206</v>
      </c>
      <c r="L1022" s="267"/>
      <c r="M1022" s="268" t="s">
        <v>32</v>
      </c>
      <c r="N1022" s="269" t="s">
        <v>49</v>
      </c>
      <c r="O1022" s="86"/>
      <c r="P1022" s="218">
        <f>O1022*H1022</f>
        <v>0</v>
      </c>
      <c r="Q1022" s="218">
        <v>0.03227</v>
      </c>
      <c r="R1022" s="218">
        <f>Q1022*H1022</f>
        <v>0.1084272</v>
      </c>
      <c r="S1022" s="218">
        <v>0</v>
      </c>
      <c r="T1022" s="219">
        <f>S1022*H1022</f>
        <v>0</v>
      </c>
      <c r="U1022" s="40"/>
      <c r="V1022" s="40"/>
      <c r="W1022" s="40"/>
      <c r="X1022" s="40"/>
      <c r="Y1022" s="40"/>
      <c r="Z1022" s="40"/>
      <c r="AA1022" s="40"/>
      <c r="AB1022" s="40"/>
      <c r="AC1022" s="40"/>
      <c r="AD1022" s="40"/>
      <c r="AE1022" s="40"/>
      <c r="AR1022" s="220" t="s">
        <v>429</v>
      </c>
      <c r="AT1022" s="220" t="s">
        <v>292</v>
      </c>
      <c r="AU1022" s="220" t="s">
        <v>88</v>
      </c>
      <c r="AY1022" s="18" t="s">
        <v>200</v>
      </c>
      <c r="BE1022" s="221">
        <f>IF(N1022="základní",J1022,0)</f>
        <v>0</v>
      </c>
      <c r="BF1022" s="221">
        <f>IF(N1022="snížená",J1022,0)</f>
        <v>0</v>
      </c>
      <c r="BG1022" s="221">
        <f>IF(N1022="zákl. přenesená",J1022,0)</f>
        <v>0</v>
      </c>
      <c r="BH1022" s="221">
        <f>IF(N1022="sníž. přenesená",J1022,0)</f>
        <v>0</v>
      </c>
      <c r="BI1022" s="221">
        <f>IF(N1022="nulová",J1022,0)</f>
        <v>0</v>
      </c>
      <c r="BJ1022" s="18" t="s">
        <v>86</v>
      </c>
      <c r="BK1022" s="221">
        <f>ROUND(I1022*H1022,1)</f>
        <v>0</v>
      </c>
      <c r="BL1022" s="18" t="s">
        <v>310</v>
      </c>
      <c r="BM1022" s="220" t="s">
        <v>1727</v>
      </c>
    </row>
    <row r="1023" s="2" customFormat="1">
      <c r="A1023" s="40"/>
      <c r="B1023" s="41"/>
      <c r="C1023" s="42"/>
      <c r="D1023" s="229" t="s">
        <v>355</v>
      </c>
      <c r="E1023" s="42"/>
      <c r="F1023" s="281" t="s">
        <v>1705</v>
      </c>
      <c r="G1023" s="42"/>
      <c r="H1023" s="42"/>
      <c r="I1023" s="224"/>
      <c r="J1023" s="42"/>
      <c r="K1023" s="42"/>
      <c r="L1023" s="46"/>
      <c r="M1023" s="225"/>
      <c r="N1023" s="226"/>
      <c r="O1023" s="86"/>
      <c r="P1023" s="86"/>
      <c r="Q1023" s="86"/>
      <c r="R1023" s="86"/>
      <c r="S1023" s="86"/>
      <c r="T1023" s="87"/>
      <c r="U1023" s="40"/>
      <c r="V1023" s="40"/>
      <c r="W1023" s="40"/>
      <c r="X1023" s="40"/>
      <c r="Y1023" s="40"/>
      <c r="Z1023" s="40"/>
      <c r="AA1023" s="40"/>
      <c r="AB1023" s="40"/>
      <c r="AC1023" s="40"/>
      <c r="AD1023" s="40"/>
      <c r="AE1023" s="40"/>
      <c r="AT1023" s="18" t="s">
        <v>355</v>
      </c>
      <c r="AU1023" s="18" t="s">
        <v>88</v>
      </c>
    </row>
    <row r="1024" s="13" customFormat="1">
      <c r="A1024" s="13"/>
      <c r="B1024" s="227"/>
      <c r="C1024" s="228"/>
      <c r="D1024" s="229" t="s">
        <v>211</v>
      </c>
      <c r="E1024" s="230" t="s">
        <v>32</v>
      </c>
      <c r="F1024" s="231" t="s">
        <v>1728</v>
      </c>
      <c r="G1024" s="228"/>
      <c r="H1024" s="232">
        <v>3.3599999999999999</v>
      </c>
      <c r="I1024" s="233"/>
      <c r="J1024" s="228"/>
      <c r="K1024" s="228"/>
      <c r="L1024" s="234"/>
      <c r="M1024" s="235"/>
      <c r="N1024" s="236"/>
      <c r="O1024" s="236"/>
      <c r="P1024" s="236"/>
      <c r="Q1024" s="236"/>
      <c r="R1024" s="236"/>
      <c r="S1024" s="236"/>
      <c r="T1024" s="237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T1024" s="238" t="s">
        <v>211</v>
      </c>
      <c r="AU1024" s="238" t="s">
        <v>88</v>
      </c>
      <c r="AV1024" s="13" t="s">
        <v>88</v>
      </c>
      <c r="AW1024" s="13" t="s">
        <v>213</v>
      </c>
      <c r="AX1024" s="13" t="s">
        <v>86</v>
      </c>
      <c r="AY1024" s="238" t="s">
        <v>200</v>
      </c>
    </row>
    <row r="1025" s="2" customFormat="1" ht="16.5" customHeight="1">
      <c r="A1025" s="40"/>
      <c r="B1025" s="41"/>
      <c r="C1025" s="209" t="s">
        <v>1729</v>
      </c>
      <c r="D1025" s="209" t="s">
        <v>202</v>
      </c>
      <c r="E1025" s="210" t="s">
        <v>1730</v>
      </c>
      <c r="F1025" s="211" t="s">
        <v>1731</v>
      </c>
      <c r="G1025" s="212" t="s">
        <v>1732</v>
      </c>
      <c r="H1025" s="213">
        <v>9.8399999999999999</v>
      </c>
      <c r="I1025" s="214"/>
      <c r="J1025" s="215">
        <f>ROUND(I1025*H1025,1)</f>
        <v>0</v>
      </c>
      <c r="K1025" s="211" t="s">
        <v>206</v>
      </c>
      <c r="L1025" s="46"/>
      <c r="M1025" s="216" t="s">
        <v>32</v>
      </c>
      <c r="N1025" s="217" t="s">
        <v>49</v>
      </c>
      <c r="O1025" s="86"/>
      <c r="P1025" s="218">
        <f>O1025*H1025</f>
        <v>0</v>
      </c>
      <c r="Q1025" s="218">
        <v>6.9999999999999994E-05</v>
      </c>
      <c r="R1025" s="218">
        <f>Q1025*H1025</f>
        <v>0.00068879999999999994</v>
      </c>
      <c r="S1025" s="218">
        <v>0</v>
      </c>
      <c r="T1025" s="219">
        <f>S1025*H1025</f>
        <v>0</v>
      </c>
      <c r="U1025" s="40"/>
      <c r="V1025" s="40"/>
      <c r="W1025" s="40"/>
      <c r="X1025" s="40"/>
      <c r="Y1025" s="40"/>
      <c r="Z1025" s="40"/>
      <c r="AA1025" s="40"/>
      <c r="AB1025" s="40"/>
      <c r="AC1025" s="40"/>
      <c r="AD1025" s="40"/>
      <c r="AE1025" s="40"/>
      <c r="AR1025" s="220" t="s">
        <v>310</v>
      </c>
      <c r="AT1025" s="220" t="s">
        <v>202</v>
      </c>
      <c r="AU1025" s="220" t="s">
        <v>88</v>
      </c>
      <c r="AY1025" s="18" t="s">
        <v>200</v>
      </c>
      <c r="BE1025" s="221">
        <f>IF(N1025="základní",J1025,0)</f>
        <v>0</v>
      </c>
      <c r="BF1025" s="221">
        <f>IF(N1025="snížená",J1025,0)</f>
        <v>0</v>
      </c>
      <c r="BG1025" s="221">
        <f>IF(N1025="zákl. přenesená",J1025,0)</f>
        <v>0</v>
      </c>
      <c r="BH1025" s="221">
        <f>IF(N1025="sníž. přenesená",J1025,0)</f>
        <v>0</v>
      </c>
      <c r="BI1025" s="221">
        <f>IF(N1025="nulová",J1025,0)</f>
        <v>0</v>
      </c>
      <c r="BJ1025" s="18" t="s">
        <v>86</v>
      </c>
      <c r="BK1025" s="221">
        <f>ROUND(I1025*H1025,1)</f>
        <v>0</v>
      </c>
      <c r="BL1025" s="18" t="s">
        <v>310</v>
      </c>
      <c r="BM1025" s="220" t="s">
        <v>1733</v>
      </c>
    </row>
    <row r="1026" s="2" customFormat="1">
      <c r="A1026" s="40"/>
      <c r="B1026" s="41"/>
      <c r="C1026" s="42"/>
      <c r="D1026" s="222" t="s">
        <v>209</v>
      </c>
      <c r="E1026" s="42"/>
      <c r="F1026" s="223" t="s">
        <v>1734</v>
      </c>
      <c r="G1026" s="42"/>
      <c r="H1026" s="42"/>
      <c r="I1026" s="224"/>
      <c r="J1026" s="42"/>
      <c r="K1026" s="42"/>
      <c r="L1026" s="46"/>
      <c r="M1026" s="225"/>
      <c r="N1026" s="226"/>
      <c r="O1026" s="86"/>
      <c r="P1026" s="86"/>
      <c r="Q1026" s="86"/>
      <c r="R1026" s="86"/>
      <c r="S1026" s="86"/>
      <c r="T1026" s="87"/>
      <c r="U1026" s="40"/>
      <c r="V1026" s="40"/>
      <c r="W1026" s="40"/>
      <c r="X1026" s="40"/>
      <c r="Y1026" s="40"/>
      <c r="Z1026" s="40"/>
      <c r="AA1026" s="40"/>
      <c r="AB1026" s="40"/>
      <c r="AC1026" s="40"/>
      <c r="AD1026" s="40"/>
      <c r="AE1026" s="40"/>
      <c r="AT1026" s="18" t="s">
        <v>209</v>
      </c>
      <c r="AU1026" s="18" t="s">
        <v>88</v>
      </c>
    </row>
    <row r="1027" s="13" customFormat="1">
      <c r="A1027" s="13"/>
      <c r="B1027" s="227"/>
      <c r="C1027" s="228"/>
      <c r="D1027" s="229" t="s">
        <v>211</v>
      </c>
      <c r="E1027" s="230" t="s">
        <v>32</v>
      </c>
      <c r="F1027" s="231" t="s">
        <v>1735</v>
      </c>
      <c r="G1027" s="228"/>
      <c r="H1027" s="232">
        <v>3.2799999999999998</v>
      </c>
      <c r="I1027" s="233"/>
      <c r="J1027" s="228"/>
      <c r="K1027" s="228"/>
      <c r="L1027" s="234"/>
      <c r="M1027" s="235"/>
      <c r="N1027" s="236"/>
      <c r="O1027" s="236"/>
      <c r="P1027" s="236"/>
      <c r="Q1027" s="236"/>
      <c r="R1027" s="236"/>
      <c r="S1027" s="236"/>
      <c r="T1027" s="237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T1027" s="238" t="s">
        <v>211</v>
      </c>
      <c r="AU1027" s="238" t="s">
        <v>88</v>
      </c>
      <c r="AV1027" s="13" t="s">
        <v>88</v>
      </c>
      <c r="AW1027" s="13" t="s">
        <v>213</v>
      </c>
      <c r="AX1027" s="13" t="s">
        <v>78</v>
      </c>
      <c r="AY1027" s="238" t="s">
        <v>200</v>
      </c>
    </row>
    <row r="1028" s="13" customFormat="1">
      <c r="A1028" s="13"/>
      <c r="B1028" s="227"/>
      <c r="C1028" s="228"/>
      <c r="D1028" s="229" t="s">
        <v>211</v>
      </c>
      <c r="E1028" s="230" t="s">
        <v>32</v>
      </c>
      <c r="F1028" s="231" t="s">
        <v>1736</v>
      </c>
      <c r="G1028" s="228"/>
      <c r="H1028" s="232">
        <v>6.5599999999999996</v>
      </c>
      <c r="I1028" s="233"/>
      <c r="J1028" s="228"/>
      <c r="K1028" s="228"/>
      <c r="L1028" s="234"/>
      <c r="M1028" s="235"/>
      <c r="N1028" s="236"/>
      <c r="O1028" s="236"/>
      <c r="P1028" s="236"/>
      <c r="Q1028" s="236"/>
      <c r="R1028" s="236"/>
      <c r="S1028" s="236"/>
      <c r="T1028" s="237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T1028" s="238" t="s">
        <v>211</v>
      </c>
      <c r="AU1028" s="238" t="s">
        <v>88</v>
      </c>
      <c r="AV1028" s="13" t="s">
        <v>88</v>
      </c>
      <c r="AW1028" s="13" t="s">
        <v>213</v>
      </c>
      <c r="AX1028" s="13" t="s">
        <v>78</v>
      </c>
      <c r="AY1028" s="238" t="s">
        <v>200</v>
      </c>
    </row>
    <row r="1029" s="14" customFormat="1">
      <c r="A1029" s="14"/>
      <c r="B1029" s="239"/>
      <c r="C1029" s="240"/>
      <c r="D1029" s="229" t="s">
        <v>211</v>
      </c>
      <c r="E1029" s="241" t="s">
        <v>32</v>
      </c>
      <c r="F1029" s="242" t="s">
        <v>220</v>
      </c>
      <c r="G1029" s="240"/>
      <c r="H1029" s="243">
        <v>9.8399999999999999</v>
      </c>
      <c r="I1029" s="244"/>
      <c r="J1029" s="240"/>
      <c r="K1029" s="240"/>
      <c r="L1029" s="245"/>
      <c r="M1029" s="246"/>
      <c r="N1029" s="247"/>
      <c r="O1029" s="247"/>
      <c r="P1029" s="247"/>
      <c r="Q1029" s="247"/>
      <c r="R1029" s="247"/>
      <c r="S1029" s="247"/>
      <c r="T1029" s="248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T1029" s="249" t="s">
        <v>211</v>
      </c>
      <c r="AU1029" s="249" t="s">
        <v>88</v>
      </c>
      <c r="AV1029" s="14" t="s">
        <v>207</v>
      </c>
      <c r="AW1029" s="14" t="s">
        <v>213</v>
      </c>
      <c r="AX1029" s="14" t="s">
        <v>86</v>
      </c>
      <c r="AY1029" s="249" t="s">
        <v>200</v>
      </c>
    </row>
    <row r="1030" s="2" customFormat="1" ht="16.5" customHeight="1">
      <c r="A1030" s="40"/>
      <c r="B1030" s="41"/>
      <c r="C1030" s="260" t="s">
        <v>1737</v>
      </c>
      <c r="D1030" s="260" t="s">
        <v>292</v>
      </c>
      <c r="E1030" s="261" t="s">
        <v>1738</v>
      </c>
      <c r="F1030" s="262" t="s">
        <v>1739</v>
      </c>
      <c r="G1030" s="263" t="s">
        <v>250</v>
      </c>
      <c r="H1030" s="264">
        <v>0.01</v>
      </c>
      <c r="I1030" s="265"/>
      <c r="J1030" s="266">
        <f>ROUND(I1030*H1030,1)</f>
        <v>0</v>
      </c>
      <c r="K1030" s="262" t="s">
        <v>206</v>
      </c>
      <c r="L1030" s="267"/>
      <c r="M1030" s="268" t="s">
        <v>32</v>
      </c>
      <c r="N1030" s="269" t="s">
        <v>49</v>
      </c>
      <c r="O1030" s="86"/>
      <c r="P1030" s="218">
        <f>O1030*H1030</f>
        <v>0</v>
      </c>
      <c r="Q1030" s="218">
        <v>1</v>
      </c>
      <c r="R1030" s="218">
        <f>Q1030*H1030</f>
        <v>0.01</v>
      </c>
      <c r="S1030" s="218">
        <v>0</v>
      </c>
      <c r="T1030" s="219">
        <f>S1030*H1030</f>
        <v>0</v>
      </c>
      <c r="U1030" s="40"/>
      <c r="V1030" s="40"/>
      <c r="W1030" s="40"/>
      <c r="X1030" s="40"/>
      <c r="Y1030" s="40"/>
      <c r="Z1030" s="40"/>
      <c r="AA1030" s="40"/>
      <c r="AB1030" s="40"/>
      <c r="AC1030" s="40"/>
      <c r="AD1030" s="40"/>
      <c r="AE1030" s="40"/>
      <c r="AR1030" s="220" t="s">
        <v>429</v>
      </c>
      <c r="AT1030" s="220" t="s">
        <v>292</v>
      </c>
      <c r="AU1030" s="220" t="s">
        <v>88</v>
      </c>
      <c r="AY1030" s="18" t="s">
        <v>200</v>
      </c>
      <c r="BE1030" s="221">
        <f>IF(N1030="základní",J1030,0)</f>
        <v>0</v>
      </c>
      <c r="BF1030" s="221">
        <f>IF(N1030="snížená",J1030,0)</f>
        <v>0</v>
      </c>
      <c r="BG1030" s="221">
        <f>IF(N1030="zákl. přenesená",J1030,0)</f>
        <v>0</v>
      </c>
      <c r="BH1030" s="221">
        <f>IF(N1030="sníž. přenesená",J1030,0)</f>
        <v>0</v>
      </c>
      <c r="BI1030" s="221">
        <f>IF(N1030="nulová",J1030,0)</f>
        <v>0</v>
      </c>
      <c r="BJ1030" s="18" t="s">
        <v>86</v>
      </c>
      <c r="BK1030" s="221">
        <f>ROUND(I1030*H1030,1)</f>
        <v>0</v>
      </c>
      <c r="BL1030" s="18" t="s">
        <v>310</v>
      </c>
      <c r="BM1030" s="220" t="s">
        <v>1740</v>
      </c>
    </row>
    <row r="1031" s="13" customFormat="1">
      <c r="A1031" s="13"/>
      <c r="B1031" s="227"/>
      <c r="C1031" s="228"/>
      <c r="D1031" s="229" t="s">
        <v>211</v>
      </c>
      <c r="E1031" s="228"/>
      <c r="F1031" s="231" t="s">
        <v>1741</v>
      </c>
      <c r="G1031" s="228"/>
      <c r="H1031" s="232">
        <v>0.01</v>
      </c>
      <c r="I1031" s="233"/>
      <c r="J1031" s="228"/>
      <c r="K1031" s="228"/>
      <c r="L1031" s="234"/>
      <c r="M1031" s="235"/>
      <c r="N1031" s="236"/>
      <c r="O1031" s="236"/>
      <c r="P1031" s="236"/>
      <c r="Q1031" s="236"/>
      <c r="R1031" s="236"/>
      <c r="S1031" s="236"/>
      <c r="T1031" s="237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T1031" s="238" t="s">
        <v>211</v>
      </c>
      <c r="AU1031" s="238" t="s">
        <v>88</v>
      </c>
      <c r="AV1031" s="13" t="s">
        <v>88</v>
      </c>
      <c r="AW1031" s="13" t="s">
        <v>4</v>
      </c>
      <c r="AX1031" s="13" t="s">
        <v>86</v>
      </c>
      <c r="AY1031" s="238" t="s">
        <v>200</v>
      </c>
    </row>
    <row r="1032" s="2" customFormat="1" ht="16.5" customHeight="1">
      <c r="A1032" s="40"/>
      <c r="B1032" s="41"/>
      <c r="C1032" s="209" t="s">
        <v>1742</v>
      </c>
      <c r="D1032" s="209" t="s">
        <v>202</v>
      </c>
      <c r="E1032" s="210" t="s">
        <v>1743</v>
      </c>
      <c r="F1032" s="211" t="s">
        <v>1744</v>
      </c>
      <c r="G1032" s="212" t="s">
        <v>1732</v>
      </c>
      <c r="H1032" s="213">
        <v>440.39999999999998</v>
      </c>
      <c r="I1032" s="214"/>
      <c r="J1032" s="215">
        <f>ROUND(I1032*H1032,1)</f>
        <v>0</v>
      </c>
      <c r="K1032" s="211" t="s">
        <v>206</v>
      </c>
      <c r="L1032" s="46"/>
      <c r="M1032" s="216" t="s">
        <v>32</v>
      </c>
      <c r="N1032" s="217" t="s">
        <v>49</v>
      </c>
      <c r="O1032" s="86"/>
      <c r="P1032" s="218">
        <f>O1032*H1032</f>
        <v>0</v>
      </c>
      <c r="Q1032" s="218">
        <v>5.0000000000000002E-05</v>
      </c>
      <c r="R1032" s="218">
        <f>Q1032*H1032</f>
        <v>0.022020000000000001</v>
      </c>
      <c r="S1032" s="218">
        <v>0</v>
      </c>
      <c r="T1032" s="219">
        <f>S1032*H1032</f>
        <v>0</v>
      </c>
      <c r="U1032" s="40"/>
      <c r="V1032" s="40"/>
      <c r="W1032" s="40"/>
      <c r="X1032" s="40"/>
      <c r="Y1032" s="40"/>
      <c r="Z1032" s="40"/>
      <c r="AA1032" s="40"/>
      <c r="AB1032" s="40"/>
      <c r="AC1032" s="40"/>
      <c r="AD1032" s="40"/>
      <c r="AE1032" s="40"/>
      <c r="AR1032" s="220" t="s">
        <v>310</v>
      </c>
      <c r="AT1032" s="220" t="s">
        <v>202</v>
      </c>
      <c r="AU1032" s="220" t="s">
        <v>88</v>
      </c>
      <c r="AY1032" s="18" t="s">
        <v>200</v>
      </c>
      <c r="BE1032" s="221">
        <f>IF(N1032="základní",J1032,0)</f>
        <v>0</v>
      </c>
      <c r="BF1032" s="221">
        <f>IF(N1032="snížená",J1032,0)</f>
        <v>0</v>
      </c>
      <c r="BG1032" s="221">
        <f>IF(N1032="zákl. přenesená",J1032,0)</f>
        <v>0</v>
      </c>
      <c r="BH1032" s="221">
        <f>IF(N1032="sníž. přenesená",J1032,0)</f>
        <v>0</v>
      </c>
      <c r="BI1032" s="221">
        <f>IF(N1032="nulová",J1032,0)</f>
        <v>0</v>
      </c>
      <c r="BJ1032" s="18" t="s">
        <v>86</v>
      </c>
      <c r="BK1032" s="221">
        <f>ROUND(I1032*H1032,1)</f>
        <v>0</v>
      </c>
      <c r="BL1032" s="18" t="s">
        <v>310</v>
      </c>
      <c r="BM1032" s="220" t="s">
        <v>1745</v>
      </c>
    </row>
    <row r="1033" s="2" customFormat="1">
      <c r="A1033" s="40"/>
      <c r="B1033" s="41"/>
      <c r="C1033" s="42"/>
      <c r="D1033" s="222" t="s">
        <v>209</v>
      </c>
      <c r="E1033" s="42"/>
      <c r="F1033" s="223" t="s">
        <v>1746</v>
      </c>
      <c r="G1033" s="42"/>
      <c r="H1033" s="42"/>
      <c r="I1033" s="224"/>
      <c r="J1033" s="42"/>
      <c r="K1033" s="42"/>
      <c r="L1033" s="46"/>
      <c r="M1033" s="225"/>
      <c r="N1033" s="226"/>
      <c r="O1033" s="86"/>
      <c r="P1033" s="86"/>
      <c r="Q1033" s="86"/>
      <c r="R1033" s="86"/>
      <c r="S1033" s="86"/>
      <c r="T1033" s="87"/>
      <c r="U1033" s="40"/>
      <c r="V1033" s="40"/>
      <c r="W1033" s="40"/>
      <c r="X1033" s="40"/>
      <c r="Y1033" s="40"/>
      <c r="Z1033" s="40"/>
      <c r="AA1033" s="40"/>
      <c r="AB1033" s="40"/>
      <c r="AC1033" s="40"/>
      <c r="AD1033" s="40"/>
      <c r="AE1033" s="40"/>
      <c r="AT1033" s="18" t="s">
        <v>209</v>
      </c>
      <c r="AU1033" s="18" t="s">
        <v>88</v>
      </c>
    </row>
    <row r="1034" s="15" customFormat="1">
      <c r="A1034" s="15"/>
      <c r="B1034" s="250"/>
      <c r="C1034" s="251"/>
      <c r="D1034" s="229" t="s">
        <v>211</v>
      </c>
      <c r="E1034" s="252" t="s">
        <v>32</v>
      </c>
      <c r="F1034" s="253" t="s">
        <v>1747</v>
      </c>
      <c r="G1034" s="251"/>
      <c r="H1034" s="252" t="s">
        <v>32</v>
      </c>
      <c r="I1034" s="254"/>
      <c r="J1034" s="251"/>
      <c r="K1034" s="251"/>
      <c r="L1034" s="255"/>
      <c r="M1034" s="256"/>
      <c r="N1034" s="257"/>
      <c r="O1034" s="257"/>
      <c r="P1034" s="257"/>
      <c r="Q1034" s="257"/>
      <c r="R1034" s="257"/>
      <c r="S1034" s="257"/>
      <c r="T1034" s="258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T1034" s="259" t="s">
        <v>211</v>
      </c>
      <c r="AU1034" s="259" t="s">
        <v>88</v>
      </c>
      <c r="AV1034" s="15" t="s">
        <v>86</v>
      </c>
      <c r="AW1034" s="15" t="s">
        <v>213</v>
      </c>
      <c r="AX1034" s="15" t="s">
        <v>78</v>
      </c>
      <c r="AY1034" s="259" t="s">
        <v>200</v>
      </c>
    </row>
    <row r="1035" s="13" customFormat="1">
      <c r="A1035" s="13"/>
      <c r="B1035" s="227"/>
      <c r="C1035" s="228"/>
      <c r="D1035" s="229" t="s">
        <v>211</v>
      </c>
      <c r="E1035" s="230" t="s">
        <v>32</v>
      </c>
      <c r="F1035" s="231" t="s">
        <v>1748</v>
      </c>
      <c r="G1035" s="228"/>
      <c r="H1035" s="232">
        <v>426</v>
      </c>
      <c r="I1035" s="233"/>
      <c r="J1035" s="228"/>
      <c r="K1035" s="228"/>
      <c r="L1035" s="234"/>
      <c r="M1035" s="235"/>
      <c r="N1035" s="236"/>
      <c r="O1035" s="236"/>
      <c r="P1035" s="236"/>
      <c r="Q1035" s="236"/>
      <c r="R1035" s="236"/>
      <c r="S1035" s="236"/>
      <c r="T1035" s="237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T1035" s="238" t="s">
        <v>211</v>
      </c>
      <c r="AU1035" s="238" t="s">
        <v>88</v>
      </c>
      <c r="AV1035" s="13" t="s">
        <v>88</v>
      </c>
      <c r="AW1035" s="13" t="s">
        <v>213</v>
      </c>
      <c r="AX1035" s="13" t="s">
        <v>78</v>
      </c>
      <c r="AY1035" s="238" t="s">
        <v>200</v>
      </c>
    </row>
    <row r="1036" s="13" customFormat="1">
      <c r="A1036" s="13"/>
      <c r="B1036" s="227"/>
      <c r="C1036" s="228"/>
      <c r="D1036" s="229" t="s">
        <v>211</v>
      </c>
      <c r="E1036" s="230" t="s">
        <v>32</v>
      </c>
      <c r="F1036" s="231" t="s">
        <v>1749</v>
      </c>
      <c r="G1036" s="228"/>
      <c r="H1036" s="232">
        <v>14.4</v>
      </c>
      <c r="I1036" s="233"/>
      <c r="J1036" s="228"/>
      <c r="K1036" s="228"/>
      <c r="L1036" s="234"/>
      <c r="M1036" s="235"/>
      <c r="N1036" s="236"/>
      <c r="O1036" s="236"/>
      <c r="P1036" s="236"/>
      <c r="Q1036" s="236"/>
      <c r="R1036" s="236"/>
      <c r="S1036" s="236"/>
      <c r="T1036" s="237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T1036" s="238" t="s">
        <v>211</v>
      </c>
      <c r="AU1036" s="238" t="s">
        <v>88</v>
      </c>
      <c r="AV1036" s="13" t="s">
        <v>88</v>
      </c>
      <c r="AW1036" s="13" t="s">
        <v>213</v>
      </c>
      <c r="AX1036" s="13" t="s">
        <v>78</v>
      </c>
      <c r="AY1036" s="238" t="s">
        <v>200</v>
      </c>
    </row>
    <row r="1037" s="14" customFormat="1">
      <c r="A1037" s="14"/>
      <c r="B1037" s="239"/>
      <c r="C1037" s="240"/>
      <c r="D1037" s="229" t="s">
        <v>211</v>
      </c>
      <c r="E1037" s="241" t="s">
        <v>32</v>
      </c>
      <c r="F1037" s="242" t="s">
        <v>220</v>
      </c>
      <c r="G1037" s="240"/>
      <c r="H1037" s="243">
        <v>440.39999999999998</v>
      </c>
      <c r="I1037" s="244"/>
      <c r="J1037" s="240"/>
      <c r="K1037" s="240"/>
      <c r="L1037" s="245"/>
      <c r="M1037" s="246"/>
      <c r="N1037" s="247"/>
      <c r="O1037" s="247"/>
      <c r="P1037" s="247"/>
      <c r="Q1037" s="247"/>
      <c r="R1037" s="247"/>
      <c r="S1037" s="247"/>
      <c r="T1037" s="248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T1037" s="249" t="s">
        <v>211</v>
      </c>
      <c r="AU1037" s="249" t="s">
        <v>88</v>
      </c>
      <c r="AV1037" s="14" t="s">
        <v>207</v>
      </c>
      <c r="AW1037" s="14" t="s">
        <v>213</v>
      </c>
      <c r="AX1037" s="14" t="s">
        <v>86</v>
      </c>
      <c r="AY1037" s="249" t="s">
        <v>200</v>
      </c>
    </row>
    <row r="1038" s="2" customFormat="1" ht="16.5" customHeight="1">
      <c r="A1038" s="40"/>
      <c r="B1038" s="41"/>
      <c r="C1038" s="260" t="s">
        <v>1750</v>
      </c>
      <c r="D1038" s="260" t="s">
        <v>292</v>
      </c>
      <c r="E1038" s="261" t="s">
        <v>841</v>
      </c>
      <c r="F1038" s="262" t="s">
        <v>842</v>
      </c>
      <c r="G1038" s="263" t="s">
        <v>250</v>
      </c>
      <c r="H1038" s="264">
        <v>0.48199999999999998</v>
      </c>
      <c r="I1038" s="265"/>
      <c r="J1038" s="266">
        <f>ROUND(I1038*H1038,1)</f>
        <v>0</v>
      </c>
      <c r="K1038" s="262" t="s">
        <v>206</v>
      </c>
      <c r="L1038" s="267"/>
      <c r="M1038" s="268" t="s">
        <v>32</v>
      </c>
      <c r="N1038" s="269" t="s">
        <v>49</v>
      </c>
      <c r="O1038" s="86"/>
      <c r="P1038" s="218">
        <f>O1038*H1038</f>
        <v>0</v>
      </c>
      <c r="Q1038" s="218">
        <v>1</v>
      </c>
      <c r="R1038" s="218">
        <f>Q1038*H1038</f>
        <v>0.48199999999999998</v>
      </c>
      <c r="S1038" s="218">
        <v>0</v>
      </c>
      <c r="T1038" s="219">
        <f>S1038*H1038</f>
        <v>0</v>
      </c>
      <c r="U1038" s="40"/>
      <c r="V1038" s="40"/>
      <c r="W1038" s="40"/>
      <c r="X1038" s="40"/>
      <c r="Y1038" s="40"/>
      <c r="Z1038" s="40"/>
      <c r="AA1038" s="40"/>
      <c r="AB1038" s="40"/>
      <c r="AC1038" s="40"/>
      <c r="AD1038" s="40"/>
      <c r="AE1038" s="40"/>
      <c r="AR1038" s="220" t="s">
        <v>429</v>
      </c>
      <c r="AT1038" s="220" t="s">
        <v>292</v>
      </c>
      <c r="AU1038" s="220" t="s">
        <v>88</v>
      </c>
      <c r="AY1038" s="18" t="s">
        <v>200</v>
      </c>
      <c r="BE1038" s="221">
        <f>IF(N1038="základní",J1038,0)</f>
        <v>0</v>
      </c>
      <c r="BF1038" s="221">
        <f>IF(N1038="snížená",J1038,0)</f>
        <v>0</v>
      </c>
      <c r="BG1038" s="221">
        <f>IF(N1038="zákl. přenesená",J1038,0)</f>
        <v>0</v>
      </c>
      <c r="BH1038" s="221">
        <f>IF(N1038="sníž. přenesená",J1038,0)</f>
        <v>0</v>
      </c>
      <c r="BI1038" s="221">
        <f>IF(N1038="nulová",J1038,0)</f>
        <v>0</v>
      </c>
      <c r="BJ1038" s="18" t="s">
        <v>86</v>
      </c>
      <c r="BK1038" s="221">
        <f>ROUND(I1038*H1038,1)</f>
        <v>0</v>
      </c>
      <c r="BL1038" s="18" t="s">
        <v>310</v>
      </c>
      <c r="BM1038" s="220" t="s">
        <v>1751</v>
      </c>
    </row>
    <row r="1039" s="13" customFormat="1">
      <c r="A1039" s="13"/>
      <c r="B1039" s="227"/>
      <c r="C1039" s="228"/>
      <c r="D1039" s="229" t="s">
        <v>211</v>
      </c>
      <c r="E1039" s="230" t="s">
        <v>32</v>
      </c>
      <c r="F1039" s="231" t="s">
        <v>1752</v>
      </c>
      <c r="G1039" s="228"/>
      <c r="H1039" s="232">
        <v>0.48199999999999998</v>
      </c>
      <c r="I1039" s="233"/>
      <c r="J1039" s="228"/>
      <c r="K1039" s="228"/>
      <c r="L1039" s="234"/>
      <c r="M1039" s="235"/>
      <c r="N1039" s="236"/>
      <c r="O1039" s="236"/>
      <c r="P1039" s="236"/>
      <c r="Q1039" s="236"/>
      <c r="R1039" s="236"/>
      <c r="S1039" s="236"/>
      <c r="T1039" s="237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T1039" s="238" t="s">
        <v>211</v>
      </c>
      <c r="AU1039" s="238" t="s">
        <v>88</v>
      </c>
      <c r="AV1039" s="13" t="s">
        <v>88</v>
      </c>
      <c r="AW1039" s="13" t="s">
        <v>213</v>
      </c>
      <c r="AX1039" s="13" t="s">
        <v>86</v>
      </c>
      <c r="AY1039" s="238" t="s">
        <v>200</v>
      </c>
    </row>
    <row r="1040" s="2" customFormat="1" ht="16.5" customHeight="1">
      <c r="A1040" s="40"/>
      <c r="B1040" s="41"/>
      <c r="C1040" s="260" t="s">
        <v>1753</v>
      </c>
      <c r="D1040" s="260" t="s">
        <v>292</v>
      </c>
      <c r="E1040" s="261" t="s">
        <v>1738</v>
      </c>
      <c r="F1040" s="262" t="s">
        <v>1739</v>
      </c>
      <c r="G1040" s="263" t="s">
        <v>250</v>
      </c>
      <c r="H1040" s="264">
        <v>0.014</v>
      </c>
      <c r="I1040" s="265"/>
      <c r="J1040" s="266">
        <f>ROUND(I1040*H1040,1)</f>
        <v>0</v>
      </c>
      <c r="K1040" s="262" t="s">
        <v>206</v>
      </c>
      <c r="L1040" s="267"/>
      <c r="M1040" s="268" t="s">
        <v>32</v>
      </c>
      <c r="N1040" s="269" t="s">
        <v>49</v>
      </c>
      <c r="O1040" s="86"/>
      <c r="P1040" s="218">
        <f>O1040*H1040</f>
        <v>0</v>
      </c>
      <c r="Q1040" s="218">
        <v>1</v>
      </c>
      <c r="R1040" s="218">
        <f>Q1040*H1040</f>
        <v>0.014</v>
      </c>
      <c r="S1040" s="218">
        <v>0</v>
      </c>
      <c r="T1040" s="219">
        <f>S1040*H1040</f>
        <v>0</v>
      </c>
      <c r="U1040" s="40"/>
      <c r="V1040" s="40"/>
      <c r="W1040" s="40"/>
      <c r="X1040" s="40"/>
      <c r="Y1040" s="40"/>
      <c r="Z1040" s="40"/>
      <c r="AA1040" s="40"/>
      <c r="AB1040" s="40"/>
      <c r="AC1040" s="40"/>
      <c r="AD1040" s="40"/>
      <c r="AE1040" s="40"/>
      <c r="AR1040" s="220" t="s">
        <v>429</v>
      </c>
      <c r="AT1040" s="220" t="s">
        <v>292</v>
      </c>
      <c r="AU1040" s="220" t="s">
        <v>88</v>
      </c>
      <c r="AY1040" s="18" t="s">
        <v>200</v>
      </c>
      <c r="BE1040" s="221">
        <f>IF(N1040="základní",J1040,0)</f>
        <v>0</v>
      </c>
      <c r="BF1040" s="221">
        <f>IF(N1040="snížená",J1040,0)</f>
        <v>0</v>
      </c>
      <c r="BG1040" s="221">
        <f>IF(N1040="zákl. přenesená",J1040,0)</f>
        <v>0</v>
      </c>
      <c r="BH1040" s="221">
        <f>IF(N1040="sníž. přenesená",J1040,0)</f>
        <v>0</v>
      </c>
      <c r="BI1040" s="221">
        <f>IF(N1040="nulová",J1040,0)</f>
        <v>0</v>
      </c>
      <c r="BJ1040" s="18" t="s">
        <v>86</v>
      </c>
      <c r="BK1040" s="221">
        <f>ROUND(I1040*H1040,1)</f>
        <v>0</v>
      </c>
      <c r="BL1040" s="18" t="s">
        <v>310</v>
      </c>
      <c r="BM1040" s="220" t="s">
        <v>1754</v>
      </c>
    </row>
    <row r="1041" s="13" customFormat="1">
      <c r="A1041" s="13"/>
      <c r="B1041" s="227"/>
      <c r="C1041" s="228"/>
      <c r="D1041" s="229" t="s">
        <v>211</v>
      </c>
      <c r="E1041" s="230" t="s">
        <v>32</v>
      </c>
      <c r="F1041" s="231" t="s">
        <v>1755</v>
      </c>
      <c r="G1041" s="228"/>
      <c r="H1041" s="232">
        <v>0.0144</v>
      </c>
      <c r="I1041" s="233"/>
      <c r="J1041" s="228"/>
      <c r="K1041" s="228"/>
      <c r="L1041" s="234"/>
      <c r="M1041" s="235"/>
      <c r="N1041" s="236"/>
      <c r="O1041" s="236"/>
      <c r="P1041" s="236"/>
      <c r="Q1041" s="236"/>
      <c r="R1041" s="236"/>
      <c r="S1041" s="236"/>
      <c r="T1041" s="237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T1041" s="238" t="s">
        <v>211</v>
      </c>
      <c r="AU1041" s="238" t="s">
        <v>88</v>
      </c>
      <c r="AV1041" s="13" t="s">
        <v>88</v>
      </c>
      <c r="AW1041" s="13" t="s">
        <v>213</v>
      </c>
      <c r="AX1041" s="13" t="s">
        <v>86</v>
      </c>
      <c r="AY1041" s="238" t="s">
        <v>200</v>
      </c>
    </row>
    <row r="1042" s="2" customFormat="1" ht="16.5" customHeight="1">
      <c r="A1042" s="40"/>
      <c r="B1042" s="41"/>
      <c r="C1042" s="209" t="s">
        <v>1756</v>
      </c>
      <c r="D1042" s="209" t="s">
        <v>202</v>
      </c>
      <c r="E1042" s="210" t="s">
        <v>1757</v>
      </c>
      <c r="F1042" s="211" t="s">
        <v>1758</v>
      </c>
      <c r="G1042" s="212" t="s">
        <v>1436</v>
      </c>
      <c r="H1042" s="213">
        <v>1</v>
      </c>
      <c r="I1042" s="214"/>
      <c r="J1042" s="215">
        <f>ROUND(I1042*H1042,1)</f>
        <v>0</v>
      </c>
      <c r="K1042" s="211" t="s">
        <v>32</v>
      </c>
      <c r="L1042" s="46"/>
      <c r="M1042" s="216" t="s">
        <v>32</v>
      </c>
      <c r="N1042" s="217" t="s">
        <v>49</v>
      </c>
      <c r="O1042" s="86"/>
      <c r="P1042" s="218">
        <f>O1042*H1042</f>
        <v>0</v>
      </c>
      <c r="Q1042" s="218">
        <v>1.8340000000000001</v>
      </c>
      <c r="R1042" s="218">
        <f>Q1042*H1042</f>
        <v>1.8340000000000001</v>
      </c>
      <c r="S1042" s="218">
        <v>0</v>
      </c>
      <c r="T1042" s="219">
        <f>S1042*H1042</f>
        <v>0</v>
      </c>
      <c r="U1042" s="40"/>
      <c r="V1042" s="40"/>
      <c r="W1042" s="40"/>
      <c r="X1042" s="40"/>
      <c r="Y1042" s="40"/>
      <c r="Z1042" s="40"/>
      <c r="AA1042" s="40"/>
      <c r="AB1042" s="40"/>
      <c r="AC1042" s="40"/>
      <c r="AD1042" s="40"/>
      <c r="AE1042" s="40"/>
      <c r="AR1042" s="220" t="s">
        <v>207</v>
      </c>
      <c r="AT1042" s="220" t="s">
        <v>202</v>
      </c>
      <c r="AU1042" s="220" t="s">
        <v>88</v>
      </c>
      <c r="AY1042" s="18" t="s">
        <v>200</v>
      </c>
      <c r="BE1042" s="221">
        <f>IF(N1042="základní",J1042,0)</f>
        <v>0</v>
      </c>
      <c r="BF1042" s="221">
        <f>IF(N1042="snížená",J1042,0)</f>
        <v>0</v>
      </c>
      <c r="BG1042" s="221">
        <f>IF(N1042="zákl. přenesená",J1042,0)</f>
        <v>0</v>
      </c>
      <c r="BH1042" s="221">
        <f>IF(N1042="sníž. přenesená",J1042,0)</f>
        <v>0</v>
      </c>
      <c r="BI1042" s="221">
        <f>IF(N1042="nulová",J1042,0)</f>
        <v>0</v>
      </c>
      <c r="BJ1042" s="18" t="s">
        <v>86</v>
      </c>
      <c r="BK1042" s="221">
        <f>ROUND(I1042*H1042,1)</f>
        <v>0</v>
      </c>
      <c r="BL1042" s="18" t="s">
        <v>207</v>
      </c>
      <c r="BM1042" s="220" t="s">
        <v>1759</v>
      </c>
    </row>
    <row r="1043" s="2" customFormat="1">
      <c r="A1043" s="40"/>
      <c r="B1043" s="41"/>
      <c r="C1043" s="42"/>
      <c r="D1043" s="229" t="s">
        <v>355</v>
      </c>
      <c r="E1043" s="42"/>
      <c r="F1043" s="281" t="s">
        <v>1760</v>
      </c>
      <c r="G1043" s="42"/>
      <c r="H1043" s="42"/>
      <c r="I1043" s="224"/>
      <c r="J1043" s="42"/>
      <c r="K1043" s="42"/>
      <c r="L1043" s="46"/>
      <c r="M1043" s="225"/>
      <c r="N1043" s="226"/>
      <c r="O1043" s="86"/>
      <c r="P1043" s="86"/>
      <c r="Q1043" s="86"/>
      <c r="R1043" s="86"/>
      <c r="S1043" s="86"/>
      <c r="T1043" s="87"/>
      <c r="U1043" s="40"/>
      <c r="V1043" s="40"/>
      <c r="W1043" s="40"/>
      <c r="X1043" s="40"/>
      <c r="Y1043" s="40"/>
      <c r="Z1043" s="40"/>
      <c r="AA1043" s="40"/>
      <c r="AB1043" s="40"/>
      <c r="AC1043" s="40"/>
      <c r="AD1043" s="40"/>
      <c r="AE1043" s="40"/>
      <c r="AT1043" s="18" t="s">
        <v>355</v>
      </c>
      <c r="AU1043" s="18" t="s">
        <v>88</v>
      </c>
    </row>
    <row r="1044" s="2" customFormat="1" ht="16.5" customHeight="1">
      <c r="A1044" s="40"/>
      <c r="B1044" s="41"/>
      <c r="C1044" s="209" t="s">
        <v>1761</v>
      </c>
      <c r="D1044" s="209" t="s">
        <v>202</v>
      </c>
      <c r="E1044" s="210" t="s">
        <v>1762</v>
      </c>
      <c r="F1044" s="211" t="s">
        <v>1763</v>
      </c>
      <c r="G1044" s="212" t="s">
        <v>1436</v>
      </c>
      <c r="H1044" s="213">
        <v>1</v>
      </c>
      <c r="I1044" s="214"/>
      <c r="J1044" s="215">
        <f>ROUND(I1044*H1044,1)</f>
        <v>0</v>
      </c>
      <c r="K1044" s="211" t="s">
        <v>32</v>
      </c>
      <c r="L1044" s="46"/>
      <c r="M1044" s="216" t="s">
        <v>32</v>
      </c>
      <c r="N1044" s="217" t="s">
        <v>49</v>
      </c>
      <c r="O1044" s="86"/>
      <c r="P1044" s="218">
        <f>O1044*H1044</f>
        <v>0</v>
      </c>
      <c r="Q1044" s="218">
        <v>0.58599999999999997</v>
      </c>
      <c r="R1044" s="218">
        <f>Q1044*H1044</f>
        <v>0.58599999999999997</v>
      </c>
      <c r="S1044" s="218">
        <v>0</v>
      </c>
      <c r="T1044" s="219">
        <f>S1044*H1044</f>
        <v>0</v>
      </c>
      <c r="U1044" s="40"/>
      <c r="V1044" s="40"/>
      <c r="W1044" s="40"/>
      <c r="X1044" s="40"/>
      <c r="Y1044" s="40"/>
      <c r="Z1044" s="40"/>
      <c r="AA1044" s="40"/>
      <c r="AB1044" s="40"/>
      <c r="AC1044" s="40"/>
      <c r="AD1044" s="40"/>
      <c r="AE1044" s="40"/>
      <c r="AR1044" s="220" t="s">
        <v>207</v>
      </c>
      <c r="AT1044" s="220" t="s">
        <v>202</v>
      </c>
      <c r="AU1044" s="220" t="s">
        <v>88</v>
      </c>
      <c r="AY1044" s="18" t="s">
        <v>200</v>
      </c>
      <c r="BE1044" s="221">
        <f>IF(N1044="základní",J1044,0)</f>
        <v>0</v>
      </c>
      <c r="BF1044" s="221">
        <f>IF(N1044="snížená",J1044,0)</f>
        <v>0</v>
      </c>
      <c r="BG1044" s="221">
        <f>IF(N1044="zákl. přenesená",J1044,0)</f>
        <v>0</v>
      </c>
      <c r="BH1044" s="221">
        <f>IF(N1044="sníž. přenesená",J1044,0)</f>
        <v>0</v>
      </c>
      <c r="BI1044" s="221">
        <f>IF(N1044="nulová",J1044,0)</f>
        <v>0</v>
      </c>
      <c r="BJ1044" s="18" t="s">
        <v>86</v>
      </c>
      <c r="BK1044" s="221">
        <f>ROUND(I1044*H1044,1)</f>
        <v>0</v>
      </c>
      <c r="BL1044" s="18" t="s">
        <v>207</v>
      </c>
      <c r="BM1044" s="220" t="s">
        <v>1764</v>
      </c>
    </row>
    <row r="1045" s="2" customFormat="1">
      <c r="A1045" s="40"/>
      <c r="B1045" s="41"/>
      <c r="C1045" s="42"/>
      <c r="D1045" s="229" t="s">
        <v>355</v>
      </c>
      <c r="E1045" s="42"/>
      <c r="F1045" s="281" t="s">
        <v>1760</v>
      </c>
      <c r="G1045" s="42"/>
      <c r="H1045" s="42"/>
      <c r="I1045" s="224"/>
      <c r="J1045" s="42"/>
      <c r="K1045" s="42"/>
      <c r="L1045" s="46"/>
      <c r="M1045" s="225"/>
      <c r="N1045" s="226"/>
      <c r="O1045" s="86"/>
      <c r="P1045" s="86"/>
      <c r="Q1045" s="86"/>
      <c r="R1045" s="86"/>
      <c r="S1045" s="86"/>
      <c r="T1045" s="87"/>
      <c r="U1045" s="40"/>
      <c r="V1045" s="40"/>
      <c r="W1045" s="40"/>
      <c r="X1045" s="40"/>
      <c r="Y1045" s="40"/>
      <c r="Z1045" s="40"/>
      <c r="AA1045" s="40"/>
      <c r="AB1045" s="40"/>
      <c r="AC1045" s="40"/>
      <c r="AD1045" s="40"/>
      <c r="AE1045" s="40"/>
      <c r="AT1045" s="18" t="s">
        <v>355</v>
      </c>
      <c r="AU1045" s="18" t="s">
        <v>88</v>
      </c>
    </row>
    <row r="1046" s="2" customFormat="1" ht="16.5" customHeight="1">
      <c r="A1046" s="40"/>
      <c r="B1046" s="41"/>
      <c r="C1046" s="209" t="s">
        <v>1765</v>
      </c>
      <c r="D1046" s="209" t="s">
        <v>202</v>
      </c>
      <c r="E1046" s="210" t="s">
        <v>1766</v>
      </c>
      <c r="F1046" s="211" t="s">
        <v>1767</v>
      </c>
      <c r="G1046" s="212" t="s">
        <v>1436</v>
      </c>
      <c r="H1046" s="213">
        <v>1</v>
      </c>
      <c r="I1046" s="214"/>
      <c r="J1046" s="215">
        <f>ROUND(I1046*H1046,1)</f>
        <v>0</v>
      </c>
      <c r="K1046" s="211" t="s">
        <v>32</v>
      </c>
      <c r="L1046" s="46"/>
      <c r="M1046" s="216" t="s">
        <v>32</v>
      </c>
      <c r="N1046" s="217" t="s">
        <v>49</v>
      </c>
      <c r="O1046" s="86"/>
      <c r="P1046" s="218">
        <f>O1046*H1046</f>
        <v>0</v>
      </c>
      <c r="Q1046" s="218">
        <v>0.33700000000000002</v>
      </c>
      <c r="R1046" s="218">
        <f>Q1046*H1046</f>
        <v>0.33700000000000002</v>
      </c>
      <c r="S1046" s="218">
        <v>0</v>
      </c>
      <c r="T1046" s="219">
        <f>S1046*H1046</f>
        <v>0</v>
      </c>
      <c r="U1046" s="40"/>
      <c r="V1046" s="40"/>
      <c r="W1046" s="40"/>
      <c r="X1046" s="40"/>
      <c r="Y1046" s="40"/>
      <c r="Z1046" s="40"/>
      <c r="AA1046" s="40"/>
      <c r="AB1046" s="40"/>
      <c r="AC1046" s="40"/>
      <c r="AD1046" s="40"/>
      <c r="AE1046" s="40"/>
      <c r="AR1046" s="220" t="s">
        <v>207</v>
      </c>
      <c r="AT1046" s="220" t="s">
        <v>202</v>
      </c>
      <c r="AU1046" s="220" t="s">
        <v>88</v>
      </c>
      <c r="AY1046" s="18" t="s">
        <v>200</v>
      </c>
      <c r="BE1046" s="221">
        <f>IF(N1046="základní",J1046,0)</f>
        <v>0</v>
      </c>
      <c r="BF1046" s="221">
        <f>IF(N1046="snížená",J1046,0)</f>
        <v>0</v>
      </c>
      <c r="BG1046" s="221">
        <f>IF(N1046="zákl. přenesená",J1046,0)</f>
        <v>0</v>
      </c>
      <c r="BH1046" s="221">
        <f>IF(N1046="sníž. přenesená",J1046,0)</f>
        <v>0</v>
      </c>
      <c r="BI1046" s="221">
        <f>IF(N1046="nulová",J1046,0)</f>
        <v>0</v>
      </c>
      <c r="BJ1046" s="18" t="s">
        <v>86</v>
      </c>
      <c r="BK1046" s="221">
        <f>ROUND(I1046*H1046,1)</f>
        <v>0</v>
      </c>
      <c r="BL1046" s="18" t="s">
        <v>207</v>
      </c>
      <c r="BM1046" s="220" t="s">
        <v>1768</v>
      </c>
    </row>
    <row r="1047" s="2" customFormat="1">
      <c r="A1047" s="40"/>
      <c r="B1047" s="41"/>
      <c r="C1047" s="42"/>
      <c r="D1047" s="229" t="s">
        <v>355</v>
      </c>
      <c r="E1047" s="42"/>
      <c r="F1047" s="281" t="s">
        <v>1760</v>
      </c>
      <c r="G1047" s="42"/>
      <c r="H1047" s="42"/>
      <c r="I1047" s="224"/>
      <c r="J1047" s="42"/>
      <c r="K1047" s="42"/>
      <c r="L1047" s="46"/>
      <c r="M1047" s="225"/>
      <c r="N1047" s="226"/>
      <c r="O1047" s="86"/>
      <c r="P1047" s="86"/>
      <c r="Q1047" s="86"/>
      <c r="R1047" s="86"/>
      <c r="S1047" s="86"/>
      <c r="T1047" s="87"/>
      <c r="U1047" s="40"/>
      <c r="V1047" s="40"/>
      <c r="W1047" s="40"/>
      <c r="X1047" s="40"/>
      <c r="Y1047" s="40"/>
      <c r="Z1047" s="40"/>
      <c r="AA1047" s="40"/>
      <c r="AB1047" s="40"/>
      <c r="AC1047" s="40"/>
      <c r="AD1047" s="40"/>
      <c r="AE1047" s="40"/>
      <c r="AT1047" s="18" t="s">
        <v>355</v>
      </c>
      <c r="AU1047" s="18" t="s">
        <v>88</v>
      </c>
    </row>
    <row r="1048" s="2" customFormat="1" ht="16.5" customHeight="1">
      <c r="A1048" s="40"/>
      <c r="B1048" s="41"/>
      <c r="C1048" s="209" t="s">
        <v>1769</v>
      </c>
      <c r="D1048" s="209" t="s">
        <v>202</v>
      </c>
      <c r="E1048" s="210" t="s">
        <v>1770</v>
      </c>
      <c r="F1048" s="211" t="s">
        <v>1771</v>
      </c>
      <c r="G1048" s="212" t="s">
        <v>1436</v>
      </c>
      <c r="H1048" s="213">
        <v>1</v>
      </c>
      <c r="I1048" s="214"/>
      <c r="J1048" s="215">
        <f>ROUND(I1048*H1048,1)</f>
        <v>0</v>
      </c>
      <c r="K1048" s="211" t="s">
        <v>32</v>
      </c>
      <c r="L1048" s="46"/>
      <c r="M1048" s="216" t="s">
        <v>32</v>
      </c>
      <c r="N1048" s="217" t="s">
        <v>49</v>
      </c>
      <c r="O1048" s="86"/>
      <c r="P1048" s="218">
        <f>O1048*H1048</f>
        <v>0</v>
      </c>
      <c r="Q1048" s="218">
        <v>0.17299999999999999</v>
      </c>
      <c r="R1048" s="218">
        <f>Q1048*H1048</f>
        <v>0.17299999999999999</v>
      </c>
      <c r="S1048" s="218">
        <v>0</v>
      </c>
      <c r="T1048" s="219">
        <f>S1048*H1048</f>
        <v>0</v>
      </c>
      <c r="U1048" s="40"/>
      <c r="V1048" s="40"/>
      <c r="W1048" s="40"/>
      <c r="X1048" s="40"/>
      <c r="Y1048" s="40"/>
      <c r="Z1048" s="40"/>
      <c r="AA1048" s="40"/>
      <c r="AB1048" s="40"/>
      <c r="AC1048" s="40"/>
      <c r="AD1048" s="40"/>
      <c r="AE1048" s="40"/>
      <c r="AR1048" s="220" t="s">
        <v>207</v>
      </c>
      <c r="AT1048" s="220" t="s">
        <v>202</v>
      </c>
      <c r="AU1048" s="220" t="s">
        <v>88</v>
      </c>
      <c r="AY1048" s="18" t="s">
        <v>200</v>
      </c>
      <c r="BE1048" s="221">
        <f>IF(N1048="základní",J1048,0)</f>
        <v>0</v>
      </c>
      <c r="BF1048" s="221">
        <f>IF(N1048="snížená",J1048,0)</f>
        <v>0</v>
      </c>
      <c r="BG1048" s="221">
        <f>IF(N1048="zákl. přenesená",J1048,0)</f>
        <v>0</v>
      </c>
      <c r="BH1048" s="221">
        <f>IF(N1048="sníž. přenesená",J1048,0)</f>
        <v>0</v>
      </c>
      <c r="BI1048" s="221">
        <f>IF(N1048="nulová",J1048,0)</f>
        <v>0</v>
      </c>
      <c r="BJ1048" s="18" t="s">
        <v>86</v>
      </c>
      <c r="BK1048" s="221">
        <f>ROUND(I1048*H1048,1)</f>
        <v>0</v>
      </c>
      <c r="BL1048" s="18" t="s">
        <v>207</v>
      </c>
      <c r="BM1048" s="220" t="s">
        <v>1772</v>
      </c>
    </row>
    <row r="1049" s="2" customFormat="1">
      <c r="A1049" s="40"/>
      <c r="B1049" s="41"/>
      <c r="C1049" s="42"/>
      <c r="D1049" s="229" t="s">
        <v>355</v>
      </c>
      <c r="E1049" s="42"/>
      <c r="F1049" s="281" t="s">
        <v>1760</v>
      </c>
      <c r="G1049" s="42"/>
      <c r="H1049" s="42"/>
      <c r="I1049" s="224"/>
      <c r="J1049" s="42"/>
      <c r="K1049" s="42"/>
      <c r="L1049" s="46"/>
      <c r="M1049" s="225"/>
      <c r="N1049" s="226"/>
      <c r="O1049" s="86"/>
      <c r="P1049" s="86"/>
      <c r="Q1049" s="86"/>
      <c r="R1049" s="86"/>
      <c r="S1049" s="86"/>
      <c r="T1049" s="87"/>
      <c r="U1049" s="40"/>
      <c r="V1049" s="40"/>
      <c r="W1049" s="40"/>
      <c r="X1049" s="40"/>
      <c r="Y1049" s="40"/>
      <c r="Z1049" s="40"/>
      <c r="AA1049" s="40"/>
      <c r="AB1049" s="40"/>
      <c r="AC1049" s="40"/>
      <c r="AD1049" s="40"/>
      <c r="AE1049" s="40"/>
      <c r="AT1049" s="18" t="s">
        <v>355</v>
      </c>
      <c r="AU1049" s="18" t="s">
        <v>88</v>
      </c>
    </row>
    <row r="1050" s="2" customFormat="1" ht="16.5" customHeight="1">
      <c r="A1050" s="40"/>
      <c r="B1050" s="41"/>
      <c r="C1050" s="209" t="s">
        <v>1773</v>
      </c>
      <c r="D1050" s="209" t="s">
        <v>202</v>
      </c>
      <c r="E1050" s="210" t="s">
        <v>1774</v>
      </c>
      <c r="F1050" s="211" t="s">
        <v>1775</v>
      </c>
      <c r="G1050" s="212" t="s">
        <v>1436</v>
      </c>
      <c r="H1050" s="213">
        <v>1</v>
      </c>
      <c r="I1050" s="214"/>
      <c r="J1050" s="215">
        <f>ROUND(I1050*H1050,1)</f>
        <v>0</v>
      </c>
      <c r="K1050" s="211" t="s">
        <v>32</v>
      </c>
      <c r="L1050" s="46"/>
      <c r="M1050" s="216" t="s">
        <v>32</v>
      </c>
      <c r="N1050" s="217" t="s">
        <v>49</v>
      </c>
      <c r="O1050" s="86"/>
      <c r="P1050" s="218">
        <f>O1050*H1050</f>
        <v>0</v>
      </c>
      <c r="Q1050" s="218">
        <v>0.0050000000000000001</v>
      </c>
      <c r="R1050" s="218">
        <f>Q1050*H1050</f>
        <v>0.0050000000000000001</v>
      </c>
      <c r="S1050" s="218">
        <v>0</v>
      </c>
      <c r="T1050" s="219">
        <f>S1050*H1050</f>
        <v>0</v>
      </c>
      <c r="U1050" s="40"/>
      <c r="V1050" s="40"/>
      <c r="W1050" s="40"/>
      <c r="X1050" s="40"/>
      <c r="Y1050" s="40"/>
      <c r="Z1050" s="40"/>
      <c r="AA1050" s="40"/>
      <c r="AB1050" s="40"/>
      <c r="AC1050" s="40"/>
      <c r="AD1050" s="40"/>
      <c r="AE1050" s="40"/>
      <c r="AR1050" s="220" t="s">
        <v>207</v>
      </c>
      <c r="AT1050" s="220" t="s">
        <v>202</v>
      </c>
      <c r="AU1050" s="220" t="s">
        <v>88</v>
      </c>
      <c r="AY1050" s="18" t="s">
        <v>200</v>
      </c>
      <c r="BE1050" s="221">
        <f>IF(N1050="základní",J1050,0)</f>
        <v>0</v>
      </c>
      <c r="BF1050" s="221">
        <f>IF(N1050="snížená",J1050,0)</f>
        <v>0</v>
      </c>
      <c r="BG1050" s="221">
        <f>IF(N1050="zákl. přenesená",J1050,0)</f>
        <v>0</v>
      </c>
      <c r="BH1050" s="221">
        <f>IF(N1050="sníž. přenesená",J1050,0)</f>
        <v>0</v>
      </c>
      <c r="BI1050" s="221">
        <f>IF(N1050="nulová",J1050,0)</f>
        <v>0</v>
      </c>
      <c r="BJ1050" s="18" t="s">
        <v>86</v>
      </c>
      <c r="BK1050" s="221">
        <f>ROUND(I1050*H1050,1)</f>
        <v>0</v>
      </c>
      <c r="BL1050" s="18" t="s">
        <v>207</v>
      </c>
      <c r="BM1050" s="220" t="s">
        <v>1776</v>
      </c>
    </row>
    <row r="1051" s="2" customFormat="1">
      <c r="A1051" s="40"/>
      <c r="B1051" s="41"/>
      <c r="C1051" s="42"/>
      <c r="D1051" s="229" t="s">
        <v>355</v>
      </c>
      <c r="E1051" s="42"/>
      <c r="F1051" s="281" t="s">
        <v>1760</v>
      </c>
      <c r="G1051" s="42"/>
      <c r="H1051" s="42"/>
      <c r="I1051" s="224"/>
      <c r="J1051" s="42"/>
      <c r="K1051" s="42"/>
      <c r="L1051" s="46"/>
      <c r="M1051" s="225"/>
      <c r="N1051" s="226"/>
      <c r="O1051" s="86"/>
      <c r="P1051" s="86"/>
      <c r="Q1051" s="86"/>
      <c r="R1051" s="86"/>
      <c r="S1051" s="86"/>
      <c r="T1051" s="87"/>
      <c r="U1051" s="40"/>
      <c r="V1051" s="40"/>
      <c r="W1051" s="40"/>
      <c r="X1051" s="40"/>
      <c r="Y1051" s="40"/>
      <c r="Z1051" s="40"/>
      <c r="AA1051" s="40"/>
      <c r="AB1051" s="40"/>
      <c r="AC1051" s="40"/>
      <c r="AD1051" s="40"/>
      <c r="AE1051" s="40"/>
      <c r="AT1051" s="18" t="s">
        <v>355</v>
      </c>
      <c r="AU1051" s="18" t="s">
        <v>88</v>
      </c>
    </row>
    <row r="1052" s="2" customFormat="1" ht="24.15" customHeight="1">
      <c r="A1052" s="40"/>
      <c r="B1052" s="41"/>
      <c r="C1052" s="209" t="s">
        <v>1777</v>
      </c>
      <c r="D1052" s="209" t="s">
        <v>202</v>
      </c>
      <c r="E1052" s="210" t="s">
        <v>1778</v>
      </c>
      <c r="F1052" s="211" t="s">
        <v>1779</v>
      </c>
      <c r="G1052" s="212" t="s">
        <v>1436</v>
      </c>
      <c r="H1052" s="213">
        <v>1</v>
      </c>
      <c r="I1052" s="214"/>
      <c r="J1052" s="215">
        <f>ROUND(I1052*H1052,1)</f>
        <v>0</v>
      </c>
      <c r="K1052" s="211" t="s">
        <v>32</v>
      </c>
      <c r="L1052" s="46"/>
      <c r="M1052" s="216" t="s">
        <v>32</v>
      </c>
      <c r="N1052" s="217" t="s">
        <v>49</v>
      </c>
      <c r="O1052" s="86"/>
      <c r="P1052" s="218">
        <f>O1052*H1052</f>
        <v>0</v>
      </c>
      <c r="Q1052" s="218">
        <v>0.016</v>
      </c>
      <c r="R1052" s="218">
        <f>Q1052*H1052</f>
        <v>0.016</v>
      </c>
      <c r="S1052" s="218">
        <v>0</v>
      </c>
      <c r="T1052" s="219">
        <f>S1052*H1052</f>
        <v>0</v>
      </c>
      <c r="U1052" s="40"/>
      <c r="V1052" s="40"/>
      <c r="W1052" s="40"/>
      <c r="X1052" s="40"/>
      <c r="Y1052" s="40"/>
      <c r="Z1052" s="40"/>
      <c r="AA1052" s="40"/>
      <c r="AB1052" s="40"/>
      <c r="AC1052" s="40"/>
      <c r="AD1052" s="40"/>
      <c r="AE1052" s="40"/>
      <c r="AR1052" s="220" t="s">
        <v>207</v>
      </c>
      <c r="AT1052" s="220" t="s">
        <v>202</v>
      </c>
      <c r="AU1052" s="220" t="s">
        <v>88</v>
      </c>
      <c r="AY1052" s="18" t="s">
        <v>200</v>
      </c>
      <c r="BE1052" s="221">
        <f>IF(N1052="základní",J1052,0)</f>
        <v>0</v>
      </c>
      <c r="BF1052" s="221">
        <f>IF(N1052="snížená",J1052,0)</f>
        <v>0</v>
      </c>
      <c r="BG1052" s="221">
        <f>IF(N1052="zákl. přenesená",J1052,0)</f>
        <v>0</v>
      </c>
      <c r="BH1052" s="221">
        <f>IF(N1052="sníž. přenesená",J1052,0)</f>
        <v>0</v>
      </c>
      <c r="BI1052" s="221">
        <f>IF(N1052="nulová",J1052,0)</f>
        <v>0</v>
      </c>
      <c r="BJ1052" s="18" t="s">
        <v>86</v>
      </c>
      <c r="BK1052" s="221">
        <f>ROUND(I1052*H1052,1)</f>
        <v>0</v>
      </c>
      <c r="BL1052" s="18" t="s">
        <v>207</v>
      </c>
      <c r="BM1052" s="220" t="s">
        <v>1780</v>
      </c>
    </row>
    <row r="1053" s="2" customFormat="1">
      <c r="A1053" s="40"/>
      <c r="B1053" s="41"/>
      <c r="C1053" s="42"/>
      <c r="D1053" s="229" t="s">
        <v>355</v>
      </c>
      <c r="E1053" s="42"/>
      <c r="F1053" s="281" t="s">
        <v>1781</v>
      </c>
      <c r="G1053" s="42"/>
      <c r="H1053" s="42"/>
      <c r="I1053" s="224"/>
      <c r="J1053" s="42"/>
      <c r="K1053" s="42"/>
      <c r="L1053" s="46"/>
      <c r="M1053" s="225"/>
      <c r="N1053" s="226"/>
      <c r="O1053" s="86"/>
      <c r="P1053" s="86"/>
      <c r="Q1053" s="86"/>
      <c r="R1053" s="86"/>
      <c r="S1053" s="86"/>
      <c r="T1053" s="87"/>
      <c r="U1053" s="40"/>
      <c r="V1053" s="40"/>
      <c r="W1053" s="40"/>
      <c r="X1053" s="40"/>
      <c r="Y1053" s="40"/>
      <c r="Z1053" s="40"/>
      <c r="AA1053" s="40"/>
      <c r="AB1053" s="40"/>
      <c r="AC1053" s="40"/>
      <c r="AD1053" s="40"/>
      <c r="AE1053" s="40"/>
      <c r="AT1053" s="18" t="s">
        <v>355</v>
      </c>
      <c r="AU1053" s="18" t="s">
        <v>88</v>
      </c>
    </row>
    <row r="1054" s="2" customFormat="1" ht="16.5" customHeight="1">
      <c r="A1054" s="40"/>
      <c r="B1054" s="41"/>
      <c r="C1054" s="209" t="s">
        <v>1782</v>
      </c>
      <c r="D1054" s="209" t="s">
        <v>202</v>
      </c>
      <c r="E1054" s="210" t="s">
        <v>1783</v>
      </c>
      <c r="F1054" s="211" t="s">
        <v>1784</v>
      </c>
      <c r="G1054" s="212" t="s">
        <v>1436</v>
      </c>
      <c r="H1054" s="213">
        <v>1</v>
      </c>
      <c r="I1054" s="214"/>
      <c r="J1054" s="215">
        <f>ROUND(I1054*H1054,1)</f>
        <v>0</v>
      </c>
      <c r="K1054" s="211" t="s">
        <v>32</v>
      </c>
      <c r="L1054" s="46"/>
      <c r="M1054" s="216" t="s">
        <v>32</v>
      </c>
      <c r="N1054" s="217" t="s">
        <v>49</v>
      </c>
      <c r="O1054" s="86"/>
      <c r="P1054" s="218">
        <f>O1054*H1054</f>
        <v>0</v>
      </c>
      <c r="Q1054" s="218">
        <v>0.046330000000000003</v>
      </c>
      <c r="R1054" s="218">
        <f>Q1054*H1054</f>
        <v>0.046330000000000003</v>
      </c>
      <c r="S1054" s="218">
        <v>0</v>
      </c>
      <c r="T1054" s="219">
        <f>S1054*H1054</f>
        <v>0</v>
      </c>
      <c r="U1054" s="40"/>
      <c r="V1054" s="40"/>
      <c r="W1054" s="40"/>
      <c r="X1054" s="40"/>
      <c r="Y1054" s="40"/>
      <c r="Z1054" s="40"/>
      <c r="AA1054" s="40"/>
      <c r="AB1054" s="40"/>
      <c r="AC1054" s="40"/>
      <c r="AD1054" s="40"/>
      <c r="AE1054" s="40"/>
      <c r="AR1054" s="220" t="s">
        <v>207</v>
      </c>
      <c r="AT1054" s="220" t="s">
        <v>202</v>
      </c>
      <c r="AU1054" s="220" t="s">
        <v>88</v>
      </c>
      <c r="AY1054" s="18" t="s">
        <v>200</v>
      </c>
      <c r="BE1054" s="221">
        <f>IF(N1054="základní",J1054,0)</f>
        <v>0</v>
      </c>
      <c r="BF1054" s="221">
        <f>IF(N1054="snížená",J1054,0)</f>
        <v>0</v>
      </c>
      <c r="BG1054" s="221">
        <f>IF(N1054="zákl. přenesená",J1054,0)</f>
        <v>0</v>
      </c>
      <c r="BH1054" s="221">
        <f>IF(N1054="sníž. přenesená",J1054,0)</f>
        <v>0</v>
      </c>
      <c r="BI1054" s="221">
        <f>IF(N1054="nulová",J1054,0)</f>
        <v>0</v>
      </c>
      <c r="BJ1054" s="18" t="s">
        <v>86</v>
      </c>
      <c r="BK1054" s="221">
        <f>ROUND(I1054*H1054,1)</f>
        <v>0</v>
      </c>
      <c r="BL1054" s="18" t="s">
        <v>207</v>
      </c>
      <c r="BM1054" s="220" t="s">
        <v>1785</v>
      </c>
    </row>
    <row r="1055" s="2" customFormat="1">
      <c r="A1055" s="40"/>
      <c r="B1055" s="41"/>
      <c r="C1055" s="42"/>
      <c r="D1055" s="229" t="s">
        <v>355</v>
      </c>
      <c r="E1055" s="42"/>
      <c r="F1055" s="281" t="s">
        <v>1760</v>
      </c>
      <c r="G1055" s="42"/>
      <c r="H1055" s="42"/>
      <c r="I1055" s="224"/>
      <c r="J1055" s="42"/>
      <c r="K1055" s="42"/>
      <c r="L1055" s="46"/>
      <c r="M1055" s="225"/>
      <c r="N1055" s="226"/>
      <c r="O1055" s="86"/>
      <c r="P1055" s="86"/>
      <c r="Q1055" s="86"/>
      <c r="R1055" s="86"/>
      <c r="S1055" s="86"/>
      <c r="T1055" s="87"/>
      <c r="U1055" s="40"/>
      <c r="V1055" s="40"/>
      <c r="W1055" s="40"/>
      <c r="X1055" s="40"/>
      <c r="Y1055" s="40"/>
      <c r="Z1055" s="40"/>
      <c r="AA1055" s="40"/>
      <c r="AB1055" s="40"/>
      <c r="AC1055" s="40"/>
      <c r="AD1055" s="40"/>
      <c r="AE1055" s="40"/>
      <c r="AT1055" s="18" t="s">
        <v>355</v>
      </c>
      <c r="AU1055" s="18" t="s">
        <v>88</v>
      </c>
    </row>
    <row r="1056" s="2" customFormat="1" ht="16.5" customHeight="1">
      <c r="A1056" s="40"/>
      <c r="B1056" s="41"/>
      <c r="C1056" s="209" t="s">
        <v>1786</v>
      </c>
      <c r="D1056" s="209" t="s">
        <v>202</v>
      </c>
      <c r="E1056" s="210" t="s">
        <v>1787</v>
      </c>
      <c r="F1056" s="211" t="s">
        <v>1788</v>
      </c>
      <c r="G1056" s="212" t="s">
        <v>1436</v>
      </c>
      <c r="H1056" s="213">
        <v>2</v>
      </c>
      <c r="I1056" s="214"/>
      <c r="J1056" s="215">
        <f>ROUND(I1056*H1056,1)</f>
        <v>0</v>
      </c>
      <c r="K1056" s="211" t="s">
        <v>32</v>
      </c>
      <c r="L1056" s="46"/>
      <c r="M1056" s="216" t="s">
        <v>32</v>
      </c>
      <c r="N1056" s="217" t="s">
        <v>49</v>
      </c>
      <c r="O1056" s="86"/>
      <c r="P1056" s="218">
        <f>O1056*H1056</f>
        <v>0</v>
      </c>
      <c r="Q1056" s="218">
        <v>0.036499999999999998</v>
      </c>
      <c r="R1056" s="218">
        <f>Q1056*H1056</f>
        <v>0.072999999999999995</v>
      </c>
      <c r="S1056" s="218">
        <v>0</v>
      </c>
      <c r="T1056" s="219">
        <f>S1056*H1056</f>
        <v>0</v>
      </c>
      <c r="U1056" s="40"/>
      <c r="V1056" s="40"/>
      <c r="W1056" s="40"/>
      <c r="X1056" s="40"/>
      <c r="Y1056" s="40"/>
      <c r="Z1056" s="40"/>
      <c r="AA1056" s="40"/>
      <c r="AB1056" s="40"/>
      <c r="AC1056" s="40"/>
      <c r="AD1056" s="40"/>
      <c r="AE1056" s="40"/>
      <c r="AR1056" s="220" t="s">
        <v>207</v>
      </c>
      <c r="AT1056" s="220" t="s">
        <v>202</v>
      </c>
      <c r="AU1056" s="220" t="s">
        <v>88</v>
      </c>
      <c r="AY1056" s="18" t="s">
        <v>200</v>
      </c>
      <c r="BE1056" s="221">
        <f>IF(N1056="základní",J1056,0)</f>
        <v>0</v>
      </c>
      <c r="BF1056" s="221">
        <f>IF(N1056="snížená",J1056,0)</f>
        <v>0</v>
      </c>
      <c r="BG1056" s="221">
        <f>IF(N1056="zákl. přenesená",J1056,0)</f>
        <v>0</v>
      </c>
      <c r="BH1056" s="221">
        <f>IF(N1056="sníž. přenesená",J1056,0)</f>
        <v>0</v>
      </c>
      <c r="BI1056" s="221">
        <f>IF(N1056="nulová",J1056,0)</f>
        <v>0</v>
      </c>
      <c r="BJ1056" s="18" t="s">
        <v>86</v>
      </c>
      <c r="BK1056" s="221">
        <f>ROUND(I1056*H1056,1)</f>
        <v>0</v>
      </c>
      <c r="BL1056" s="18" t="s">
        <v>207</v>
      </c>
      <c r="BM1056" s="220" t="s">
        <v>1789</v>
      </c>
    </row>
    <row r="1057" s="2" customFormat="1">
      <c r="A1057" s="40"/>
      <c r="B1057" s="41"/>
      <c r="C1057" s="42"/>
      <c r="D1057" s="229" t="s">
        <v>355</v>
      </c>
      <c r="E1057" s="42"/>
      <c r="F1057" s="281" t="s">
        <v>1760</v>
      </c>
      <c r="G1057" s="42"/>
      <c r="H1057" s="42"/>
      <c r="I1057" s="224"/>
      <c r="J1057" s="42"/>
      <c r="K1057" s="42"/>
      <c r="L1057" s="46"/>
      <c r="M1057" s="225"/>
      <c r="N1057" s="226"/>
      <c r="O1057" s="86"/>
      <c r="P1057" s="86"/>
      <c r="Q1057" s="86"/>
      <c r="R1057" s="86"/>
      <c r="S1057" s="86"/>
      <c r="T1057" s="87"/>
      <c r="U1057" s="40"/>
      <c r="V1057" s="40"/>
      <c r="W1057" s="40"/>
      <c r="X1057" s="40"/>
      <c r="Y1057" s="40"/>
      <c r="Z1057" s="40"/>
      <c r="AA1057" s="40"/>
      <c r="AB1057" s="40"/>
      <c r="AC1057" s="40"/>
      <c r="AD1057" s="40"/>
      <c r="AE1057" s="40"/>
      <c r="AT1057" s="18" t="s">
        <v>355</v>
      </c>
      <c r="AU1057" s="18" t="s">
        <v>88</v>
      </c>
    </row>
    <row r="1058" s="2" customFormat="1" ht="16.5" customHeight="1">
      <c r="A1058" s="40"/>
      <c r="B1058" s="41"/>
      <c r="C1058" s="209" t="s">
        <v>1790</v>
      </c>
      <c r="D1058" s="209" t="s">
        <v>202</v>
      </c>
      <c r="E1058" s="210" t="s">
        <v>1791</v>
      </c>
      <c r="F1058" s="211" t="s">
        <v>1792</v>
      </c>
      <c r="G1058" s="212" t="s">
        <v>1436</v>
      </c>
      <c r="H1058" s="213">
        <v>1</v>
      </c>
      <c r="I1058" s="214"/>
      <c r="J1058" s="215">
        <f>ROUND(I1058*H1058,1)</f>
        <v>0</v>
      </c>
      <c r="K1058" s="211" t="s">
        <v>32</v>
      </c>
      <c r="L1058" s="46"/>
      <c r="M1058" s="216" t="s">
        <v>32</v>
      </c>
      <c r="N1058" s="217" t="s">
        <v>49</v>
      </c>
      <c r="O1058" s="86"/>
      <c r="P1058" s="218">
        <f>O1058*H1058</f>
        <v>0</v>
      </c>
      <c r="Q1058" s="218">
        <v>0.047</v>
      </c>
      <c r="R1058" s="218">
        <f>Q1058*H1058</f>
        <v>0.047</v>
      </c>
      <c r="S1058" s="218">
        <v>0</v>
      </c>
      <c r="T1058" s="219">
        <f>S1058*H1058</f>
        <v>0</v>
      </c>
      <c r="U1058" s="40"/>
      <c r="V1058" s="40"/>
      <c r="W1058" s="40"/>
      <c r="X1058" s="40"/>
      <c r="Y1058" s="40"/>
      <c r="Z1058" s="40"/>
      <c r="AA1058" s="40"/>
      <c r="AB1058" s="40"/>
      <c r="AC1058" s="40"/>
      <c r="AD1058" s="40"/>
      <c r="AE1058" s="40"/>
      <c r="AR1058" s="220" t="s">
        <v>207</v>
      </c>
      <c r="AT1058" s="220" t="s">
        <v>202</v>
      </c>
      <c r="AU1058" s="220" t="s">
        <v>88</v>
      </c>
      <c r="AY1058" s="18" t="s">
        <v>200</v>
      </c>
      <c r="BE1058" s="221">
        <f>IF(N1058="základní",J1058,0)</f>
        <v>0</v>
      </c>
      <c r="BF1058" s="221">
        <f>IF(N1058="snížená",J1058,0)</f>
        <v>0</v>
      </c>
      <c r="BG1058" s="221">
        <f>IF(N1058="zákl. přenesená",J1058,0)</f>
        <v>0</v>
      </c>
      <c r="BH1058" s="221">
        <f>IF(N1058="sníž. přenesená",J1058,0)</f>
        <v>0</v>
      </c>
      <c r="BI1058" s="221">
        <f>IF(N1058="nulová",J1058,0)</f>
        <v>0</v>
      </c>
      <c r="BJ1058" s="18" t="s">
        <v>86</v>
      </c>
      <c r="BK1058" s="221">
        <f>ROUND(I1058*H1058,1)</f>
        <v>0</v>
      </c>
      <c r="BL1058" s="18" t="s">
        <v>207</v>
      </c>
      <c r="BM1058" s="220" t="s">
        <v>1793</v>
      </c>
    </row>
    <row r="1059" s="2" customFormat="1">
      <c r="A1059" s="40"/>
      <c r="B1059" s="41"/>
      <c r="C1059" s="42"/>
      <c r="D1059" s="229" t="s">
        <v>355</v>
      </c>
      <c r="E1059" s="42"/>
      <c r="F1059" s="281" t="s">
        <v>1760</v>
      </c>
      <c r="G1059" s="42"/>
      <c r="H1059" s="42"/>
      <c r="I1059" s="224"/>
      <c r="J1059" s="42"/>
      <c r="K1059" s="42"/>
      <c r="L1059" s="46"/>
      <c r="M1059" s="225"/>
      <c r="N1059" s="226"/>
      <c r="O1059" s="86"/>
      <c r="P1059" s="86"/>
      <c r="Q1059" s="86"/>
      <c r="R1059" s="86"/>
      <c r="S1059" s="86"/>
      <c r="T1059" s="87"/>
      <c r="U1059" s="40"/>
      <c r="V1059" s="40"/>
      <c r="W1059" s="40"/>
      <c r="X1059" s="40"/>
      <c r="Y1059" s="40"/>
      <c r="Z1059" s="40"/>
      <c r="AA1059" s="40"/>
      <c r="AB1059" s="40"/>
      <c r="AC1059" s="40"/>
      <c r="AD1059" s="40"/>
      <c r="AE1059" s="40"/>
      <c r="AT1059" s="18" t="s">
        <v>355</v>
      </c>
      <c r="AU1059" s="18" t="s">
        <v>88</v>
      </c>
    </row>
    <row r="1060" s="2" customFormat="1" ht="24.15" customHeight="1">
      <c r="A1060" s="40"/>
      <c r="B1060" s="41"/>
      <c r="C1060" s="209" t="s">
        <v>1794</v>
      </c>
      <c r="D1060" s="209" t="s">
        <v>202</v>
      </c>
      <c r="E1060" s="210" t="s">
        <v>1795</v>
      </c>
      <c r="F1060" s="211" t="s">
        <v>1796</v>
      </c>
      <c r="G1060" s="212" t="s">
        <v>250</v>
      </c>
      <c r="H1060" s="213">
        <v>10.127000000000001</v>
      </c>
      <c r="I1060" s="214"/>
      <c r="J1060" s="215">
        <f>ROUND(I1060*H1060,1)</f>
        <v>0</v>
      </c>
      <c r="K1060" s="211" t="s">
        <v>206</v>
      </c>
      <c r="L1060" s="46"/>
      <c r="M1060" s="216" t="s">
        <v>32</v>
      </c>
      <c r="N1060" s="217" t="s">
        <v>49</v>
      </c>
      <c r="O1060" s="86"/>
      <c r="P1060" s="218">
        <f>O1060*H1060</f>
        <v>0</v>
      </c>
      <c r="Q1060" s="218">
        <v>0</v>
      </c>
      <c r="R1060" s="218">
        <f>Q1060*H1060</f>
        <v>0</v>
      </c>
      <c r="S1060" s="218">
        <v>0</v>
      </c>
      <c r="T1060" s="219">
        <f>S1060*H1060</f>
        <v>0</v>
      </c>
      <c r="U1060" s="40"/>
      <c r="V1060" s="40"/>
      <c r="W1060" s="40"/>
      <c r="X1060" s="40"/>
      <c r="Y1060" s="40"/>
      <c r="Z1060" s="40"/>
      <c r="AA1060" s="40"/>
      <c r="AB1060" s="40"/>
      <c r="AC1060" s="40"/>
      <c r="AD1060" s="40"/>
      <c r="AE1060" s="40"/>
      <c r="AR1060" s="220" t="s">
        <v>310</v>
      </c>
      <c r="AT1060" s="220" t="s">
        <v>202</v>
      </c>
      <c r="AU1060" s="220" t="s">
        <v>88</v>
      </c>
      <c r="AY1060" s="18" t="s">
        <v>200</v>
      </c>
      <c r="BE1060" s="221">
        <f>IF(N1060="základní",J1060,0)</f>
        <v>0</v>
      </c>
      <c r="BF1060" s="221">
        <f>IF(N1060="snížená",J1060,0)</f>
        <v>0</v>
      </c>
      <c r="BG1060" s="221">
        <f>IF(N1060="zákl. přenesená",J1060,0)</f>
        <v>0</v>
      </c>
      <c r="BH1060" s="221">
        <f>IF(N1060="sníž. přenesená",J1060,0)</f>
        <v>0</v>
      </c>
      <c r="BI1060" s="221">
        <f>IF(N1060="nulová",J1060,0)</f>
        <v>0</v>
      </c>
      <c r="BJ1060" s="18" t="s">
        <v>86</v>
      </c>
      <c r="BK1060" s="221">
        <f>ROUND(I1060*H1060,1)</f>
        <v>0</v>
      </c>
      <c r="BL1060" s="18" t="s">
        <v>310</v>
      </c>
      <c r="BM1060" s="220" t="s">
        <v>1797</v>
      </c>
    </row>
    <row r="1061" s="2" customFormat="1">
      <c r="A1061" s="40"/>
      <c r="B1061" s="41"/>
      <c r="C1061" s="42"/>
      <c r="D1061" s="222" t="s">
        <v>209</v>
      </c>
      <c r="E1061" s="42"/>
      <c r="F1061" s="223" t="s">
        <v>1798</v>
      </c>
      <c r="G1061" s="42"/>
      <c r="H1061" s="42"/>
      <c r="I1061" s="224"/>
      <c r="J1061" s="42"/>
      <c r="K1061" s="42"/>
      <c r="L1061" s="46"/>
      <c r="M1061" s="225"/>
      <c r="N1061" s="226"/>
      <c r="O1061" s="86"/>
      <c r="P1061" s="86"/>
      <c r="Q1061" s="86"/>
      <c r="R1061" s="86"/>
      <c r="S1061" s="86"/>
      <c r="T1061" s="87"/>
      <c r="U1061" s="40"/>
      <c r="V1061" s="40"/>
      <c r="W1061" s="40"/>
      <c r="X1061" s="40"/>
      <c r="Y1061" s="40"/>
      <c r="Z1061" s="40"/>
      <c r="AA1061" s="40"/>
      <c r="AB1061" s="40"/>
      <c r="AC1061" s="40"/>
      <c r="AD1061" s="40"/>
      <c r="AE1061" s="40"/>
      <c r="AT1061" s="18" t="s">
        <v>209</v>
      </c>
      <c r="AU1061" s="18" t="s">
        <v>88</v>
      </c>
    </row>
    <row r="1062" s="12" customFormat="1" ht="22.8" customHeight="1">
      <c r="A1062" s="12"/>
      <c r="B1062" s="193"/>
      <c r="C1062" s="194"/>
      <c r="D1062" s="195" t="s">
        <v>77</v>
      </c>
      <c r="E1062" s="207" t="s">
        <v>1799</v>
      </c>
      <c r="F1062" s="207" t="s">
        <v>1800</v>
      </c>
      <c r="G1062" s="194"/>
      <c r="H1062" s="194"/>
      <c r="I1062" s="197"/>
      <c r="J1062" s="208">
        <f>BK1062</f>
        <v>0</v>
      </c>
      <c r="K1062" s="194"/>
      <c r="L1062" s="199"/>
      <c r="M1062" s="200"/>
      <c r="N1062" s="201"/>
      <c r="O1062" s="201"/>
      <c r="P1062" s="202">
        <f>SUM(P1063:P1109)</f>
        <v>0</v>
      </c>
      <c r="Q1062" s="201"/>
      <c r="R1062" s="202">
        <f>SUM(R1063:R1109)</f>
        <v>14.225488489999998</v>
      </c>
      <c r="S1062" s="201"/>
      <c r="T1062" s="203">
        <f>SUM(T1063:T1109)</f>
        <v>0</v>
      </c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R1062" s="204" t="s">
        <v>88</v>
      </c>
      <c r="AT1062" s="205" t="s">
        <v>77</v>
      </c>
      <c r="AU1062" s="205" t="s">
        <v>86</v>
      </c>
      <c r="AY1062" s="204" t="s">
        <v>200</v>
      </c>
      <c r="BK1062" s="206">
        <f>SUM(BK1063:BK1109)</f>
        <v>0</v>
      </c>
    </row>
    <row r="1063" s="2" customFormat="1" ht="16.5" customHeight="1">
      <c r="A1063" s="40"/>
      <c r="B1063" s="41"/>
      <c r="C1063" s="209" t="s">
        <v>1801</v>
      </c>
      <c r="D1063" s="209" t="s">
        <v>202</v>
      </c>
      <c r="E1063" s="210" t="s">
        <v>1802</v>
      </c>
      <c r="F1063" s="211" t="s">
        <v>1803</v>
      </c>
      <c r="G1063" s="212" t="s">
        <v>272</v>
      </c>
      <c r="H1063" s="213">
        <v>373.22800000000001</v>
      </c>
      <c r="I1063" s="214"/>
      <c r="J1063" s="215">
        <f>ROUND(I1063*H1063,1)</f>
        <v>0</v>
      </c>
      <c r="K1063" s="211" t="s">
        <v>206</v>
      </c>
      <c r="L1063" s="46"/>
      <c r="M1063" s="216" t="s">
        <v>32</v>
      </c>
      <c r="N1063" s="217" t="s">
        <v>49</v>
      </c>
      <c r="O1063" s="86"/>
      <c r="P1063" s="218">
        <f>O1063*H1063</f>
        <v>0</v>
      </c>
      <c r="Q1063" s="218">
        <v>0</v>
      </c>
      <c r="R1063" s="218">
        <f>Q1063*H1063</f>
        <v>0</v>
      </c>
      <c r="S1063" s="218">
        <v>0</v>
      </c>
      <c r="T1063" s="219">
        <f>S1063*H1063</f>
        <v>0</v>
      </c>
      <c r="U1063" s="40"/>
      <c r="V1063" s="40"/>
      <c r="W1063" s="40"/>
      <c r="X1063" s="40"/>
      <c r="Y1063" s="40"/>
      <c r="Z1063" s="40"/>
      <c r="AA1063" s="40"/>
      <c r="AB1063" s="40"/>
      <c r="AC1063" s="40"/>
      <c r="AD1063" s="40"/>
      <c r="AE1063" s="40"/>
      <c r="AR1063" s="220" t="s">
        <v>310</v>
      </c>
      <c r="AT1063" s="220" t="s">
        <v>202</v>
      </c>
      <c r="AU1063" s="220" t="s">
        <v>88</v>
      </c>
      <c r="AY1063" s="18" t="s">
        <v>200</v>
      </c>
      <c r="BE1063" s="221">
        <f>IF(N1063="základní",J1063,0)</f>
        <v>0</v>
      </c>
      <c r="BF1063" s="221">
        <f>IF(N1063="snížená",J1063,0)</f>
        <v>0</v>
      </c>
      <c r="BG1063" s="221">
        <f>IF(N1063="zákl. přenesená",J1063,0)</f>
        <v>0</v>
      </c>
      <c r="BH1063" s="221">
        <f>IF(N1063="sníž. přenesená",J1063,0)</f>
        <v>0</v>
      </c>
      <c r="BI1063" s="221">
        <f>IF(N1063="nulová",J1063,0)</f>
        <v>0</v>
      </c>
      <c r="BJ1063" s="18" t="s">
        <v>86</v>
      </c>
      <c r="BK1063" s="221">
        <f>ROUND(I1063*H1063,1)</f>
        <v>0</v>
      </c>
      <c r="BL1063" s="18" t="s">
        <v>310</v>
      </c>
      <c r="BM1063" s="220" t="s">
        <v>1804</v>
      </c>
    </row>
    <row r="1064" s="2" customFormat="1">
      <c r="A1064" s="40"/>
      <c r="B1064" s="41"/>
      <c r="C1064" s="42"/>
      <c r="D1064" s="222" t="s">
        <v>209</v>
      </c>
      <c r="E1064" s="42"/>
      <c r="F1064" s="223" t="s">
        <v>1805</v>
      </c>
      <c r="G1064" s="42"/>
      <c r="H1064" s="42"/>
      <c r="I1064" s="224"/>
      <c r="J1064" s="42"/>
      <c r="K1064" s="42"/>
      <c r="L1064" s="46"/>
      <c r="M1064" s="225"/>
      <c r="N1064" s="226"/>
      <c r="O1064" s="86"/>
      <c r="P1064" s="86"/>
      <c r="Q1064" s="86"/>
      <c r="R1064" s="86"/>
      <c r="S1064" s="86"/>
      <c r="T1064" s="87"/>
      <c r="U1064" s="40"/>
      <c r="V1064" s="40"/>
      <c r="W1064" s="40"/>
      <c r="X1064" s="40"/>
      <c r="Y1064" s="40"/>
      <c r="Z1064" s="40"/>
      <c r="AA1064" s="40"/>
      <c r="AB1064" s="40"/>
      <c r="AC1064" s="40"/>
      <c r="AD1064" s="40"/>
      <c r="AE1064" s="40"/>
      <c r="AT1064" s="18" t="s">
        <v>209</v>
      </c>
      <c r="AU1064" s="18" t="s">
        <v>88</v>
      </c>
    </row>
    <row r="1065" s="15" customFormat="1">
      <c r="A1065" s="15"/>
      <c r="B1065" s="250"/>
      <c r="C1065" s="251"/>
      <c r="D1065" s="229" t="s">
        <v>211</v>
      </c>
      <c r="E1065" s="252" t="s">
        <v>32</v>
      </c>
      <c r="F1065" s="253" t="s">
        <v>614</v>
      </c>
      <c r="G1065" s="251"/>
      <c r="H1065" s="252" t="s">
        <v>32</v>
      </c>
      <c r="I1065" s="254"/>
      <c r="J1065" s="251"/>
      <c r="K1065" s="251"/>
      <c r="L1065" s="255"/>
      <c r="M1065" s="256"/>
      <c r="N1065" s="257"/>
      <c r="O1065" s="257"/>
      <c r="P1065" s="257"/>
      <c r="Q1065" s="257"/>
      <c r="R1065" s="257"/>
      <c r="S1065" s="257"/>
      <c r="T1065" s="258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T1065" s="259" t="s">
        <v>211</v>
      </c>
      <c r="AU1065" s="259" t="s">
        <v>88</v>
      </c>
      <c r="AV1065" s="15" t="s">
        <v>86</v>
      </c>
      <c r="AW1065" s="15" t="s">
        <v>213</v>
      </c>
      <c r="AX1065" s="15" t="s">
        <v>78</v>
      </c>
      <c r="AY1065" s="259" t="s">
        <v>200</v>
      </c>
    </row>
    <row r="1066" s="13" customFormat="1">
      <c r="A1066" s="13"/>
      <c r="B1066" s="227"/>
      <c r="C1066" s="228"/>
      <c r="D1066" s="229" t="s">
        <v>211</v>
      </c>
      <c r="E1066" s="230" t="s">
        <v>135</v>
      </c>
      <c r="F1066" s="231" t="s">
        <v>1806</v>
      </c>
      <c r="G1066" s="228"/>
      <c r="H1066" s="232">
        <v>163.06</v>
      </c>
      <c r="I1066" s="233"/>
      <c r="J1066" s="228"/>
      <c r="K1066" s="228"/>
      <c r="L1066" s="234"/>
      <c r="M1066" s="235"/>
      <c r="N1066" s="236"/>
      <c r="O1066" s="236"/>
      <c r="P1066" s="236"/>
      <c r="Q1066" s="236"/>
      <c r="R1066" s="236"/>
      <c r="S1066" s="236"/>
      <c r="T1066" s="237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T1066" s="238" t="s">
        <v>211</v>
      </c>
      <c r="AU1066" s="238" t="s">
        <v>88</v>
      </c>
      <c r="AV1066" s="13" t="s">
        <v>88</v>
      </c>
      <c r="AW1066" s="13" t="s">
        <v>213</v>
      </c>
      <c r="AX1066" s="13" t="s">
        <v>78</v>
      </c>
      <c r="AY1066" s="238" t="s">
        <v>200</v>
      </c>
    </row>
    <row r="1067" s="13" customFormat="1">
      <c r="A1067" s="13"/>
      <c r="B1067" s="227"/>
      <c r="C1067" s="228"/>
      <c r="D1067" s="229" t="s">
        <v>211</v>
      </c>
      <c r="E1067" s="230" t="s">
        <v>139</v>
      </c>
      <c r="F1067" s="231" t="s">
        <v>1807</v>
      </c>
      <c r="G1067" s="228"/>
      <c r="H1067" s="232">
        <v>164.99000000000001</v>
      </c>
      <c r="I1067" s="233"/>
      <c r="J1067" s="228"/>
      <c r="K1067" s="228"/>
      <c r="L1067" s="234"/>
      <c r="M1067" s="235"/>
      <c r="N1067" s="236"/>
      <c r="O1067" s="236"/>
      <c r="P1067" s="236"/>
      <c r="Q1067" s="236"/>
      <c r="R1067" s="236"/>
      <c r="S1067" s="236"/>
      <c r="T1067" s="237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T1067" s="238" t="s">
        <v>211</v>
      </c>
      <c r="AU1067" s="238" t="s">
        <v>88</v>
      </c>
      <c r="AV1067" s="13" t="s">
        <v>88</v>
      </c>
      <c r="AW1067" s="13" t="s">
        <v>213</v>
      </c>
      <c r="AX1067" s="13" t="s">
        <v>78</v>
      </c>
      <c r="AY1067" s="238" t="s">
        <v>200</v>
      </c>
    </row>
    <row r="1068" s="13" customFormat="1">
      <c r="A1068" s="13"/>
      <c r="B1068" s="227"/>
      <c r="C1068" s="228"/>
      <c r="D1068" s="229" t="s">
        <v>211</v>
      </c>
      <c r="E1068" s="230" t="s">
        <v>32</v>
      </c>
      <c r="F1068" s="231" t="s">
        <v>1808</v>
      </c>
      <c r="G1068" s="228"/>
      <c r="H1068" s="232">
        <v>5.8574999999999999</v>
      </c>
      <c r="I1068" s="233"/>
      <c r="J1068" s="228"/>
      <c r="K1068" s="228"/>
      <c r="L1068" s="234"/>
      <c r="M1068" s="235"/>
      <c r="N1068" s="236"/>
      <c r="O1068" s="236"/>
      <c r="P1068" s="236"/>
      <c r="Q1068" s="236"/>
      <c r="R1068" s="236"/>
      <c r="S1068" s="236"/>
      <c r="T1068" s="237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T1068" s="238" t="s">
        <v>211</v>
      </c>
      <c r="AU1068" s="238" t="s">
        <v>88</v>
      </c>
      <c r="AV1068" s="13" t="s">
        <v>88</v>
      </c>
      <c r="AW1068" s="13" t="s">
        <v>213</v>
      </c>
      <c r="AX1068" s="13" t="s">
        <v>78</v>
      </c>
      <c r="AY1068" s="238" t="s">
        <v>200</v>
      </c>
    </row>
    <row r="1069" s="15" customFormat="1">
      <c r="A1069" s="15"/>
      <c r="B1069" s="250"/>
      <c r="C1069" s="251"/>
      <c r="D1069" s="229" t="s">
        <v>211</v>
      </c>
      <c r="E1069" s="252" t="s">
        <v>32</v>
      </c>
      <c r="F1069" s="253" t="s">
        <v>620</v>
      </c>
      <c r="G1069" s="251"/>
      <c r="H1069" s="252" t="s">
        <v>32</v>
      </c>
      <c r="I1069" s="254"/>
      <c r="J1069" s="251"/>
      <c r="K1069" s="251"/>
      <c r="L1069" s="255"/>
      <c r="M1069" s="256"/>
      <c r="N1069" s="257"/>
      <c r="O1069" s="257"/>
      <c r="P1069" s="257"/>
      <c r="Q1069" s="257"/>
      <c r="R1069" s="257"/>
      <c r="S1069" s="257"/>
      <c r="T1069" s="258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T1069" s="259" t="s">
        <v>211</v>
      </c>
      <c r="AU1069" s="259" t="s">
        <v>88</v>
      </c>
      <c r="AV1069" s="15" t="s">
        <v>86</v>
      </c>
      <c r="AW1069" s="15" t="s">
        <v>213</v>
      </c>
      <c r="AX1069" s="15" t="s">
        <v>78</v>
      </c>
      <c r="AY1069" s="259" t="s">
        <v>200</v>
      </c>
    </row>
    <row r="1070" s="13" customFormat="1">
      <c r="A1070" s="13"/>
      <c r="B1070" s="227"/>
      <c r="C1070" s="228"/>
      <c r="D1070" s="229" t="s">
        <v>211</v>
      </c>
      <c r="E1070" s="230" t="s">
        <v>1809</v>
      </c>
      <c r="F1070" s="231" t="s">
        <v>1810</v>
      </c>
      <c r="G1070" s="228"/>
      <c r="H1070" s="232">
        <v>39.32</v>
      </c>
      <c r="I1070" s="233"/>
      <c r="J1070" s="228"/>
      <c r="K1070" s="228"/>
      <c r="L1070" s="234"/>
      <c r="M1070" s="235"/>
      <c r="N1070" s="236"/>
      <c r="O1070" s="236"/>
      <c r="P1070" s="236"/>
      <c r="Q1070" s="236"/>
      <c r="R1070" s="236"/>
      <c r="S1070" s="236"/>
      <c r="T1070" s="237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T1070" s="238" t="s">
        <v>211</v>
      </c>
      <c r="AU1070" s="238" t="s">
        <v>88</v>
      </c>
      <c r="AV1070" s="13" t="s">
        <v>88</v>
      </c>
      <c r="AW1070" s="13" t="s">
        <v>213</v>
      </c>
      <c r="AX1070" s="13" t="s">
        <v>78</v>
      </c>
      <c r="AY1070" s="238" t="s">
        <v>200</v>
      </c>
    </row>
    <row r="1071" s="14" customFormat="1">
      <c r="A1071" s="14"/>
      <c r="B1071" s="239"/>
      <c r="C1071" s="240"/>
      <c r="D1071" s="229" t="s">
        <v>211</v>
      </c>
      <c r="E1071" s="241" t="s">
        <v>118</v>
      </c>
      <c r="F1071" s="242" t="s">
        <v>220</v>
      </c>
      <c r="G1071" s="240"/>
      <c r="H1071" s="243">
        <v>373.22750000000002</v>
      </c>
      <c r="I1071" s="244"/>
      <c r="J1071" s="240"/>
      <c r="K1071" s="240"/>
      <c r="L1071" s="245"/>
      <c r="M1071" s="246"/>
      <c r="N1071" s="247"/>
      <c r="O1071" s="247"/>
      <c r="P1071" s="247"/>
      <c r="Q1071" s="247"/>
      <c r="R1071" s="247"/>
      <c r="S1071" s="247"/>
      <c r="T1071" s="248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T1071" s="249" t="s">
        <v>211</v>
      </c>
      <c r="AU1071" s="249" t="s">
        <v>88</v>
      </c>
      <c r="AV1071" s="14" t="s">
        <v>207</v>
      </c>
      <c r="AW1071" s="14" t="s">
        <v>213</v>
      </c>
      <c r="AX1071" s="14" t="s">
        <v>86</v>
      </c>
      <c r="AY1071" s="249" t="s">
        <v>200</v>
      </c>
    </row>
    <row r="1072" s="2" customFormat="1" ht="16.5" customHeight="1">
      <c r="A1072" s="40"/>
      <c r="B1072" s="41"/>
      <c r="C1072" s="209" t="s">
        <v>1811</v>
      </c>
      <c r="D1072" s="209" t="s">
        <v>202</v>
      </c>
      <c r="E1072" s="210" t="s">
        <v>1812</v>
      </c>
      <c r="F1072" s="211" t="s">
        <v>1813</v>
      </c>
      <c r="G1072" s="212" t="s">
        <v>272</v>
      </c>
      <c r="H1072" s="213">
        <v>373.22800000000001</v>
      </c>
      <c r="I1072" s="214"/>
      <c r="J1072" s="215">
        <f>ROUND(I1072*H1072,1)</f>
        <v>0</v>
      </c>
      <c r="K1072" s="211" t="s">
        <v>206</v>
      </c>
      <c r="L1072" s="46"/>
      <c r="M1072" s="216" t="s">
        <v>32</v>
      </c>
      <c r="N1072" s="217" t="s">
        <v>49</v>
      </c>
      <c r="O1072" s="86"/>
      <c r="P1072" s="218">
        <f>O1072*H1072</f>
        <v>0</v>
      </c>
      <c r="Q1072" s="218">
        <v>0.00029999999999999997</v>
      </c>
      <c r="R1072" s="218">
        <f>Q1072*H1072</f>
        <v>0.1119684</v>
      </c>
      <c r="S1072" s="218">
        <v>0</v>
      </c>
      <c r="T1072" s="219">
        <f>S1072*H1072</f>
        <v>0</v>
      </c>
      <c r="U1072" s="40"/>
      <c r="V1072" s="40"/>
      <c r="W1072" s="40"/>
      <c r="X1072" s="40"/>
      <c r="Y1072" s="40"/>
      <c r="Z1072" s="40"/>
      <c r="AA1072" s="40"/>
      <c r="AB1072" s="40"/>
      <c r="AC1072" s="40"/>
      <c r="AD1072" s="40"/>
      <c r="AE1072" s="40"/>
      <c r="AR1072" s="220" t="s">
        <v>310</v>
      </c>
      <c r="AT1072" s="220" t="s">
        <v>202</v>
      </c>
      <c r="AU1072" s="220" t="s">
        <v>88</v>
      </c>
      <c r="AY1072" s="18" t="s">
        <v>200</v>
      </c>
      <c r="BE1072" s="221">
        <f>IF(N1072="základní",J1072,0)</f>
        <v>0</v>
      </c>
      <c r="BF1072" s="221">
        <f>IF(N1072="snížená",J1072,0)</f>
        <v>0</v>
      </c>
      <c r="BG1072" s="221">
        <f>IF(N1072="zákl. přenesená",J1072,0)</f>
        <v>0</v>
      </c>
      <c r="BH1072" s="221">
        <f>IF(N1072="sníž. přenesená",J1072,0)</f>
        <v>0</v>
      </c>
      <c r="BI1072" s="221">
        <f>IF(N1072="nulová",J1072,0)</f>
        <v>0</v>
      </c>
      <c r="BJ1072" s="18" t="s">
        <v>86</v>
      </c>
      <c r="BK1072" s="221">
        <f>ROUND(I1072*H1072,1)</f>
        <v>0</v>
      </c>
      <c r="BL1072" s="18" t="s">
        <v>310</v>
      </c>
      <c r="BM1072" s="220" t="s">
        <v>1814</v>
      </c>
    </row>
    <row r="1073" s="2" customFormat="1">
      <c r="A1073" s="40"/>
      <c r="B1073" s="41"/>
      <c r="C1073" s="42"/>
      <c r="D1073" s="222" t="s">
        <v>209</v>
      </c>
      <c r="E1073" s="42"/>
      <c r="F1073" s="223" t="s">
        <v>1815</v>
      </c>
      <c r="G1073" s="42"/>
      <c r="H1073" s="42"/>
      <c r="I1073" s="224"/>
      <c r="J1073" s="42"/>
      <c r="K1073" s="42"/>
      <c r="L1073" s="46"/>
      <c r="M1073" s="225"/>
      <c r="N1073" s="226"/>
      <c r="O1073" s="86"/>
      <c r="P1073" s="86"/>
      <c r="Q1073" s="86"/>
      <c r="R1073" s="86"/>
      <c r="S1073" s="86"/>
      <c r="T1073" s="87"/>
      <c r="U1073" s="40"/>
      <c r="V1073" s="40"/>
      <c r="W1073" s="40"/>
      <c r="X1073" s="40"/>
      <c r="Y1073" s="40"/>
      <c r="Z1073" s="40"/>
      <c r="AA1073" s="40"/>
      <c r="AB1073" s="40"/>
      <c r="AC1073" s="40"/>
      <c r="AD1073" s="40"/>
      <c r="AE1073" s="40"/>
      <c r="AT1073" s="18" t="s">
        <v>209</v>
      </c>
      <c r="AU1073" s="18" t="s">
        <v>88</v>
      </c>
    </row>
    <row r="1074" s="13" customFormat="1">
      <c r="A1074" s="13"/>
      <c r="B1074" s="227"/>
      <c r="C1074" s="228"/>
      <c r="D1074" s="229" t="s">
        <v>211</v>
      </c>
      <c r="E1074" s="230" t="s">
        <v>32</v>
      </c>
      <c r="F1074" s="231" t="s">
        <v>118</v>
      </c>
      <c r="G1074" s="228"/>
      <c r="H1074" s="232">
        <v>373.22750000000002</v>
      </c>
      <c r="I1074" s="233"/>
      <c r="J1074" s="228"/>
      <c r="K1074" s="228"/>
      <c r="L1074" s="234"/>
      <c r="M1074" s="235"/>
      <c r="N1074" s="236"/>
      <c r="O1074" s="236"/>
      <c r="P1074" s="236"/>
      <c r="Q1074" s="236"/>
      <c r="R1074" s="236"/>
      <c r="S1074" s="236"/>
      <c r="T1074" s="237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T1074" s="238" t="s">
        <v>211</v>
      </c>
      <c r="AU1074" s="238" t="s">
        <v>88</v>
      </c>
      <c r="AV1074" s="13" t="s">
        <v>88</v>
      </c>
      <c r="AW1074" s="13" t="s">
        <v>213</v>
      </c>
      <c r="AX1074" s="13" t="s">
        <v>86</v>
      </c>
      <c r="AY1074" s="238" t="s">
        <v>200</v>
      </c>
    </row>
    <row r="1075" s="2" customFormat="1" ht="24.15" customHeight="1">
      <c r="A1075" s="40"/>
      <c r="B1075" s="41"/>
      <c r="C1075" s="209" t="s">
        <v>1816</v>
      </c>
      <c r="D1075" s="209" t="s">
        <v>202</v>
      </c>
      <c r="E1075" s="210" t="s">
        <v>1817</v>
      </c>
      <c r="F1075" s="211" t="s">
        <v>1818</v>
      </c>
      <c r="G1075" s="212" t="s">
        <v>280</v>
      </c>
      <c r="H1075" s="213">
        <v>270.64499999999998</v>
      </c>
      <c r="I1075" s="214"/>
      <c r="J1075" s="215">
        <f>ROUND(I1075*H1075,1)</f>
        <v>0</v>
      </c>
      <c r="K1075" s="211" t="s">
        <v>206</v>
      </c>
      <c r="L1075" s="46"/>
      <c r="M1075" s="216" t="s">
        <v>32</v>
      </c>
      <c r="N1075" s="217" t="s">
        <v>49</v>
      </c>
      <c r="O1075" s="86"/>
      <c r="P1075" s="218">
        <f>O1075*H1075</f>
        <v>0</v>
      </c>
      <c r="Q1075" s="218">
        <v>0.00042999999999999999</v>
      </c>
      <c r="R1075" s="218">
        <f>Q1075*H1075</f>
        <v>0.11637734999999999</v>
      </c>
      <c r="S1075" s="218">
        <v>0</v>
      </c>
      <c r="T1075" s="219">
        <f>S1075*H1075</f>
        <v>0</v>
      </c>
      <c r="U1075" s="40"/>
      <c r="V1075" s="40"/>
      <c r="W1075" s="40"/>
      <c r="X1075" s="40"/>
      <c r="Y1075" s="40"/>
      <c r="Z1075" s="40"/>
      <c r="AA1075" s="40"/>
      <c r="AB1075" s="40"/>
      <c r="AC1075" s="40"/>
      <c r="AD1075" s="40"/>
      <c r="AE1075" s="40"/>
      <c r="AR1075" s="220" t="s">
        <v>310</v>
      </c>
      <c r="AT1075" s="220" t="s">
        <v>202</v>
      </c>
      <c r="AU1075" s="220" t="s">
        <v>88</v>
      </c>
      <c r="AY1075" s="18" t="s">
        <v>200</v>
      </c>
      <c r="BE1075" s="221">
        <f>IF(N1075="základní",J1075,0)</f>
        <v>0</v>
      </c>
      <c r="BF1075" s="221">
        <f>IF(N1075="snížená",J1075,0)</f>
        <v>0</v>
      </c>
      <c r="BG1075" s="221">
        <f>IF(N1075="zákl. přenesená",J1075,0)</f>
        <v>0</v>
      </c>
      <c r="BH1075" s="221">
        <f>IF(N1075="sníž. přenesená",J1075,0)</f>
        <v>0</v>
      </c>
      <c r="BI1075" s="221">
        <f>IF(N1075="nulová",J1075,0)</f>
        <v>0</v>
      </c>
      <c r="BJ1075" s="18" t="s">
        <v>86</v>
      </c>
      <c r="BK1075" s="221">
        <f>ROUND(I1075*H1075,1)</f>
        <v>0</v>
      </c>
      <c r="BL1075" s="18" t="s">
        <v>310</v>
      </c>
      <c r="BM1075" s="220" t="s">
        <v>1819</v>
      </c>
    </row>
    <row r="1076" s="2" customFormat="1">
      <c r="A1076" s="40"/>
      <c r="B1076" s="41"/>
      <c r="C1076" s="42"/>
      <c r="D1076" s="222" t="s">
        <v>209</v>
      </c>
      <c r="E1076" s="42"/>
      <c r="F1076" s="223" t="s">
        <v>1820</v>
      </c>
      <c r="G1076" s="42"/>
      <c r="H1076" s="42"/>
      <c r="I1076" s="224"/>
      <c r="J1076" s="42"/>
      <c r="K1076" s="42"/>
      <c r="L1076" s="46"/>
      <c r="M1076" s="225"/>
      <c r="N1076" s="226"/>
      <c r="O1076" s="86"/>
      <c r="P1076" s="86"/>
      <c r="Q1076" s="86"/>
      <c r="R1076" s="86"/>
      <c r="S1076" s="86"/>
      <c r="T1076" s="87"/>
      <c r="U1076" s="40"/>
      <c r="V1076" s="40"/>
      <c r="W1076" s="40"/>
      <c r="X1076" s="40"/>
      <c r="Y1076" s="40"/>
      <c r="Z1076" s="40"/>
      <c r="AA1076" s="40"/>
      <c r="AB1076" s="40"/>
      <c r="AC1076" s="40"/>
      <c r="AD1076" s="40"/>
      <c r="AE1076" s="40"/>
      <c r="AT1076" s="18" t="s">
        <v>209</v>
      </c>
      <c r="AU1076" s="18" t="s">
        <v>88</v>
      </c>
    </row>
    <row r="1077" s="13" customFormat="1">
      <c r="A1077" s="13"/>
      <c r="B1077" s="227"/>
      <c r="C1077" s="228"/>
      <c r="D1077" s="229" t="s">
        <v>211</v>
      </c>
      <c r="E1077" s="230" t="s">
        <v>32</v>
      </c>
      <c r="F1077" s="231" t="s">
        <v>1821</v>
      </c>
      <c r="G1077" s="228"/>
      <c r="H1077" s="232">
        <v>88.620000000000005</v>
      </c>
      <c r="I1077" s="233"/>
      <c r="J1077" s="228"/>
      <c r="K1077" s="228"/>
      <c r="L1077" s="234"/>
      <c r="M1077" s="235"/>
      <c r="N1077" s="236"/>
      <c r="O1077" s="236"/>
      <c r="P1077" s="236"/>
      <c r="Q1077" s="236"/>
      <c r="R1077" s="236"/>
      <c r="S1077" s="236"/>
      <c r="T1077" s="237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T1077" s="238" t="s">
        <v>211</v>
      </c>
      <c r="AU1077" s="238" t="s">
        <v>88</v>
      </c>
      <c r="AV1077" s="13" t="s">
        <v>88</v>
      </c>
      <c r="AW1077" s="13" t="s">
        <v>213</v>
      </c>
      <c r="AX1077" s="13" t="s">
        <v>78</v>
      </c>
      <c r="AY1077" s="238" t="s">
        <v>200</v>
      </c>
    </row>
    <row r="1078" s="13" customFormat="1">
      <c r="A1078" s="13"/>
      <c r="B1078" s="227"/>
      <c r="C1078" s="228"/>
      <c r="D1078" s="229" t="s">
        <v>211</v>
      </c>
      <c r="E1078" s="230" t="s">
        <v>32</v>
      </c>
      <c r="F1078" s="231" t="s">
        <v>1822</v>
      </c>
      <c r="G1078" s="228"/>
      <c r="H1078" s="232">
        <v>275.49000000000001</v>
      </c>
      <c r="I1078" s="233"/>
      <c r="J1078" s="228"/>
      <c r="K1078" s="228"/>
      <c r="L1078" s="234"/>
      <c r="M1078" s="235"/>
      <c r="N1078" s="236"/>
      <c r="O1078" s="236"/>
      <c r="P1078" s="236"/>
      <c r="Q1078" s="236"/>
      <c r="R1078" s="236"/>
      <c r="S1078" s="236"/>
      <c r="T1078" s="237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T1078" s="238" t="s">
        <v>211</v>
      </c>
      <c r="AU1078" s="238" t="s">
        <v>88</v>
      </c>
      <c r="AV1078" s="13" t="s">
        <v>88</v>
      </c>
      <c r="AW1078" s="13" t="s">
        <v>213</v>
      </c>
      <c r="AX1078" s="13" t="s">
        <v>78</v>
      </c>
      <c r="AY1078" s="238" t="s">
        <v>200</v>
      </c>
    </row>
    <row r="1079" s="13" customFormat="1">
      <c r="A1079" s="13"/>
      <c r="B1079" s="227"/>
      <c r="C1079" s="228"/>
      <c r="D1079" s="229" t="s">
        <v>211</v>
      </c>
      <c r="E1079" s="230" t="s">
        <v>32</v>
      </c>
      <c r="F1079" s="231" t="s">
        <v>1823</v>
      </c>
      <c r="G1079" s="228"/>
      <c r="H1079" s="232">
        <v>43.5</v>
      </c>
      <c r="I1079" s="233"/>
      <c r="J1079" s="228"/>
      <c r="K1079" s="228"/>
      <c r="L1079" s="234"/>
      <c r="M1079" s="235"/>
      <c r="N1079" s="236"/>
      <c r="O1079" s="236"/>
      <c r="P1079" s="236"/>
      <c r="Q1079" s="236"/>
      <c r="R1079" s="236"/>
      <c r="S1079" s="236"/>
      <c r="T1079" s="237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T1079" s="238" t="s">
        <v>211</v>
      </c>
      <c r="AU1079" s="238" t="s">
        <v>88</v>
      </c>
      <c r="AV1079" s="13" t="s">
        <v>88</v>
      </c>
      <c r="AW1079" s="13" t="s">
        <v>213</v>
      </c>
      <c r="AX1079" s="13" t="s">
        <v>78</v>
      </c>
      <c r="AY1079" s="238" t="s">
        <v>200</v>
      </c>
    </row>
    <row r="1080" s="13" customFormat="1">
      <c r="A1080" s="13"/>
      <c r="B1080" s="227"/>
      <c r="C1080" s="228"/>
      <c r="D1080" s="229" t="s">
        <v>211</v>
      </c>
      <c r="E1080" s="230" t="s">
        <v>32</v>
      </c>
      <c r="F1080" s="231" t="s">
        <v>1824</v>
      </c>
      <c r="G1080" s="228"/>
      <c r="H1080" s="232">
        <v>5.25</v>
      </c>
      <c r="I1080" s="233"/>
      <c r="J1080" s="228"/>
      <c r="K1080" s="228"/>
      <c r="L1080" s="234"/>
      <c r="M1080" s="235"/>
      <c r="N1080" s="236"/>
      <c r="O1080" s="236"/>
      <c r="P1080" s="236"/>
      <c r="Q1080" s="236"/>
      <c r="R1080" s="236"/>
      <c r="S1080" s="236"/>
      <c r="T1080" s="237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T1080" s="238" t="s">
        <v>211</v>
      </c>
      <c r="AU1080" s="238" t="s">
        <v>88</v>
      </c>
      <c r="AV1080" s="13" t="s">
        <v>88</v>
      </c>
      <c r="AW1080" s="13" t="s">
        <v>213</v>
      </c>
      <c r="AX1080" s="13" t="s">
        <v>78</v>
      </c>
      <c r="AY1080" s="238" t="s">
        <v>200</v>
      </c>
    </row>
    <row r="1081" s="13" customFormat="1">
      <c r="A1081" s="13"/>
      <c r="B1081" s="227"/>
      <c r="C1081" s="228"/>
      <c r="D1081" s="229" t="s">
        <v>211</v>
      </c>
      <c r="E1081" s="230" t="s">
        <v>32</v>
      </c>
      <c r="F1081" s="231" t="s">
        <v>1825</v>
      </c>
      <c r="G1081" s="228"/>
      <c r="H1081" s="232">
        <v>-142.215</v>
      </c>
      <c r="I1081" s="233"/>
      <c r="J1081" s="228"/>
      <c r="K1081" s="228"/>
      <c r="L1081" s="234"/>
      <c r="M1081" s="235"/>
      <c r="N1081" s="236"/>
      <c r="O1081" s="236"/>
      <c r="P1081" s="236"/>
      <c r="Q1081" s="236"/>
      <c r="R1081" s="236"/>
      <c r="S1081" s="236"/>
      <c r="T1081" s="237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T1081" s="238" t="s">
        <v>211</v>
      </c>
      <c r="AU1081" s="238" t="s">
        <v>88</v>
      </c>
      <c r="AV1081" s="13" t="s">
        <v>88</v>
      </c>
      <c r="AW1081" s="13" t="s">
        <v>213</v>
      </c>
      <c r="AX1081" s="13" t="s">
        <v>78</v>
      </c>
      <c r="AY1081" s="238" t="s">
        <v>200</v>
      </c>
    </row>
    <row r="1082" s="14" customFormat="1">
      <c r="A1082" s="14"/>
      <c r="B1082" s="239"/>
      <c r="C1082" s="240"/>
      <c r="D1082" s="229" t="s">
        <v>211</v>
      </c>
      <c r="E1082" s="241" t="s">
        <v>32</v>
      </c>
      <c r="F1082" s="242" t="s">
        <v>220</v>
      </c>
      <c r="G1082" s="240"/>
      <c r="H1082" s="243">
        <v>270.64499999999998</v>
      </c>
      <c r="I1082" s="244"/>
      <c r="J1082" s="240"/>
      <c r="K1082" s="240"/>
      <c r="L1082" s="245"/>
      <c r="M1082" s="246"/>
      <c r="N1082" s="247"/>
      <c r="O1082" s="247"/>
      <c r="P1082" s="247"/>
      <c r="Q1082" s="247"/>
      <c r="R1082" s="247"/>
      <c r="S1082" s="247"/>
      <c r="T1082" s="248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T1082" s="249" t="s">
        <v>211</v>
      </c>
      <c r="AU1082" s="249" t="s">
        <v>88</v>
      </c>
      <c r="AV1082" s="14" t="s">
        <v>207</v>
      </c>
      <c r="AW1082" s="14" t="s">
        <v>213</v>
      </c>
      <c r="AX1082" s="14" t="s">
        <v>86</v>
      </c>
      <c r="AY1082" s="249" t="s">
        <v>200</v>
      </c>
    </row>
    <row r="1083" s="2" customFormat="1" ht="16.5" customHeight="1">
      <c r="A1083" s="40"/>
      <c r="B1083" s="41"/>
      <c r="C1083" s="260" t="s">
        <v>1826</v>
      </c>
      <c r="D1083" s="260" t="s">
        <v>292</v>
      </c>
      <c r="E1083" s="261" t="s">
        <v>1827</v>
      </c>
      <c r="F1083" s="262" t="s">
        <v>1828</v>
      </c>
      <c r="G1083" s="263" t="s">
        <v>280</v>
      </c>
      <c r="H1083" s="264">
        <v>297.70999999999998</v>
      </c>
      <c r="I1083" s="265"/>
      <c r="J1083" s="266">
        <f>ROUND(I1083*H1083,1)</f>
        <v>0</v>
      </c>
      <c r="K1083" s="262" t="s">
        <v>206</v>
      </c>
      <c r="L1083" s="267"/>
      <c r="M1083" s="268" t="s">
        <v>32</v>
      </c>
      <c r="N1083" s="269" t="s">
        <v>49</v>
      </c>
      <c r="O1083" s="86"/>
      <c r="P1083" s="218">
        <f>O1083*H1083</f>
        <v>0</v>
      </c>
      <c r="Q1083" s="218">
        <v>0.00198</v>
      </c>
      <c r="R1083" s="218">
        <f>Q1083*H1083</f>
        <v>0.58946579999999993</v>
      </c>
      <c r="S1083" s="218">
        <v>0</v>
      </c>
      <c r="T1083" s="219">
        <f>S1083*H1083</f>
        <v>0</v>
      </c>
      <c r="U1083" s="40"/>
      <c r="V1083" s="40"/>
      <c r="W1083" s="40"/>
      <c r="X1083" s="40"/>
      <c r="Y1083" s="40"/>
      <c r="Z1083" s="40"/>
      <c r="AA1083" s="40"/>
      <c r="AB1083" s="40"/>
      <c r="AC1083" s="40"/>
      <c r="AD1083" s="40"/>
      <c r="AE1083" s="40"/>
      <c r="AR1083" s="220" t="s">
        <v>429</v>
      </c>
      <c r="AT1083" s="220" t="s">
        <v>292</v>
      </c>
      <c r="AU1083" s="220" t="s">
        <v>88</v>
      </c>
      <c r="AY1083" s="18" t="s">
        <v>200</v>
      </c>
      <c r="BE1083" s="221">
        <f>IF(N1083="základní",J1083,0)</f>
        <v>0</v>
      </c>
      <c r="BF1083" s="221">
        <f>IF(N1083="snížená",J1083,0)</f>
        <v>0</v>
      </c>
      <c r="BG1083" s="221">
        <f>IF(N1083="zákl. přenesená",J1083,0)</f>
        <v>0</v>
      </c>
      <c r="BH1083" s="221">
        <f>IF(N1083="sníž. přenesená",J1083,0)</f>
        <v>0</v>
      </c>
      <c r="BI1083" s="221">
        <f>IF(N1083="nulová",J1083,0)</f>
        <v>0</v>
      </c>
      <c r="BJ1083" s="18" t="s">
        <v>86</v>
      </c>
      <c r="BK1083" s="221">
        <f>ROUND(I1083*H1083,1)</f>
        <v>0</v>
      </c>
      <c r="BL1083" s="18" t="s">
        <v>310</v>
      </c>
      <c r="BM1083" s="220" t="s">
        <v>1829</v>
      </c>
    </row>
    <row r="1084" s="13" customFormat="1">
      <c r="A1084" s="13"/>
      <c r="B1084" s="227"/>
      <c r="C1084" s="228"/>
      <c r="D1084" s="229" t="s">
        <v>211</v>
      </c>
      <c r="E1084" s="228"/>
      <c r="F1084" s="231" t="s">
        <v>1830</v>
      </c>
      <c r="G1084" s="228"/>
      <c r="H1084" s="232">
        <v>297.70999999999998</v>
      </c>
      <c r="I1084" s="233"/>
      <c r="J1084" s="228"/>
      <c r="K1084" s="228"/>
      <c r="L1084" s="234"/>
      <c r="M1084" s="235"/>
      <c r="N1084" s="236"/>
      <c r="O1084" s="236"/>
      <c r="P1084" s="236"/>
      <c r="Q1084" s="236"/>
      <c r="R1084" s="236"/>
      <c r="S1084" s="236"/>
      <c r="T1084" s="237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T1084" s="238" t="s">
        <v>211</v>
      </c>
      <c r="AU1084" s="238" t="s">
        <v>88</v>
      </c>
      <c r="AV1084" s="13" t="s">
        <v>88</v>
      </c>
      <c r="AW1084" s="13" t="s">
        <v>4</v>
      </c>
      <c r="AX1084" s="13" t="s">
        <v>86</v>
      </c>
      <c r="AY1084" s="238" t="s">
        <v>200</v>
      </c>
    </row>
    <row r="1085" s="2" customFormat="1" ht="24.15" customHeight="1">
      <c r="A1085" s="40"/>
      <c r="B1085" s="41"/>
      <c r="C1085" s="209" t="s">
        <v>1831</v>
      </c>
      <c r="D1085" s="209" t="s">
        <v>202</v>
      </c>
      <c r="E1085" s="210" t="s">
        <v>1832</v>
      </c>
      <c r="F1085" s="211" t="s">
        <v>1833</v>
      </c>
      <c r="G1085" s="212" t="s">
        <v>272</v>
      </c>
      <c r="H1085" s="213">
        <v>163.06</v>
      </c>
      <c r="I1085" s="214"/>
      <c r="J1085" s="215">
        <f>ROUND(I1085*H1085,1)</f>
        <v>0</v>
      </c>
      <c r="K1085" s="211" t="s">
        <v>206</v>
      </c>
      <c r="L1085" s="46"/>
      <c r="M1085" s="216" t="s">
        <v>32</v>
      </c>
      <c r="N1085" s="217" t="s">
        <v>49</v>
      </c>
      <c r="O1085" s="86"/>
      <c r="P1085" s="218">
        <f>O1085*H1085</f>
        <v>0</v>
      </c>
      <c r="Q1085" s="218">
        <v>0.0089700000000000005</v>
      </c>
      <c r="R1085" s="218">
        <f>Q1085*H1085</f>
        <v>1.4626482000000001</v>
      </c>
      <c r="S1085" s="218">
        <v>0</v>
      </c>
      <c r="T1085" s="219">
        <f>S1085*H1085</f>
        <v>0</v>
      </c>
      <c r="U1085" s="40"/>
      <c r="V1085" s="40"/>
      <c r="W1085" s="40"/>
      <c r="X1085" s="40"/>
      <c r="Y1085" s="40"/>
      <c r="Z1085" s="40"/>
      <c r="AA1085" s="40"/>
      <c r="AB1085" s="40"/>
      <c r="AC1085" s="40"/>
      <c r="AD1085" s="40"/>
      <c r="AE1085" s="40"/>
      <c r="AR1085" s="220" t="s">
        <v>310</v>
      </c>
      <c r="AT1085" s="220" t="s">
        <v>202</v>
      </c>
      <c r="AU1085" s="220" t="s">
        <v>88</v>
      </c>
      <c r="AY1085" s="18" t="s">
        <v>200</v>
      </c>
      <c r="BE1085" s="221">
        <f>IF(N1085="základní",J1085,0)</f>
        <v>0</v>
      </c>
      <c r="BF1085" s="221">
        <f>IF(N1085="snížená",J1085,0)</f>
        <v>0</v>
      </c>
      <c r="BG1085" s="221">
        <f>IF(N1085="zákl. přenesená",J1085,0)</f>
        <v>0</v>
      </c>
      <c r="BH1085" s="221">
        <f>IF(N1085="sníž. přenesená",J1085,0)</f>
        <v>0</v>
      </c>
      <c r="BI1085" s="221">
        <f>IF(N1085="nulová",J1085,0)</f>
        <v>0</v>
      </c>
      <c r="BJ1085" s="18" t="s">
        <v>86</v>
      </c>
      <c r="BK1085" s="221">
        <f>ROUND(I1085*H1085,1)</f>
        <v>0</v>
      </c>
      <c r="BL1085" s="18" t="s">
        <v>310</v>
      </c>
      <c r="BM1085" s="220" t="s">
        <v>1834</v>
      </c>
    </row>
    <row r="1086" s="2" customFormat="1">
      <c r="A1086" s="40"/>
      <c r="B1086" s="41"/>
      <c r="C1086" s="42"/>
      <c r="D1086" s="222" t="s">
        <v>209</v>
      </c>
      <c r="E1086" s="42"/>
      <c r="F1086" s="223" t="s">
        <v>1835</v>
      </c>
      <c r="G1086" s="42"/>
      <c r="H1086" s="42"/>
      <c r="I1086" s="224"/>
      <c r="J1086" s="42"/>
      <c r="K1086" s="42"/>
      <c r="L1086" s="46"/>
      <c r="M1086" s="225"/>
      <c r="N1086" s="226"/>
      <c r="O1086" s="86"/>
      <c r="P1086" s="86"/>
      <c r="Q1086" s="86"/>
      <c r="R1086" s="86"/>
      <c r="S1086" s="86"/>
      <c r="T1086" s="87"/>
      <c r="U1086" s="40"/>
      <c r="V1086" s="40"/>
      <c r="W1086" s="40"/>
      <c r="X1086" s="40"/>
      <c r="Y1086" s="40"/>
      <c r="Z1086" s="40"/>
      <c r="AA1086" s="40"/>
      <c r="AB1086" s="40"/>
      <c r="AC1086" s="40"/>
      <c r="AD1086" s="40"/>
      <c r="AE1086" s="40"/>
      <c r="AT1086" s="18" t="s">
        <v>209</v>
      </c>
      <c r="AU1086" s="18" t="s">
        <v>88</v>
      </c>
    </row>
    <row r="1087" s="13" customFormat="1">
      <c r="A1087" s="13"/>
      <c r="B1087" s="227"/>
      <c r="C1087" s="228"/>
      <c r="D1087" s="229" t="s">
        <v>211</v>
      </c>
      <c r="E1087" s="230" t="s">
        <v>32</v>
      </c>
      <c r="F1087" s="231" t="s">
        <v>135</v>
      </c>
      <c r="G1087" s="228"/>
      <c r="H1087" s="232">
        <v>163.06</v>
      </c>
      <c r="I1087" s="233"/>
      <c r="J1087" s="228"/>
      <c r="K1087" s="228"/>
      <c r="L1087" s="234"/>
      <c r="M1087" s="235"/>
      <c r="N1087" s="236"/>
      <c r="O1087" s="236"/>
      <c r="P1087" s="236"/>
      <c r="Q1087" s="236"/>
      <c r="R1087" s="236"/>
      <c r="S1087" s="236"/>
      <c r="T1087" s="237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T1087" s="238" t="s">
        <v>211</v>
      </c>
      <c r="AU1087" s="238" t="s">
        <v>88</v>
      </c>
      <c r="AV1087" s="13" t="s">
        <v>88</v>
      </c>
      <c r="AW1087" s="13" t="s">
        <v>213</v>
      </c>
      <c r="AX1087" s="13" t="s">
        <v>86</v>
      </c>
      <c r="AY1087" s="238" t="s">
        <v>200</v>
      </c>
    </row>
    <row r="1088" s="2" customFormat="1" ht="24.15" customHeight="1">
      <c r="A1088" s="40"/>
      <c r="B1088" s="41"/>
      <c r="C1088" s="260" t="s">
        <v>1836</v>
      </c>
      <c r="D1088" s="260" t="s">
        <v>292</v>
      </c>
      <c r="E1088" s="261" t="s">
        <v>1837</v>
      </c>
      <c r="F1088" s="262" t="s">
        <v>1838</v>
      </c>
      <c r="G1088" s="263" t="s">
        <v>272</v>
      </c>
      <c r="H1088" s="264">
        <v>187.51900000000001</v>
      </c>
      <c r="I1088" s="265"/>
      <c r="J1088" s="266">
        <f>ROUND(I1088*H1088,1)</f>
        <v>0</v>
      </c>
      <c r="K1088" s="262" t="s">
        <v>206</v>
      </c>
      <c r="L1088" s="267"/>
      <c r="M1088" s="268" t="s">
        <v>32</v>
      </c>
      <c r="N1088" s="269" t="s">
        <v>49</v>
      </c>
      <c r="O1088" s="86"/>
      <c r="P1088" s="218">
        <f>O1088*H1088</f>
        <v>0</v>
      </c>
      <c r="Q1088" s="218">
        <v>0.021999999999999999</v>
      </c>
      <c r="R1088" s="218">
        <f>Q1088*H1088</f>
        <v>4.1254179999999998</v>
      </c>
      <c r="S1088" s="218">
        <v>0</v>
      </c>
      <c r="T1088" s="219">
        <f>S1088*H1088</f>
        <v>0</v>
      </c>
      <c r="U1088" s="40"/>
      <c r="V1088" s="40"/>
      <c r="W1088" s="40"/>
      <c r="X1088" s="40"/>
      <c r="Y1088" s="40"/>
      <c r="Z1088" s="40"/>
      <c r="AA1088" s="40"/>
      <c r="AB1088" s="40"/>
      <c r="AC1088" s="40"/>
      <c r="AD1088" s="40"/>
      <c r="AE1088" s="40"/>
      <c r="AR1088" s="220" t="s">
        <v>429</v>
      </c>
      <c r="AT1088" s="220" t="s">
        <v>292</v>
      </c>
      <c r="AU1088" s="220" t="s">
        <v>88</v>
      </c>
      <c r="AY1088" s="18" t="s">
        <v>200</v>
      </c>
      <c r="BE1088" s="221">
        <f>IF(N1088="základní",J1088,0)</f>
        <v>0</v>
      </c>
      <c r="BF1088" s="221">
        <f>IF(N1088="snížená",J1088,0)</f>
        <v>0</v>
      </c>
      <c r="BG1088" s="221">
        <f>IF(N1088="zákl. přenesená",J1088,0)</f>
        <v>0</v>
      </c>
      <c r="BH1088" s="221">
        <f>IF(N1088="sníž. přenesená",J1088,0)</f>
        <v>0</v>
      </c>
      <c r="BI1088" s="221">
        <f>IF(N1088="nulová",J1088,0)</f>
        <v>0</v>
      </c>
      <c r="BJ1088" s="18" t="s">
        <v>86</v>
      </c>
      <c r="BK1088" s="221">
        <f>ROUND(I1088*H1088,1)</f>
        <v>0</v>
      </c>
      <c r="BL1088" s="18" t="s">
        <v>310</v>
      </c>
      <c r="BM1088" s="220" t="s">
        <v>1839</v>
      </c>
    </row>
    <row r="1089" s="2" customFormat="1">
      <c r="A1089" s="40"/>
      <c r="B1089" s="41"/>
      <c r="C1089" s="42"/>
      <c r="D1089" s="229" t="s">
        <v>355</v>
      </c>
      <c r="E1089" s="42"/>
      <c r="F1089" s="281" t="s">
        <v>1840</v>
      </c>
      <c r="G1089" s="42"/>
      <c r="H1089" s="42"/>
      <c r="I1089" s="224"/>
      <c r="J1089" s="42"/>
      <c r="K1089" s="42"/>
      <c r="L1089" s="46"/>
      <c r="M1089" s="225"/>
      <c r="N1089" s="226"/>
      <c r="O1089" s="86"/>
      <c r="P1089" s="86"/>
      <c r="Q1089" s="86"/>
      <c r="R1089" s="86"/>
      <c r="S1089" s="86"/>
      <c r="T1089" s="87"/>
      <c r="U1089" s="40"/>
      <c r="V1089" s="40"/>
      <c r="W1089" s="40"/>
      <c r="X1089" s="40"/>
      <c r="Y1089" s="40"/>
      <c r="Z1089" s="40"/>
      <c r="AA1089" s="40"/>
      <c r="AB1089" s="40"/>
      <c r="AC1089" s="40"/>
      <c r="AD1089" s="40"/>
      <c r="AE1089" s="40"/>
      <c r="AT1089" s="18" t="s">
        <v>355</v>
      </c>
      <c r="AU1089" s="18" t="s">
        <v>88</v>
      </c>
    </row>
    <row r="1090" s="13" customFormat="1">
      <c r="A1090" s="13"/>
      <c r="B1090" s="227"/>
      <c r="C1090" s="228"/>
      <c r="D1090" s="229" t="s">
        <v>211</v>
      </c>
      <c r="E1090" s="228"/>
      <c r="F1090" s="231" t="s">
        <v>1841</v>
      </c>
      <c r="G1090" s="228"/>
      <c r="H1090" s="232">
        <v>187.51900000000001</v>
      </c>
      <c r="I1090" s="233"/>
      <c r="J1090" s="228"/>
      <c r="K1090" s="228"/>
      <c r="L1090" s="234"/>
      <c r="M1090" s="235"/>
      <c r="N1090" s="236"/>
      <c r="O1090" s="236"/>
      <c r="P1090" s="236"/>
      <c r="Q1090" s="236"/>
      <c r="R1090" s="236"/>
      <c r="S1090" s="236"/>
      <c r="T1090" s="237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T1090" s="238" t="s">
        <v>211</v>
      </c>
      <c r="AU1090" s="238" t="s">
        <v>88</v>
      </c>
      <c r="AV1090" s="13" t="s">
        <v>88</v>
      </c>
      <c r="AW1090" s="13" t="s">
        <v>4</v>
      </c>
      <c r="AX1090" s="13" t="s">
        <v>86</v>
      </c>
      <c r="AY1090" s="238" t="s">
        <v>200</v>
      </c>
    </row>
    <row r="1091" s="2" customFormat="1" ht="24.15" customHeight="1">
      <c r="A1091" s="40"/>
      <c r="B1091" s="41"/>
      <c r="C1091" s="209" t="s">
        <v>1842</v>
      </c>
      <c r="D1091" s="209" t="s">
        <v>202</v>
      </c>
      <c r="E1091" s="210" t="s">
        <v>1843</v>
      </c>
      <c r="F1091" s="211" t="s">
        <v>1844</v>
      </c>
      <c r="G1091" s="212" t="s">
        <v>272</v>
      </c>
      <c r="H1091" s="213">
        <v>210.16800000000001</v>
      </c>
      <c r="I1091" s="214"/>
      <c r="J1091" s="215">
        <f>ROUND(I1091*H1091,1)</f>
        <v>0</v>
      </c>
      <c r="K1091" s="211" t="s">
        <v>206</v>
      </c>
      <c r="L1091" s="46"/>
      <c r="M1091" s="216" t="s">
        <v>32</v>
      </c>
      <c r="N1091" s="217" t="s">
        <v>49</v>
      </c>
      <c r="O1091" s="86"/>
      <c r="P1091" s="218">
        <f>O1091*H1091</f>
        <v>0</v>
      </c>
      <c r="Q1091" s="218">
        <v>0.0090299999999999998</v>
      </c>
      <c r="R1091" s="218">
        <f>Q1091*H1091</f>
        <v>1.8978170400000001</v>
      </c>
      <c r="S1091" s="218">
        <v>0</v>
      </c>
      <c r="T1091" s="219">
        <f>S1091*H1091</f>
        <v>0</v>
      </c>
      <c r="U1091" s="40"/>
      <c r="V1091" s="40"/>
      <c r="W1091" s="40"/>
      <c r="X1091" s="40"/>
      <c r="Y1091" s="40"/>
      <c r="Z1091" s="40"/>
      <c r="AA1091" s="40"/>
      <c r="AB1091" s="40"/>
      <c r="AC1091" s="40"/>
      <c r="AD1091" s="40"/>
      <c r="AE1091" s="40"/>
      <c r="AR1091" s="220" t="s">
        <v>310</v>
      </c>
      <c r="AT1091" s="220" t="s">
        <v>202</v>
      </c>
      <c r="AU1091" s="220" t="s">
        <v>88</v>
      </c>
      <c r="AY1091" s="18" t="s">
        <v>200</v>
      </c>
      <c r="BE1091" s="221">
        <f>IF(N1091="základní",J1091,0)</f>
        <v>0</v>
      </c>
      <c r="BF1091" s="221">
        <f>IF(N1091="snížená",J1091,0)</f>
        <v>0</v>
      </c>
      <c r="BG1091" s="221">
        <f>IF(N1091="zákl. přenesená",J1091,0)</f>
        <v>0</v>
      </c>
      <c r="BH1091" s="221">
        <f>IF(N1091="sníž. přenesená",J1091,0)</f>
        <v>0</v>
      </c>
      <c r="BI1091" s="221">
        <f>IF(N1091="nulová",J1091,0)</f>
        <v>0</v>
      </c>
      <c r="BJ1091" s="18" t="s">
        <v>86</v>
      </c>
      <c r="BK1091" s="221">
        <f>ROUND(I1091*H1091,1)</f>
        <v>0</v>
      </c>
      <c r="BL1091" s="18" t="s">
        <v>310</v>
      </c>
      <c r="BM1091" s="220" t="s">
        <v>1845</v>
      </c>
    </row>
    <row r="1092" s="2" customFormat="1">
      <c r="A1092" s="40"/>
      <c r="B1092" s="41"/>
      <c r="C1092" s="42"/>
      <c r="D1092" s="222" t="s">
        <v>209</v>
      </c>
      <c r="E1092" s="42"/>
      <c r="F1092" s="223" t="s">
        <v>1846</v>
      </c>
      <c r="G1092" s="42"/>
      <c r="H1092" s="42"/>
      <c r="I1092" s="224"/>
      <c r="J1092" s="42"/>
      <c r="K1092" s="42"/>
      <c r="L1092" s="46"/>
      <c r="M1092" s="225"/>
      <c r="N1092" s="226"/>
      <c r="O1092" s="86"/>
      <c r="P1092" s="86"/>
      <c r="Q1092" s="86"/>
      <c r="R1092" s="86"/>
      <c r="S1092" s="86"/>
      <c r="T1092" s="87"/>
      <c r="U1092" s="40"/>
      <c r="V1092" s="40"/>
      <c r="W1092" s="40"/>
      <c r="X1092" s="40"/>
      <c r="Y1092" s="40"/>
      <c r="Z1092" s="40"/>
      <c r="AA1092" s="40"/>
      <c r="AB1092" s="40"/>
      <c r="AC1092" s="40"/>
      <c r="AD1092" s="40"/>
      <c r="AE1092" s="40"/>
      <c r="AT1092" s="18" t="s">
        <v>209</v>
      </c>
      <c r="AU1092" s="18" t="s">
        <v>88</v>
      </c>
    </row>
    <row r="1093" s="13" customFormat="1">
      <c r="A1093" s="13"/>
      <c r="B1093" s="227"/>
      <c r="C1093" s="228"/>
      <c r="D1093" s="229" t="s">
        <v>211</v>
      </c>
      <c r="E1093" s="230" t="s">
        <v>32</v>
      </c>
      <c r="F1093" s="231" t="s">
        <v>1847</v>
      </c>
      <c r="G1093" s="228"/>
      <c r="H1093" s="232">
        <v>210.16800000000001</v>
      </c>
      <c r="I1093" s="233"/>
      <c r="J1093" s="228"/>
      <c r="K1093" s="228"/>
      <c r="L1093" s="234"/>
      <c r="M1093" s="235"/>
      <c r="N1093" s="236"/>
      <c r="O1093" s="236"/>
      <c r="P1093" s="236"/>
      <c r="Q1093" s="236"/>
      <c r="R1093" s="236"/>
      <c r="S1093" s="236"/>
      <c r="T1093" s="237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T1093" s="238" t="s">
        <v>211</v>
      </c>
      <c r="AU1093" s="238" t="s">
        <v>88</v>
      </c>
      <c r="AV1093" s="13" t="s">
        <v>88</v>
      </c>
      <c r="AW1093" s="13" t="s">
        <v>213</v>
      </c>
      <c r="AX1093" s="13" t="s">
        <v>86</v>
      </c>
      <c r="AY1093" s="238" t="s">
        <v>200</v>
      </c>
    </row>
    <row r="1094" s="2" customFormat="1" ht="24.15" customHeight="1">
      <c r="A1094" s="40"/>
      <c r="B1094" s="41"/>
      <c r="C1094" s="260" t="s">
        <v>1848</v>
      </c>
      <c r="D1094" s="260" t="s">
        <v>292</v>
      </c>
      <c r="E1094" s="261" t="s">
        <v>1849</v>
      </c>
      <c r="F1094" s="262" t="s">
        <v>1850</v>
      </c>
      <c r="G1094" s="263" t="s">
        <v>272</v>
      </c>
      <c r="H1094" s="264">
        <v>241.69300000000001</v>
      </c>
      <c r="I1094" s="265"/>
      <c r="J1094" s="266">
        <f>ROUND(I1094*H1094,1)</f>
        <v>0</v>
      </c>
      <c r="K1094" s="262" t="s">
        <v>206</v>
      </c>
      <c r="L1094" s="267"/>
      <c r="M1094" s="268" t="s">
        <v>32</v>
      </c>
      <c r="N1094" s="269" t="s">
        <v>49</v>
      </c>
      <c r="O1094" s="86"/>
      <c r="P1094" s="218">
        <f>O1094*H1094</f>
        <v>0</v>
      </c>
      <c r="Q1094" s="218">
        <v>0.021999999999999999</v>
      </c>
      <c r="R1094" s="218">
        <f>Q1094*H1094</f>
        <v>5.3172459999999999</v>
      </c>
      <c r="S1094" s="218">
        <v>0</v>
      </c>
      <c r="T1094" s="219">
        <f>S1094*H1094</f>
        <v>0</v>
      </c>
      <c r="U1094" s="40"/>
      <c r="V1094" s="40"/>
      <c r="W1094" s="40"/>
      <c r="X1094" s="40"/>
      <c r="Y1094" s="40"/>
      <c r="Z1094" s="40"/>
      <c r="AA1094" s="40"/>
      <c r="AB1094" s="40"/>
      <c r="AC1094" s="40"/>
      <c r="AD1094" s="40"/>
      <c r="AE1094" s="40"/>
      <c r="AR1094" s="220" t="s">
        <v>429</v>
      </c>
      <c r="AT1094" s="220" t="s">
        <v>292</v>
      </c>
      <c r="AU1094" s="220" t="s">
        <v>88</v>
      </c>
      <c r="AY1094" s="18" t="s">
        <v>200</v>
      </c>
      <c r="BE1094" s="221">
        <f>IF(N1094="základní",J1094,0)</f>
        <v>0</v>
      </c>
      <c r="BF1094" s="221">
        <f>IF(N1094="snížená",J1094,0)</f>
        <v>0</v>
      </c>
      <c r="BG1094" s="221">
        <f>IF(N1094="zákl. přenesená",J1094,0)</f>
        <v>0</v>
      </c>
      <c r="BH1094" s="221">
        <f>IF(N1094="sníž. přenesená",J1094,0)</f>
        <v>0</v>
      </c>
      <c r="BI1094" s="221">
        <f>IF(N1094="nulová",J1094,0)</f>
        <v>0</v>
      </c>
      <c r="BJ1094" s="18" t="s">
        <v>86</v>
      </c>
      <c r="BK1094" s="221">
        <f>ROUND(I1094*H1094,1)</f>
        <v>0</v>
      </c>
      <c r="BL1094" s="18" t="s">
        <v>310</v>
      </c>
      <c r="BM1094" s="220" t="s">
        <v>1851</v>
      </c>
    </row>
    <row r="1095" s="2" customFormat="1">
      <c r="A1095" s="40"/>
      <c r="B1095" s="41"/>
      <c r="C1095" s="42"/>
      <c r="D1095" s="229" t="s">
        <v>355</v>
      </c>
      <c r="E1095" s="42"/>
      <c r="F1095" s="281" t="s">
        <v>1852</v>
      </c>
      <c r="G1095" s="42"/>
      <c r="H1095" s="42"/>
      <c r="I1095" s="224"/>
      <c r="J1095" s="42"/>
      <c r="K1095" s="42"/>
      <c r="L1095" s="46"/>
      <c r="M1095" s="225"/>
      <c r="N1095" s="226"/>
      <c r="O1095" s="86"/>
      <c r="P1095" s="86"/>
      <c r="Q1095" s="86"/>
      <c r="R1095" s="86"/>
      <c r="S1095" s="86"/>
      <c r="T1095" s="87"/>
      <c r="U1095" s="40"/>
      <c r="V1095" s="40"/>
      <c r="W1095" s="40"/>
      <c r="X1095" s="40"/>
      <c r="Y1095" s="40"/>
      <c r="Z1095" s="40"/>
      <c r="AA1095" s="40"/>
      <c r="AB1095" s="40"/>
      <c r="AC1095" s="40"/>
      <c r="AD1095" s="40"/>
      <c r="AE1095" s="40"/>
      <c r="AT1095" s="18" t="s">
        <v>355</v>
      </c>
      <c r="AU1095" s="18" t="s">
        <v>88</v>
      </c>
    </row>
    <row r="1096" s="13" customFormat="1">
      <c r="A1096" s="13"/>
      <c r="B1096" s="227"/>
      <c r="C1096" s="228"/>
      <c r="D1096" s="229" t="s">
        <v>211</v>
      </c>
      <c r="E1096" s="228"/>
      <c r="F1096" s="231" t="s">
        <v>1853</v>
      </c>
      <c r="G1096" s="228"/>
      <c r="H1096" s="232">
        <v>241.69300000000001</v>
      </c>
      <c r="I1096" s="233"/>
      <c r="J1096" s="228"/>
      <c r="K1096" s="228"/>
      <c r="L1096" s="234"/>
      <c r="M1096" s="235"/>
      <c r="N1096" s="236"/>
      <c r="O1096" s="236"/>
      <c r="P1096" s="236"/>
      <c r="Q1096" s="236"/>
      <c r="R1096" s="236"/>
      <c r="S1096" s="236"/>
      <c r="T1096" s="237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T1096" s="238" t="s">
        <v>211</v>
      </c>
      <c r="AU1096" s="238" t="s">
        <v>88</v>
      </c>
      <c r="AV1096" s="13" t="s">
        <v>88</v>
      </c>
      <c r="AW1096" s="13" t="s">
        <v>4</v>
      </c>
      <c r="AX1096" s="13" t="s">
        <v>86</v>
      </c>
      <c r="AY1096" s="238" t="s">
        <v>200</v>
      </c>
    </row>
    <row r="1097" s="2" customFormat="1" ht="16.5" customHeight="1">
      <c r="A1097" s="40"/>
      <c r="B1097" s="41"/>
      <c r="C1097" s="209" t="s">
        <v>1854</v>
      </c>
      <c r="D1097" s="209" t="s">
        <v>202</v>
      </c>
      <c r="E1097" s="210" t="s">
        <v>1855</v>
      </c>
      <c r="F1097" s="211" t="s">
        <v>1856</v>
      </c>
      <c r="G1097" s="212" t="s">
        <v>272</v>
      </c>
      <c r="H1097" s="213">
        <v>373.22800000000001</v>
      </c>
      <c r="I1097" s="214"/>
      <c r="J1097" s="215">
        <f>ROUND(I1097*H1097,1)</f>
        <v>0</v>
      </c>
      <c r="K1097" s="211" t="s">
        <v>206</v>
      </c>
      <c r="L1097" s="46"/>
      <c r="M1097" s="216" t="s">
        <v>32</v>
      </c>
      <c r="N1097" s="217" t="s">
        <v>49</v>
      </c>
      <c r="O1097" s="86"/>
      <c r="P1097" s="218">
        <f>O1097*H1097</f>
        <v>0</v>
      </c>
      <c r="Q1097" s="218">
        <v>0.0015</v>
      </c>
      <c r="R1097" s="218">
        <f>Q1097*H1097</f>
        <v>0.55984200000000006</v>
      </c>
      <c r="S1097" s="218">
        <v>0</v>
      </c>
      <c r="T1097" s="219">
        <f>S1097*H1097</f>
        <v>0</v>
      </c>
      <c r="U1097" s="40"/>
      <c r="V1097" s="40"/>
      <c r="W1097" s="40"/>
      <c r="X1097" s="40"/>
      <c r="Y1097" s="40"/>
      <c r="Z1097" s="40"/>
      <c r="AA1097" s="40"/>
      <c r="AB1097" s="40"/>
      <c r="AC1097" s="40"/>
      <c r="AD1097" s="40"/>
      <c r="AE1097" s="40"/>
      <c r="AR1097" s="220" t="s">
        <v>310</v>
      </c>
      <c r="AT1097" s="220" t="s">
        <v>202</v>
      </c>
      <c r="AU1097" s="220" t="s">
        <v>88</v>
      </c>
      <c r="AY1097" s="18" t="s">
        <v>200</v>
      </c>
      <c r="BE1097" s="221">
        <f>IF(N1097="základní",J1097,0)</f>
        <v>0</v>
      </c>
      <c r="BF1097" s="221">
        <f>IF(N1097="snížená",J1097,0)</f>
        <v>0</v>
      </c>
      <c r="BG1097" s="221">
        <f>IF(N1097="zákl. přenesená",J1097,0)</f>
        <v>0</v>
      </c>
      <c r="BH1097" s="221">
        <f>IF(N1097="sníž. přenesená",J1097,0)</f>
        <v>0</v>
      </c>
      <c r="BI1097" s="221">
        <f>IF(N1097="nulová",J1097,0)</f>
        <v>0</v>
      </c>
      <c r="BJ1097" s="18" t="s">
        <v>86</v>
      </c>
      <c r="BK1097" s="221">
        <f>ROUND(I1097*H1097,1)</f>
        <v>0</v>
      </c>
      <c r="BL1097" s="18" t="s">
        <v>310</v>
      </c>
      <c r="BM1097" s="220" t="s">
        <v>1857</v>
      </c>
    </row>
    <row r="1098" s="2" customFormat="1">
      <c r="A1098" s="40"/>
      <c r="B1098" s="41"/>
      <c r="C1098" s="42"/>
      <c r="D1098" s="222" t="s">
        <v>209</v>
      </c>
      <c r="E1098" s="42"/>
      <c r="F1098" s="223" t="s">
        <v>1858</v>
      </c>
      <c r="G1098" s="42"/>
      <c r="H1098" s="42"/>
      <c r="I1098" s="224"/>
      <c r="J1098" s="42"/>
      <c r="K1098" s="42"/>
      <c r="L1098" s="46"/>
      <c r="M1098" s="225"/>
      <c r="N1098" s="226"/>
      <c r="O1098" s="86"/>
      <c r="P1098" s="86"/>
      <c r="Q1098" s="86"/>
      <c r="R1098" s="86"/>
      <c r="S1098" s="86"/>
      <c r="T1098" s="87"/>
      <c r="U1098" s="40"/>
      <c r="V1098" s="40"/>
      <c r="W1098" s="40"/>
      <c r="X1098" s="40"/>
      <c r="Y1098" s="40"/>
      <c r="Z1098" s="40"/>
      <c r="AA1098" s="40"/>
      <c r="AB1098" s="40"/>
      <c r="AC1098" s="40"/>
      <c r="AD1098" s="40"/>
      <c r="AE1098" s="40"/>
      <c r="AT1098" s="18" t="s">
        <v>209</v>
      </c>
      <c r="AU1098" s="18" t="s">
        <v>88</v>
      </c>
    </row>
    <row r="1099" s="13" customFormat="1">
      <c r="A1099" s="13"/>
      <c r="B1099" s="227"/>
      <c r="C1099" s="228"/>
      <c r="D1099" s="229" t="s">
        <v>211</v>
      </c>
      <c r="E1099" s="230" t="s">
        <v>32</v>
      </c>
      <c r="F1099" s="231" t="s">
        <v>118</v>
      </c>
      <c r="G1099" s="228"/>
      <c r="H1099" s="232">
        <v>373.22750000000002</v>
      </c>
      <c r="I1099" s="233"/>
      <c r="J1099" s="228"/>
      <c r="K1099" s="228"/>
      <c r="L1099" s="234"/>
      <c r="M1099" s="235"/>
      <c r="N1099" s="236"/>
      <c r="O1099" s="236"/>
      <c r="P1099" s="236"/>
      <c r="Q1099" s="236"/>
      <c r="R1099" s="236"/>
      <c r="S1099" s="236"/>
      <c r="T1099" s="237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T1099" s="238" t="s">
        <v>211</v>
      </c>
      <c r="AU1099" s="238" t="s">
        <v>88</v>
      </c>
      <c r="AV1099" s="13" t="s">
        <v>88</v>
      </c>
      <c r="AW1099" s="13" t="s">
        <v>213</v>
      </c>
      <c r="AX1099" s="13" t="s">
        <v>86</v>
      </c>
      <c r="AY1099" s="238" t="s">
        <v>200</v>
      </c>
    </row>
    <row r="1100" s="2" customFormat="1" ht="16.5" customHeight="1">
      <c r="A1100" s="40"/>
      <c r="B1100" s="41"/>
      <c r="C1100" s="209" t="s">
        <v>1859</v>
      </c>
      <c r="D1100" s="209" t="s">
        <v>202</v>
      </c>
      <c r="E1100" s="210" t="s">
        <v>1860</v>
      </c>
      <c r="F1100" s="211" t="s">
        <v>1861</v>
      </c>
      <c r="G1100" s="212" t="s">
        <v>280</v>
      </c>
      <c r="H1100" s="213">
        <v>407.61000000000001</v>
      </c>
      <c r="I1100" s="214"/>
      <c r="J1100" s="215">
        <f>ROUND(I1100*H1100,1)</f>
        <v>0</v>
      </c>
      <c r="K1100" s="211" t="s">
        <v>206</v>
      </c>
      <c r="L1100" s="46"/>
      <c r="M1100" s="216" t="s">
        <v>32</v>
      </c>
      <c r="N1100" s="217" t="s">
        <v>49</v>
      </c>
      <c r="O1100" s="86"/>
      <c r="P1100" s="218">
        <f>O1100*H1100</f>
        <v>0</v>
      </c>
      <c r="Q1100" s="218">
        <v>3.0000000000000001E-05</v>
      </c>
      <c r="R1100" s="218">
        <f>Q1100*H1100</f>
        <v>0.012228300000000001</v>
      </c>
      <c r="S1100" s="218">
        <v>0</v>
      </c>
      <c r="T1100" s="219">
        <f>S1100*H1100</f>
        <v>0</v>
      </c>
      <c r="U1100" s="40"/>
      <c r="V1100" s="40"/>
      <c r="W1100" s="40"/>
      <c r="X1100" s="40"/>
      <c r="Y1100" s="40"/>
      <c r="Z1100" s="40"/>
      <c r="AA1100" s="40"/>
      <c r="AB1100" s="40"/>
      <c r="AC1100" s="40"/>
      <c r="AD1100" s="40"/>
      <c r="AE1100" s="40"/>
      <c r="AR1100" s="220" t="s">
        <v>310</v>
      </c>
      <c r="AT1100" s="220" t="s">
        <v>202</v>
      </c>
      <c r="AU1100" s="220" t="s">
        <v>88</v>
      </c>
      <c r="AY1100" s="18" t="s">
        <v>200</v>
      </c>
      <c r="BE1100" s="221">
        <f>IF(N1100="základní",J1100,0)</f>
        <v>0</v>
      </c>
      <c r="BF1100" s="221">
        <f>IF(N1100="snížená",J1100,0)</f>
        <v>0</v>
      </c>
      <c r="BG1100" s="221">
        <f>IF(N1100="zákl. přenesená",J1100,0)</f>
        <v>0</v>
      </c>
      <c r="BH1100" s="221">
        <f>IF(N1100="sníž. přenesená",J1100,0)</f>
        <v>0</v>
      </c>
      <c r="BI1100" s="221">
        <f>IF(N1100="nulová",J1100,0)</f>
        <v>0</v>
      </c>
      <c r="BJ1100" s="18" t="s">
        <v>86</v>
      </c>
      <c r="BK1100" s="221">
        <f>ROUND(I1100*H1100,1)</f>
        <v>0</v>
      </c>
      <c r="BL1100" s="18" t="s">
        <v>310</v>
      </c>
      <c r="BM1100" s="220" t="s">
        <v>1862</v>
      </c>
    </row>
    <row r="1101" s="2" customFormat="1">
      <c r="A1101" s="40"/>
      <c r="B1101" s="41"/>
      <c r="C1101" s="42"/>
      <c r="D1101" s="222" t="s">
        <v>209</v>
      </c>
      <c r="E1101" s="42"/>
      <c r="F1101" s="223" t="s">
        <v>1863</v>
      </c>
      <c r="G1101" s="42"/>
      <c r="H1101" s="42"/>
      <c r="I1101" s="224"/>
      <c r="J1101" s="42"/>
      <c r="K1101" s="42"/>
      <c r="L1101" s="46"/>
      <c r="M1101" s="225"/>
      <c r="N1101" s="226"/>
      <c r="O1101" s="86"/>
      <c r="P1101" s="86"/>
      <c r="Q1101" s="86"/>
      <c r="R1101" s="86"/>
      <c r="S1101" s="86"/>
      <c r="T1101" s="87"/>
      <c r="U1101" s="40"/>
      <c r="V1101" s="40"/>
      <c r="W1101" s="40"/>
      <c r="X1101" s="40"/>
      <c r="Y1101" s="40"/>
      <c r="Z1101" s="40"/>
      <c r="AA1101" s="40"/>
      <c r="AB1101" s="40"/>
      <c r="AC1101" s="40"/>
      <c r="AD1101" s="40"/>
      <c r="AE1101" s="40"/>
      <c r="AT1101" s="18" t="s">
        <v>209</v>
      </c>
      <c r="AU1101" s="18" t="s">
        <v>88</v>
      </c>
    </row>
    <row r="1102" s="13" customFormat="1">
      <c r="A1102" s="13"/>
      <c r="B1102" s="227"/>
      <c r="C1102" s="228"/>
      <c r="D1102" s="229" t="s">
        <v>211</v>
      </c>
      <c r="E1102" s="230" t="s">
        <v>32</v>
      </c>
      <c r="F1102" s="231" t="s">
        <v>1821</v>
      </c>
      <c r="G1102" s="228"/>
      <c r="H1102" s="232">
        <v>88.620000000000005</v>
      </c>
      <c r="I1102" s="233"/>
      <c r="J1102" s="228"/>
      <c r="K1102" s="228"/>
      <c r="L1102" s="234"/>
      <c r="M1102" s="235"/>
      <c r="N1102" s="236"/>
      <c r="O1102" s="236"/>
      <c r="P1102" s="236"/>
      <c r="Q1102" s="236"/>
      <c r="R1102" s="236"/>
      <c r="S1102" s="236"/>
      <c r="T1102" s="237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T1102" s="238" t="s">
        <v>211</v>
      </c>
      <c r="AU1102" s="238" t="s">
        <v>88</v>
      </c>
      <c r="AV1102" s="13" t="s">
        <v>88</v>
      </c>
      <c r="AW1102" s="13" t="s">
        <v>213</v>
      </c>
      <c r="AX1102" s="13" t="s">
        <v>78</v>
      </c>
      <c r="AY1102" s="238" t="s">
        <v>200</v>
      </c>
    </row>
    <row r="1103" s="13" customFormat="1">
      <c r="A1103" s="13"/>
      <c r="B1103" s="227"/>
      <c r="C1103" s="228"/>
      <c r="D1103" s="229" t="s">
        <v>211</v>
      </c>
      <c r="E1103" s="230" t="s">
        <v>32</v>
      </c>
      <c r="F1103" s="231" t="s">
        <v>1822</v>
      </c>
      <c r="G1103" s="228"/>
      <c r="H1103" s="232">
        <v>275.49000000000001</v>
      </c>
      <c r="I1103" s="233"/>
      <c r="J1103" s="228"/>
      <c r="K1103" s="228"/>
      <c r="L1103" s="234"/>
      <c r="M1103" s="235"/>
      <c r="N1103" s="236"/>
      <c r="O1103" s="236"/>
      <c r="P1103" s="236"/>
      <c r="Q1103" s="236"/>
      <c r="R1103" s="236"/>
      <c r="S1103" s="236"/>
      <c r="T1103" s="237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T1103" s="238" t="s">
        <v>211</v>
      </c>
      <c r="AU1103" s="238" t="s">
        <v>88</v>
      </c>
      <c r="AV1103" s="13" t="s">
        <v>88</v>
      </c>
      <c r="AW1103" s="13" t="s">
        <v>213</v>
      </c>
      <c r="AX1103" s="13" t="s">
        <v>78</v>
      </c>
      <c r="AY1103" s="238" t="s">
        <v>200</v>
      </c>
    </row>
    <row r="1104" s="13" customFormat="1">
      <c r="A1104" s="13"/>
      <c r="B1104" s="227"/>
      <c r="C1104" s="228"/>
      <c r="D1104" s="229" t="s">
        <v>211</v>
      </c>
      <c r="E1104" s="230" t="s">
        <v>32</v>
      </c>
      <c r="F1104" s="231" t="s">
        <v>1823</v>
      </c>
      <c r="G1104" s="228"/>
      <c r="H1104" s="232">
        <v>43.5</v>
      </c>
      <c r="I1104" s="233"/>
      <c r="J1104" s="228"/>
      <c r="K1104" s="228"/>
      <c r="L1104" s="234"/>
      <c r="M1104" s="235"/>
      <c r="N1104" s="236"/>
      <c r="O1104" s="236"/>
      <c r="P1104" s="236"/>
      <c r="Q1104" s="236"/>
      <c r="R1104" s="236"/>
      <c r="S1104" s="236"/>
      <c r="T1104" s="237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T1104" s="238" t="s">
        <v>211</v>
      </c>
      <c r="AU1104" s="238" t="s">
        <v>88</v>
      </c>
      <c r="AV1104" s="13" t="s">
        <v>88</v>
      </c>
      <c r="AW1104" s="13" t="s">
        <v>213</v>
      </c>
      <c r="AX1104" s="13" t="s">
        <v>78</v>
      </c>
      <c r="AY1104" s="238" t="s">
        <v>200</v>
      </c>
    </row>
    <row r="1105" s="14" customFormat="1">
      <c r="A1105" s="14"/>
      <c r="B1105" s="239"/>
      <c r="C1105" s="240"/>
      <c r="D1105" s="229" t="s">
        <v>211</v>
      </c>
      <c r="E1105" s="241" t="s">
        <v>32</v>
      </c>
      <c r="F1105" s="242" t="s">
        <v>220</v>
      </c>
      <c r="G1105" s="240"/>
      <c r="H1105" s="243">
        <v>407.61000000000001</v>
      </c>
      <c r="I1105" s="244"/>
      <c r="J1105" s="240"/>
      <c r="K1105" s="240"/>
      <c r="L1105" s="245"/>
      <c r="M1105" s="246"/>
      <c r="N1105" s="247"/>
      <c r="O1105" s="247"/>
      <c r="P1105" s="247"/>
      <c r="Q1105" s="247"/>
      <c r="R1105" s="247"/>
      <c r="S1105" s="247"/>
      <c r="T1105" s="248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T1105" s="249" t="s">
        <v>211</v>
      </c>
      <c r="AU1105" s="249" t="s">
        <v>88</v>
      </c>
      <c r="AV1105" s="14" t="s">
        <v>207</v>
      </c>
      <c r="AW1105" s="14" t="s">
        <v>213</v>
      </c>
      <c r="AX1105" s="14" t="s">
        <v>86</v>
      </c>
      <c r="AY1105" s="249" t="s">
        <v>200</v>
      </c>
    </row>
    <row r="1106" s="2" customFormat="1" ht="16.5" customHeight="1">
      <c r="A1106" s="40"/>
      <c r="B1106" s="41"/>
      <c r="C1106" s="209" t="s">
        <v>1864</v>
      </c>
      <c r="D1106" s="209" t="s">
        <v>202</v>
      </c>
      <c r="E1106" s="210" t="s">
        <v>1865</v>
      </c>
      <c r="F1106" s="211" t="s">
        <v>1866</v>
      </c>
      <c r="G1106" s="212" t="s">
        <v>280</v>
      </c>
      <c r="H1106" s="213">
        <v>270.64499999999998</v>
      </c>
      <c r="I1106" s="214"/>
      <c r="J1106" s="215">
        <f>ROUND(I1106*H1106,1)</f>
        <v>0</v>
      </c>
      <c r="K1106" s="211" t="s">
        <v>206</v>
      </c>
      <c r="L1106" s="46"/>
      <c r="M1106" s="216" t="s">
        <v>32</v>
      </c>
      <c r="N1106" s="217" t="s">
        <v>49</v>
      </c>
      <c r="O1106" s="86"/>
      <c r="P1106" s="218">
        <f>O1106*H1106</f>
        <v>0</v>
      </c>
      <c r="Q1106" s="218">
        <v>0.00012</v>
      </c>
      <c r="R1106" s="218">
        <f>Q1106*H1106</f>
        <v>0.032477399999999997</v>
      </c>
      <c r="S1106" s="218">
        <v>0</v>
      </c>
      <c r="T1106" s="219">
        <f>S1106*H1106</f>
        <v>0</v>
      </c>
      <c r="U1106" s="40"/>
      <c r="V1106" s="40"/>
      <c r="W1106" s="40"/>
      <c r="X1106" s="40"/>
      <c r="Y1106" s="40"/>
      <c r="Z1106" s="40"/>
      <c r="AA1106" s="40"/>
      <c r="AB1106" s="40"/>
      <c r="AC1106" s="40"/>
      <c r="AD1106" s="40"/>
      <c r="AE1106" s="40"/>
      <c r="AR1106" s="220" t="s">
        <v>310</v>
      </c>
      <c r="AT1106" s="220" t="s">
        <v>202</v>
      </c>
      <c r="AU1106" s="220" t="s">
        <v>88</v>
      </c>
      <c r="AY1106" s="18" t="s">
        <v>200</v>
      </c>
      <c r="BE1106" s="221">
        <f>IF(N1106="základní",J1106,0)</f>
        <v>0</v>
      </c>
      <c r="BF1106" s="221">
        <f>IF(N1106="snížená",J1106,0)</f>
        <v>0</v>
      </c>
      <c r="BG1106" s="221">
        <f>IF(N1106="zákl. přenesená",J1106,0)</f>
        <v>0</v>
      </c>
      <c r="BH1106" s="221">
        <f>IF(N1106="sníž. přenesená",J1106,0)</f>
        <v>0</v>
      </c>
      <c r="BI1106" s="221">
        <f>IF(N1106="nulová",J1106,0)</f>
        <v>0</v>
      </c>
      <c r="BJ1106" s="18" t="s">
        <v>86</v>
      </c>
      <c r="BK1106" s="221">
        <f>ROUND(I1106*H1106,1)</f>
        <v>0</v>
      </c>
      <c r="BL1106" s="18" t="s">
        <v>310</v>
      </c>
      <c r="BM1106" s="220" t="s">
        <v>1867</v>
      </c>
    </row>
    <row r="1107" s="2" customFormat="1">
      <c r="A1107" s="40"/>
      <c r="B1107" s="41"/>
      <c r="C1107" s="42"/>
      <c r="D1107" s="222" t="s">
        <v>209</v>
      </c>
      <c r="E1107" s="42"/>
      <c r="F1107" s="223" t="s">
        <v>1868</v>
      </c>
      <c r="G1107" s="42"/>
      <c r="H1107" s="42"/>
      <c r="I1107" s="224"/>
      <c r="J1107" s="42"/>
      <c r="K1107" s="42"/>
      <c r="L1107" s="46"/>
      <c r="M1107" s="225"/>
      <c r="N1107" s="226"/>
      <c r="O1107" s="86"/>
      <c r="P1107" s="86"/>
      <c r="Q1107" s="86"/>
      <c r="R1107" s="86"/>
      <c r="S1107" s="86"/>
      <c r="T1107" s="87"/>
      <c r="U1107" s="40"/>
      <c r="V1107" s="40"/>
      <c r="W1107" s="40"/>
      <c r="X1107" s="40"/>
      <c r="Y1107" s="40"/>
      <c r="Z1107" s="40"/>
      <c r="AA1107" s="40"/>
      <c r="AB1107" s="40"/>
      <c r="AC1107" s="40"/>
      <c r="AD1107" s="40"/>
      <c r="AE1107" s="40"/>
      <c r="AT1107" s="18" t="s">
        <v>209</v>
      </c>
      <c r="AU1107" s="18" t="s">
        <v>88</v>
      </c>
    </row>
    <row r="1108" s="2" customFormat="1" ht="24.15" customHeight="1">
      <c r="A1108" s="40"/>
      <c r="B1108" s="41"/>
      <c r="C1108" s="209" t="s">
        <v>1869</v>
      </c>
      <c r="D1108" s="209" t="s">
        <v>202</v>
      </c>
      <c r="E1108" s="210" t="s">
        <v>1870</v>
      </c>
      <c r="F1108" s="211" t="s">
        <v>1871</v>
      </c>
      <c r="G1108" s="212" t="s">
        <v>250</v>
      </c>
      <c r="H1108" s="213">
        <v>14.225</v>
      </c>
      <c r="I1108" s="214"/>
      <c r="J1108" s="215">
        <f>ROUND(I1108*H1108,1)</f>
        <v>0</v>
      </c>
      <c r="K1108" s="211" t="s">
        <v>206</v>
      </c>
      <c r="L1108" s="46"/>
      <c r="M1108" s="216" t="s">
        <v>32</v>
      </c>
      <c r="N1108" s="217" t="s">
        <v>49</v>
      </c>
      <c r="O1108" s="86"/>
      <c r="P1108" s="218">
        <f>O1108*H1108</f>
        <v>0</v>
      </c>
      <c r="Q1108" s="218">
        <v>0</v>
      </c>
      <c r="R1108" s="218">
        <f>Q1108*H1108</f>
        <v>0</v>
      </c>
      <c r="S1108" s="218">
        <v>0</v>
      </c>
      <c r="T1108" s="219">
        <f>S1108*H1108</f>
        <v>0</v>
      </c>
      <c r="U1108" s="40"/>
      <c r="V1108" s="40"/>
      <c r="W1108" s="40"/>
      <c r="X1108" s="40"/>
      <c r="Y1108" s="40"/>
      <c r="Z1108" s="40"/>
      <c r="AA1108" s="40"/>
      <c r="AB1108" s="40"/>
      <c r="AC1108" s="40"/>
      <c r="AD1108" s="40"/>
      <c r="AE1108" s="40"/>
      <c r="AR1108" s="220" t="s">
        <v>310</v>
      </c>
      <c r="AT1108" s="220" t="s">
        <v>202</v>
      </c>
      <c r="AU1108" s="220" t="s">
        <v>88</v>
      </c>
      <c r="AY1108" s="18" t="s">
        <v>200</v>
      </c>
      <c r="BE1108" s="221">
        <f>IF(N1108="základní",J1108,0)</f>
        <v>0</v>
      </c>
      <c r="BF1108" s="221">
        <f>IF(N1108="snížená",J1108,0)</f>
        <v>0</v>
      </c>
      <c r="BG1108" s="221">
        <f>IF(N1108="zákl. přenesená",J1108,0)</f>
        <v>0</v>
      </c>
      <c r="BH1108" s="221">
        <f>IF(N1108="sníž. přenesená",J1108,0)</f>
        <v>0</v>
      </c>
      <c r="BI1108" s="221">
        <f>IF(N1108="nulová",J1108,0)</f>
        <v>0</v>
      </c>
      <c r="BJ1108" s="18" t="s">
        <v>86</v>
      </c>
      <c r="BK1108" s="221">
        <f>ROUND(I1108*H1108,1)</f>
        <v>0</v>
      </c>
      <c r="BL1108" s="18" t="s">
        <v>310</v>
      </c>
      <c r="BM1108" s="220" t="s">
        <v>1872</v>
      </c>
    </row>
    <row r="1109" s="2" customFormat="1">
      <c r="A1109" s="40"/>
      <c r="B1109" s="41"/>
      <c r="C1109" s="42"/>
      <c r="D1109" s="222" t="s">
        <v>209</v>
      </c>
      <c r="E1109" s="42"/>
      <c r="F1109" s="223" t="s">
        <v>1873</v>
      </c>
      <c r="G1109" s="42"/>
      <c r="H1109" s="42"/>
      <c r="I1109" s="224"/>
      <c r="J1109" s="42"/>
      <c r="K1109" s="42"/>
      <c r="L1109" s="46"/>
      <c r="M1109" s="225"/>
      <c r="N1109" s="226"/>
      <c r="O1109" s="86"/>
      <c r="P1109" s="86"/>
      <c r="Q1109" s="86"/>
      <c r="R1109" s="86"/>
      <c r="S1109" s="86"/>
      <c r="T1109" s="87"/>
      <c r="U1109" s="40"/>
      <c r="V1109" s="40"/>
      <c r="W1109" s="40"/>
      <c r="X1109" s="40"/>
      <c r="Y1109" s="40"/>
      <c r="Z1109" s="40"/>
      <c r="AA1109" s="40"/>
      <c r="AB1109" s="40"/>
      <c r="AC1109" s="40"/>
      <c r="AD1109" s="40"/>
      <c r="AE1109" s="40"/>
      <c r="AT1109" s="18" t="s">
        <v>209</v>
      </c>
      <c r="AU1109" s="18" t="s">
        <v>88</v>
      </c>
    </row>
    <row r="1110" s="12" customFormat="1" ht="22.8" customHeight="1">
      <c r="A1110" s="12"/>
      <c r="B1110" s="193"/>
      <c r="C1110" s="194"/>
      <c r="D1110" s="195" t="s">
        <v>77</v>
      </c>
      <c r="E1110" s="207" t="s">
        <v>1874</v>
      </c>
      <c r="F1110" s="207" t="s">
        <v>1875</v>
      </c>
      <c r="G1110" s="194"/>
      <c r="H1110" s="194"/>
      <c r="I1110" s="197"/>
      <c r="J1110" s="208">
        <f>BK1110</f>
        <v>0</v>
      </c>
      <c r="K1110" s="194"/>
      <c r="L1110" s="199"/>
      <c r="M1110" s="200"/>
      <c r="N1110" s="201"/>
      <c r="O1110" s="201"/>
      <c r="P1110" s="202">
        <f>SUM(P1111:P1163)</f>
        <v>0</v>
      </c>
      <c r="Q1110" s="201"/>
      <c r="R1110" s="202">
        <f>SUM(R1111:R1163)</f>
        <v>12.334983100000001</v>
      </c>
      <c r="S1110" s="201"/>
      <c r="T1110" s="203">
        <f>SUM(T1111:T1163)</f>
        <v>0</v>
      </c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R1110" s="204" t="s">
        <v>88</v>
      </c>
      <c r="AT1110" s="205" t="s">
        <v>77</v>
      </c>
      <c r="AU1110" s="205" t="s">
        <v>86</v>
      </c>
      <c r="AY1110" s="204" t="s">
        <v>200</v>
      </c>
      <c r="BK1110" s="206">
        <f>SUM(BK1111:BK1163)</f>
        <v>0</v>
      </c>
    </row>
    <row r="1111" s="2" customFormat="1" ht="16.5" customHeight="1">
      <c r="A1111" s="40"/>
      <c r="B1111" s="41"/>
      <c r="C1111" s="209" t="s">
        <v>1876</v>
      </c>
      <c r="D1111" s="209" t="s">
        <v>202</v>
      </c>
      <c r="E1111" s="210" t="s">
        <v>1877</v>
      </c>
      <c r="F1111" s="211" t="s">
        <v>1878</v>
      </c>
      <c r="G1111" s="212" t="s">
        <v>272</v>
      </c>
      <c r="H1111" s="213">
        <v>469.19999999999999</v>
      </c>
      <c r="I1111" s="214"/>
      <c r="J1111" s="215">
        <f>ROUND(I1111*H1111,1)</f>
        <v>0</v>
      </c>
      <c r="K1111" s="211" t="s">
        <v>206</v>
      </c>
      <c r="L1111" s="46"/>
      <c r="M1111" s="216" t="s">
        <v>32</v>
      </c>
      <c r="N1111" s="217" t="s">
        <v>49</v>
      </c>
      <c r="O1111" s="86"/>
      <c r="P1111" s="218">
        <f>O1111*H1111</f>
        <v>0</v>
      </c>
      <c r="Q1111" s="218">
        <v>0</v>
      </c>
      <c r="R1111" s="218">
        <f>Q1111*H1111</f>
        <v>0</v>
      </c>
      <c r="S1111" s="218">
        <v>0</v>
      </c>
      <c r="T1111" s="219">
        <f>S1111*H1111</f>
        <v>0</v>
      </c>
      <c r="U1111" s="40"/>
      <c r="V1111" s="40"/>
      <c r="W1111" s="40"/>
      <c r="X1111" s="40"/>
      <c r="Y1111" s="40"/>
      <c r="Z1111" s="40"/>
      <c r="AA1111" s="40"/>
      <c r="AB1111" s="40"/>
      <c r="AC1111" s="40"/>
      <c r="AD1111" s="40"/>
      <c r="AE1111" s="40"/>
      <c r="AR1111" s="220" t="s">
        <v>310</v>
      </c>
      <c r="AT1111" s="220" t="s">
        <v>202</v>
      </c>
      <c r="AU1111" s="220" t="s">
        <v>88</v>
      </c>
      <c r="AY1111" s="18" t="s">
        <v>200</v>
      </c>
      <c r="BE1111" s="221">
        <f>IF(N1111="základní",J1111,0)</f>
        <v>0</v>
      </c>
      <c r="BF1111" s="221">
        <f>IF(N1111="snížená",J1111,0)</f>
        <v>0</v>
      </c>
      <c r="BG1111" s="221">
        <f>IF(N1111="zákl. přenesená",J1111,0)</f>
        <v>0</v>
      </c>
      <c r="BH1111" s="221">
        <f>IF(N1111="sníž. přenesená",J1111,0)</f>
        <v>0</v>
      </c>
      <c r="BI1111" s="221">
        <f>IF(N1111="nulová",J1111,0)</f>
        <v>0</v>
      </c>
      <c r="BJ1111" s="18" t="s">
        <v>86</v>
      </c>
      <c r="BK1111" s="221">
        <f>ROUND(I1111*H1111,1)</f>
        <v>0</v>
      </c>
      <c r="BL1111" s="18" t="s">
        <v>310</v>
      </c>
      <c r="BM1111" s="220" t="s">
        <v>1879</v>
      </c>
    </row>
    <row r="1112" s="2" customFormat="1">
      <c r="A1112" s="40"/>
      <c r="B1112" s="41"/>
      <c r="C1112" s="42"/>
      <c r="D1112" s="222" t="s">
        <v>209</v>
      </c>
      <c r="E1112" s="42"/>
      <c r="F1112" s="223" t="s">
        <v>1880</v>
      </c>
      <c r="G1112" s="42"/>
      <c r="H1112" s="42"/>
      <c r="I1112" s="224"/>
      <c r="J1112" s="42"/>
      <c r="K1112" s="42"/>
      <c r="L1112" s="46"/>
      <c r="M1112" s="225"/>
      <c r="N1112" s="226"/>
      <c r="O1112" s="86"/>
      <c r="P1112" s="86"/>
      <c r="Q1112" s="86"/>
      <c r="R1112" s="86"/>
      <c r="S1112" s="86"/>
      <c r="T1112" s="87"/>
      <c r="U1112" s="40"/>
      <c r="V1112" s="40"/>
      <c r="W1112" s="40"/>
      <c r="X1112" s="40"/>
      <c r="Y1112" s="40"/>
      <c r="Z1112" s="40"/>
      <c r="AA1112" s="40"/>
      <c r="AB1112" s="40"/>
      <c r="AC1112" s="40"/>
      <c r="AD1112" s="40"/>
      <c r="AE1112" s="40"/>
      <c r="AT1112" s="18" t="s">
        <v>209</v>
      </c>
      <c r="AU1112" s="18" t="s">
        <v>88</v>
      </c>
    </row>
    <row r="1113" s="15" customFormat="1">
      <c r="A1113" s="15"/>
      <c r="B1113" s="250"/>
      <c r="C1113" s="251"/>
      <c r="D1113" s="229" t="s">
        <v>211</v>
      </c>
      <c r="E1113" s="252" t="s">
        <v>32</v>
      </c>
      <c r="F1113" s="253" t="s">
        <v>614</v>
      </c>
      <c r="G1113" s="251"/>
      <c r="H1113" s="252" t="s">
        <v>32</v>
      </c>
      <c r="I1113" s="254"/>
      <c r="J1113" s="251"/>
      <c r="K1113" s="251"/>
      <c r="L1113" s="255"/>
      <c r="M1113" s="256"/>
      <c r="N1113" s="257"/>
      <c r="O1113" s="257"/>
      <c r="P1113" s="257"/>
      <c r="Q1113" s="257"/>
      <c r="R1113" s="257"/>
      <c r="S1113" s="257"/>
      <c r="T1113" s="258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T1113" s="259" t="s">
        <v>211</v>
      </c>
      <c r="AU1113" s="259" t="s">
        <v>88</v>
      </c>
      <c r="AV1113" s="15" t="s">
        <v>86</v>
      </c>
      <c r="AW1113" s="15" t="s">
        <v>213</v>
      </c>
      <c r="AX1113" s="15" t="s">
        <v>78</v>
      </c>
      <c r="AY1113" s="259" t="s">
        <v>200</v>
      </c>
    </row>
    <row r="1114" s="13" customFormat="1">
      <c r="A1114" s="13"/>
      <c r="B1114" s="227"/>
      <c r="C1114" s="228"/>
      <c r="D1114" s="229" t="s">
        <v>211</v>
      </c>
      <c r="E1114" s="230" t="s">
        <v>142</v>
      </c>
      <c r="F1114" s="231" t="s">
        <v>1881</v>
      </c>
      <c r="G1114" s="228"/>
      <c r="H1114" s="232">
        <v>165.94</v>
      </c>
      <c r="I1114" s="233"/>
      <c r="J1114" s="228"/>
      <c r="K1114" s="228"/>
      <c r="L1114" s="234"/>
      <c r="M1114" s="235"/>
      <c r="N1114" s="236"/>
      <c r="O1114" s="236"/>
      <c r="P1114" s="236"/>
      <c r="Q1114" s="236"/>
      <c r="R1114" s="236"/>
      <c r="S1114" s="236"/>
      <c r="T1114" s="237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T1114" s="238" t="s">
        <v>211</v>
      </c>
      <c r="AU1114" s="238" t="s">
        <v>88</v>
      </c>
      <c r="AV1114" s="13" t="s">
        <v>88</v>
      </c>
      <c r="AW1114" s="13" t="s">
        <v>213</v>
      </c>
      <c r="AX1114" s="13" t="s">
        <v>78</v>
      </c>
      <c r="AY1114" s="238" t="s">
        <v>200</v>
      </c>
    </row>
    <row r="1115" s="15" customFormat="1">
      <c r="A1115" s="15"/>
      <c r="B1115" s="250"/>
      <c r="C1115" s="251"/>
      <c r="D1115" s="229" t="s">
        <v>211</v>
      </c>
      <c r="E1115" s="252" t="s">
        <v>32</v>
      </c>
      <c r="F1115" s="253" t="s">
        <v>620</v>
      </c>
      <c r="G1115" s="251"/>
      <c r="H1115" s="252" t="s">
        <v>32</v>
      </c>
      <c r="I1115" s="254"/>
      <c r="J1115" s="251"/>
      <c r="K1115" s="251"/>
      <c r="L1115" s="255"/>
      <c r="M1115" s="256"/>
      <c r="N1115" s="257"/>
      <c r="O1115" s="257"/>
      <c r="P1115" s="257"/>
      <c r="Q1115" s="257"/>
      <c r="R1115" s="257"/>
      <c r="S1115" s="257"/>
      <c r="T1115" s="258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T1115" s="259" t="s">
        <v>211</v>
      </c>
      <c r="AU1115" s="259" t="s">
        <v>88</v>
      </c>
      <c r="AV1115" s="15" t="s">
        <v>86</v>
      </c>
      <c r="AW1115" s="15" t="s">
        <v>213</v>
      </c>
      <c r="AX1115" s="15" t="s">
        <v>78</v>
      </c>
      <c r="AY1115" s="259" t="s">
        <v>200</v>
      </c>
    </row>
    <row r="1116" s="13" customFormat="1">
      <c r="A1116" s="13"/>
      <c r="B1116" s="227"/>
      <c r="C1116" s="228"/>
      <c r="D1116" s="229" t="s">
        <v>211</v>
      </c>
      <c r="E1116" s="230" t="s">
        <v>1882</v>
      </c>
      <c r="F1116" s="231" t="s">
        <v>1883</v>
      </c>
      <c r="G1116" s="228"/>
      <c r="H1116" s="232">
        <v>303.25999999999999</v>
      </c>
      <c r="I1116" s="233"/>
      <c r="J1116" s="228"/>
      <c r="K1116" s="228"/>
      <c r="L1116" s="234"/>
      <c r="M1116" s="235"/>
      <c r="N1116" s="236"/>
      <c r="O1116" s="236"/>
      <c r="P1116" s="236"/>
      <c r="Q1116" s="236"/>
      <c r="R1116" s="236"/>
      <c r="S1116" s="236"/>
      <c r="T1116" s="237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T1116" s="238" t="s">
        <v>211</v>
      </c>
      <c r="AU1116" s="238" t="s">
        <v>88</v>
      </c>
      <c r="AV1116" s="13" t="s">
        <v>88</v>
      </c>
      <c r="AW1116" s="13" t="s">
        <v>213</v>
      </c>
      <c r="AX1116" s="13" t="s">
        <v>78</v>
      </c>
      <c r="AY1116" s="238" t="s">
        <v>200</v>
      </c>
    </row>
    <row r="1117" s="14" customFormat="1">
      <c r="A1117" s="14"/>
      <c r="B1117" s="239"/>
      <c r="C1117" s="240"/>
      <c r="D1117" s="229" t="s">
        <v>211</v>
      </c>
      <c r="E1117" s="241" t="s">
        <v>122</v>
      </c>
      <c r="F1117" s="242" t="s">
        <v>220</v>
      </c>
      <c r="G1117" s="240"/>
      <c r="H1117" s="243">
        <v>469.19999999999999</v>
      </c>
      <c r="I1117" s="244"/>
      <c r="J1117" s="240"/>
      <c r="K1117" s="240"/>
      <c r="L1117" s="245"/>
      <c r="M1117" s="246"/>
      <c r="N1117" s="247"/>
      <c r="O1117" s="247"/>
      <c r="P1117" s="247"/>
      <c r="Q1117" s="247"/>
      <c r="R1117" s="247"/>
      <c r="S1117" s="247"/>
      <c r="T1117" s="248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T1117" s="249" t="s">
        <v>211</v>
      </c>
      <c r="AU1117" s="249" t="s">
        <v>88</v>
      </c>
      <c r="AV1117" s="14" t="s">
        <v>207</v>
      </c>
      <c r="AW1117" s="14" t="s">
        <v>213</v>
      </c>
      <c r="AX1117" s="14" t="s">
        <v>86</v>
      </c>
      <c r="AY1117" s="249" t="s">
        <v>200</v>
      </c>
    </row>
    <row r="1118" s="2" customFormat="1" ht="16.5" customHeight="1">
      <c r="A1118" s="40"/>
      <c r="B1118" s="41"/>
      <c r="C1118" s="209" t="s">
        <v>1884</v>
      </c>
      <c r="D1118" s="209" t="s">
        <v>202</v>
      </c>
      <c r="E1118" s="210" t="s">
        <v>1885</v>
      </c>
      <c r="F1118" s="211" t="s">
        <v>1886</v>
      </c>
      <c r="G1118" s="212" t="s">
        <v>272</v>
      </c>
      <c r="H1118" s="213">
        <v>469.19999999999999</v>
      </c>
      <c r="I1118" s="214"/>
      <c r="J1118" s="215">
        <f>ROUND(I1118*H1118,1)</f>
        <v>0</v>
      </c>
      <c r="K1118" s="211" t="s">
        <v>206</v>
      </c>
      <c r="L1118" s="46"/>
      <c r="M1118" s="216" t="s">
        <v>32</v>
      </c>
      <c r="N1118" s="217" t="s">
        <v>49</v>
      </c>
      <c r="O1118" s="86"/>
      <c r="P1118" s="218">
        <f>O1118*H1118</f>
        <v>0</v>
      </c>
      <c r="Q1118" s="218">
        <v>0.00020000000000000001</v>
      </c>
      <c r="R1118" s="218">
        <f>Q1118*H1118</f>
        <v>0.093840000000000007</v>
      </c>
      <c r="S1118" s="218">
        <v>0</v>
      </c>
      <c r="T1118" s="219">
        <f>S1118*H1118</f>
        <v>0</v>
      </c>
      <c r="U1118" s="40"/>
      <c r="V1118" s="40"/>
      <c r="W1118" s="40"/>
      <c r="X1118" s="40"/>
      <c r="Y1118" s="40"/>
      <c r="Z1118" s="40"/>
      <c r="AA1118" s="40"/>
      <c r="AB1118" s="40"/>
      <c r="AC1118" s="40"/>
      <c r="AD1118" s="40"/>
      <c r="AE1118" s="40"/>
      <c r="AR1118" s="220" t="s">
        <v>310</v>
      </c>
      <c r="AT1118" s="220" t="s">
        <v>202</v>
      </c>
      <c r="AU1118" s="220" t="s">
        <v>88</v>
      </c>
      <c r="AY1118" s="18" t="s">
        <v>200</v>
      </c>
      <c r="BE1118" s="221">
        <f>IF(N1118="základní",J1118,0)</f>
        <v>0</v>
      </c>
      <c r="BF1118" s="221">
        <f>IF(N1118="snížená",J1118,0)</f>
        <v>0</v>
      </c>
      <c r="BG1118" s="221">
        <f>IF(N1118="zákl. přenesená",J1118,0)</f>
        <v>0</v>
      </c>
      <c r="BH1118" s="221">
        <f>IF(N1118="sníž. přenesená",J1118,0)</f>
        <v>0</v>
      </c>
      <c r="BI1118" s="221">
        <f>IF(N1118="nulová",J1118,0)</f>
        <v>0</v>
      </c>
      <c r="BJ1118" s="18" t="s">
        <v>86</v>
      </c>
      <c r="BK1118" s="221">
        <f>ROUND(I1118*H1118,1)</f>
        <v>0</v>
      </c>
      <c r="BL1118" s="18" t="s">
        <v>310</v>
      </c>
      <c r="BM1118" s="220" t="s">
        <v>1887</v>
      </c>
    </row>
    <row r="1119" s="2" customFormat="1">
      <c r="A1119" s="40"/>
      <c r="B1119" s="41"/>
      <c r="C1119" s="42"/>
      <c r="D1119" s="222" t="s">
        <v>209</v>
      </c>
      <c r="E1119" s="42"/>
      <c r="F1119" s="223" t="s">
        <v>1888</v>
      </c>
      <c r="G1119" s="42"/>
      <c r="H1119" s="42"/>
      <c r="I1119" s="224"/>
      <c r="J1119" s="42"/>
      <c r="K1119" s="42"/>
      <c r="L1119" s="46"/>
      <c r="M1119" s="225"/>
      <c r="N1119" s="226"/>
      <c r="O1119" s="86"/>
      <c r="P1119" s="86"/>
      <c r="Q1119" s="86"/>
      <c r="R1119" s="86"/>
      <c r="S1119" s="86"/>
      <c r="T1119" s="87"/>
      <c r="U1119" s="40"/>
      <c r="V1119" s="40"/>
      <c r="W1119" s="40"/>
      <c r="X1119" s="40"/>
      <c r="Y1119" s="40"/>
      <c r="Z1119" s="40"/>
      <c r="AA1119" s="40"/>
      <c r="AB1119" s="40"/>
      <c r="AC1119" s="40"/>
      <c r="AD1119" s="40"/>
      <c r="AE1119" s="40"/>
      <c r="AT1119" s="18" t="s">
        <v>209</v>
      </c>
      <c r="AU1119" s="18" t="s">
        <v>88</v>
      </c>
    </row>
    <row r="1120" s="13" customFormat="1">
      <c r="A1120" s="13"/>
      <c r="B1120" s="227"/>
      <c r="C1120" s="228"/>
      <c r="D1120" s="229" t="s">
        <v>211</v>
      </c>
      <c r="E1120" s="230" t="s">
        <v>32</v>
      </c>
      <c r="F1120" s="231" t="s">
        <v>122</v>
      </c>
      <c r="G1120" s="228"/>
      <c r="H1120" s="232">
        <v>469.19999999999999</v>
      </c>
      <c r="I1120" s="233"/>
      <c r="J1120" s="228"/>
      <c r="K1120" s="228"/>
      <c r="L1120" s="234"/>
      <c r="M1120" s="235"/>
      <c r="N1120" s="236"/>
      <c r="O1120" s="236"/>
      <c r="P1120" s="236"/>
      <c r="Q1120" s="236"/>
      <c r="R1120" s="236"/>
      <c r="S1120" s="236"/>
      <c r="T1120" s="237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T1120" s="238" t="s">
        <v>211</v>
      </c>
      <c r="AU1120" s="238" t="s">
        <v>88</v>
      </c>
      <c r="AV1120" s="13" t="s">
        <v>88</v>
      </c>
      <c r="AW1120" s="13" t="s">
        <v>213</v>
      </c>
      <c r="AX1120" s="13" t="s">
        <v>86</v>
      </c>
      <c r="AY1120" s="238" t="s">
        <v>200</v>
      </c>
    </row>
    <row r="1121" s="2" customFormat="1" ht="24.15" customHeight="1">
      <c r="A1121" s="40"/>
      <c r="B1121" s="41"/>
      <c r="C1121" s="209" t="s">
        <v>1889</v>
      </c>
      <c r="D1121" s="209" t="s">
        <v>202</v>
      </c>
      <c r="E1121" s="210" t="s">
        <v>1890</v>
      </c>
      <c r="F1121" s="211" t="s">
        <v>1891</v>
      </c>
      <c r="G1121" s="212" t="s">
        <v>272</v>
      </c>
      <c r="H1121" s="213">
        <v>469.19999999999999</v>
      </c>
      <c r="I1121" s="214"/>
      <c r="J1121" s="215">
        <f>ROUND(I1121*H1121,1)</f>
        <v>0</v>
      </c>
      <c r="K1121" s="211" t="s">
        <v>206</v>
      </c>
      <c r="L1121" s="46"/>
      <c r="M1121" s="216" t="s">
        <v>32</v>
      </c>
      <c r="N1121" s="217" t="s">
        <v>49</v>
      </c>
      <c r="O1121" s="86"/>
      <c r="P1121" s="218">
        <f>O1121*H1121</f>
        <v>0</v>
      </c>
      <c r="Q1121" s="218">
        <v>0.0074999999999999997</v>
      </c>
      <c r="R1121" s="218">
        <f>Q1121*H1121</f>
        <v>3.5189999999999997</v>
      </c>
      <c r="S1121" s="218">
        <v>0</v>
      </c>
      <c r="T1121" s="219">
        <f>S1121*H1121</f>
        <v>0</v>
      </c>
      <c r="U1121" s="40"/>
      <c r="V1121" s="40"/>
      <c r="W1121" s="40"/>
      <c r="X1121" s="40"/>
      <c r="Y1121" s="40"/>
      <c r="Z1121" s="40"/>
      <c r="AA1121" s="40"/>
      <c r="AB1121" s="40"/>
      <c r="AC1121" s="40"/>
      <c r="AD1121" s="40"/>
      <c r="AE1121" s="40"/>
      <c r="AR1121" s="220" t="s">
        <v>310</v>
      </c>
      <c r="AT1121" s="220" t="s">
        <v>202</v>
      </c>
      <c r="AU1121" s="220" t="s">
        <v>88</v>
      </c>
      <c r="AY1121" s="18" t="s">
        <v>200</v>
      </c>
      <c r="BE1121" s="221">
        <f>IF(N1121="základní",J1121,0)</f>
        <v>0</v>
      </c>
      <c r="BF1121" s="221">
        <f>IF(N1121="snížená",J1121,0)</f>
        <v>0</v>
      </c>
      <c r="BG1121" s="221">
        <f>IF(N1121="zákl. přenesená",J1121,0)</f>
        <v>0</v>
      </c>
      <c r="BH1121" s="221">
        <f>IF(N1121="sníž. přenesená",J1121,0)</f>
        <v>0</v>
      </c>
      <c r="BI1121" s="221">
        <f>IF(N1121="nulová",J1121,0)</f>
        <v>0</v>
      </c>
      <c r="BJ1121" s="18" t="s">
        <v>86</v>
      </c>
      <c r="BK1121" s="221">
        <f>ROUND(I1121*H1121,1)</f>
        <v>0</v>
      </c>
      <c r="BL1121" s="18" t="s">
        <v>310</v>
      </c>
      <c r="BM1121" s="220" t="s">
        <v>1892</v>
      </c>
    </row>
    <row r="1122" s="2" customFormat="1">
      <c r="A1122" s="40"/>
      <c r="B1122" s="41"/>
      <c r="C1122" s="42"/>
      <c r="D1122" s="222" t="s">
        <v>209</v>
      </c>
      <c r="E1122" s="42"/>
      <c r="F1122" s="223" t="s">
        <v>1893</v>
      </c>
      <c r="G1122" s="42"/>
      <c r="H1122" s="42"/>
      <c r="I1122" s="224"/>
      <c r="J1122" s="42"/>
      <c r="K1122" s="42"/>
      <c r="L1122" s="46"/>
      <c r="M1122" s="225"/>
      <c r="N1122" s="226"/>
      <c r="O1122" s="86"/>
      <c r="P1122" s="86"/>
      <c r="Q1122" s="86"/>
      <c r="R1122" s="86"/>
      <c r="S1122" s="86"/>
      <c r="T1122" s="87"/>
      <c r="U1122" s="40"/>
      <c r="V1122" s="40"/>
      <c r="W1122" s="40"/>
      <c r="X1122" s="40"/>
      <c r="Y1122" s="40"/>
      <c r="Z1122" s="40"/>
      <c r="AA1122" s="40"/>
      <c r="AB1122" s="40"/>
      <c r="AC1122" s="40"/>
      <c r="AD1122" s="40"/>
      <c r="AE1122" s="40"/>
      <c r="AT1122" s="18" t="s">
        <v>209</v>
      </c>
      <c r="AU1122" s="18" t="s">
        <v>88</v>
      </c>
    </row>
    <row r="1123" s="13" customFormat="1">
      <c r="A1123" s="13"/>
      <c r="B1123" s="227"/>
      <c r="C1123" s="228"/>
      <c r="D1123" s="229" t="s">
        <v>211</v>
      </c>
      <c r="E1123" s="230" t="s">
        <v>32</v>
      </c>
      <c r="F1123" s="231" t="s">
        <v>122</v>
      </c>
      <c r="G1123" s="228"/>
      <c r="H1123" s="232">
        <v>469.19999999999999</v>
      </c>
      <c r="I1123" s="233"/>
      <c r="J1123" s="228"/>
      <c r="K1123" s="228"/>
      <c r="L1123" s="234"/>
      <c r="M1123" s="235"/>
      <c r="N1123" s="236"/>
      <c r="O1123" s="236"/>
      <c r="P1123" s="236"/>
      <c r="Q1123" s="236"/>
      <c r="R1123" s="236"/>
      <c r="S1123" s="236"/>
      <c r="T1123" s="237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T1123" s="238" t="s">
        <v>211</v>
      </c>
      <c r="AU1123" s="238" t="s">
        <v>88</v>
      </c>
      <c r="AV1123" s="13" t="s">
        <v>88</v>
      </c>
      <c r="AW1123" s="13" t="s">
        <v>213</v>
      </c>
      <c r="AX1123" s="13" t="s">
        <v>86</v>
      </c>
      <c r="AY1123" s="238" t="s">
        <v>200</v>
      </c>
    </row>
    <row r="1124" s="2" customFormat="1" ht="24.15" customHeight="1">
      <c r="A1124" s="40"/>
      <c r="B1124" s="41"/>
      <c r="C1124" s="209" t="s">
        <v>1894</v>
      </c>
      <c r="D1124" s="209" t="s">
        <v>202</v>
      </c>
      <c r="E1124" s="210" t="s">
        <v>1895</v>
      </c>
      <c r="F1124" s="211" t="s">
        <v>1896</v>
      </c>
      <c r="G1124" s="212" t="s">
        <v>280</v>
      </c>
      <c r="H1124" s="213">
        <v>257.5</v>
      </c>
      <c r="I1124" s="214"/>
      <c r="J1124" s="215">
        <f>ROUND(I1124*H1124,1)</f>
        <v>0</v>
      </c>
      <c r="K1124" s="211" t="s">
        <v>206</v>
      </c>
      <c r="L1124" s="46"/>
      <c r="M1124" s="216" t="s">
        <v>32</v>
      </c>
      <c r="N1124" s="217" t="s">
        <v>49</v>
      </c>
      <c r="O1124" s="86"/>
      <c r="P1124" s="218">
        <f>O1124*H1124</f>
        <v>0</v>
      </c>
      <c r="Q1124" s="218">
        <v>5.0000000000000002E-05</v>
      </c>
      <c r="R1124" s="218">
        <f>Q1124*H1124</f>
        <v>0.012875000000000001</v>
      </c>
      <c r="S1124" s="218">
        <v>0</v>
      </c>
      <c r="T1124" s="219">
        <f>S1124*H1124</f>
        <v>0</v>
      </c>
      <c r="U1124" s="40"/>
      <c r="V1124" s="40"/>
      <c r="W1124" s="40"/>
      <c r="X1124" s="40"/>
      <c r="Y1124" s="40"/>
      <c r="Z1124" s="40"/>
      <c r="AA1124" s="40"/>
      <c r="AB1124" s="40"/>
      <c r="AC1124" s="40"/>
      <c r="AD1124" s="40"/>
      <c r="AE1124" s="40"/>
      <c r="AR1124" s="220" t="s">
        <v>310</v>
      </c>
      <c r="AT1124" s="220" t="s">
        <v>202</v>
      </c>
      <c r="AU1124" s="220" t="s">
        <v>88</v>
      </c>
      <c r="AY1124" s="18" t="s">
        <v>200</v>
      </c>
      <c r="BE1124" s="221">
        <f>IF(N1124="základní",J1124,0)</f>
        <v>0</v>
      </c>
      <c r="BF1124" s="221">
        <f>IF(N1124="snížená",J1124,0)</f>
        <v>0</v>
      </c>
      <c r="BG1124" s="221">
        <f>IF(N1124="zákl. přenesená",J1124,0)</f>
        <v>0</v>
      </c>
      <c r="BH1124" s="221">
        <f>IF(N1124="sníž. přenesená",J1124,0)</f>
        <v>0</v>
      </c>
      <c r="BI1124" s="221">
        <f>IF(N1124="nulová",J1124,0)</f>
        <v>0</v>
      </c>
      <c r="BJ1124" s="18" t="s">
        <v>86</v>
      </c>
      <c r="BK1124" s="221">
        <f>ROUND(I1124*H1124,1)</f>
        <v>0</v>
      </c>
      <c r="BL1124" s="18" t="s">
        <v>310</v>
      </c>
      <c r="BM1124" s="220" t="s">
        <v>1897</v>
      </c>
    </row>
    <row r="1125" s="2" customFormat="1">
      <c r="A1125" s="40"/>
      <c r="B1125" s="41"/>
      <c r="C1125" s="42"/>
      <c r="D1125" s="222" t="s">
        <v>209</v>
      </c>
      <c r="E1125" s="42"/>
      <c r="F1125" s="223" t="s">
        <v>1898</v>
      </c>
      <c r="G1125" s="42"/>
      <c r="H1125" s="42"/>
      <c r="I1125" s="224"/>
      <c r="J1125" s="42"/>
      <c r="K1125" s="42"/>
      <c r="L1125" s="46"/>
      <c r="M1125" s="225"/>
      <c r="N1125" s="226"/>
      <c r="O1125" s="86"/>
      <c r="P1125" s="86"/>
      <c r="Q1125" s="86"/>
      <c r="R1125" s="86"/>
      <c r="S1125" s="86"/>
      <c r="T1125" s="87"/>
      <c r="U1125" s="40"/>
      <c r="V1125" s="40"/>
      <c r="W1125" s="40"/>
      <c r="X1125" s="40"/>
      <c r="Y1125" s="40"/>
      <c r="Z1125" s="40"/>
      <c r="AA1125" s="40"/>
      <c r="AB1125" s="40"/>
      <c r="AC1125" s="40"/>
      <c r="AD1125" s="40"/>
      <c r="AE1125" s="40"/>
      <c r="AT1125" s="18" t="s">
        <v>209</v>
      </c>
      <c r="AU1125" s="18" t="s">
        <v>88</v>
      </c>
    </row>
    <row r="1126" s="13" customFormat="1">
      <c r="A1126" s="13"/>
      <c r="B1126" s="227"/>
      <c r="C1126" s="228"/>
      <c r="D1126" s="229" t="s">
        <v>211</v>
      </c>
      <c r="E1126" s="230" t="s">
        <v>32</v>
      </c>
      <c r="F1126" s="231" t="s">
        <v>1899</v>
      </c>
      <c r="G1126" s="228"/>
      <c r="H1126" s="232">
        <v>74.659999999999997</v>
      </c>
      <c r="I1126" s="233"/>
      <c r="J1126" s="228"/>
      <c r="K1126" s="228"/>
      <c r="L1126" s="234"/>
      <c r="M1126" s="235"/>
      <c r="N1126" s="236"/>
      <c r="O1126" s="236"/>
      <c r="P1126" s="236"/>
      <c r="Q1126" s="236"/>
      <c r="R1126" s="236"/>
      <c r="S1126" s="236"/>
      <c r="T1126" s="237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T1126" s="238" t="s">
        <v>211</v>
      </c>
      <c r="AU1126" s="238" t="s">
        <v>88</v>
      </c>
      <c r="AV1126" s="13" t="s">
        <v>88</v>
      </c>
      <c r="AW1126" s="13" t="s">
        <v>213</v>
      </c>
      <c r="AX1126" s="13" t="s">
        <v>78</v>
      </c>
      <c r="AY1126" s="238" t="s">
        <v>200</v>
      </c>
    </row>
    <row r="1127" s="13" customFormat="1">
      <c r="A1127" s="13"/>
      <c r="B1127" s="227"/>
      <c r="C1127" s="228"/>
      <c r="D1127" s="229" t="s">
        <v>211</v>
      </c>
      <c r="E1127" s="230" t="s">
        <v>32</v>
      </c>
      <c r="F1127" s="231" t="s">
        <v>1900</v>
      </c>
      <c r="G1127" s="228"/>
      <c r="H1127" s="232">
        <v>182.84</v>
      </c>
      <c r="I1127" s="233"/>
      <c r="J1127" s="228"/>
      <c r="K1127" s="228"/>
      <c r="L1127" s="234"/>
      <c r="M1127" s="235"/>
      <c r="N1127" s="236"/>
      <c r="O1127" s="236"/>
      <c r="P1127" s="236"/>
      <c r="Q1127" s="236"/>
      <c r="R1127" s="236"/>
      <c r="S1127" s="236"/>
      <c r="T1127" s="237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T1127" s="238" t="s">
        <v>211</v>
      </c>
      <c r="AU1127" s="238" t="s">
        <v>88</v>
      </c>
      <c r="AV1127" s="13" t="s">
        <v>88</v>
      </c>
      <c r="AW1127" s="13" t="s">
        <v>213</v>
      </c>
      <c r="AX1127" s="13" t="s">
        <v>78</v>
      </c>
      <c r="AY1127" s="238" t="s">
        <v>200</v>
      </c>
    </row>
    <row r="1128" s="14" customFormat="1">
      <c r="A1128" s="14"/>
      <c r="B1128" s="239"/>
      <c r="C1128" s="240"/>
      <c r="D1128" s="229" t="s">
        <v>211</v>
      </c>
      <c r="E1128" s="241" t="s">
        <v>32</v>
      </c>
      <c r="F1128" s="242" t="s">
        <v>220</v>
      </c>
      <c r="G1128" s="240"/>
      <c r="H1128" s="243">
        <v>257.5</v>
      </c>
      <c r="I1128" s="244"/>
      <c r="J1128" s="240"/>
      <c r="K1128" s="240"/>
      <c r="L1128" s="245"/>
      <c r="M1128" s="246"/>
      <c r="N1128" s="247"/>
      <c r="O1128" s="247"/>
      <c r="P1128" s="247"/>
      <c r="Q1128" s="247"/>
      <c r="R1128" s="247"/>
      <c r="S1128" s="247"/>
      <c r="T1128" s="248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T1128" s="249" t="s">
        <v>211</v>
      </c>
      <c r="AU1128" s="249" t="s">
        <v>88</v>
      </c>
      <c r="AV1128" s="14" t="s">
        <v>207</v>
      </c>
      <c r="AW1128" s="14" t="s">
        <v>213</v>
      </c>
      <c r="AX1128" s="14" t="s">
        <v>86</v>
      </c>
      <c r="AY1128" s="249" t="s">
        <v>200</v>
      </c>
    </row>
    <row r="1129" s="2" customFormat="1" ht="16.5" customHeight="1">
      <c r="A1129" s="40"/>
      <c r="B1129" s="41"/>
      <c r="C1129" s="260" t="s">
        <v>1901</v>
      </c>
      <c r="D1129" s="260" t="s">
        <v>292</v>
      </c>
      <c r="E1129" s="261" t="s">
        <v>1902</v>
      </c>
      <c r="F1129" s="262" t="s">
        <v>1903</v>
      </c>
      <c r="G1129" s="263" t="s">
        <v>280</v>
      </c>
      <c r="H1129" s="264">
        <v>278.10000000000002</v>
      </c>
      <c r="I1129" s="265"/>
      <c r="J1129" s="266">
        <f>ROUND(I1129*H1129,1)</f>
        <v>0</v>
      </c>
      <c r="K1129" s="262" t="s">
        <v>206</v>
      </c>
      <c r="L1129" s="267"/>
      <c r="M1129" s="268" t="s">
        <v>32</v>
      </c>
      <c r="N1129" s="269" t="s">
        <v>49</v>
      </c>
      <c r="O1129" s="86"/>
      <c r="P1129" s="218">
        <f>O1129*H1129</f>
        <v>0</v>
      </c>
      <c r="Q1129" s="218">
        <v>0.00020000000000000001</v>
      </c>
      <c r="R1129" s="218">
        <f>Q1129*H1129</f>
        <v>0.05562000000000001</v>
      </c>
      <c r="S1129" s="218">
        <v>0</v>
      </c>
      <c r="T1129" s="219">
        <f>S1129*H1129</f>
        <v>0</v>
      </c>
      <c r="U1129" s="40"/>
      <c r="V1129" s="40"/>
      <c r="W1129" s="40"/>
      <c r="X1129" s="40"/>
      <c r="Y1129" s="40"/>
      <c r="Z1129" s="40"/>
      <c r="AA1129" s="40"/>
      <c r="AB1129" s="40"/>
      <c r="AC1129" s="40"/>
      <c r="AD1129" s="40"/>
      <c r="AE1129" s="40"/>
      <c r="AR1129" s="220" t="s">
        <v>429</v>
      </c>
      <c r="AT1129" s="220" t="s">
        <v>292</v>
      </c>
      <c r="AU1129" s="220" t="s">
        <v>88</v>
      </c>
      <c r="AY1129" s="18" t="s">
        <v>200</v>
      </c>
      <c r="BE1129" s="221">
        <f>IF(N1129="základní",J1129,0)</f>
        <v>0</v>
      </c>
      <c r="BF1129" s="221">
        <f>IF(N1129="snížená",J1129,0)</f>
        <v>0</v>
      </c>
      <c r="BG1129" s="221">
        <f>IF(N1129="zákl. přenesená",J1129,0)</f>
        <v>0</v>
      </c>
      <c r="BH1129" s="221">
        <f>IF(N1129="sníž. přenesená",J1129,0)</f>
        <v>0</v>
      </c>
      <c r="BI1129" s="221">
        <f>IF(N1129="nulová",J1129,0)</f>
        <v>0</v>
      </c>
      <c r="BJ1129" s="18" t="s">
        <v>86</v>
      </c>
      <c r="BK1129" s="221">
        <f>ROUND(I1129*H1129,1)</f>
        <v>0</v>
      </c>
      <c r="BL1129" s="18" t="s">
        <v>310</v>
      </c>
      <c r="BM1129" s="220" t="s">
        <v>1904</v>
      </c>
    </row>
    <row r="1130" s="13" customFormat="1">
      <c r="A1130" s="13"/>
      <c r="B1130" s="227"/>
      <c r="C1130" s="228"/>
      <c r="D1130" s="229" t="s">
        <v>211</v>
      </c>
      <c r="E1130" s="228"/>
      <c r="F1130" s="231" t="s">
        <v>1905</v>
      </c>
      <c r="G1130" s="228"/>
      <c r="H1130" s="232">
        <v>278.10000000000002</v>
      </c>
      <c r="I1130" s="233"/>
      <c r="J1130" s="228"/>
      <c r="K1130" s="228"/>
      <c r="L1130" s="234"/>
      <c r="M1130" s="235"/>
      <c r="N1130" s="236"/>
      <c r="O1130" s="236"/>
      <c r="P1130" s="236"/>
      <c r="Q1130" s="236"/>
      <c r="R1130" s="236"/>
      <c r="S1130" s="236"/>
      <c r="T1130" s="237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T1130" s="238" t="s">
        <v>211</v>
      </c>
      <c r="AU1130" s="238" t="s">
        <v>88</v>
      </c>
      <c r="AV1130" s="13" t="s">
        <v>88</v>
      </c>
      <c r="AW1130" s="13" t="s">
        <v>4</v>
      </c>
      <c r="AX1130" s="13" t="s">
        <v>86</v>
      </c>
      <c r="AY1130" s="238" t="s">
        <v>200</v>
      </c>
    </row>
    <row r="1131" s="2" customFormat="1" ht="16.5" customHeight="1">
      <c r="A1131" s="40"/>
      <c r="B1131" s="41"/>
      <c r="C1131" s="209" t="s">
        <v>1906</v>
      </c>
      <c r="D1131" s="209" t="s">
        <v>202</v>
      </c>
      <c r="E1131" s="210" t="s">
        <v>1907</v>
      </c>
      <c r="F1131" s="211" t="s">
        <v>1908</v>
      </c>
      <c r="G1131" s="212" t="s">
        <v>280</v>
      </c>
      <c r="H1131" s="213">
        <v>7.5999999999999996</v>
      </c>
      <c r="I1131" s="214"/>
      <c r="J1131" s="215">
        <f>ROUND(I1131*H1131,1)</f>
        <v>0</v>
      </c>
      <c r="K1131" s="211" t="s">
        <v>206</v>
      </c>
      <c r="L1131" s="46"/>
      <c r="M1131" s="216" t="s">
        <v>32</v>
      </c>
      <c r="N1131" s="217" t="s">
        <v>49</v>
      </c>
      <c r="O1131" s="86"/>
      <c r="P1131" s="218">
        <f>O1131*H1131</f>
        <v>0</v>
      </c>
      <c r="Q1131" s="218">
        <v>4.0000000000000003E-05</v>
      </c>
      <c r="R1131" s="218">
        <f>Q1131*H1131</f>
        <v>0.00030400000000000002</v>
      </c>
      <c r="S1131" s="218">
        <v>0</v>
      </c>
      <c r="T1131" s="219">
        <f>S1131*H1131</f>
        <v>0</v>
      </c>
      <c r="U1131" s="40"/>
      <c r="V1131" s="40"/>
      <c r="W1131" s="40"/>
      <c r="X1131" s="40"/>
      <c r="Y1131" s="40"/>
      <c r="Z1131" s="40"/>
      <c r="AA1131" s="40"/>
      <c r="AB1131" s="40"/>
      <c r="AC1131" s="40"/>
      <c r="AD1131" s="40"/>
      <c r="AE1131" s="40"/>
      <c r="AR1131" s="220" t="s">
        <v>310</v>
      </c>
      <c r="AT1131" s="220" t="s">
        <v>202</v>
      </c>
      <c r="AU1131" s="220" t="s">
        <v>88</v>
      </c>
      <c r="AY1131" s="18" t="s">
        <v>200</v>
      </c>
      <c r="BE1131" s="221">
        <f>IF(N1131="základní",J1131,0)</f>
        <v>0</v>
      </c>
      <c r="BF1131" s="221">
        <f>IF(N1131="snížená",J1131,0)</f>
        <v>0</v>
      </c>
      <c r="BG1131" s="221">
        <f>IF(N1131="zákl. přenesená",J1131,0)</f>
        <v>0</v>
      </c>
      <c r="BH1131" s="221">
        <f>IF(N1131="sníž. přenesená",J1131,0)</f>
        <v>0</v>
      </c>
      <c r="BI1131" s="221">
        <f>IF(N1131="nulová",J1131,0)</f>
        <v>0</v>
      </c>
      <c r="BJ1131" s="18" t="s">
        <v>86</v>
      </c>
      <c r="BK1131" s="221">
        <f>ROUND(I1131*H1131,1)</f>
        <v>0</v>
      </c>
      <c r="BL1131" s="18" t="s">
        <v>310</v>
      </c>
      <c r="BM1131" s="220" t="s">
        <v>1909</v>
      </c>
    </row>
    <row r="1132" s="2" customFormat="1">
      <c r="A1132" s="40"/>
      <c r="B1132" s="41"/>
      <c r="C1132" s="42"/>
      <c r="D1132" s="222" t="s">
        <v>209</v>
      </c>
      <c r="E1132" s="42"/>
      <c r="F1132" s="223" t="s">
        <v>1910</v>
      </c>
      <c r="G1132" s="42"/>
      <c r="H1132" s="42"/>
      <c r="I1132" s="224"/>
      <c r="J1132" s="42"/>
      <c r="K1132" s="42"/>
      <c r="L1132" s="46"/>
      <c r="M1132" s="225"/>
      <c r="N1132" s="226"/>
      <c r="O1132" s="86"/>
      <c r="P1132" s="86"/>
      <c r="Q1132" s="86"/>
      <c r="R1132" s="86"/>
      <c r="S1132" s="86"/>
      <c r="T1132" s="87"/>
      <c r="U1132" s="40"/>
      <c r="V1132" s="40"/>
      <c r="W1132" s="40"/>
      <c r="X1132" s="40"/>
      <c r="Y1132" s="40"/>
      <c r="Z1132" s="40"/>
      <c r="AA1132" s="40"/>
      <c r="AB1132" s="40"/>
      <c r="AC1132" s="40"/>
      <c r="AD1132" s="40"/>
      <c r="AE1132" s="40"/>
      <c r="AT1132" s="18" t="s">
        <v>209</v>
      </c>
      <c r="AU1132" s="18" t="s">
        <v>88</v>
      </c>
    </row>
    <row r="1133" s="13" customFormat="1">
      <c r="A1133" s="13"/>
      <c r="B1133" s="227"/>
      <c r="C1133" s="228"/>
      <c r="D1133" s="229" t="s">
        <v>211</v>
      </c>
      <c r="E1133" s="230" t="s">
        <v>32</v>
      </c>
      <c r="F1133" s="231" t="s">
        <v>1911</v>
      </c>
      <c r="G1133" s="228"/>
      <c r="H1133" s="232">
        <v>3.6000000000000001</v>
      </c>
      <c r="I1133" s="233"/>
      <c r="J1133" s="228"/>
      <c r="K1133" s="228"/>
      <c r="L1133" s="234"/>
      <c r="M1133" s="235"/>
      <c r="N1133" s="236"/>
      <c r="O1133" s="236"/>
      <c r="P1133" s="236"/>
      <c r="Q1133" s="236"/>
      <c r="R1133" s="236"/>
      <c r="S1133" s="236"/>
      <c r="T1133" s="237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T1133" s="238" t="s">
        <v>211</v>
      </c>
      <c r="AU1133" s="238" t="s">
        <v>88</v>
      </c>
      <c r="AV1133" s="13" t="s">
        <v>88</v>
      </c>
      <c r="AW1133" s="13" t="s">
        <v>213</v>
      </c>
      <c r="AX1133" s="13" t="s">
        <v>78</v>
      </c>
      <c r="AY1133" s="238" t="s">
        <v>200</v>
      </c>
    </row>
    <row r="1134" s="13" customFormat="1">
      <c r="A1134" s="13"/>
      <c r="B1134" s="227"/>
      <c r="C1134" s="228"/>
      <c r="D1134" s="229" t="s">
        <v>211</v>
      </c>
      <c r="E1134" s="230" t="s">
        <v>32</v>
      </c>
      <c r="F1134" s="231" t="s">
        <v>1912</v>
      </c>
      <c r="G1134" s="228"/>
      <c r="H1134" s="232">
        <v>4</v>
      </c>
      <c r="I1134" s="233"/>
      <c r="J1134" s="228"/>
      <c r="K1134" s="228"/>
      <c r="L1134" s="234"/>
      <c r="M1134" s="235"/>
      <c r="N1134" s="236"/>
      <c r="O1134" s="236"/>
      <c r="P1134" s="236"/>
      <c r="Q1134" s="236"/>
      <c r="R1134" s="236"/>
      <c r="S1134" s="236"/>
      <c r="T1134" s="237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T1134" s="238" t="s">
        <v>211</v>
      </c>
      <c r="AU1134" s="238" t="s">
        <v>88</v>
      </c>
      <c r="AV1134" s="13" t="s">
        <v>88</v>
      </c>
      <c r="AW1134" s="13" t="s">
        <v>213</v>
      </c>
      <c r="AX1134" s="13" t="s">
        <v>78</v>
      </c>
      <c r="AY1134" s="238" t="s">
        <v>200</v>
      </c>
    </row>
    <row r="1135" s="14" customFormat="1">
      <c r="A1135" s="14"/>
      <c r="B1135" s="239"/>
      <c r="C1135" s="240"/>
      <c r="D1135" s="229" t="s">
        <v>211</v>
      </c>
      <c r="E1135" s="241" t="s">
        <v>32</v>
      </c>
      <c r="F1135" s="242" t="s">
        <v>220</v>
      </c>
      <c r="G1135" s="240"/>
      <c r="H1135" s="243">
        <v>7.5999999999999996</v>
      </c>
      <c r="I1135" s="244"/>
      <c r="J1135" s="240"/>
      <c r="K1135" s="240"/>
      <c r="L1135" s="245"/>
      <c r="M1135" s="246"/>
      <c r="N1135" s="247"/>
      <c r="O1135" s="247"/>
      <c r="P1135" s="247"/>
      <c r="Q1135" s="247"/>
      <c r="R1135" s="247"/>
      <c r="S1135" s="247"/>
      <c r="T1135" s="248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T1135" s="249" t="s">
        <v>211</v>
      </c>
      <c r="AU1135" s="249" t="s">
        <v>88</v>
      </c>
      <c r="AV1135" s="14" t="s">
        <v>207</v>
      </c>
      <c r="AW1135" s="14" t="s">
        <v>213</v>
      </c>
      <c r="AX1135" s="14" t="s">
        <v>86</v>
      </c>
      <c r="AY1135" s="249" t="s">
        <v>200</v>
      </c>
    </row>
    <row r="1136" s="2" customFormat="1" ht="16.5" customHeight="1">
      <c r="A1136" s="40"/>
      <c r="B1136" s="41"/>
      <c r="C1136" s="260" t="s">
        <v>1913</v>
      </c>
      <c r="D1136" s="260" t="s">
        <v>292</v>
      </c>
      <c r="E1136" s="261" t="s">
        <v>1914</v>
      </c>
      <c r="F1136" s="262" t="s">
        <v>1915</v>
      </c>
      <c r="G1136" s="263" t="s">
        <v>280</v>
      </c>
      <c r="H1136" s="264">
        <v>8.2080000000000002</v>
      </c>
      <c r="I1136" s="265"/>
      <c r="J1136" s="266">
        <f>ROUND(I1136*H1136,1)</f>
        <v>0</v>
      </c>
      <c r="K1136" s="262" t="s">
        <v>206</v>
      </c>
      <c r="L1136" s="267"/>
      <c r="M1136" s="268" t="s">
        <v>32</v>
      </c>
      <c r="N1136" s="269" t="s">
        <v>49</v>
      </c>
      <c r="O1136" s="86"/>
      <c r="P1136" s="218">
        <f>O1136*H1136</f>
        <v>0</v>
      </c>
      <c r="Q1136" s="218">
        <v>0.00021000000000000001</v>
      </c>
      <c r="R1136" s="218">
        <f>Q1136*H1136</f>
        <v>0.00172368</v>
      </c>
      <c r="S1136" s="218">
        <v>0</v>
      </c>
      <c r="T1136" s="219">
        <f>S1136*H1136</f>
        <v>0</v>
      </c>
      <c r="U1136" s="40"/>
      <c r="V1136" s="40"/>
      <c r="W1136" s="40"/>
      <c r="X1136" s="40"/>
      <c r="Y1136" s="40"/>
      <c r="Z1136" s="40"/>
      <c r="AA1136" s="40"/>
      <c r="AB1136" s="40"/>
      <c r="AC1136" s="40"/>
      <c r="AD1136" s="40"/>
      <c r="AE1136" s="40"/>
      <c r="AR1136" s="220" t="s">
        <v>429</v>
      </c>
      <c r="AT1136" s="220" t="s">
        <v>292</v>
      </c>
      <c r="AU1136" s="220" t="s">
        <v>88</v>
      </c>
      <c r="AY1136" s="18" t="s">
        <v>200</v>
      </c>
      <c r="BE1136" s="221">
        <f>IF(N1136="základní",J1136,0)</f>
        <v>0</v>
      </c>
      <c r="BF1136" s="221">
        <f>IF(N1136="snížená",J1136,0)</f>
        <v>0</v>
      </c>
      <c r="BG1136" s="221">
        <f>IF(N1136="zákl. přenesená",J1136,0)</f>
        <v>0</v>
      </c>
      <c r="BH1136" s="221">
        <f>IF(N1136="sníž. přenesená",J1136,0)</f>
        <v>0</v>
      </c>
      <c r="BI1136" s="221">
        <f>IF(N1136="nulová",J1136,0)</f>
        <v>0</v>
      </c>
      <c r="BJ1136" s="18" t="s">
        <v>86</v>
      </c>
      <c r="BK1136" s="221">
        <f>ROUND(I1136*H1136,1)</f>
        <v>0</v>
      </c>
      <c r="BL1136" s="18" t="s">
        <v>310</v>
      </c>
      <c r="BM1136" s="220" t="s">
        <v>1916</v>
      </c>
    </row>
    <row r="1137" s="13" customFormat="1">
      <c r="A1137" s="13"/>
      <c r="B1137" s="227"/>
      <c r="C1137" s="228"/>
      <c r="D1137" s="229" t="s">
        <v>211</v>
      </c>
      <c r="E1137" s="228"/>
      <c r="F1137" s="231" t="s">
        <v>1917</v>
      </c>
      <c r="G1137" s="228"/>
      <c r="H1137" s="232">
        <v>8.2080000000000002</v>
      </c>
      <c r="I1137" s="233"/>
      <c r="J1137" s="228"/>
      <c r="K1137" s="228"/>
      <c r="L1137" s="234"/>
      <c r="M1137" s="235"/>
      <c r="N1137" s="236"/>
      <c r="O1137" s="236"/>
      <c r="P1137" s="236"/>
      <c r="Q1137" s="236"/>
      <c r="R1137" s="236"/>
      <c r="S1137" s="236"/>
      <c r="T1137" s="237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T1137" s="238" t="s">
        <v>211</v>
      </c>
      <c r="AU1137" s="238" t="s">
        <v>88</v>
      </c>
      <c r="AV1137" s="13" t="s">
        <v>88</v>
      </c>
      <c r="AW1137" s="13" t="s">
        <v>4</v>
      </c>
      <c r="AX1137" s="13" t="s">
        <v>86</v>
      </c>
      <c r="AY1137" s="238" t="s">
        <v>200</v>
      </c>
    </row>
    <row r="1138" s="2" customFormat="1" ht="16.5" customHeight="1">
      <c r="A1138" s="40"/>
      <c r="B1138" s="41"/>
      <c r="C1138" s="209" t="s">
        <v>1918</v>
      </c>
      <c r="D1138" s="209" t="s">
        <v>202</v>
      </c>
      <c r="E1138" s="210" t="s">
        <v>1919</v>
      </c>
      <c r="F1138" s="211" t="s">
        <v>1920</v>
      </c>
      <c r="G1138" s="212" t="s">
        <v>280</v>
      </c>
      <c r="H1138" s="213">
        <v>16.449999999999999</v>
      </c>
      <c r="I1138" s="214"/>
      <c r="J1138" s="215">
        <f>ROUND(I1138*H1138,1)</f>
        <v>0</v>
      </c>
      <c r="K1138" s="211" t="s">
        <v>206</v>
      </c>
      <c r="L1138" s="46"/>
      <c r="M1138" s="216" t="s">
        <v>32</v>
      </c>
      <c r="N1138" s="217" t="s">
        <v>49</v>
      </c>
      <c r="O1138" s="86"/>
      <c r="P1138" s="218">
        <f>O1138*H1138</f>
        <v>0</v>
      </c>
      <c r="Q1138" s="218">
        <v>1.0000000000000001E-05</v>
      </c>
      <c r="R1138" s="218">
        <f>Q1138*H1138</f>
        <v>0.00016450000000000001</v>
      </c>
      <c r="S1138" s="218">
        <v>0</v>
      </c>
      <c r="T1138" s="219">
        <f>S1138*H1138</f>
        <v>0</v>
      </c>
      <c r="U1138" s="40"/>
      <c r="V1138" s="40"/>
      <c r="W1138" s="40"/>
      <c r="X1138" s="40"/>
      <c r="Y1138" s="40"/>
      <c r="Z1138" s="40"/>
      <c r="AA1138" s="40"/>
      <c r="AB1138" s="40"/>
      <c r="AC1138" s="40"/>
      <c r="AD1138" s="40"/>
      <c r="AE1138" s="40"/>
      <c r="AR1138" s="220" t="s">
        <v>310</v>
      </c>
      <c r="AT1138" s="220" t="s">
        <v>202</v>
      </c>
      <c r="AU1138" s="220" t="s">
        <v>88</v>
      </c>
      <c r="AY1138" s="18" t="s">
        <v>200</v>
      </c>
      <c r="BE1138" s="221">
        <f>IF(N1138="základní",J1138,0)</f>
        <v>0</v>
      </c>
      <c r="BF1138" s="221">
        <f>IF(N1138="snížená",J1138,0)</f>
        <v>0</v>
      </c>
      <c r="BG1138" s="221">
        <f>IF(N1138="zákl. přenesená",J1138,0)</f>
        <v>0</v>
      </c>
      <c r="BH1138" s="221">
        <f>IF(N1138="sníž. přenesená",J1138,0)</f>
        <v>0</v>
      </c>
      <c r="BI1138" s="221">
        <f>IF(N1138="nulová",J1138,0)</f>
        <v>0</v>
      </c>
      <c r="BJ1138" s="18" t="s">
        <v>86</v>
      </c>
      <c r="BK1138" s="221">
        <f>ROUND(I1138*H1138,1)</f>
        <v>0</v>
      </c>
      <c r="BL1138" s="18" t="s">
        <v>310</v>
      </c>
      <c r="BM1138" s="220" t="s">
        <v>1921</v>
      </c>
    </row>
    <row r="1139" s="2" customFormat="1">
      <c r="A1139" s="40"/>
      <c r="B1139" s="41"/>
      <c r="C1139" s="42"/>
      <c r="D1139" s="222" t="s">
        <v>209</v>
      </c>
      <c r="E1139" s="42"/>
      <c r="F1139" s="223" t="s">
        <v>1922</v>
      </c>
      <c r="G1139" s="42"/>
      <c r="H1139" s="42"/>
      <c r="I1139" s="224"/>
      <c r="J1139" s="42"/>
      <c r="K1139" s="42"/>
      <c r="L1139" s="46"/>
      <c r="M1139" s="225"/>
      <c r="N1139" s="226"/>
      <c r="O1139" s="86"/>
      <c r="P1139" s="86"/>
      <c r="Q1139" s="86"/>
      <c r="R1139" s="86"/>
      <c r="S1139" s="86"/>
      <c r="T1139" s="87"/>
      <c r="U1139" s="40"/>
      <c r="V1139" s="40"/>
      <c r="W1139" s="40"/>
      <c r="X1139" s="40"/>
      <c r="Y1139" s="40"/>
      <c r="Z1139" s="40"/>
      <c r="AA1139" s="40"/>
      <c r="AB1139" s="40"/>
      <c r="AC1139" s="40"/>
      <c r="AD1139" s="40"/>
      <c r="AE1139" s="40"/>
      <c r="AT1139" s="18" t="s">
        <v>209</v>
      </c>
      <c r="AU1139" s="18" t="s">
        <v>88</v>
      </c>
    </row>
    <row r="1140" s="13" customFormat="1">
      <c r="A1140" s="13"/>
      <c r="B1140" s="227"/>
      <c r="C1140" s="228"/>
      <c r="D1140" s="229" t="s">
        <v>211</v>
      </c>
      <c r="E1140" s="230" t="s">
        <v>32</v>
      </c>
      <c r="F1140" s="231" t="s">
        <v>1923</v>
      </c>
      <c r="G1140" s="228"/>
      <c r="H1140" s="232">
        <v>16.449999999999999</v>
      </c>
      <c r="I1140" s="233"/>
      <c r="J1140" s="228"/>
      <c r="K1140" s="228"/>
      <c r="L1140" s="234"/>
      <c r="M1140" s="235"/>
      <c r="N1140" s="236"/>
      <c r="O1140" s="236"/>
      <c r="P1140" s="236"/>
      <c r="Q1140" s="236"/>
      <c r="R1140" s="236"/>
      <c r="S1140" s="236"/>
      <c r="T1140" s="237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T1140" s="238" t="s">
        <v>211</v>
      </c>
      <c r="AU1140" s="238" t="s">
        <v>88</v>
      </c>
      <c r="AV1140" s="13" t="s">
        <v>88</v>
      </c>
      <c r="AW1140" s="13" t="s">
        <v>213</v>
      </c>
      <c r="AX1140" s="13" t="s">
        <v>86</v>
      </c>
      <c r="AY1140" s="238" t="s">
        <v>200</v>
      </c>
    </row>
    <row r="1141" s="2" customFormat="1" ht="16.5" customHeight="1">
      <c r="A1141" s="40"/>
      <c r="B1141" s="41"/>
      <c r="C1141" s="260" t="s">
        <v>1924</v>
      </c>
      <c r="D1141" s="260" t="s">
        <v>292</v>
      </c>
      <c r="E1141" s="261" t="s">
        <v>1925</v>
      </c>
      <c r="F1141" s="262" t="s">
        <v>1926</v>
      </c>
      <c r="G1141" s="263" t="s">
        <v>280</v>
      </c>
      <c r="H1141" s="264">
        <v>17.765999999999998</v>
      </c>
      <c r="I1141" s="265"/>
      <c r="J1141" s="266">
        <f>ROUND(I1141*H1141,1)</f>
        <v>0</v>
      </c>
      <c r="K1141" s="262" t="s">
        <v>206</v>
      </c>
      <c r="L1141" s="267"/>
      <c r="M1141" s="268" t="s">
        <v>32</v>
      </c>
      <c r="N1141" s="269" t="s">
        <v>49</v>
      </c>
      <c r="O1141" s="86"/>
      <c r="P1141" s="218">
        <f>O1141*H1141</f>
        <v>0</v>
      </c>
      <c r="Q1141" s="218">
        <v>0.00012</v>
      </c>
      <c r="R1141" s="218">
        <f>Q1141*H1141</f>
        <v>0.0021319199999999998</v>
      </c>
      <c r="S1141" s="218">
        <v>0</v>
      </c>
      <c r="T1141" s="219">
        <f>S1141*H1141</f>
        <v>0</v>
      </c>
      <c r="U1141" s="40"/>
      <c r="V1141" s="40"/>
      <c r="W1141" s="40"/>
      <c r="X1141" s="40"/>
      <c r="Y1141" s="40"/>
      <c r="Z1141" s="40"/>
      <c r="AA1141" s="40"/>
      <c r="AB1141" s="40"/>
      <c r="AC1141" s="40"/>
      <c r="AD1141" s="40"/>
      <c r="AE1141" s="40"/>
      <c r="AR1141" s="220" t="s">
        <v>429</v>
      </c>
      <c r="AT1141" s="220" t="s">
        <v>292</v>
      </c>
      <c r="AU1141" s="220" t="s">
        <v>88</v>
      </c>
      <c r="AY1141" s="18" t="s">
        <v>200</v>
      </c>
      <c r="BE1141" s="221">
        <f>IF(N1141="základní",J1141,0)</f>
        <v>0</v>
      </c>
      <c r="BF1141" s="221">
        <f>IF(N1141="snížená",J1141,0)</f>
        <v>0</v>
      </c>
      <c r="BG1141" s="221">
        <f>IF(N1141="zákl. přenesená",J1141,0)</f>
        <v>0</v>
      </c>
      <c r="BH1141" s="221">
        <f>IF(N1141="sníž. přenesená",J1141,0)</f>
        <v>0</v>
      </c>
      <c r="BI1141" s="221">
        <f>IF(N1141="nulová",J1141,0)</f>
        <v>0</v>
      </c>
      <c r="BJ1141" s="18" t="s">
        <v>86</v>
      </c>
      <c r="BK1141" s="221">
        <f>ROUND(I1141*H1141,1)</f>
        <v>0</v>
      </c>
      <c r="BL1141" s="18" t="s">
        <v>310</v>
      </c>
      <c r="BM1141" s="220" t="s">
        <v>1927</v>
      </c>
    </row>
    <row r="1142" s="13" customFormat="1">
      <c r="A1142" s="13"/>
      <c r="B1142" s="227"/>
      <c r="C1142" s="228"/>
      <c r="D1142" s="229" t="s">
        <v>211</v>
      </c>
      <c r="E1142" s="228"/>
      <c r="F1142" s="231" t="s">
        <v>1928</v>
      </c>
      <c r="G1142" s="228"/>
      <c r="H1142" s="232">
        <v>17.765999999999998</v>
      </c>
      <c r="I1142" s="233"/>
      <c r="J1142" s="228"/>
      <c r="K1142" s="228"/>
      <c r="L1142" s="234"/>
      <c r="M1142" s="235"/>
      <c r="N1142" s="236"/>
      <c r="O1142" s="236"/>
      <c r="P1142" s="236"/>
      <c r="Q1142" s="236"/>
      <c r="R1142" s="236"/>
      <c r="S1142" s="236"/>
      <c r="T1142" s="237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T1142" s="238" t="s">
        <v>211</v>
      </c>
      <c r="AU1142" s="238" t="s">
        <v>88</v>
      </c>
      <c r="AV1142" s="13" t="s">
        <v>88</v>
      </c>
      <c r="AW1142" s="13" t="s">
        <v>4</v>
      </c>
      <c r="AX1142" s="13" t="s">
        <v>86</v>
      </c>
      <c r="AY1142" s="238" t="s">
        <v>200</v>
      </c>
    </row>
    <row r="1143" s="2" customFormat="1" ht="16.5" customHeight="1">
      <c r="A1143" s="40"/>
      <c r="B1143" s="41"/>
      <c r="C1143" s="209" t="s">
        <v>1929</v>
      </c>
      <c r="D1143" s="209" t="s">
        <v>202</v>
      </c>
      <c r="E1143" s="210" t="s">
        <v>1930</v>
      </c>
      <c r="F1143" s="211" t="s">
        <v>1931</v>
      </c>
      <c r="G1143" s="212" t="s">
        <v>280</v>
      </c>
      <c r="H1143" s="213">
        <v>4</v>
      </c>
      <c r="I1143" s="214"/>
      <c r="J1143" s="215">
        <f>ROUND(I1143*H1143,1)</f>
        <v>0</v>
      </c>
      <c r="K1143" s="211" t="s">
        <v>206</v>
      </c>
      <c r="L1143" s="46"/>
      <c r="M1143" s="216" t="s">
        <v>32</v>
      </c>
      <c r="N1143" s="217" t="s">
        <v>49</v>
      </c>
      <c r="O1143" s="86"/>
      <c r="P1143" s="218">
        <f>O1143*H1143</f>
        <v>0</v>
      </c>
      <c r="Q1143" s="218">
        <v>6.0000000000000002E-05</v>
      </c>
      <c r="R1143" s="218">
        <f>Q1143*H1143</f>
        <v>0.00024000000000000001</v>
      </c>
      <c r="S1143" s="218">
        <v>0</v>
      </c>
      <c r="T1143" s="219">
        <f>S1143*H1143</f>
        <v>0</v>
      </c>
      <c r="U1143" s="40"/>
      <c r="V1143" s="40"/>
      <c r="W1143" s="40"/>
      <c r="X1143" s="40"/>
      <c r="Y1143" s="40"/>
      <c r="Z1143" s="40"/>
      <c r="AA1143" s="40"/>
      <c r="AB1143" s="40"/>
      <c r="AC1143" s="40"/>
      <c r="AD1143" s="40"/>
      <c r="AE1143" s="40"/>
      <c r="AR1143" s="220" t="s">
        <v>310</v>
      </c>
      <c r="AT1143" s="220" t="s">
        <v>202</v>
      </c>
      <c r="AU1143" s="220" t="s">
        <v>88</v>
      </c>
      <c r="AY1143" s="18" t="s">
        <v>200</v>
      </c>
      <c r="BE1143" s="221">
        <f>IF(N1143="základní",J1143,0)</f>
        <v>0</v>
      </c>
      <c r="BF1143" s="221">
        <f>IF(N1143="snížená",J1143,0)</f>
        <v>0</v>
      </c>
      <c r="BG1143" s="221">
        <f>IF(N1143="zákl. přenesená",J1143,0)</f>
        <v>0</v>
      </c>
      <c r="BH1143" s="221">
        <f>IF(N1143="sníž. přenesená",J1143,0)</f>
        <v>0</v>
      </c>
      <c r="BI1143" s="221">
        <f>IF(N1143="nulová",J1143,0)</f>
        <v>0</v>
      </c>
      <c r="BJ1143" s="18" t="s">
        <v>86</v>
      </c>
      <c r="BK1143" s="221">
        <f>ROUND(I1143*H1143,1)</f>
        <v>0</v>
      </c>
      <c r="BL1143" s="18" t="s">
        <v>310</v>
      </c>
      <c r="BM1143" s="220" t="s">
        <v>1932</v>
      </c>
    </row>
    <row r="1144" s="2" customFormat="1">
      <c r="A1144" s="40"/>
      <c r="B1144" s="41"/>
      <c r="C1144" s="42"/>
      <c r="D1144" s="222" t="s">
        <v>209</v>
      </c>
      <c r="E1144" s="42"/>
      <c r="F1144" s="223" t="s">
        <v>1933</v>
      </c>
      <c r="G1144" s="42"/>
      <c r="H1144" s="42"/>
      <c r="I1144" s="224"/>
      <c r="J1144" s="42"/>
      <c r="K1144" s="42"/>
      <c r="L1144" s="46"/>
      <c r="M1144" s="225"/>
      <c r="N1144" s="226"/>
      <c r="O1144" s="86"/>
      <c r="P1144" s="86"/>
      <c r="Q1144" s="86"/>
      <c r="R1144" s="86"/>
      <c r="S1144" s="86"/>
      <c r="T1144" s="87"/>
      <c r="U1144" s="40"/>
      <c r="V1144" s="40"/>
      <c r="W1144" s="40"/>
      <c r="X1144" s="40"/>
      <c r="Y1144" s="40"/>
      <c r="Z1144" s="40"/>
      <c r="AA1144" s="40"/>
      <c r="AB1144" s="40"/>
      <c r="AC1144" s="40"/>
      <c r="AD1144" s="40"/>
      <c r="AE1144" s="40"/>
      <c r="AT1144" s="18" t="s">
        <v>209</v>
      </c>
      <c r="AU1144" s="18" t="s">
        <v>88</v>
      </c>
    </row>
    <row r="1145" s="13" customFormat="1">
      <c r="A1145" s="13"/>
      <c r="B1145" s="227"/>
      <c r="C1145" s="228"/>
      <c r="D1145" s="229" t="s">
        <v>211</v>
      </c>
      <c r="E1145" s="230" t="s">
        <v>32</v>
      </c>
      <c r="F1145" s="231" t="s">
        <v>1912</v>
      </c>
      <c r="G1145" s="228"/>
      <c r="H1145" s="232">
        <v>4</v>
      </c>
      <c r="I1145" s="233"/>
      <c r="J1145" s="228"/>
      <c r="K1145" s="228"/>
      <c r="L1145" s="234"/>
      <c r="M1145" s="235"/>
      <c r="N1145" s="236"/>
      <c r="O1145" s="236"/>
      <c r="P1145" s="236"/>
      <c r="Q1145" s="236"/>
      <c r="R1145" s="236"/>
      <c r="S1145" s="236"/>
      <c r="T1145" s="237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T1145" s="238" t="s">
        <v>211</v>
      </c>
      <c r="AU1145" s="238" t="s">
        <v>88</v>
      </c>
      <c r="AV1145" s="13" t="s">
        <v>88</v>
      </c>
      <c r="AW1145" s="13" t="s">
        <v>213</v>
      </c>
      <c r="AX1145" s="13" t="s">
        <v>86</v>
      </c>
      <c r="AY1145" s="238" t="s">
        <v>200</v>
      </c>
    </row>
    <row r="1146" s="2" customFormat="1" ht="16.5" customHeight="1">
      <c r="A1146" s="40"/>
      <c r="B1146" s="41"/>
      <c r="C1146" s="260" t="s">
        <v>1934</v>
      </c>
      <c r="D1146" s="260" t="s">
        <v>292</v>
      </c>
      <c r="E1146" s="261" t="s">
        <v>1935</v>
      </c>
      <c r="F1146" s="262" t="s">
        <v>1936</v>
      </c>
      <c r="G1146" s="263" t="s">
        <v>280</v>
      </c>
      <c r="H1146" s="264">
        <v>4.3200000000000003</v>
      </c>
      <c r="I1146" s="265"/>
      <c r="J1146" s="266">
        <f>ROUND(I1146*H1146,1)</f>
        <v>0</v>
      </c>
      <c r="K1146" s="262" t="s">
        <v>206</v>
      </c>
      <c r="L1146" s="267"/>
      <c r="M1146" s="268" t="s">
        <v>32</v>
      </c>
      <c r="N1146" s="269" t="s">
        <v>49</v>
      </c>
      <c r="O1146" s="86"/>
      <c r="P1146" s="218">
        <f>O1146*H1146</f>
        <v>0</v>
      </c>
      <c r="Q1146" s="218">
        <v>0.00040000000000000002</v>
      </c>
      <c r="R1146" s="218">
        <f>Q1146*H1146</f>
        <v>0.0017280000000000002</v>
      </c>
      <c r="S1146" s="218">
        <v>0</v>
      </c>
      <c r="T1146" s="219">
        <f>S1146*H1146</f>
        <v>0</v>
      </c>
      <c r="U1146" s="40"/>
      <c r="V1146" s="40"/>
      <c r="W1146" s="40"/>
      <c r="X1146" s="40"/>
      <c r="Y1146" s="40"/>
      <c r="Z1146" s="40"/>
      <c r="AA1146" s="40"/>
      <c r="AB1146" s="40"/>
      <c r="AC1146" s="40"/>
      <c r="AD1146" s="40"/>
      <c r="AE1146" s="40"/>
      <c r="AR1146" s="220" t="s">
        <v>429</v>
      </c>
      <c r="AT1146" s="220" t="s">
        <v>292</v>
      </c>
      <c r="AU1146" s="220" t="s">
        <v>88</v>
      </c>
      <c r="AY1146" s="18" t="s">
        <v>200</v>
      </c>
      <c r="BE1146" s="221">
        <f>IF(N1146="základní",J1146,0)</f>
        <v>0</v>
      </c>
      <c r="BF1146" s="221">
        <f>IF(N1146="snížená",J1146,0)</f>
        <v>0</v>
      </c>
      <c r="BG1146" s="221">
        <f>IF(N1146="zákl. přenesená",J1146,0)</f>
        <v>0</v>
      </c>
      <c r="BH1146" s="221">
        <f>IF(N1146="sníž. přenesená",J1146,0)</f>
        <v>0</v>
      </c>
      <c r="BI1146" s="221">
        <f>IF(N1146="nulová",J1146,0)</f>
        <v>0</v>
      </c>
      <c r="BJ1146" s="18" t="s">
        <v>86</v>
      </c>
      <c r="BK1146" s="221">
        <f>ROUND(I1146*H1146,1)</f>
        <v>0</v>
      </c>
      <c r="BL1146" s="18" t="s">
        <v>310</v>
      </c>
      <c r="BM1146" s="220" t="s">
        <v>1937</v>
      </c>
    </row>
    <row r="1147" s="13" customFormat="1">
      <c r="A1147" s="13"/>
      <c r="B1147" s="227"/>
      <c r="C1147" s="228"/>
      <c r="D1147" s="229" t="s">
        <v>211</v>
      </c>
      <c r="E1147" s="228"/>
      <c r="F1147" s="231" t="s">
        <v>1938</v>
      </c>
      <c r="G1147" s="228"/>
      <c r="H1147" s="232">
        <v>4.3200000000000003</v>
      </c>
      <c r="I1147" s="233"/>
      <c r="J1147" s="228"/>
      <c r="K1147" s="228"/>
      <c r="L1147" s="234"/>
      <c r="M1147" s="235"/>
      <c r="N1147" s="236"/>
      <c r="O1147" s="236"/>
      <c r="P1147" s="236"/>
      <c r="Q1147" s="236"/>
      <c r="R1147" s="236"/>
      <c r="S1147" s="236"/>
      <c r="T1147" s="237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T1147" s="238" t="s">
        <v>211</v>
      </c>
      <c r="AU1147" s="238" t="s">
        <v>88</v>
      </c>
      <c r="AV1147" s="13" t="s">
        <v>88</v>
      </c>
      <c r="AW1147" s="13" t="s">
        <v>4</v>
      </c>
      <c r="AX1147" s="13" t="s">
        <v>86</v>
      </c>
      <c r="AY1147" s="238" t="s">
        <v>200</v>
      </c>
    </row>
    <row r="1148" s="2" customFormat="1" ht="33" customHeight="1">
      <c r="A1148" s="40"/>
      <c r="B1148" s="41"/>
      <c r="C1148" s="209" t="s">
        <v>1939</v>
      </c>
      <c r="D1148" s="209" t="s">
        <v>202</v>
      </c>
      <c r="E1148" s="210" t="s">
        <v>1940</v>
      </c>
      <c r="F1148" s="211" t="s">
        <v>1941</v>
      </c>
      <c r="G1148" s="212" t="s">
        <v>272</v>
      </c>
      <c r="H1148" s="213">
        <v>469.19999999999999</v>
      </c>
      <c r="I1148" s="214"/>
      <c r="J1148" s="215">
        <f>ROUND(I1148*H1148,1)</f>
        <v>0</v>
      </c>
      <c r="K1148" s="211" t="s">
        <v>206</v>
      </c>
      <c r="L1148" s="46"/>
      <c r="M1148" s="216" t="s">
        <v>32</v>
      </c>
      <c r="N1148" s="217" t="s">
        <v>49</v>
      </c>
      <c r="O1148" s="86"/>
      <c r="P1148" s="218">
        <f>O1148*H1148</f>
        <v>0</v>
      </c>
      <c r="Q1148" s="218">
        <v>0.01796</v>
      </c>
      <c r="R1148" s="218">
        <f>Q1148*H1148</f>
        <v>8.4268319999999992</v>
      </c>
      <c r="S1148" s="218">
        <v>0</v>
      </c>
      <c r="T1148" s="219">
        <f>S1148*H1148</f>
        <v>0</v>
      </c>
      <c r="U1148" s="40"/>
      <c r="V1148" s="40"/>
      <c r="W1148" s="40"/>
      <c r="X1148" s="40"/>
      <c r="Y1148" s="40"/>
      <c r="Z1148" s="40"/>
      <c r="AA1148" s="40"/>
      <c r="AB1148" s="40"/>
      <c r="AC1148" s="40"/>
      <c r="AD1148" s="40"/>
      <c r="AE1148" s="40"/>
      <c r="AR1148" s="220" t="s">
        <v>310</v>
      </c>
      <c r="AT1148" s="220" t="s">
        <v>202</v>
      </c>
      <c r="AU1148" s="220" t="s">
        <v>88</v>
      </c>
      <c r="AY1148" s="18" t="s">
        <v>200</v>
      </c>
      <c r="BE1148" s="221">
        <f>IF(N1148="základní",J1148,0)</f>
        <v>0</v>
      </c>
      <c r="BF1148" s="221">
        <f>IF(N1148="snížená",J1148,0)</f>
        <v>0</v>
      </c>
      <c r="BG1148" s="221">
        <f>IF(N1148="zákl. přenesená",J1148,0)</f>
        <v>0</v>
      </c>
      <c r="BH1148" s="221">
        <f>IF(N1148="sníž. přenesená",J1148,0)</f>
        <v>0</v>
      </c>
      <c r="BI1148" s="221">
        <f>IF(N1148="nulová",J1148,0)</f>
        <v>0</v>
      </c>
      <c r="BJ1148" s="18" t="s">
        <v>86</v>
      </c>
      <c r="BK1148" s="221">
        <f>ROUND(I1148*H1148,1)</f>
        <v>0</v>
      </c>
      <c r="BL1148" s="18" t="s">
        <v>310</v>
      </c>
      <c r="BM1148" s="220" t="s">
        <v>1942</v>
      </c>
    </row>
    <row r="1149" s="2" customFormat="1">
      <c r="A1149" s="40"/>
      <c r="B1149" s="41"/>
      <c r="C1149" s="42"/>
      <c r="D1149" s="222" t="s">
        <v>209</v>
      </c>
      <c r="E1149" s="42"/>
      <c r="F1149" s="223" t="s">
        <v>1943</v>
      </c>
      <c r="G1149" s="42"/>
      <c r="H1149" s="42"/>
      <c r="I1149" s="224"/>
      <c r="J1149" s="42"/>
      <c r="K1149" s="42"/>
      <c r="L1149" s="46"/>
      <c r="M1149" s="225"/>
      <c r="N1149" s="226"/>
      <c r="O1149" s="86"/>
      <c r="P1149" s="86"/>
      <c r="Q1149" s="86"/>
      <c r="R1149" s="86"/>
      <c r="S1149" s="86"/>
      <c r="T1149" s="87"/>
      <c r="U1149" s="40"/>
      <c r="V1149" s="40"/>
      <c r="W1149" s="40"/>
      <c r="X1149" s="40"/>
      <c r="Y1149" s="40"/>
      <c r="Z1149" s="40"/>
      <c r="AA1149" s="40"/>
      <c r="AB1149" s="40"/>
      <c r="AC1149" s="40"/>
      <c r="AD1149" s="40"/>
      <c r="AE1149" s="40"/>
      <c r="AT1149" s="18" t="s">
        <v>209</v>
      </c>
      <c r="AU1149" s="18" t="s">
        <v>88</v>
      </c>
    </row>
    <row r="1150" s="2" customFormat="1">
      <c r="A1150" s="40"/>
      <c r="B1150" s="41"/>
      <c r="C1150" s="42"/>
      <c r="D1150" s="229" t="s">
        <v>355</v>
      </c>
      <c r="E1150" s="42"/>
      <c r="F1150" s="281" t="s">
        <v>1944</v>
      </c>
      <c r="G1150" s="42"/>
      <c r="H1150" s="42"/>
      <c r="I1150" s="224"/>
      <c r="J1150" s="42"/>
      <c r="K1150" s="42"/>
      <c r="L1150" s="46"/>
      <c r="M1150" s="225"/>
      <c r="N1150" s="226"/>
      <c r="O1150" s="86"/>
      <c r="P1150" s="86"/>
      <c r="Q1150" s="86"/>
      <c r="R1150" s="86"/>
      <c r="S1150" s="86"/>
      <c r="T1150" s="87"/>
      <c r="U1150" s="40"/>
      <c r="V1150" s="40"/>
      <c r="W1150" s="40"/>
      <c r="X1150" s="40"/>
      <c r="Y1150" s="40"/>
      <c r="Z1150" s="40"/>
      <c r="AA1150" s="40"/>
      <c r="AB1150" s="40"/>
      <c r="AC1150" s="40"/>
      <c r="AD1150" s="40"/>
      <c r="AE1150" s="40"/>
      <c r="AT1150" s="18" t="s">
        <v>355</v>
      </c>
      <c r="AU1150" s="18" t="s">
        <v>88</v>
      </c>
    </row>
    <row r="1151" s="13" customFormat="1">
      <c r="A1151" s="13"/>
      <c r="B1151" s="227"/>
      <c r="C1151" s="228"/>
      <c r="D1151" s="229" t="s">
        <v>211</v>
      </c>
      <c r="E1151" s="230" t="s">
        <v>32</v>
      </c>
      <c r="F1151" s="231" t="s">
        <v>122</v>
      </c>
      <c r="G1151" s="228"/>
      <c r="H1151" s="232">
        <v>469.19999999999999</v>
      </c>
      <c r="I1151" s="233"/>
      <c r="J1151" s="228"/>
      <c r="K1151" s="228"/>
      <c r="L1151" s="234"/>
      <c r="M1151" s="235"/>
      <c r="N1151" s="236"/>
      <c r="O1151" s="236"/>
      <c r="P1151" s="236"/>
      <c r="Q1151" s="236"/>
      <c r="R1151" s="236"/>
      <c r="S1151" s="236"/>
      <c r="T1151" s="237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T1151" s="238" t="s">
        <v>211</v>
      </c>
      <c r="AU1151" s="238" t="s">
        <v>88</v>
      </c>
      <c r="AV1151" s="13" t="s">
        <v>88</v>
      </c>
      <c r="AW1151" s="13" t="s">
        <v>213</v>
      </c>
      <c r="AX1151" s="13" t="s">
        <v>86</v>
      </c>
      <c r="AY1151" s="238" t="s">
        <v>200</v>
      </c>
    </row>
    <row r="1152" s="2" customFormat="1" ht="16.5" customHeight="1">
      <c r="A1152" s="40"/>
      <c r="B1152" s="41"/>
      <c r="C1152" s="209" t="s">
        <v>1945</v>
      </c>
      <c r="D1152" s="209" t="s">
        <v>202</v>
      </c>
      <c r="E1152" s="210" t="s">
        <v>1946</v>
      </c>
      <c r="F1152" s="211" t="s">
        <v>1947</v>
      </c>
      <c r="G1152" s="212" t="s">
        <v>272</v>
      </c>
      <c r="H1152" s="213">
        <v>469.19999999999999</v>
      </c>
      <c r="I1152" s="214"/>
      <c r="J1152" s="215">
        <f>ROUND(I1152*H1152,1)</f>
        <v>0</v>
      </c>
      <c r="K1152" s="211" t="s">
        <v>206</v>
      </c>
      <c r="L1152" s="46"/>
      <c r="M1152" s="216" t="s">
        <v>32</v>
      </c>
      <c r="N1152" s="217" t="s">
        <v>49</v>
      </c>
      <c r="O1152" s="86"/>
      <c r="P1152" s="218">
        <f>O1152*H1152</f>
        <v>0</v>
      </c>
      <c r="Q1152" s="218">
        <v>0.00016000000000000001</v>
      </c>
      <c r="R1152" s="218">
        <f>Q1152*H1152</f>
        <v>0.075072</v>
      </c>
      <c r="S1152" s="218">
        <v>0</v>
      </c>
      <c r="T1152" s="219">
        <f>S1152*H1152</f>
        <v>0</v>
      </c>
      <c r="U1152" s="40"/>
      <c r="V1152" s="40"/>
      <c r="W1152" s="40"/>
      <c r="X1152" s="40"/>
      <c r="Y1152" s="40"/>
      <c r="Z1152" s="40"/>
      <c r="AA1152" s="40"/>
      <c r="AB1152" s="40"/>
      <c r="AC1152" s="40"/>
      <c r="AD1152" s="40"/>
      <c r="AE1152" s="40"/>
      <c r="AR1152" s="220" t="s">
        <v>310</v>
      </c>
      <c r="AT1152" s="220" t="s">
        <v>202</v>
      </c>
      <c r="AU1152" s="220" t="s">
        <v>88</v>
      </c>
      <c r="AY1152" s="18" t="s">
        <v>200</v>
      </c>
      <c r="BE1152" s="221">
        <f>IF(N1152="základní",J1152,0)</f>
        <v>0</v>
      </c>
      <c r="BF1152" s="221">
        <f>IF(N1152="snížená",J1152,0)</f>
        <v>0</v>
      </c>
      <c r="BG1152" s="221">
        <f>IF(N1152="zákl. přenesená",J1152,0)</f>
        <v>0</v>
      </c>
      <c r="BH1152" s="221">
        <f>IF(N1152="sníž. přenesená",J1152,0)</f>
        <v>0</v>
      </c>
      <c r="BI1152" s="221">
        <f>IF(N1152="nulová",J1152,0)</f>
        <v>0</v>
      </c>
      <c r="BJ1152" s="18" t="s">
        <v>86</v>
      </c>
      <c r="BK1152" s="221">
        <f>ROUND(I1152*H1152,1)</f>
        <v>0</v>
      </c>
      <c r="BL1152" s="18" t="s">
        <v>310</v>
      </c>
      <c r="BM1152" s="220" t="s">
        <v>1948</v>
      </c>
    </row>
    <row r="1153" s="2" customFormat="1">
      <c r="A1153" s="40"/>
      <c r="B1153" s="41"/>
      <c r="C1153" s="42"/>
      <c r="D1153" s="222" t="s">
        <v>209</v>
      </c>
      <c r="E1153" s="42"/>
      <c r="F1153" s="223" t="s">
        <v>1949</v>
      </c>
      <c r="G1153" s="42"/>
      <c r="H1153" s="42"/>
      <c r="I1153" s="224"/>
      <c r="J1153" s="42"/>
      <c r="K1153" s="42"/>
      <c r="L1153" s="46"/>
      <c r="M1153" s="225"/>
      <c r="N1153" s="226"/>
      <c r="O1153" s="86"/>
      <c r="P1153" s="86"/>
      <c r="Q1153" s="86"/>
      <c r="R1153" s="86"/>
      <c r="S1153" s="86"/>
      <c r="T1153" s="87"/>
      <c r="U1153" s="40"/>
      <c r="V1153" s="40"/>
      <c r="W1153" s="40"/>
      <c r="X1153" s="40"/>
      <c r="Y1153" s="40"/>
      <c r="Z1153" s="40"/>
      <c r="AA1153" s="40"/>
      <c r="AB1153" s="40"/>
      <c r="AC1153" s="40"/>
      <c r="AD1153" s="40"/>
      <c r="AE1153" s="40"/>
      <c r="AT1153" s="18" t="s">
        <v>209</v>
      </c>
      <c r="AU1153" s="18" t="s">
        <v>88</v>
      </c>
    </row>
    <row r="1154" s="13" customFormat="1">
      <c r="A1154" s="13"/>
      <c r="B1154" s="227"/>
      <c r="C1154" s="228"/>
      <c r="D1154" s="229" t="s">
        <v>211</v>
      </c>
      <c r="E1154" s="230" t="s">
        <v>32</v>
      </c>
      <c r="F1154" s="231" t="s">
        <v>122</v>
      </c>
      <c r="G1154" s="228"/>
      <c r="H1154" s="232">
        <v>469.19999999999999</v>
      </c>
      <c r="I1154" s="233"/>
      <c r="J1154" s="228"/>
      <c r="K1154" s="228"/>
      <c r="L1154" s="234"/>
      <c r="M1154" s="235"/>
      <c r="N1154" s="236"/>
      <c r="O1154" s="236"/>
      <c r="P1154" s="236"/>
      <c r="Q1154" s="236"/>
      <c r="R1154" s="236"/>
      <c r="S1154" s="236"/>
      <c r="T1154" s="237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T1154" s="238" t="s">
        <v>211</v>
      </c>
      <c r="AU1154" s="238" t="s">
        <v>88</v>
      </c>
      <c r="AV1154" s="13" t="s">
        <v>88</v>
      </c>
      <c r="AW1154" s="13" t="s">
        <v>213</v>
      </c>
      <c r="AX1154" s="13" t="s">
        <v>86</v>
      </c>
      <c r="AY1154" s="238" t="s">
        <v>200</v>
      </c>
    </row>
    <row r="1155" s="2" customFormat="1" ht="24.15" customHeight="1">
      <c r="A1155" s="40"/>
      <c r="B1155" s="41"/>
      <c r="C1155" s="209" t="s">
        <v>1950</v>
      </c>
      <c r="D1155" s="209" t="s">
        <v>202</v>
      </c>
      <c r="E1155" s="210" t="s">
        <v>1951</v>
      </c>
      <c r="F1155" s="211" t="s">
        <v>1952</v>
      </c>
      <c r="G1155" s="212" t="s">
        <v>272</v>
      </c>
      <c r="H1155" s="213">
        <v>469.19999999999999</v>
      </c>
      <c r="I1155" s="214"/>
      <c r="J1155" s="215">
        <f>ROUND(I1155*H1155,1)</f>
        <v>0</v>
      </c>
      <c r="K1155" s="211" t="s">
        <v>206</v>
      </c>
      <c r="L1155" s="46"/>
      <c r="M1155" s="216" t="s">
        <v>32</v>
      </c>
      <c r="N1155" s="217" t="s">
        <v>49</v>
      </c>
      <c r="O1155" s="86"/>
      <c r="P1155" s="218">
        <f>O1155*H1155</f>
        <v>0</v>
      </c>
      <c r="Q1155" s="218">
        <v>0.00019000000000000001</v>
      </c>
      <c r="R1155" s="218">
        <f>Q1155*H1155</f>
        <v>0.089148000000000005</v>
      </c>
      <c r="S1155" s="218">
        <v>0</v>
      </c>
      <c r="T1155" s="219">
        <f>S1155*H1155</f>
        <v>0</v>
      </c>
      <c r="U1155" s="40"/>
      <c r="V1155" s="40"/>
      <c r="W1155" s="40"/>
      <c r="X1155" s="40"/>
      <c r="Y1155" s="40"/>
      <c r="Z1155" s="40"/>
      <c r="AA1155" s="40"/>
      <c r="AB1155" s="40"/>
      <c r="AC1155" s="40"/>
      <c r="AD1155" s="40"/>
      <c r="AE1155" s="40"/>
      <c r="AR1155" s="220" t="s">
        <v>310</v>
      </c>
      <c r="AT1155" s="220" t="s">
        <v>202</v>
      </c>
      <c r="AU1155" s="220" t="s">
        <v>88</v>
      </c>
      <c r="AY1155" s="18" t="s">
        <v>200</v>
      </c>
      <c r="BE1155" s="221">
        <f>IF(N1155="základní",J1155,0)</f>
        <v>0</v>
      </c>
      <c r="BF1155" s="221">
        <f>IF(N1155="snížená",J1155,0)</f>
        <v>0</v>
      </c>
      <c r="BG1155" s="221">
        <f>IF(N1155="zákl. přenesená",J1155,0)</f>
        <v>0</v>
      </c>
      <c r="BH1155" s="221">
        <f>IF(N1155="sníž. přenesená",J1155,0)</f>
        <v>0</v>
      </c>
      <c r="BI1155" s="221">
        <f>IF(N1155="nulová",J1155,0)</f>
        <v>0</v>
      </c>
      <c r="BJ1155" s="18" t="s">
        <v>86</v>
      </c>
      <c r="BK1155" s="221">
        <f>ROUND(I1155*H1155,1)</f>
        <v>0</v>
      </c>
      <c r="BL1155" s="18" t="s">
        <v>310</v>
      </c>
      <c r="BM1155" s="220" t="s">
        <v>1953</v>
      </c>
    </row>
    <row r="1156" s="2" customFormat="1">
      <c r="A1156" s="40"/>
      <c r="B1156" s="41"/>
      <c r="C1156" s="42"/>
      <c r="D1156" s="222" t="s">
        <v>209</v>
      </c>
      <c r="E1156" s="42"/>
      <c r="F1156" s="223" t="s">
        <v>1954</v>
      </c>
      <c r="G1156" s="42"/>
      <c r="H1156" s="42"/>
      <c r="I1156" s="224"/>
      <c r="J1156" s="42"/>
      <c r="K1156" s="42"/>
      <c r="L1156" s="46"/>
      <c r="M1156" s="225"/>
      <c r="N1156" s="226"/>
      <c r="O1156" s="86"/>
      <c r="P1156" s="86"/>
      <c r="Q1156" s="86"/>
      <c r="R1156" s="86"/>
      <c r="S1156" s="86"/>
      <c r="T1156" s="87"/>
      <c r="U1156" s="40"/>
      <c r="V1156" s="40"/>
      <c r="W1156" s="40"/>
      <c r="X1156" s="40"/>
      <c r="Y1156" s="40"/>
      <c r="Z1156" s="40"/>
      <c r="AA1156" s="40"/>
      <c r="AB1156" s="40"/>
      <c r="AC1156" s="40"/>
      <c r="AD1156" s="40"/>
      <c r="AE1156" s="40"/>
      <c r="AT1156" s="18" t="s">
        <v>209</v>
      </c>
      <c r="AU1156" s="18" t="s">
        <v>88</v>
      </c>
    </row>
    <row r="1157" s="2" customFormat="1" ht="16.5" customHeight="1">
      <c r="A1157" s="40"/>
      <c r="B1157" s="41"/>
      <c r="C1157" s="209" t="s">
        <v>1955</v>
      </c>
      <c r="D1157" s="209" t="s">
        <v>202</v>
      </c>
      <c r="E1157" s="210" t="s">
        <v>1956</v>
      </c>
      <c r="F1157" s="211" t="s">
        <v>1957</v>
      </c>
      <c r="G1157" s="212" t="s">
        <v>272</v>
      </c>
      <c r="H1157" s="213">
        <v>938.39999999999998</v>
      </c>
      <c r="I1157" s="214"/>
      <c r="J1157" s="215">
        <f>ROUND(I1157*H1157,1)</f>
        <v>0</v>
      </c>
      <c r="K1157" s="211" t="s">
        <v>206</v>
      </c>
      <c r="L1157" s="46"/>
      <c r="M1157" s="216" t="s">
        <v>32</v>
      </c>
      <c r="N1157" s="217" t="s">
        <v>49</v>
      </c>
      <c r="O1157" s="86"/>
      <c r="P1157" s="218">
        <f>O1157*H1157</f>
        <v>0</v>
      </c>
      <c r="Q1157" s="218">
        <v>1.0000000000000001E-05</v>
      </c>
      <c r="R1157" s="218">
        <f>Q1157*H1157</f>
        <v>0.009384</v>
      </c>
      <c r="S1157" s="218">
        <v>0</v>
      </c>
      <c r="T1157" s="219">
        <f>S1157*H1157</f>
        <v>0</v>
      </c>
      <c r="U1157" s="40"/>
      <c r="V1157" s="40"/>
      <c r="W1157" s="40"/>
      <c r="X1157" s="40"/>
      <c r="Y1157" s="40"/>
      <c r="Z1157" s="40"/>
      <c r="AA1157" s="40"/>
      <c r="AB1157" s="40"/>
      <c r="AC1157" s="40"/>
      <c r="AD1157" s="40"/>
      <c r="AE1157" s="40"/>
      <c r="AR1157" s="220" t="s">
        <v>310</v>
      </c>
      <c r="AT1157" s="220" t="s">
        <v>202</v>
      </c>
      <c r="AU1157" s="220" t="s">
        <v>88</v>
      </c>
      <c r="AY1157" s="18" t="s">
        <v>200</v>
      </c>
      <c r="BE1157" s="221">
        <f>IF(N1157="základní",J1157,0)</f>
        <v>0</v>
      </c>
      <c r="BF1157" s="221">
        <f>IF(N1157="snížená",J1157,0)</f>
        <v>0</v>
      </c>
      <c r="BG1157" s="221">
        <f>IF(N1157="zákl. přenesená",J1157,0)</f>
        <v>0</v>
      </c>
      <c r="BH1157" s="221">
        <f>IF(N1157="sníž. přenesená",J1157,0)</f>
        <v>0</v>
      </c>
      <c r="BI1157" s="221">
        <f>IF(N1157="nulová",J1157,0)</f>
        <v>0</v>
      </c>
      <c r="BJ1157" s="18" t="s">
        <v>86</v>
      </c>
      <c r="BK1157" s="221">
        <f>ROUND(I1157*H1157,1)</f>
        <v>0</v>
      </c>
      <c r="BL1157" s="18" t="s">
        <v>310</v>
      </c>
      <c r="BM1157" s="220" t="s">
        <v>1958</v>
      </c>
    </row>
    <row r="1158" s="2" customFormat="1">
      <c r="A1158" s="40"/>
      <c r="B1158" s="41"/>
      <c r="C1158" s="42"/>
      <c r="D1158" s="222" t="s">
        <v>209</v>
      </c>
      <c r="E1158" s="42"/>
      <c r="F1158" s="223" t="s">
        <v>1959</v>
      </c>
      <c r="G1158" s="42"/>
      <c r="H1158" s="42"/>
      <c r="I1158" s="224"/>
      <c r="J1158" s="42"/>
      <c r="K1158" s="42"/>
      <c r="L1158" s="46"/>
      <c r="M1158" s="225"/>
      <c r="N1158" s="226"/>
      <c r="O1158" s="86"/>
      <c r="P1158" s="86"/>
      <c r="Q1158" s="86"/>
      <c r="R1158" s="86"/>
      <c r="S1158" s="86"/>
      <c r="T1158" s="87"/>
      <c r="U1158" s="40"/>
      <c r="V1158" s="40"/>
      <c r="W1158" s="40"/>
      <c r="X1158" s="40"/>
      <c r="Y1158" s="40"/>
      <c r="Z1158" s="40"/>
      <c r="AA1158" s="40"/>
      <c r="AB1158" s="40"/>
      <c r="AC1158" s="40"/>
      <c r="AD1158" s="40"/>
      <c r="AE1158" s="40"/>
      <c r="AT1158" s="18" t="s">
        <v>209</v>
      </c>
      <c r="AU1158" s="18" t="s">
        <v>88</v>
      </c>
    </row>
    <row r="1159" s="13" customFormat="1">
      <c r="A1159" s="13"/>
      <c r="B1159" s="227"/>
      <c r="C1159" s="228"/>
      <c r="D1159" s="229" t="s">
        <v>211</v>
      </c>
      <c r="E1159" s="228"/>
      <c r="F1159" s="231" t="s">
        <v>1960</v>
      </c>
      <c r="G1159" s="228"/>
      <c r="H1159" s="232">
        <v>938.39999999999998</v>
      </c>
      <c r="I1159" s="233"/>
      <c r="J1159" s="228"/>
      <c r="K1159" s="228"/>
      <c r="L1159" s="234"/>
      <c r="M1159" s="235"/>
      <c r="N1159" s="236"/>
      <c r="O1159" s="236"/>
      <c r="P1159" s="236"/>
      <c r="Q1159" s="236"/>
      <c r="R1159" s="236"/>
      <c r="S1159" s="236"/>
      <c r="T1159" s="237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T1159" s="238" t="s">
        <v>211</v>
      </c>
      <c r="AU1159" s="238" t="s">
        <v>88</v>
      </c>
      <c r="AV1159" s="13" t="s">
        <v>88</v>
      </c>
      <c r="AW1159" s="13" t="s">
        <v>4</v>
      </c>
      <c r="AX1159" s="13" t="s">
        <v>86</v>
      </c>
      <c r="AY1159" s="238" t="s">
        <v>200</v>
      </c>
    </row>
    <row r="1160" s="2" customFormat="1" ht="16.5" customHeight="1">
      <c r="A1160" s="40"/>
      <c r="B1160" s="41"/>
      <c r="C1160" s="209" t="s">
        <v>1961</v>
      </c>
      <c r="D1160" s="209" t="s">
        <v>202</v>
      </c>
      <c r="E1160" s="210" t="s">
        <v>1962</v>
      </c>
      <c r="F1160" s="211" t="s">
        <v>1963</v>
      </c>
      <c r="G1160" s="212" t="s">
        <v>272</v>
      </c>
      <c r="H1160" s="213">
        <v>469.19999999999999</v>
      </c>
      <c r="I1160" s="214"/>
      <c r="J1160" s="215">
        <f>ROUND(I1160*H1160,1)</f>
        <v>0</v>
      </c>
      <c r="K1160" s="211" t="s">
        <v>206</v>
      </c>
      <c r="L1160" s="46"/>
      <c r="M1160" s="216" t="s">
        <v>32</v>
      </c>
      <c r="N1160" s="217" t="s">
        <v>49</v>
      </c>
      <c r="O1160" s="86"/>
      <c r="P1160" s="218">
        <f>O1160*H1160</f>
        <v>0</v>
      </c>
      <c r="Q1160" s="218">
        <v>0.00010000000000000001</v>
      </c>
      <c r="R1160" s="218">
        <f>Q1160*H1160</f>
        <v>0.046920000000000003</v>
      </c>
      <c r="S1160" s="218">
        <v>0</v>
      </c>
      <c r="T1160" s="219">
        <f>S1160*H1160</f>
        <v>0</v>
      </c>
      <c r="U1160" s="40"/>
      <c r="V1160" s="40"/>
      <c r="W1160" s="40"/>
      <c r="X1160" s="40"/>
      <c r="Y1160" s="40"/>
      <c r="Z1160" s="40"/>
      <c r="AA1160" s="40"/>
      <c r="AB1160" s="40"/>
      <c r="AC1160" s="40"/>
      <c r="AD1160" s="40"/>
      <c r="AE1160" s="40"/>
      <c r="AR1160" s="220" t="s">
        <v>310</v>
      </c>
      <c r="AT1160" s="220" t="s">
        <v>202</v>
      </c>
      <c r="AU1160" s="220" t="s">
        <v>88</v>
      </c>
      <c r="AY1160" s="18" t="s">
        <v>200</v>
      </c>
      <c r="BE1160" s="221">
        <f>IF(N1160="základní",J1160,0)</f>
        <v>0</v>
      </c>
      <c r="BF1160" s="221">
        <f>IF(N1160="snížená",J1160,0)</f>
        <v>0</v>
      </c>
      <c r="BG1160" s="221">
        <f>IF(N1160="zákl. přenesená",J1160,0)</f>
        <v>0</v>
      </c>
      <c r="BH1160" s="221">
        <f>IF(N1160="sníž. přenesená",J1160,0)</f>
        <v>0</v>
      </c>
      <c r="BI1160" s="221">
        <f>IF(N1160="nulová",J1160,0)</f>
        <v>0</v>
      </c>
      <c r="BJ1160" s="18" t="s">
        <v>86</v>
      </c>
      <c r="BK1160" s="221">
        <f>ROUND(I1160*H1160,1)</f>
        <v>0</v>
      </c>
      <c r="BL1160" s="18" t="s">
        <v>310</v>
      </c>
      <c r="BM1160" s="220" t="s">
        <v>1964</v>
      </c>
    </row>
    <row r="1161" s="2" customFormat="1">
      <c r="A1161" s="40"/>
      <c r="B1161" s="41"/>
      <c r="C1161" s="42"/>
      <c r="D1161" s="222" t="s">
        <v>209</v>
      </c>
      <c r="E1161" s="42"/>
      <c r="F1161" s="223" t="s">
        <v>1965</v>
      </c>
      <c r="G1161" s="42"/>
      <c r="H1161" s="42"/>
      <c r="I1161" s="224"/>
      <c r="J1161" s="42"/>
      <c r="K1161" s="42"/>
      <c r="L1161" s="46"/>
      <c r="M1161" s="225"/>
      <c r="N1161" s="226"/>
      <c r="O1161" s="86"/>
      <c r="P1161" s="86"/>
      <c r="Q1161" s="86"/>
      <c r="R1161" s="86"/>
      <c r="S1161" s="86"/>
      <c r="T1161" s="87"/>
      <c r="U1161" s="40"/>
      <c r="V1161" s="40"/>
      <c r="W1161" s="40"/>
      <c r="X1161" s="40"/>
      <c r="Y1161" s="40"/>
      <c r="Z1161" s="40"/>
      <c r="AA1161" s="40"/>
      <c r="AB1161" s="40"/>
      <c r="AC1161" s="40"/>
      <c r="AD1161" s="40"/>
      <c r="AE1161" s="40"/>
      <c r="AT1161" s="18" t="s">
        <v>209</v>
      </c>
      <c r="AU1161" s="18" t="s">
        <v>88</v>
      </c>
    </row>
    <row r="1162" s="2" customFormat="1" ht="24.15" customHeight="1">
      <c r="A1162" s="40"/>
      <c r="B1162" s="41"/>
      <c r="C1162" s="209" t="s">
        <v>1966</v>
      </c>
      <c r="D1162" s="209" t="s">
        <v>202</v>
      </c>
      <c r="E1162" s="210" t="s">
        <v>1967</v>
      </c>
      <c r="F1162" s="211" t="s">
        <v>1968</v>
      </c>
      <c r="G1162" s="212" t="s">
        <v>250</v>
      </c>
      <c r="H1162" s="213">
        <v>12.335000000000001</v>
      </c>
      <c r="I1162" s="214"/>
      <c r="J1162" s="215">
        <f>ROUND(I1162*H1162,1)</f>
        <v>0</v>
      </c>
      <c r="K1162" s="211" t="s">
        <v>206</v>
      </c>
      <c r="L1162" s="46"/>
      <c r="M1162" s="216" t="s">
        <v>32</v>
      </c>
      <c r="N1162" s="217" t="s">
        <v>49</v>
      </c>
      <c r="O1162" s="86"/>
      <c r="P1162" s="218">
        <f>O1162*H1162</f>
        <v>0</v>
      </c>
      <c r="Q1162" s="218">
        <v>0</v>
      </c>
      <c r="R1162" s="218">
        <f>Q1162*H1162</f>
        <v>0</v>
      </c>
      <c r="S1162" s="218">
        <v>0</v>
      </c>
      <c r="T1162" s="219">
        <f>S1162*H1162</f>
        <v>0</v>
      </c>
      <c r="U1162" s="40"/>
      <c r="V1162" s="40"/>
      <c r="W1162" s="40"/>
      <c r="X1162" s="40"/>
      <c r="Y1162" s="40"/>
      <c r="Z1162" s="40"/>
      <c r="AA1162" s="40"/>
      <c r="AB1162" s="40"/>
      <c r="AC1162" s="40"/>
      <c r="AD1162" s="40"/>
      <c r="AE1162" s="40"/>
      <c r="AR1162" s="220" t="s">
        <v>310</v>
      </c>
      <c r="AT1162" s="220" t="s">
        <v>202</v>
      </c>
      <c r="AU1162" s="220" t="s">
        <v>88</v>
      </c>
      <c r="AY1162" s="18" t="s">
        <v>200</v>
      </c>
      <c r="BE1162" s="221">
        <f>IF(N1162="základní",J1162,0)</f>
        <v>0</v>
      </c>
      <c r="BF1162" s="221">
        <f>IF(N1162="snížená",J1162,0)</f>
        <v>0</v>
      </c>
      <c r="BG1162" s="221">
        <f>IF(N1162="zákl. přenesená",J1162,0)</f>
        <v>0</v>
      </c>
      <c r="BH1162" s="221">
        <f>IF(N1162="sníž. přenesená",J1162,0)</f>
        <v>0</v>
      </c>
      <c r="BI1162" s="221">
        <f>IF(N1162="nulová",J1162,0)</f>
        <v>0</v>
      </c>
      <c r="BJ1162" s="18" t="s">
        <v>86</v>
      </c>
      <c r="BK1162" s="221">
        <f>ROUND(I1162*H1162,1)</f>
        <v>0</v>
      </c>
      <c r="BL1162" s="18" t="s">
        <v>310</v>
      </c>
      <c r="BM1162" s="220" t="s">
        <v>1969</v>
      </c>
    </row>
    <row r="1163" s="2" customFormat="1">
      <c r="A1163" s="40"/>
      <c r="B1163" s="41"/>
      <c r="C1163" s="42"/>
      <c r="D1163" s="222" t="s">
        <v>209</v>
      </c>
      <c r="E1163" s="42"/>
      <c r="F1163" s="223" t="s">
        <v>1970</v>
      </c>
      <c r="G1163" s="42"/>
      <c r="H1163" s="42"/>
      <c r="I1163" s="224"/>
      <c r="J1163" s="42"/>
      <c r="K1163" s="42"/>
      <c r="L1163" s="46"/>
      <c r="M1163" s="225"/>
      <c r="N1163" s="226"/>
      <c r="O1163" s="86"/>
      <c r="P1163" s="86"/>
      <c r="Q1163" s="86"/>
      <c r="R1163" s="86"/>
      <c r="S1163" s="86"/>
      <c r="T1163" s="87"/>
      <c r="U1163" s="40"/>
      <c r="V1163" s="40"/>
      <c r="W1163" s="40"/>
      <c r="X1163" s="40"/>
      <c r="Y1163" s="40"/>
      <c r="Z1163" s="40"/>
      <c r="AA1163" s="40"/>
      <c r="AB1163" s="40"/>
      <c r="AC1163" s="40"/>
      <c r="AD1163" s="40"/>
      <c r="AE1163" s="40"/>
      <c r="AT1163" s="18" t="s">
        <v>209</v>
      </c>
      <c r="AU1163" s="18" t="s">
        <v>88</v>
      </c>
    </row>
    <row r="1164" s="12" customFormat="1" ht="22.8" customHeight="1">
      <c r="A1164" s="12"/>
      <c r="B1164" s="193"/>
      <c r="C1164" s="194"/>
      <c r="D1164" s="195" t="s">
        <v>77</v>
      </c>
      <c r="E1164" s="207" t="s">
        <v>1971</v>
      </c>
      <c r="F1164" s="207" t="s">
        <v>1972</v>
      </c>
      <c r="G1164" s="194"/>
      <c r="H1164" s="194"/>
      <c r="I1164" s="197"/>
      <c r="J1164" s="208">
        <f>BK1164</f>
        <v>0</v>
      </c>
      <c r="K1164" s="194"/>
      <c r="L1164" s="199"/>
      <c r="M1164" s="200"/>
      <c r="N1164" s="201"/>
      <c r="O1164" s="201"/>
      <c r="P1164" s="202">
        <f>SUM(P1165:P1219)</f>
        <v>0</v>
      </c>
      <c r="Q1164" s="201"/>
      <c r="R1164" s="202">
        <f>SUM(R1165:R1219)</f>
        <v>16.936099150000004</v>
      </c>
      <c r="S1164" s="201"/>
      <c r="T1164" s="203">
        <f>SUM(T1165:T1219)</f>
        <v>0</v>
      </c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R1164" s="204" t="s">
        <v>88</v>
      </c>
      <c r="AT1164" s="205" t="s">
        <v>77</v>
      </c>
      <c r="AU1164" s="205" t="s">
        <v>86</v>
      </c>
      <c r="AY1164" s="204" t="s">
        <v>200</v>
      </c>
      <c r="BK1164" s="206">
        <f>SUM(BK1165:BK1219)</f>
        <v>0</v>
      </c>
    </row>
    <row r="1165" s="2" customFormat="1" ht="16.5" customHeight="1">
      <c r="A1165" s="40"/>
      <c r="B1165" s="41"/>
      <c r="C1165" s="209" t="s">
        <v>1973</v>
      </c>
      <c r="D1165" s="209" t="s">
        <v>202</v>
      </c>
      <c r="E1165" s="210" t="s">
        <v>1974</v>
      </c>
      <c r="F1165" s="211" t="s">
        <v>1975</v>
      </c>
      <c r="G1165" s="212" t="s">
        <v>272</v>
      </c>
      <c r="H1165" s="213">
        <v>284.43000000000001</v>
      </c>
      <c r="I1165" s="214"/>
      <c r="J1165" s="215">
        <f>ROUND(I1165*H1165,1)</f>
        <v>0</v>
      </c>
      <c r="K1165" s="211" t="s">
        <v>206</v>
      </c>
      <c r="L1165" s="46"/>
      <c r="M1165" s="216" t="s">
        <v>32</v>
      </c>
      <c r="N1165" s="217" t="s">
        <v>49</v>
      </c>
      <c r="O1165" s="86"/>
      <c r="P1165" s="218">
        <f>O1165*H1165</f>
        <v>0</v>
      </c>
      <c r="Q1165" s="218">
        <v>0.00029999999999999997</v>
      </c>
      <c r="R1165" s="218">
        <f>Q1165*H1165</f>
        <v>0.085328999999999988</v>
      </c>
      <c r="S1165" s="218">
        <v>0</v>
      </c>
      <c r="T1165" s="219">
        <f>S1165*H1165</f>
        <v>0</v>
      </c>
      <c r="U1165" s="40"/>
      <c r="V1165" s="40"/>
      <c r="W1165" s="40"/>
      <c r="X1165" s="40"/>
      <c r="Y1165" s="40"/>
      <c r="Z1165" s="40"/>
      <c r="AA1165" s="40"/>
      <c r="AB1165" s="40"/>
      <c r="AC1165" s="40"/>
      <c r="AD1165" s="40"/>
      <c r="AE1165" s="40"/>
      <c r="AR1165" s="220" t="s">
        <v>310</v>
      </c>
      <c r="AT1165" s="220" t="s">
        <v>202</v>
      </c>
      <c r="AU1165" s="220" t="s">
        <v>88</v>
      </c>
      <c r="AY1165" s="18" t="s">
        <v>200</v>
      </c>
      <c r="BE1165" s="221">
        <f>IF(N1165="základní",J1165,0)</f>
        <v>0</v>
      </c>
      <c r="BF1165" s="221">
        <f>IF(N1165="snížená",J1165,0)</f>
        <v>0</v>
      </c>
      <c r="BG1165" s="221">
        <f>IF(N1165="zákl. přenesená",J1165,0)</f>
        <v>0</v>
      </c>
      <c r="BH1165" s="221">
        <f>IF(N1165="sníž. přenesená",J1165,0)</f>
        <v>0</v>
      </c>
      <c r="BI1165" s="221">
        <f>IF(N1165="nulová",J1165,0)</f>
        <v>0</v>
      </c>
      <c r="BJ1165" s="18" t="s">
        <v>86</v>
      </c>
      <c r="BK1165" s="221">
        <f>ROUND(I1165*H1165,1)</f>
        <v>0</v>
      </c>
      <c r="BL1165" s="18" t="s">
        <v>310</v>
      </c>
      <c r="BM1165" s="220" t="s">
        <v>1976</v>
      </c>
    </row>
    <row r="1166" s="2" customFormat="1">
      <c r="A1166" s="40"/>
      <c r="B1166" s="41"/>
      <c r="C1166" s="42"/>
      <c r="D1166" s="222" t="s">
        <v>209</v>
      </c>
      <c r="E1166" s="42"/>
      <c r="F1166" s="223" t="s">
        <v>1977</v>
      </c>
      <c r="G1166" s="42"/>
      <c r="H1166" s="42"/>
      <c r="I1166" s="224"/>
      <c r="J1166" s="42"/>
      <c r="K1166" s="42"/>
      <c r="L1166" s="46"/>
      <c r="M1166" s="225"/>
      <c r="N1166" s="226"/>
      <c r="O1166" s="86"/>
      <c r="P1166" s="86"/>
      <c r="Q1166" s="86"/>
      <c r="R1166" s="86"/>
      <c r="S1166" s="86"/>
      <c r="T1166" s="87"/>
      <c r="U1166" s="40"/>
      <c r="V1166" s="40"/>
      <c r="W1166" s="40"/>
      <c r="X1166" s="40"/>
      <c r="Y1166" s="40"/>
      <c r="Z1166" s="40"/>
      <c r="AA1166" s="40"/>
      <c r="AB1166" s="40"/>
      <c r="AC1166" s="40"/>
      <c r="AD1166" s="40"/>
      <c r="AE1166" s="40"/>
      <c r="AT1166" s="18" t="s">
        <v>209</v>
      </c>
      <c r="AU1166" s="18" t="s">
        <v>88</v>
      </c>
    </row>
    <row r="1167" s="15" customFormat="1">
      <c r="A1167" s="15"/>
      <c r="B1167" s="250"/>
      <c r="C1167" s="251"/>
      <c r="D1167" s="229" t="s">
        <v>211</v>
      </c>
      <c r="E1167" s="252" t="s">
        <v>32</v>
      </c>
      <c r="F1167" s="253" t="s">
        <v>1978</v>
      </c>
      <c r="G1167" s="251"/>
      <c r="H1167" s="252" t="s">
        <v>32</v>
      </c>
      <c r="I1167" s="254"/>
      <c r="J1167" s="251"/>
      <c r="K1167" s="251"/>
      <c r="L1167" s="255"/>
      <c r="M1167" s="256"/>
      <c r="N1167" s="257"/>
      <c r="O1167" s="257"/>
      <c r="P1167" s="257"/>
      <c r="Q1167" s="257"/>
      <c r="R1167" s="257"/>
      <c r="S1167" s="257"/>
      <c r="T1167" s="258"/>
      <c r="U1167" s="15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T1167" s="259" t="s">
        <v>211</v>
      </c>
      <c r="AU1167" s="259" t="s">
        <v>88</v>
      </c>
      <c r="AV1167" s="15" t="s">
        <v>86</v>
      </c>
      <c r="AW1167" s="15" t="s">
        <v>213</v>
      </c>
      <c r="AX1167" s="15" t="s">
        <v>78</v>
      </c>
      <c r="AY1167" s="259" t="s">
        <v>200</v>
      </c>
    </row>
    <row r="1168" s="13" customFormat="1">
      <c r="A1168" s="13"/>
      <c r="B1168" s="227"/>
      <c r="C1168" s="228"/>
      <c r="D1168" s="229" t="s">
        <v>211</v>
      </c>
      <c r="E1168" s="230" t="s">
        <v>32</v>
      </c>
      <c r="F1168" s="231" t="s">
        <v>1979</v>
      </c>
      <c r="G1168" s="228"/>
      <c r="H1168" s="232">
        <v>24.899999999999999</v>
      </c>
      <c r="I1168" s="233"/>
      <c r="J1168" s="228"/>
      <c r="K1168" s="228"/>
      <c r="L1168" s="234"/>
      <c r="M1168" s="235"/>
      <c r="N1168" s="236"/>
      <c r="O1168" s="236"/>
      <c r="P1168" s="236"/>
      <c r="Q1168" s="236"/>
      <c r="R1168" s="236"/>
      <c r="S1168" s="236"/>
      <c r="T1168" s="237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T1168" s="238" t="s">
        <v>211</v>
      </c>
      <c r="AU1168" s="238" t="s">
        <v>88</v>
      </c>
      <c r="AV1168" s="13" t="s">
        <v>88</v>
      </c>
      <c r="AW1168" s="13" t="s">
        <v>213</v>
      </c>
      <c r="AX1168" s="13" t="s">
        <v>78</v>
      </c>
      <c r="AY1168" s="238" t="s">
        <v>200</v>
      </c>
    </row>
    <row r="1169" s="13" customFormat="1">
      <c r="A1169" s="13"/>
      <c r="B1169" s="227"/>
      <c r="C1169" s="228"/>
      <c r="D1169" s="229" t="s">
        <v>211</v>
      </c>
      <c r="E1169" s="230" t="s">
        <v>32</v>
      </c>
      <c r="F1169" s="231" t="s">
        <v>1980</v>
      </c>
      <c r="G1169" s="228"/>
      <c r="H1169" s="232">
        <v>24</v>
      </c>
      <c r="I1169" s="233"/>
      <c r="J1169" s="228"/>
      <c r="K1169" s="228"/>
      <c r="L1169" s="234"/>
      <c r="M1169" s="235"/>
      <c r="N1169" s="236"/>
      <c r="O1169" s="236"/>
      <c r="P1169" s="236"/>
      <c r="Q1169" s="236"/>
      <c r="R1169" s="236"/>
      <c r="S1169" s="236"/>
      <c r="T1169" s="237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T1169" s="238" t="s">
        <v>211</v>
      </c>
      <c r="AU1169" s="238" t="s">
        <v>88</v>
      </c>
      <c r="AV1169" s="13" t="s">
        <v>88</v>
      </c>
      <c r="AW1169" s="13" t="s">
        <v>213</v>
      </c>
      <c r="AX1169" s="13" t="s">
        <v>78</v>
      </c>
      <c r="AY1169" s="238" t="s">
        <v>200</v>
      </c>
    </row>
    <row r="1170" s="13" customFormat="1">
      <c r="A1170" s="13"/>
      <c r="B1170" s="227"/>
      <c r="C1170" s="228"/>
      <c r="D1170" s="229" t="s">
        <v>211</v>
      </c>
      <c r="E1170" s="230" t="s">
        <v>32</v>
      </c>
      <c r="F1170" s="231" t="s">
        <v>1981</v>
      </c>
      <c r="G1170" s="228"/>
      <c r="H1170" s="232">
        <v>10.76</v>
      </c>
      <c r="I1170" s="233"/>
      <c r="J1170" s="228"/>
      <c r="K1170" s="228"/>
      <c r="L1170" s="234"/>
      <c r="M1170" s="235"/>
      <c r="N1170" s="236"/>
      <c r="O1170" s="236"/>
      <c r="P1170" s="236"/>
      <c r="Q1170" s="236"/>
      <c r="R1170" s="236"/>
      <c r="S1170" s="236"/>
      <c r="T1170" s="237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T1170" s="238" t="s">
        <v>211</v>
      </c>
      <c r="AU1170" s="238" t="s">
        <v>88</v>
      </c>
      <c r="AV1170" s="13" t="s">
        <v>88</v>
      </c>
      <c r="AW1170" s="13" t="s">
        <v>213</v>
      </c>
      <c r="AX1170" s="13" t="s">
        <v>78</v>
      </c>
      <c r="AY1170" s="238" t="s">
        <v>200</v>
      </c>
    </row>
    <row r="1171" s="13" customFormat="1">
      <c r="A1171" s="13"/>
      <c r="B1171" s="227"/>
      <c r="C1171" s="228"/>
      <c r="D1171" s="229" t="s">
        <v>211</v>
      </c>
      <c r="E1171" s="230" t="s">
        <v>32</v>
      </c>
      <c r="F1171" s="231" t="s">
        <v>1982</v>
      </c>
      <c r="G1171" s="228"/>
      <c r="H1171" s="232">
        <v>14.4</v>
      </c>
      <c r="I1171" s="233"/>
      <c r="J1171" s="228"/>
      <c r="K1171" s="228"/>
      <c r="L1171" s="234"/>
      <c r="M1171" s="235"/>
      <c r="N1171" s="236"/>
      <c r="O1171" s="236"/>
      <c r="P1171" s="236"/>
      <c r="Q1171" s="236"/>
      <c r="R1171" s="236"/>
      <c r="S1171" s="236"/>
      <c r="T1171" s="237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T1171" s="238" t="s">
        <v>211</v>
      </c>
      <c r="AU1171" s="238" t="s">
        <v>88</v>
      </c>
      <c r="AV1171" s="13" t="s">
        <v>88</v>
      </c>
      <c r="AW1171" s="13" t="s">
        <v>213</v>
      </c>
      <c r="AX1171" s="13" t="s">
        <v>78</v>
      </c>
      <c r="AY1171" s="238" t="s">
        <v>200</v>
      </c>
    </row>
    <row r="1172" s="13" customFormat="1">
      <c r="A1172" s="13"/>
      <c r="B1172" s="227"/>
      <c r="C1172" s="228"/>
      <c r="D1172" s="229" t="s">
        <v>211</v>
      </c>
      <c r="E1172" s="230" t="s">
        <v>32</v>
      </c>
      <c r="F1172" s="231" t="s">
        <v>1983</v>
      </c>
      <c r="G1172" s="228"/>
      <c r="H1172" s="232">
        <v>6.04</v>
      </c>
      <c r="I1172" s="233"/>
      <c r="J1172" s="228"/>
      <c r="K1172" s="228"/>
      <c r="L1172" s="234"/>
      <c r="M1172" s="235"/>
      <c r="N1172" s="236"/>
      <c r="O1172" s="236"/>
      <c r="P1172" s="236"/>
      <c r="Q1172" s="236"/>
      <c r="R1172" s="236"/>
      <c r="S1172" s="236"/>
      <c r="T1172" s="237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T1172" s="238" t="s">
        <v>211</v>
      </c>
      <c r="AU1172" s="238" t="s">
        <v>88</v>
      </c>
      <c r="AV1172" s="13" t="s">
        <v>88</v>
      </c>
      <c r="AW1172" s="13" t="s">
        <v>213</v>
      </c>
      <c r="AX1172" s="13" t="s">
        <v>78</v>
      </c>
      <c r="AY1172" s="238" t="s">
        <v>200</v>
      </c>
    </row>
    <row r="1173" s="13" customFormat="1">
      <c r="A1173" s="13"/>
      <c r="B1173" s="227"/>
      <c r="C1173" s="228"/>
      <c r="D1173" s="229" t="s">
        <v>211</v>
      </c>
      <c r="E1173" s="230" t="s">
        <v>32</v>
      </c>
      <c r="F1173" s="231" t="s">
        <v>1984</v>
      </c>
      <c r="G1173" s="228"/>
      <c r="H1173" s="232">
        <v>10.4</v>
      </c>
      <c r="I1173" s="233"/>
      <c r="J1173" s="228"/>
      <c r="K1173" s="228"/>
      <c r="L1173" s="234"/>
      <c r="M1173" s="235"/>
      <c r="N1173" s="236"/>
      <c r="O1173" s="236"/>
      <c r="P1173" s="236"/>
      <c r="Q1173" s="236"/>
      <c r="R1173" s="236"/>
      <c r="S1173" s="236"/>
      <c r="T1173" s="237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T1173" s="238" t="s">
        <v>211</v>
      </c>
      <c r="AU1173" s="238" t="s">
        <v>88</v>
      </c>
      <c r="AV1173" s="13" t="s">
        <v>88</v>
      </c>
      <c r="AW1173" s="13" t="s">
        <v>213</v>
      </c>
      <c r="AX1173" s="13" t="s">
        <v>78</v>
      </c>
      <c r="AY1173" s="238" t="s">
        <v>200</v>
      </c>
    </row>
    <row r="1174" s="13" customFormat="1">
      <c r="A1174" s="13"/>
      <c r="B1174" s="227"/>
      <c r="C1174" s="228"/>
      <c r="D1174" s="229" t="s">
        <v>211</v>
      </c>
      <c r="E1174" s="230" t="s">
        <v>32</v>
      </c>
      <c r="F1174" s="231" t="s">
        <v>1985</v>
      </c>
      <c r="G1174" s="228"/>
      <c r="H1174" s="232">
        <v>9.5999999999999996</v>
      </c>
      <c r="I1174" s="233"/>
      <c r="J1174" s="228"/>
      <c r="K1174" s="228"/>
      <c r="L1174" s="234"/>
      <c r="M1174" s="235"/>
      <c r="N1174" s="236"/>
      <c r="O1174" s="236"/>
      <c r="P1174" s="236"/>
      <c r="Q1174" s="236"/>
      <c r="R1174" s="236"/>
      <c r="S1174" s="236"/>
      <c r="T1174" s="237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T1174" s="238" t="s">
        <v>211</v>
      </c>
      <c r="AU1174" s="238" t="s">
        <v>88</v>
      </c>
      <c r="AV1174" s="13" t="s">
        <v>88</v>
      </c>
      <c r="AW1174" s="13" t="s">
        <v>213</v>
      </c>
      <c r="AX1174" s="13" t="s">
        <v>78</v>
      </c>
      <c r="AY1174" s="238" t="s">
        <v>200</v>
      </c>
    </row>
    <row r="1175" s="13" customFormat="1">
      <c r="A1175" s="13"/>
      <c r="B1175" s="227"/>
      <c r="C1175" s="228"/>
      <c r="D1175" s="229" t="s">
        <v>211</v>
      </c>
      <c r="E1175" s="230" t="s">
        <v>32</v>
      </c>
      <c r="F1175" s="231" t="s">
        <v>1986</v>
      </c>
      <c r="G1175" s="228"/>
      <c r="H1175" s="232">
        <v>12.4</v>
      </c>
      <c r="I1175" s="233"/>
      <c r="J1175" s="228"/>
      <c r="K1175" s="228"/>
      <c r="L1175" s="234"/>
      <c r="M1175" s="235"/>
      <c r="N1175" s="236"/>
      <c r="O1175" s="236"/>
      <c r="P1175" s="236"/>
      <c r="Q1175" s="236"/>
      <c r="R1175" s="236"/>
      <c r="S1175" s="236"/>
      <c r="T1175" s="237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T1175" s="238" t="s">
        <v>211</v>
      </c>
      <c r="AU1175" s="238" t="s">
        <v>88</v>
      </c>
      <c r="AV1175" s="13" t="s">
        <v>88</v>
      </c>
      <c r="AW1175" s="13" t="s">
        <v>213</v>
      </c>
      <c r="AX1175" s="13" t="s">
        <v>78</v>
      </c>
      <c r="AY1175" s="238" t="s">
        <v>200</v>
      </c>
    </row>
    <row r="1176" s="13" customFormat="1">
      <c r="A1176" s="13"/>
      <c r="B1176" s="227"/>
      <c r="C1176" s="228"/>
      <c r="D1176" s="229" t="s">
        <v>211</v>
      </c>
      <c r="E1176" s="230" t="s">
        <v>32</v>
      </c>
      <c r="F1176" s="231" t="s">
        <v>1987</v>
      </c>
      <c r="G1176" s="228"/>
      <c r="H1176" s="232">
        <v>10</v>
      </c>
      <c r="I1176" s="233"/>
      <c r="J1176" s="228"/>
      <c r="K1176" s="228"/>
      <c r="L1176" s="234"/>
      <c r="M1176" s="235"/>
      <c r="N1176" s="236"/>
      <c r="O1176" s="236"/>
      <c r="P1176" s="236"/>
      <c r="Q1176" s="236"/>
      <c r="R1176" s="236"/>
      <c r="S1176" s="236"/>
      <c r="T1176" s="237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T1176" s="238" t="s">
        <v>211</v>
      </c>
      <c r="AU1176" s="238" t="s">
        <v>88</v>
      </c>
      <c r="AV1176" s="13" t="s">
        <v>88</v>
      </c>
      <c r="AW1176" s="13" t="s">
        <v>213</v>
      </c>
      <c r="AX1176" s="13" t="s">
        <v>78</v>
      </c>
      <c r="AY1176" s="238" t="s">
        <v>200</v>
      </c>
    </row>
    <row r="1177" s="13" customFormat="1">
      <c r="A1177" s="13"/>
      <c r="B1177" s="227"/>
      <c r="C1177" s="228"/>
      <c r="D1177" s="229" t="s">
        <v>211</v>
      </c>
      <c r="E1177" s="230" t="s">
        <v>32</v>
      </c>
      <c r="F1177" s="231" t="s">
        <v>1988</v>
      </c>
      <c r="G1177" s="228"/>
      <c r="H1177" s="232">
        <v>9.5999999999999996</v>
      </c>
      <c r="I1177" s="233"/>
      <c r="J1177" s="228"/>
      <c r="K1177" s="228"/>
      <c r="L1177" s="234"/>
      <c r="M1177" s="235"/>
      <c r="N1177" s="236"/>
      <c r="O1177" s="236"/>
      <c r="P1177" s="236"/>
      <c r="Q1177" s="236"/>
      <c r="R1177" s="236"/>
      <c r="S1177" s="236"/>
      <c r="T1177" s="237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T1177" s="238" t="s">
        <v>211</v>
      </c>
      <c r="AU1177" s="238" t="s">
        <v>88</v>
      </c>
      <c r="AV1177" s="13" t="s">
        <v>88</v>
      </c>
      <c r="AW1177" s="13" t="s">
        <v>213</v>
      </c>
      <c r="AX1177" s="13" t="s">
        <v>78</v>
      </c>
      <c r="AY1177" s="238" t="s">
        <v>200</v>
      </c>
    </row>
    <row r="1178" s="13" customFormat="1">
      <c r="A1178" s="13"/>
      <c r="B1178" s="227"/>
      <c r="C1178" s="228"/>
      <c r="D1178" s="229" t="s">
        <v>211</v>
      </c>
      <c r="E1178" s="230" t="s">
        <v>32</v>
      </c>
      <c r="F1178" s="231" t="s">
        <v>1989</v>
      </c>
      <c r="G1178" s="228"/>
      <c r="H1178" s="232">
        <v>14.199999999999999</v>
      </c>
      <c r="I1178" s="233"/>
      <c r="J1178" s="228"/>
      <c r="K1178" s="228"/>
      <c r="L1178" s="234"/>
      <c r="M1178" s="235"/>
      <c r="N1178" s="236"/>
      <c r="O1178" s="236"/>
      <c r="P1178" s="236"/>
      <c r="Q1178" s="236"/>
      <c r="R1178" s="236"/>
      <c r="S1178" s="236"/>
      <c r="T1178" s="237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T1178" s="238" t="s">
        <v>211</v>
      </c>
      <c r="AU1178" s="238" t="s">
        <v>88</v>
      </c>
      <c r="AV1178" s="13" t="s">
        <v>88</v>
      </c>
      <c r="AW1178" s="13" t="s">
        <v>213</v>
      </c>
      <c r="AX1178" s="13" t="s">
        <v>78</v>
      </c>
      <c r="AY1178" s="238" t="s">
        <v>200</v>
      </c>
    </row>
    <row r="1179" s="13" customFormat="1">
      <c r="A1179" s="13"/>
      <c r="B1179" s="227"/>
      <c r="C1179" s="228"/>
      <c r="D1179" s="229" t="s">
        <v>211</v>
      </c>
      <c r="E1179" s="230" t="s">
        <v>32</v>
      </c>
      <c r="F1179" s="231" t="s">
        <v>1990</v>
      </c>
      <c r="G1179" s="228"/>
      <c r="H1179" s="232">
        <v>15</v>
      </c>
      <c r="I1179" s="233"/>
      <c r="J1179" s="228"/>
      <c r="K1179" s="228"/>
      <c r="L1179" s="234"/>
      <c r="M1179" s="235"/>
      <c r="N1179" s="236"/>
      <c r="O1179" s="236"/>
      <c r="P1179" s="236"/>
      <c r="Q1179" s="236"/>
      <c r="R1179" s="236"/>
      <c r="S1179" s="236"/>
      <c r="T1179" s="237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T1179" s="238" t="s">
        <v>211</v>
      </c>
      <c r="AU1179" s="238" t="s">
        <v>88</v>
      </c>
      <c r="AV1179" s="13" t="s">
        <v>88</v>
      </c>
      <c r="AW1179" s="13" t="s">
        <v>213</v>
      </c>
      <c r="AX1179" s="13" t="s">
        <v>78</v>
      </c>
      <c r="AY1179" s="238" t="s">
        <v>200</v>
      </c>
    </row>
    <row r="1180" s="13" customFormat="1">
      <c r="A1180" s="13"/>
      <c r="B1180" s="227"/>
      <c r="C1180" s="228"/>
      <c r="D1180" s="229" t="s">
        <v>211</v>
      </c>
      <c r="E1180" s="230" t="s">
        <v>32</v>
      </c>
      <c r="F1180" s="231" t="s">
        <v>1991</v>
      </c>
      <c r="G1180" s="228"/>
      <c r="H1180" s="232">
        <v>13.359999999999999</v>
      </c>
      <c r="I1180" s="233"/>
      <c r="J1180" s="228"/>
      <c r="K1180" s="228"/>
      <c r="L1180" s="234"/>
      <c r="M1180" s="235"/>
      <c r="N1180" s="236"/>
      <c r="O1180" s="236"/>
      <c r="P1180" s="236"/>
      <c r="Q1180" s="236"/>
      <c r="R1180" s="236"/>
      <c r="S1180" s="236"/>
      <c r="T1180" s="237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T1180" s="238" t="s">
        <v>211</v>
      </c>
      <c r="AU1180" s="238" t="s">
        <v>88</v>
      </c>
      <c r="AV1180" s="13" t="s">
        <v>88</v>
      </c>
      <c r="AW1180" s="13" t="s">
        <v>213</v>
      </c>
      <c r="AX1180" s="13" t="s">
        <v>78</v>
      </c>
      <c r="AY1180" s="238" t="s">
        <v>200</v>
      </c>
    </row>
    <row r="1181" s="13" customFormat="1">
      <c r="A1181" s="13"/>
      <c r="B1181" s="227"/>
      <c r="C1181" s="228"/>
      <c r="D1181" s="229" t="s">
        <v>211</v>
      </c>
      <c r="E1181" s="230" t="s">
        <v>32</v>
      </c>
      <c r="F1181" s="231" t="s">
        <v>1992</v>
      </c>
      <c r="G1181" s="228"/>
      <c r="H1181" s="232">
        <v>14.960000000000001</v>
      </c>
      <c r="I1181" s="233"/>
      <c r="J1181" s="228"/>
      <c r="K1181" s="228"/>
      <c r="L1181" s="234"/>
      <c r="M1181" s="235"/>
      <c r="N1181" s="236"/>
      <c r="O1181" s="236"/>
      <c r="P1181" s="236"/>
      <c r="Q1181" s="236"/>
      <c r="R1181" s="236"/>
      <c r="S1181" s="236"/>
      <c r="T1181" s="237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T1181" s="238" t="s">
        <v>211</v>
      </c>
      <c r="AU1181" s="238" t="s">
        <v>88</v>
      </c>
      <c r="AV1181" s="13" t="s">
        <v>88</v>
      </c>
      <c r="AW1181" s="13" t="s">
        <v>213</v>
      </c>
      <c r="AX1181" s="13" t="s">
        <v>78</v>
      </c>
      <c r="AY1181" s="238" t="s">
        <v>200</v>
      </c>
    </row>
    <row r="1182" s="13" customFormat="1">
      <c r="A1182" s="13"/>
      <c r="B1182" s="227"/>
      <c r="C1182" s="228"/>
      <c r="D1182" s="229" t="s">
        <v>211</v>
      </c>
      <c r="E1182" s="230" t="s">
        <v>32</v>
      </c>
      <c r="F1182" s="231" t="s">
        <v>1993</v>
      </c>
      <c r="G1182" s="228"/>
      <c r="H1182" s="232">
        <v>10.210000000000001</v>
      </c>
      <c r="I1182" s="233"/>
      <c r="J1182" s="228"/>
      <c r="K1182" s="228"/>
      <c r="L1182" s="234"/>
      <c r="M1182" s="235"/>
      <c r="N1182" s="236"/>
      <c r="O1182" s="236"/>
      <c r="P1182" s="236"/>
      <c r="Q1182" s="236"/>
      <c r="R1182" s="236"/>
      <c r="S1182" s="236"/>
      <c r="T1182" s="237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T1182" s="238" t="s">
        <v>211</v>
      </c>
      <c r="AU1182" s="238" t="s">
        <v>88</v>
      </c>
      <c r="AV1182" s="13" t="s">
        <v>88</v>
      </c>
      <c r="AW1182" s="13" t="s">
        <v>213</v>
      </c>
      <c r="AX1182" s="13" t="s">
        <v>78</v>
      </c>
      <c r="AY1182" s="238" t="s">
        <v>200</v>
      </c>
    </row>
    <row r="1183" s="13" customFormat="1">
      <c r="A1183" s="13"/>
      <c r="B1183" s="227"/>
      <c r="C1183" s="228"/>
      <c r="D1183" s="229" t="s">
        <v>211</v>
      </c>
      <c r="E1183" s="230" t="s">
        <v>32</v>
      </c>
      <c r="F1183" s="231" t="s">
        <v>1994</v>
      </c>
      <c r="G1183" s="228"/>
      <c r="H1183" s="232">
        <v>14</v>
      </c>
      <c r="I1183" s="233"/>
      <c r="J1183" s="228"/>
      <c r="K1183" s="228"/>
      <c r="L1183" s="234"/>
      <c r="M1183" s="235"/>
      <c r="N1183" s="236"/>
      <c r="O1183" s="236"/>
      <c r="P1183" s="236"/>
      <c r="Q1183" s="236"/>
      <c r="R1183" s="236"/>
      <c r="S1183" s="236"/>
      <c r="T1183" s="237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T1183" s="238" t="s">
        <v>211</v>
      </c>
      <c r="AU1183" s="238" t="s">
        <v>88</v>
      </c>
      <c r="AV1183" s="13" t="s">
        <v>88</v>
      </c>
      <c r="AW1183" s="13" t="s">
        <v>213</v>
      </c>
      <c r="AX1183" s="13" t="s">
        <v>78</v>
      </c>
      <c r="AY1183" s="238" t="s">
        <v>200</v>
      </c>
    </row>
    <row r="1184" s="13" customFormat="1">
      <c r="A1184" s="13"/>
      <c r="B1184" s="227"/>
      <c r="C1184" s="228"/>
      <c r="D1184" s="229" t="s">
        <v>211</v>
      </c>
      <c r="E1184" s="230" t="s">
        <v>32</v>
      </c>
      <c r="F1184" s="231" t="s">
        <v>1995</v>
      </c>
      <c r="G1184" s="228"/>
      <c r="H1184" s="232">
        <v>14.800000000000001</v>
      </c>
      <c r="I1184" s="233"/>
      <c r="J1184" s="228"/>
      <c r="K1184" s="228"/>
      <c r="L1184" s="234"/>
      <c r="M1184" s="235"/>
      <c r="N1184" s="236"/>
      <c r="O1184" s="236"/>
      <c r="P1184" s="236"/>
      <c r="Q1184" s="236"/>
      <c r="R1184" s="236"/>
      <c r="S1184" s="236"/>
      <c r="T1184" s="237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T1184" s="238" t="s">
        <v>211</v>
      </c>
      <c r="AU1184" s="238" t="s">
        <v>88</v>
      </c>
      <c r="AV1184" s="13" t="s">
        <v>88</v>
      </c>
      <c r="AW1184" s="13" t="s">
        <v>213</v>
      </c>
      <c r="AX1184" s="13" t="s">
        <v>78</v>
      </c>
      <c r="AY1184" s="238" t="s">
        <v>200</v>
      </c>
    </row>
    <row r="1185" s="13" customFormat="1">
      <c r="A1185" s="13"/>
      <c r="B1185" s="227"/>
      <c r="C1185" s="228"/>
      <c r="D1185" s="229" t="s">
        <v>211</v>
      </c>
      <c r="E1185" s="230" t="s">
        <v>32</v>
      </c>
      <c r="F1185" s="231" t="s">
        <v>1996</v>
      </c>
      <c r="G1185" s="228"/>
      <c r="H1185" s="232">
        <v>15.560000000000001</v>
      </c>
      <c r="I1185" s="233"/>
      <c r="J1185" s="228"/>
      <c r="K1185" s="228"/>
      <c r="L1185" s="234"/>
      <c r="M1185" s="235"/>
      <c r="N1185" s="236"/>
      <c r="O1185" s="236"/>
      <c r="P1185" s="236"/>
      <c r="Q1185" s="236"/>
      <c r="R1185" s="236"/>
      <c r="S1185" s="236"/>
      <c r="T1185" s="237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T1185" s="238" t="s">
        <v>211</v>
      </c>
      <c r="AU1185" s="238" t="s">
        <v>88</v>
      </c>
      <c r="AV1185" s="13" t="s">
        <v>88</v>
      </c>
      <c r="AW1185" s="13" t="s">
        <v>213</v>
      </c>
      <c r="AX1185" s="13" t="s">
        <v>78</v>
      </c>
      <c r="AY1185" s="238" t="s">
        <v>200</v>
      </c>
    </row>
    <row r="1186" s="13" customFormat="1">
      <c r="A1186" s="13"/>
      <c r="B1186" s="227"/>
      <c r="C1186" s="228"/>
      <c r="D1186" s="229" t="s">
        <v>211</v>
      </c>
      <c r="E1186" s="230" t="s">
        <v>32</v>
      </c>
      <c r="F1186" s="231" t="s">
        <v>1997</v>
      </c>
      <c r="G1186" s="228"/>
      <c r="H1186" s="232">
        <v>9.5800000000000001</v>
      </c>
      <c r="I1186" s="233"/>
      <c r="J1186" s="228"/>
      <c r="K1186" s="228"/>
      <c r="L1186" s="234"/>
      <c r="M1186" s="235"/>
      <c r="N1186" s="236"/>
      <c r="O1186" s="236"/>
      <c r="P1186" s="236"/>
      <c r="Q1186" s="236"/>
      <c r="R1186" s="236"/>
      <c r="S1186" s="236"/>
      <c r="T1186" s="237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T1186" s="238" t="s">
        <v>211</v>
      </c>
      <c r="AU1186" s="238" t="s">
        <v>88</v>
      </c>
      <c r="AV1186" s="13" t="s">
        <v>88</v>
      </c>
      <c r="AW1186" s="13" t="s">
        <v>213</v>
      </c>
      <c r="AX1186" s="13" t="s">
        <v>78</v>
      </c>
      <c r="AY1186" s="238" t="s">
        <v>200</v>
      </c>
    </row>
    <row r="1187" s="13" customFormat="1">
      <c r="A1187" s="13"/>
      <c r="B1187" s="227"/>
      <c r="C1187" s="228"/>
      <c r="D1187" s="229" t="s">
        <v>211</v>
      </c>
      <c r="E1187" s="230" t="s">
        <v>32</v>
      </c>
      <c r="F1187" s="231" t="s">
        <v>1998</v>
      </c>
      <c r="G1187" s="228"/>
      <c r="H1187" s="232">
        <v>14.960000000000001</v>
      </c>
      <c r="I1187" s="233"/>
      <c r="J1187" s="228"/>
      <c r="K1187" s="228"/>
      <c r="L1187" s="234"/>
      <c r="M1187" s="235"/>
      <c r="N1187" s="236"/>
      <c r="O1187" s="236"/>
      <c r="P1187" s="236"/>
      <c r="Q1187" s="236"/>
      <c r="R1187" s="236"/>
      <c r="S1187" s="236"/>
      <c r="T1187" s="237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T1187" s="238" t="s">
        <v>211</v>
      </c>
      <c r="AU1187" s="238" t="s">
        <v>88</v>
      </c>
      <c r="AV1187" s="13" t="s">
        <v>88</v>
      </c>
      <c r="AW1187" s="13" t="s">
        <v>213</v>
      </c>
      <c r="AX1187" s="13" t="s">
        <v>78</v>
      </c>
      <c r="AY1187" s="238" t="s">
        <v>200</v>
      </c>
    </row>
    <row r="1188" s="13" customFormat="1">
      <c r="A1188" s="13"/>
      <c r="B1188" s="227"/>
      <c r="C1188" s="228"/>
      <c r="D1188" s="229" t="s">
        <v>211</v>
      </c>
      <c r="E1188" s="230" t="s">
        <v>32</v>
      </c>
      <c r="F1188" s="231" t="s">
        <v>1999</v>
      </c>
      <c r="G1188" s="228"/>
      <c r="H1188" s="232">
        <v>10</v>
      </c>
      <c r="I1188" s="233"/>
      <c r="J1188" s="228"/>
      <c r="K1188" s="228"/>
      <c r="L1188" s="234"/>
      <c r="M1188" s="235"/>
      <c r="N1188" s="236"/>
      <c r="O1188" s="236"/>
      <c r="P1188" s="236"/>
      <c r="Q1188" s="236"/>
      <c r="R1188" s="236"/>
      <c r="S1188" s="236"/>
      <c r="T1188" s="237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T1188" s="238" t="s">
        <v>211</v>
      </c>
      <c r="AU1188" s="238" t="s">
        <v>88</v>
      </c>
      <c r="AV1188" s="13" t="s">
        <v>88</v>
      </c>
      <c r="AW1188" s="13" t="s">
        <v>213</v>
      </c>
      <c r="AX1188" s="13" t="s">
        <v>78</v>
      </c>
      <c r="AY1188" s="238" t="s">
        <v>200</v>
      </c>
    </row>
    <row r="1189" s="16" customFormat="1">
      <c r="A1189" s="16"/>
      <c r="B1189" s="270"/>
      <c r="C1189" s="271"/>
      <c r="D1189" s="229" t="s">
        <v>211</v>
      </c>
      <c r="E1189" s="272" t="s">
        <v>125</v>
      </c>
      <c r="F1189" s="273" t="s">
        <v>318</v>
      </c>
      <c r="G1189" s="271"/>
      <c r="H1189" s="274">
        <v>278.73000000000002</v>
      </c>
      <c r="I1189" s="275"/>
      <c r="J1189" s="271"/>
      <c r="K1189" s="271"/>
      <c r="L1189" s="276"/>
      <c r="M1189" s="277"/>
      <c r="N1189" s="278"/>
      <c r="O1189" s="278"/>
      <c r="P1189" s="278"/>
      <c r="Q1189" s="278"/>
      <c r="R1189" s="278"/>
      <c r="S1189" s="278"/>
      <c r="T1189" s="279"/>
      <c r="U1189" s="16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T1189" s="280" t="s">
        <v>211</v>
      </c>
      <c r="AU1189" s="280" t="s">
        <v>88</v>
      </c>
      <c r="AV1189" s="16" t="s">
        <v>148</v>
      </c>
      <c r="AW1189" s="16" t="s">
        <v>213</v>
      </c>
      <c r="AX1189" s="16" t="s">
        <v>78</v>
      </c>
      <c r="AY1189" s="280" t="s">
        <v>200</v>
      </c>
    </row>
    <row r="1190" s="15" customFormat="1">
      <c r="A1190" s="15"/>
      <c r="B1190" s="250"/>
      <c r="C1190" s="251"/>
      <c r="D1190" s="229" t="s">
        <v>211</v>
      </c>
      <c r="E1190" s="252" t="s">
        <v>32</v>
      </c>
      <c r="F1190" s="253" t="s">
        <v>2000</v>
      </c>
      <c r="G1190" s="251"/>
      <c r="H1190" s="252" t="s">
        <v>32</v>
      </c>
      <c r="I1190" s="254"/>
      <c r="J1190" s="251"/>
      <c r="K1190" s="251"/>
      <c r="L1190" s="255"/>
      <c r="M1190" s="256"/>
      <c r="N1190" s="257"/>
      <c r="O1190" s="257"/>
      <c r="P1190" s="257"/>
      <c r="Q1190" s="257"/>
      <c r="R1190" s="257"/>
      <c r="S1190" s="257"/>
      <c r="T1190" s="258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T1190" s="259" t="s">
        <v>211</v>
      </c>
      <c r="AU1190" s="259" t="s">
        <v>88</v>
      </c>
      <c r="AV1190" s="15" t="s">
        <v>86</v>
      </c>
      <c r="AW1190" s="15" t="s">
        <v>213</v>
      </c>
      <c r="AX1190" s="15" t="s">
        <v>78</v>
      </c>
      <c r="AY1190" s="259" t="s">
        <v>200</v>
      </c>
    </row>
    <row r="1191" s="13" customFormat="1">
      <c r="A1191" s="13"/>
      <c r="B1191" s="227"/>
      <c r="C1191" s="228"/>
      <c r="D1191" s="229" t="s">
        <v>211</v>
      </c>
      <c r="E1191" s="230" t="s">
        <v>131</v>
      </c>
      <c r="F1191" s="231" t="s">
        <v>2001</v>
      </c>
      <c r="G1191" s="228"/>
      <c r="H1191" s="232">
        <v>5.7000000000000002</v>
      </c>
      <c r="I1191" s="233"/>
      <c r="J1191" s="228"/>
      <c r="K1191" s="228"/>
      <c r="L1191" s="234"/>
      <c r="M1191" s="235"/>
      <c r="N1191" s="236"/>
      <c r="O1191" s="236"/>
      <c r="P1191" s="236"/>
      <c r="Q1191" s="236"/>
      <c r="R1191" s="236"/>
      <c r="S1191" s="236"/>
      <c r="T1191" s="237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T1191" s="238" t="s">
        <v>211</v>
      </c>
      <c r="AU1191" s="238" t="s">
        <v>88</v>
      </c>
      <c r="AV1191" s="13" t="s">
        <v>88</v>
      </c>
      <c r="AW1191" s="13" t="s">
        <v>213</v>
      </c>
      <c r="AX1191" s="13" t="s">
        <v>78</v>
      </c>
      <c r="AY1191" s="238" t="s">
        <v>200</v>
      </c>
    </row>
    <row r="1192" s="14" customFormat="1">
      <c r="A1192" s="14"/>
      <c r="B1192" s="239"/>
      <c r="C1192" s="240"/>
      <c r="D1192" s="229" t="s">
        <v>211</v>
      </c>
      <c r="E1192" s="241" t="s">
        <v>128</v>
      </c>
      <c r="F1192" s="242" t="s">
        <v>220</v>
      </c>
      <c r="G1192" s="240"/>
      <c r="H1192" s="243">
        <v>284.43000000000001</v>
      </c>
      <c r="I1192" s="244"/>
      <c r="J1192" s="240"/>
      <c r="K1192" s="240"/>
      <c r="L1192" s="245"/>
      <c r="M1192" s="246"/>
      <c r="N1192" s="247"/>
      <c r="O1192" s="247"/>
      <c r="P1192" s="247"/>
      <c r="Q1192" s="247"/>
      <c r="R1192" s="247"/>
      <c r="S1192" s="247"/>
      <c r="T1192" s="248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T1192" s="249" t="s">
        <v>211</v>
      </c>
      <c r="AU1192" s="249" t="s">
        <v>88</v>
      </c>
      <c r="AV1192" s="14" t="s">
        <v>207</v>
      </c>
      <c r="AW1192" s="14" t="s">
        <v>213</v>
      </c>
      <c r="AX1192" s="14" t="s">
        <v>86</v>
      </c>
      <c r="AY1192" s="249" t="s">
        <v>200</v>
      </c>
    </row>
    <row r="1193" s="2" customFormat="1" ht="16.5" customHeight="1">
      <c r="A1193" s="40"/>
      <c r="B1193" s="41"/>
      <c r="C1193" s="209" t="s">
        <v>2002</v>
      </c>
      <c r="D1193" s="209" t="s">
        <v>202</v>
      </c>
      <c r="E1193" s="210" t="s">
        <v>2003</v>
      </c>
      <c r="F1193" s="211" t="s">
        <v>2004</v>
      </c>
      <c r="G1193" s="212" t="s">
        <v>272</v>
      </c>
      <c r="H1193" s="213">
        <v>284.43000000000001</v>
      </c>
      <c r="I1193" s="214"/>
      <c r="J1193" s="215">
        <f>ROUND(I1193*H1193,1)</f>
        <v>0</v>
      </c>
      <c r="K1193" s="211" t="s">
        <v>206</v>
      </c>
      <c r="L1193" s="46"/>
      <c r="M1193" s="216" t="s">
        <v>32</v>
      </c>
      <c r="N1193" s="217" t="s">
        <v>49</v>
      </c>
      <c r="O1193" s="86"/>
      <c r="P1193" s="218">
        <f>O1193*H1193</f>
        <v>0</v>
      </c>
      <c r="Q1193" s="218">
        <v>0.00050000000000000001</v>
      </c>
      <c r="R1193" s="218">
        <f>Q1193*H1193</f>
        <v>0.14221500000000001</v>
      </c>
      <c r="S1193" s="218">
        <v>0</v>
      </c>
      <c r="T1193" s="219">
        <f>S1193*H1193</f>
        <v>0</v>
      </c>
      <c r="U1193" s="40"/>
      <c r="V1193" s="40"/>
      <c r="W1193" s="40"/>
      <c r="X1193" s="40"/>
      <c r="Y1193" s="40"/>
      <c r="Z1193" s="40"/>
      <c r="AA1193" s="40"/>
      <c r="AB1193" s="40"/>
      <c r="AC1193" s="40"/>
      <c r="AD1193" s="40"/>
      <c r="AE1193" s="40"/>
      <c r="AR1193" s="220" t="s">
        <v>310</v>
      </c>
      <c r="AT1193" s="220" t="s">
        <v>202</v>
      </c>
      <c r="AU1193" s="220" t="s">
        <v>88</v>
      </c>
      <c r="AY1193" s="18" t="s">
        <v>200</v>
      </c>
      <c r="BE1193" s="221">
        <f>IF(N1193="základní",J1193,0)</f>
        <v>0</v>
      </c>
      <c r="BF1193" s="221">
        <f>IF(N1193="snížená",J1193,0)</f>
        <v>0</v>
      </c>
      <c r="BG1193" s="221">
        <f>IF(N1193="zákl. přenesená",J1193,0)</f>
        <v>0</v>
      </c>
      <c r="BH1193" s="221">
        <f>IF(N1193="sníž. přenesená",J1193,0)</f>
        <v>0</v>
      </c>
      <c r="BI1193" s="221">
        <f>IF(N1193="nulová",J1193,0)</f>
        <v>0</v>
      </c>
      <c r="BJ1193" s="18" t="s">
        <v>86</v>
      </c>
      <c r="BK1193" s="221">
        <f>ROUND(I1193*H1193,1)</f>
        <v>0</v>
      </c>
      <c r="BL1193" s="18" t="s">
        <v>310</v>
      </c>
      <c r="BM1193" s="220" t="s">
        <v>2005</v>
      </c>
    </row>
    <row r="1194" s="2" customFormat="1">
      <c r="A1194" s="40"/>
      <c r="B1194" s="41"/>
      <c r="C1194" s="42"/>
      <c r="D1194" s="222" t="s">
        <v>209</v>
      </c>
      <c r="E1194" s="42"/>
      <c r="F1194" s="223" t="s">
        <v>2006</v>
      </c>
      <c r="G1194" s="42"/>
      <c r="H1194" s="42"/>
      <c r="I1194" s="224"/>
      <c r="J1194" s="42"/>
      <c r="K1194" s="42"/>
      <c r="L1194" s="46"/>
      <c r="M1194" s="225"/>
      <c r="N1194" s="226"/>
      <c r="O1194" s="86"/>
      <c r="P1194" s="86"/>
      <c r="Q1194" s="86"/>
      <c r="R1194" s="86"/>
      <c r="S1194" s="86"/>
      <c r="T1194" s="87"/>
      <c r="U1194" s="40"/>
      <c r="V1194" s="40"/>
      <c r="W1194" s="40"/>
      <c r="X1194" s="40"/>
      <c r="Y1194" s="40"/>
      <c r="Z1194" s="40"/>
      <c r="AA1194" s="40"/>
      <c r="AB1194" s="40"/>
      <c r="AC1194" s="40"/>
      <c r="AD1194" s="40"/>
      <c r="AE1194" s="40"/>
      <c r="AT1194" s="18" t="s">
        <v>209</v>
      </c>
      <c r="AU1194" s="18" t="s">
        <v>88</v>
      </c>
    </row>
    <row r="1195" s="13" customFormat="1">
      <c r="A1195" s="13"/>
      <c r="B1195" s="227"/>
      <c r="C1195" s="228"/>
      <c r="D1195" s="229" t="s">
        <v>211</v>
      </c>
      <c r="E1195" s="230" t="s">
        <v>32</v>
      </c>
      <c r="F1195" s="231" t="s">
        <v>128</v>
      </c>
      <c r="G1195" s="228"/>
      <c r="H1195" s="232">
        <v>284.43000000000001</v>
      </c>
      <c r="I1195" s="233"/>
      <c r="J1195" s="228"/>
      <c r="K1195" s="228"/>
      <c r="L1195" s="234"/>
      <c r="M1195" s="235"/>
      <c r="N1195" s="236"/>
      <c r="O1195" s="236"/>
      <c r="P1195" s="236"/>
      <c r="Q1195" s="236"/>
      <c r="R1195" s="236"/>
      <c r="S1195" s="236"/>
      <c r="T1195" s="237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T1195" s="238" t="s">
        <v>211</v>
      </c>
      <c r="AU1195" s="238" t="s">
        <v>88</v>
      </c>
      <c r="AV1195" s="13" t="s">
        <v>88</v>
      </c>
      <c r="AW1195" s="13" t="s">
        <v>213</v>
      </c>
      <c r="AX1195" s="13" t="s">
        <v>86</v>
      </c>
      <c r="AY1195" s="238" t="s">
        <v>200</v>
      </c>
    </row>
    <row r="1196" s="2" customFormat="1" ht="24.15" customHeight="1">
      <c r="A1196" s="40"/>
      <c r="B1196" s="41"/>
      <c r="C1196" s="209" t="s">
        <v>2007</v>
      </c>
      <c r="D1196" s="209" t="s">
        <v>202</v>
      </c>
      <c r="E1196" s="210" t="s">
        <v>2008</v>
      </c>
      <c r="F1196" s="211" t="s">
        <v>2009</v>
      </c>
      <c r="G1196" s="212" t="s">
        <v>272</v>
      </c>
      <c r="H1196" s="213">
        <v>278.73000000000002</v>
      </c>
      <c r="I1196" s="214"/>
      <c r="J1196" s="215">
        <f>ROUND(I1196*H1196,1)</f>
        <v>0</v>
      </c>
      <c r="K1196" s="211" t="s">
        <v>206</v>
      </c>
      <c r="L1196" s="46"/>
      <c r="M1196" s="216" t="s">
        <v>32</v>
      </c>
      <c r="N1196" s="217" t="s">
        <v>49</v>
      </c>
      <c r="O1196" s="86"/>
      <c r="P1196" s="218">
        <f>O1196*H1196</f>
        <v>0</v>
      </c>
      <c r="Q1196" s="218">
        <v>0.0089999999999999993</v>
      </c>
      <c r="R1196" s="218">
        <f>Q1196*H1196</f>
        <v>2.5085700000000002</v>
      </c>
      <c r="S1196" s="218">
        <v>0</v>
      </c>
      <c r="T1196" s="219">
        <f>S1196*H1196</f>
        <v>0</v>
      </c>
      <c r="U1196" s="40"/>
      <c r="V1196" s="40"/>
      <c r="W1196" s="40"/>
      <c r="X1196" s="40"/>
      <c r="Y1196" s="40"/>
      <c r="Z1196" s="40"/>
      <c r="AA1196" s="40"/>
      <c r="AB1196" s="40"/>
      <c r="AC1196" s="40"/>
      <c r="AD1196" s="40"/>
      <c r="AE1196" s="40"/>
      <c r="AR1196" s="220" t="s">
        <v>310</v>
      </c>
      <c r="AT1196" s="220" t="s">
        <v>202</v>
      </c>
      <c r="AU1196" s="220" t="s">
        <v>88</v>
      </c>
      <c r="AY1196" s="18" t="s">
        <v>200</v>
      </c>
      <c r="BE1196" s="221">
        <f>IF(N1196="základní",J1196,0)</f>
        <v>0</v>
      </c>
      <c r="BF1196" s="221">
        <f>IF(N1196="snížená",J1196,0)</f>
        <v>0</v>
      </c>
      <c r="BG1196" s="221">
        <f>IF(N1196="zákl. přenesená",J1196,0)</f>
        <v>0</v>
      </c>
      <c r="BH1196" s="221">
        <f>IF(N1196="sníž. přenesená",J1196,0)</f>
        <v>0</v>
      </c>
      <c r="BI1196" s="221">
        <f>IF(N1196="nulová",J1196,0)</f>
        <v>0</v>
      </c>
      <c r="BJ1196" s="18" t="s">
        <v>86</v>
      </c>
      <c r="BK1196" s="221">
        <f>ROUND(I1196*H1196,1)</f>
        <v>0</v>
      </c>
      <c r="BL1196" s="18" t="s">
        <v>310</v>
      </c>
      <c r="BM1196" s="220" t="s">
        <v>2010</v>
      </c>
    </row>
    <row r="1197" s="2" customFormat="1">
      <c r="A1197" s="40"/>
      <c r="B1197" s="41"/>
      <c r="C1197" s="42"/>
      <c r="D1197" s="222" t="s">
        <v>209</v>
      </c>
      <c r="E1197" s="42"/>
      <c r="F1197" s="223" t="s">
        <v>2011</v>
      </c>
      <c r="G1197" s="42"/>
      <c r="H1197" s="42"/>
      <c r="I1197" s="224"/>
      <c r="J1197" s="42"/>
      <c r="K1197" s="42"/>
      <c r="L1197" s="46"/>
      <c r="M1197" s="225"/>
      <c r="N1197" s="226"/>
      <c r="O1197" s="86"/>
      <c r="P1197" s="86"/>
      <c r="Q1197" s="86"/>
      <c r="R1197" s="86"/>
      <c r="S1197" s="86"/>
      <c r="T1197" s="87"/>
      <c r="U1197" s="40"/>
      <c r="V1197" s="40"/>
      <c r="W1197" s="40"/>
      <c r="X1197" s="40"/>
      <c r="Y1197" s="40"/>
      <c r="Z1197" s="40"/>
      <c r="AA1197" s="40"/>
      <c r="AB1197" s="40"/>
      <c r="AC1197" s="40"/>
      <c r="AD1197" s="40"/>
      <c r="AE1197" s="40"/>
      <c r="AT1197" s="18" t="s">
        <v>209</v>
      </c>
      <c r="AU1197" s="18" t="s">
        <v>88</v>
      </c>
    </row>
    <row r="1198" s="13" customFormat="1">
      <c r="A1198" s="13"/>
      <c r="B1198" s="227"/>
      <c r="C1198" s="228"/>
      <c r="D1198" s="229" t="s">
        <v>211</v>
      </c>
      <c r="E1198" s="230" t="s">
        <v>32</v>
      </c>
      <c r="F1198" s="231" t="s">
        <v>125</v>
      </c>
      <c r="G1198" s="228"/>
      <c r="H1198" s="232">
        <v>278.73000000000002</v>
      </c>
      <c r="I1198" s="233"/>
      <c r="J1198" s="228"/>
      <c r="K1198" s="228"/>
      <c r="L1198" s="234"/>
      <c r="M1198" s="235"/>
      <c r="N1198" s="236"/>
      <c r="O1198" s="236"/>
      <c r="P1198" s="236"/>
      <c r="Q1198" s="236"/>
      <c r="R1198" s="236"/>
      <c r="S1198" s="236"/>
      <c r="T1198" s="237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T1198" s="238" t="s">
        <v>211</v>
      </c>
      <c r="AU1198" s="238" t="s">
        <v>88</v>
      </c>
      <c r="AV1198" s="13" t="s">
        <v>88</v>
      </c>
      <c r="AW1198" s="13" t="s">
        <v>213</v>
      </c>
      <c r="AX1198" s="13" t="s">
        <v>86</v>
      </c>
      <c r="AY1198" s="238" t="s">
        <v>200</v>
      </c>
    </row>
    <row r="1199" s="2" customFormat="1" ht="16.5" customHeight="1">
      <c r="A1199" s="40"/>
      <c r="B1199" s="41"/>
      <c r="C1199" s="260" t="s">
        <v>2012</v>
      </c>
      <c r="D1199" s="260" t="s">
        <v>292</v>
      </c>
      <c r="E1199" s="261" t="s">
        <v>2013</v>
      </c>
      <c r="F1199" s="262" t="s">
        <v>2014</v>
      </c>
      <c r="G1199" s="263" t="s">
        <v>272</v>
      </c>
      <c r="H1199" s="264">
        <v>320.54000000000002</v>
      </c>
      <c r="I1199" s="265"/>
      <c r="J1199" s="266">
        <f>ROUND(I1199*H1199,1)</f>
        <v>0</v>
      </c>
      <c r="K1199" s="262" t="s">
        <v>206</v>
      </c>
      <c r="L1199" s="267"/>
      <c r="M1199" s="268" t="s">
        <v>32</v>
      </c>
      <c r="N1199" s="269" t="s">
        <v>49</v>
      </c>
      <c r="O1199" s="86"/>
      <c r="P1199" s="218">
        <f>O1199*H1199</f>
        <v>0</v>
      </c>
      <c r="Q1199" s="218">
        <v>0.02</v>
      </c>
      <c r="R1199" s="218">
        <f>Q1199*H1199</f>
        <v>6.4108000000000009</v>
      </c>
      <c r="S1199" s="218">
        <v>0</v>
      </c>
      <c r="T1199" s="219">
        <f>S1199*H1199</f>
        <v>0</v>
      </c>
      <c r="U1199" s="40"/>
      <c r="V1199" s="40"/>
      <c r="W1199" s="40"/>
      <c r="X1199" s="40"/>
      <c r="Y1199" s="40"/>
      <c r="Z1199" s="40"/>
      <c r="AA1199" s="40"/>
      <c r="AB1199" s="40"/>
      <c r="AC1199" s="40"/>
      <c r="AD1199" s="40"/>
      <c r="AE1199" s="40"/>
      <c r="AR1199" s="220" t="s">
        <v>429</v>
      </c>
      <c r="AT1199" s="220" t="s">
        <v>292</v>
      </c>
      <c r="AU1199" s="220" t="s">
        <v>88</v>
      </c>
      <c r="AY1199" s="18" t="s">
        <v>200</v>
      </c>
      <c r="BE1199" s="221">
        <f>IF(N1199="základní",J1199,0)</f>
        <v>0</v>
      </c>
      <c r="BF1199" s="221">
        <f>IF(N1199="snížená",J1199,0)</f>
        <v>0</v>
      </c>
      <c r="BG1199" s="221">
        <f>IF(N1199="zákl. přenesená",J1199,0)</f>
        <v>0</v>
      </c>
      <c r="BH1199" s="221">
        <f>IF(N1199="sníž. přenesená",J1199,0)</f>
        <v>0</v>
      </c>
      <c r="BI1199" s="221">
        <f>IF(N1199="nulová",J1199,0)</f>
        <v>0</v>
      </c>
      <c r="BJ1199" s="18" t="s">
        <v>86</v>
      </c>
      <c r="BK1199" s="221">
        <f>ROUND(I1199*H1199,1)</f>
        <v>0</v>
      </c>
      <c r="BL1199" s="18" t="s">
        <v>310</v>
      </c>
      <c r="BM1199" s="220" t="s">
        <v>2015</v>
      </c>
    </row>
    <row r="1200" s="13" customFormat="1">
      <c r="A1200" s="13"/>
      <c r="B1200" s="227"/>
      <c r="C1200" s="228"/>
      <c r="D1200" s="229" t="s">
        <v>211</v>
      </c>
      <c r="E1200" s="228"/>
      <c r="F1200" s="231" t="s">
        <v>2016</v>
      </c>
      <c r="G1200" s="228"/>
      <c r="H1200" s="232">
        <v>320.54000000000002</v>
      </c>
      <c r="I1200" s="233"/>
      <c r="J1200" s="228"/>
      <c r="K1200" s="228"/>
      <c r="L1200" s="234"/>
      <c r="M1200" s="235"/>
      <c r="N1200" s="236"/>
      <c r="O1200" s="236"/>
      <c r="P1200" s="236"/>
      <c r="Q1200" s="236"/>
      <c r="R1200" s="236"/>
      <c r="S1200" s="236"/>
      <c r="T1200" s="237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T1200" s="238" t="s">
        <v>211</v>
      </c>
      <c r="AU1200" s="238" t="s">
        <v>88</v>
      </c>
      <c r="AV1200" s="13" t="s">
        <v>88</v>
      </c>
      <c r="AW1200" s="13" t="s">
        <v>4</v>
      </c>
      <c r="AX1200" s="13" t="s">
        <v>86</v>
      </c>
      <c r="AY1200" s="238" t="s">
        <v>200</v>
      </c>
    </row>
    <row r="1201" s="2" customFormat="1" ht="24.15" customHeight="1">
      <c r="A1201" s="40"/>
      <c r="B1201" s="41"/>
      <c r="C1201" s="209" t="s">
        <v>2017</v>
      </c>
      <c r="D1201" s="209" t="s">
        <v>202</v>
      </c>
      <c r="E1201" s="210" t="s">
        <v>2018</v>
      </c>
      <c r="F1201" s="211" t="s">
        <v>2019</v>
      </c>
      <c r="G1201" s="212" t="s">
        <v>272</v>
      </c>
      <c r="H1201" s="213">
        <v>5.7000000000000002</v>
      </c>
      <c r="I1201" s="214"/>
      <c r="J1201" s="215">
        <f>ROUND(I1201*H1201,1)</f>
        <v>0</v>
      </c>
      <c r="K1201" s="211" t="s">
        <v>206</v>
      </c>
      <c r="L1201" s="46"/>
      <c r="M1201" s="216" t="s">
        <v>32</v>
      </c>
      <c r="N1201" s="217" t="s">
        <v>49</v>
      </c>
      <c r="O1201" s="86"/>
      <c r="P1201" s="218">
        <f>O1201*H1201</f>
        <v>0</v>
      </c>
      <c r="Q1201" s="218">
        <v>0.0089999999999999993</v>
      </c>
      <c r="R1201" s="218">
        <f>Q1201*H1201</f>
        <v>0.051299999999999998</v>
      </c>
      <c r="S1201" s="218">
        <v>0</v>
      </c>
      <c r="T1201" s="219">
        <f>S1201*H1201</f>
        <v>0</v>
      </c>
      <c r="U1201" s="40"/>
      <c r="V1201" s="40"/>
      <c r="W1201" s="40"/>
      <c r="X1201" s="40"/>
      <c r="Y1201" s="40"/>
      <c r="Z1201" s="40"/>
      <c r="AA1201" s="40"/>
      <c r="AB1201" s="40"/>
      <c r="AC1201" s="40"/>
      <c r="AD1201" s="40"/>
      <c r="AE1201" s="40"/>
      <c r="AR1201" s="220" t="s">
        <v>310</v>
      </c>
      <c r="AT1201" s="220" t="s">
        <v>202</v>
      </c>
      <c r="AU1201" s="220" t="s">
        <v>88</v>
      </c>
      <c r="AY1201" s="18" t="s">
        <v>200</v>
      </c>
      <c r="BE1201" s="221">
        <f>IF(N1201="základní",J1201,0)</f>
        <v>0</v>
      </c>
      <c r="BF1201" s="221">
        <f>IF(N1201="snížená",J1201,0)</f>
        <v>0</v>
      </c>
      <c r="BG1201" s="221">
        <f>IF(N1201="zákl. přenesená",J1201,0)</f>
        <v>0</v>
      </c>
      <c r="BH1201" s="221">
        <f>IF(N1201="sníž. přenesená",J1201,0)</f>
        <v>0</v>
      </c>
      <c r="BI1201" s="221">
        <f>IF(N1201="nulová",J1201,0)</f>
        <v>0</v>
      </c>
      <c r="BJ1201" s="18" t="s">
        <v>86</v>
      </c>
      <c r="BK1201" s="221">
        <f>ROUND(I1201*H1201,1)</f>
        <v>0</v>
      </c>
      <c r="BL1201" s="18" t="s">
        <v>310</v>
      </c>
      <c r="BM1201" s="220" t="s">
        <v>2020</v>
      </c>
    </row>
    <row r="1202" s="2" customFormat="1">
      <c r="A1202" s="40"/>
      <c r="B1202" s="41"/>
      <c r="C1202" s="42"/>
      <c r="D1202" s="222" t="s">
        <v>209</v>
      </c>
      <c r="E1202" s="42"/>
      <c r="F1202" s="223" t="s">
        <v>2021</v>
      </c>
      <c r="G1202" s="42"/>
      <c r="H1202" s="42"/>
      <c r="I1202" s="224"/>
      <c r="J1202" s="42"/>
      <c r="K1202" s="42"/>
      <c r="L1202" s="46"/>
      <c r="M1202" s="225"/>
      <c r="N1202" s="226"/>
      <c r="O1202" s="86"/>
      <c r="P1202" s="86"/>
      <c r="Q1202" s="86"/>
      <c r="R1202" s="86"/>
      <c r="S1202" s="86"/>
      <c r="T1202" s="87"/>
      <c r="U1202" s="40"/>
      <c r="V1202" s="40"/>
      <c r="W1202" s="40"/>
      <c r="X1202" s="40"/>
      <c r="Y1202" s="40"/>
      <c r="Z1202" s="40"/>
      <c r="AA1202" s="40"/>
      <c r="AB1202" s="40"/>
      <c r="AC1202" s="40"/>
      <c r="AD1202" s="40"/>
      <c r="AE1202" s="40"/>
      <c r="AT1202" s="18" t="s">
        <v>209</v>
      </c>
      <c r="AU1202" s="18" t="s">
        <v>88</v>
      </c>
    </row>
    <row r="1203" s="13" customFormat="1">
      <c r="A1203" s="13"/>
      <c r="B1203" s="227"/>
      <c r="C1203" s="228"/>
      <c r="D1203" s="229" t="s">
        <v>211</v>
      </c>
      <c r="E1203" s="230" t="s">
        <v>32</v>
      </c>
      <c r="F1203" s="231" t="s">
        <v>131</v>
      </c>
      <c r="G1203" s="228"/>
      <c r="H1203" s="232">
        <v>5.7000000000000002</v>
      </c>
      <c r="I1203" s="233"/>
      <c r="J1203" s="228"/>
      <c r="K1203" s="228"/>
      <c r="L1203" s="234"/>
      <c r="M1203" s="235"/>
      <c r="N1203" s="236"/>
      <c r="O1203" s="236"/>
      <c r="P1203" s="236"/>
      <c r="Q1203" s="236"/>
      <c r="R1203" s="236"/>
      <c r="S1203" s="236"/>
      <c r="T1203" s="237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T1203" s="238" t="s">
        <v>211</v>
      </c>
      <c r="AU1203" s="238" t="s">
        <v>88</v>
      </c>
      <c r="AV1203" s="13" t="s">
        <v>88</v>
      </c>
      <c r="AW1203" s="13" t="s">
        <v>213</v>
      </c>
      <c r="AX1203" s="13" t="s">
        <v>86</v>
      </c>
      <c r="AY1203" s="238" t="s">
        <v>200</v>
      </c>
    </row>
    <row r="1204" s="2" customFormat="1" ht="16.5" customHeight="1">
      <c r="A1204" s="40"/>
      <c r="B1204" s="41"/>
      <c r="C1204" s="260" t="s">
        <v>2022</v>
      </c>
      <c r="D1204" s="260" t="s">
        <v>292</v>
      </c>
      <c r="E1204" s="261" t="s">
        <v>2023</v>
      </c>
      <c r="F1204" s="262" t="s">
        <v>2024</v>
      </c>
      <c r="G1204" s="263" t="s">
        <v>272</v>
      </c>
      <c r="H1204" s="264">
        <v>6.5549999999999997</v>
      </c>
      <c r="I1204" s="265"/>
      <c r="J1204" s="266">
        <f>ROUND(I1204*H1204,1)</f>
        <v>0</v>
      </c>
      <c r="K1204" s="262" t="s">
        <v>206</v>
      </c>
      <c r="L1204" s="267"/>
      <c r="M1204" s="268" t="s">
        <v>32</v>
      </c>
      <c r="N1204" s="269" t="s">
        <v>49</v>
      </c>
      <c r="O1204" s="86"/>
      <c r="P1204" s="218">
        <f>O1204*H1204</f>
        <v>0</v>
      </c>
      <c r="Q1204" s="218">
        <v>0.02</v>
      </c>
      <c r="R1204" s="218">
        <f>Q1204*H1204</f>
        <v>0.13109999999999999</v>
      </c>
      <c r="S1204" s="218">
        <v>0</v>
      </c>
      <c r="T1204" s="219">
        <f>S1204*H1204</f>
        <v>0</v>
      </c>
      <c r="U1204" s="40"/>
      <c r="V1204" s="40"/>
      <c r="W1204" s="40"/>
      <c r="X1204" s="40"/>
      <c r="Y1204" s="40"/>
      <c r="Z1204" s="40"/>
      <c r="AA1204" s="40"/>
      <c r="AB1204" s="40"/>
      <c r="AC1204" s="40"/>
      <c r="AD1204" s="40"/>
      <c r="AE1204" s="40"/>
      <c r="AR1204" s="220" t="s">
        <v>429</v>
      </c>
      <c r="AT1204" s="220" t="s">
        <v>292</v>
      </c>
      <c r="AU1204" s="220" t="s">
        <v>88</v>
      </c>
      <c r="AY1204" s="18" t="s">
        <v>200</v>
      </c>
      <c r="BE1204" s="221">
        <f>IF(N1204="základní",J1204,0)</f>
        <v>0</v>
      </c>
      <c r="BF1204" s="221">
        <f>IF(N1204="snížená",J1204,0)</f>
        <v>0</v>
      </c>
      <c r="BG1204" s="221">
        <f>IF(N1204="zákl. přenesená",J1204,0)</f>
        <v>0</v>
      </c>
      <c r="BH1204" s="221">
        <f>IF(N1204="sníž. přenesená",J1204,0)</f>
        <v>0</v>
      </c>
      <c r="BI1204" s="221">
        <f>IF(N1204="nulová",J1204,0)</f>
        <v>0</v>
      </c>
      <c r="BJ1204" s="18" t="s">
        <v>86</v>
      </c>
      <c r="BK1204" s="221">
        <f>ROUND(I1204*H1204,1)</f>
        <v>0</v>
      </c>
      <c r="BL1204" s="18" t="s">
        <v>310</v>
      </c>
      <c r="BM1204" s="220" t="s">
        <v>2025</v>
      </c>
    </row>
    <row r="1205" s="13" customFormat="1">
      <c r="A1205" s="13"/>
      <c r="B1205" s="227"/>
      <c r="C1205" s="228"/>
      <c r="D1205" s="229" t="s">
        <v>211</v>
      </c>
      <c r="E1205" s="228"/>
      <c r="F1205" s="231" t="s">
        <v>2026</v>
      </c>
      <c r="G1205" s="228"/>
      <c r="H1205" s="232">
        <v>6.5549999999999997</v>
      </c>
      <c r="I1205" s="233"/>
      <c r="J1205" s="228"/>
      <c r="K1205" s="228"/>
      <c r="L1205" s="234"/>
      <c r="M1205" s="235"/>
      <c r="N1205" s="236"/>
      <c r="O1205" s="236"/>
      <c r="P1205" s="236"/>
      <c r="Q1205" s="236"/>
      <c r="R1205" s="236"/>
      <c r="S1205" s="236"/>
      <c r="T1205" s="237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T1205" s="238" t="s">
        <v>211</v>
      </c>
      <c r="AU1205" s="238" t="s">
        <v>88</v>
      </c>
      <c r="AV1205" s="13" t="s">
        <v>88</v>
      </c>
      <c r="AW1205" s="13" t="s">
        <v>4</v>
      </c>
      <c r="AX1205" s="13" t="s">
        <v>86</v>
      </c>
      <c r="AY1205" s="238" t="s">
        <v>200</v>
      </c>
    </row>
    <row r="1206" s="2" customFormat="1" ht="16.5" customHeight="1">
      <c r="A1206" s="40"/>
      <c r="B1206" s="41"/>
      <c r="C1206" s="209" t="s">
        <v>2027</v>
      </c>
      <c r="D1206" s="209" t="s">
        <v>202</v>
      </c>
      <c r="E1206" s="210" t="s">
        <v>2028</v>
      </c>
      <c r="F1206" s="211" t="s">
        <v>2029</v>
      </c>
      <c r="G1206" s="212" t="s">
        <v>280</v>
      </c>
      <c r="H1206" s="213">
        <v>160</v>
      </c>
      <c r="I1206" s="214"/>
      <c r="J1206" s="215">
        <f>ROUND(I1206*H1206,1)</f>
        <v>0</v>
      </c>
      <c r="K1206" s="211" t="s">
        <v>206</v>
      </c>
      <c r="L1206" s="46"/>
      <c r="M1206" s="216" t="s">
        <v>32</v>
      </c>
      <c r="N1206" s="217" t="s">
        <v>49</v>
      </c>
      <c r="O1206" s="86"/>
      <c r="P1206" s="218">
        <f>O1206*H1206</f>
        <v>0</v>
      </c>
      <c r="Q1206" s="218">
        <v>3.0000000000000001E-05</v>
      </c>
      <c r="R1206" s="218">
        <f>Q1206*H1206</f>
        <v>0.0048000000000000004</v>
      </c>
      <c r="S1206" s="218">
        <v>0</v>
      </c>
      <c r="T1206" s="219">
        <f>S1206*H1206</f>
        <v>0</v>
      </c>
      <c r="U1206" s="40"/>
      <c r="V1206" s="40"/>
      <c r="W1206" s="40"/>
      <c r="X1206" s="40"/>
      <c r="Y1206" s="40"/>
      <c r="Z1206" s="40"/>
      <c r="AA1206" s="40"/>
      <c r="AB1206" s="40"/>
      <c r="AC1206" s="40"/>
      <c r="AD1206" s="40"/>
      <c r="AE1206" s="40"/>
      <c r="AR1206" s="220" t="s">
        <v>310</v>
      </c>
      <c r="AT1206" s="220" t="s">
        <v>202</v>
      </c>
      <c r="AU1206" s="220" t="s">
        <v>88</v>
      </c>
      <c r="AY1206" s="18" t="s">
        <v>200</v>
      </c>
      <c r="BE1206" s="221">
        <f>IF(N1206="základní",J1206,0)</f>
        <v>0</v>
      </c>
      <c r="BF1206" s="221">
        <f>IF(N1206="snížená",J1206,0)</f>
        <v>0</v>
      </c>
      <c r="BG1206" s="221">
        <f>IF(N1206="zákl. přenesená",J1206,0)</f>
        <v>0</v>
      </c>
      <c r="BH1206" s="221">
        <f>IF(N1206="sníž. přenesená",J1206,0)</f>
        <v>0</v>
      </c>
      <c r="BI1206" s="221">
        <f>IF(N1206="nulová",J1206,0)</f>
        <v>0</v>
      </c>
      <c r="BJ1206" s="18" t="s">
        <v>86</v>
      </c>
      <c r="BK1206" s="221">
        <f>ROUND(I1206*H1206,1)</f>
        <v>0</v>
      </c>
      <c r="BL1206" s="18" t="s">
        <v>310</v>
      </c>
      <c r="BM1206" s="220" t="s">
        <v>2030</v>
      </c>
    </row>
    <row r="1207" s="2" customFormat="1">
      <c r="A1207" s="40"/>
      <c r="B1207" s="41"/>
      <c r="C1207" s="42"/>
      <c r="D1207" s="222" t="s">
        <v>209</v>
      </c>
      <c r="E1207" s="42"/>
      <c r="F1207" s="223" t="s">
        <v>2031</v>
      </c>
      <c r="G1207" s="42"/>
      <c r="H1207" s="42"/>
      <c r="I1207" s="224"/>
      <c r="J1207" s="42"/>
      <c r="K1207" s="42"/>
      <c r="L1207" s="46"/>
      <c r="M1207" s="225"/>
      <c r="N1207" s="226"/>
      <c r="O1207" s="86"/>
      <c r="P1207" s="86"/>
      <c r="Q1207" s="86"/>
      <c r="R1207" s="86"/>
      <c r="S1207" s="86"/>
      <c r="T1207" s="87"/>
      <c r="U1207" s="40"/>
      <c r="V1207" s="40"/>
      <c r="W1207" s="40"/>
      <c r="X1207" s="40"/>
      <c r="Y1207" s="40"/>
      <c r="Z1207" s="40"/>
      <c r="AA1207" s="40"/>
      <c r="AB1207" s="40"/>
      <c r="AC1207" s="40"/>
      <c r="AD1207" s="40"/>
      <c r="AE1207" s="40"/>
      <c r="AT1207" s="18" t="s">
        <v>209</v>
      </c>
      <c r="AU1207" s="18" t="s">
        <v>88</v>
      </c>
    </row>
    <row r="1208" s="13" customFormat="1">
      <c r="A1208" s="13"/>
      <c r="B1208" s="227"/>
      <c r="C1208" s="228"/>
      <c r="D1208" s="229" t="s">
        <v>211</v>
      </c>
      <c r="E1208" s="230" t="s">
        <v>32</v>
      </c>
      <c r="F1208" s="231" t="s">
        <v>2032</v>
      </c>
      <c r="G1208" s="228"/>
      <c r="H1208" s="232">
        <v>160</v>
      </c>
      <c r="I1208" s="233"/>
      <c r="J1208" s="228"/>
      <c r="K1208" s="228"/>
      <c r="L1208" s="234"/>
      <c r="M1208" s="235"/>
      <c r="N1208" s="236"/>
      <c r="O1208" s="236"/>
      <c r="P1208" s="236"/>
      <c r="Q1208" s="236"/>
      <c r="R1208" s="236"/>
      <c r="S1208" s="236"/>
      <c r="T1208" s="237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T1208" s="238" t="s">
        <v>211</v>
      </c>
      <c r="AU1208" s="238" t="s">
        <v>88</v>
      </c>
      <c r="AV1208" s="13" t="s">
        <v>88</v>
      </c>
      <c r="AW1208" s="13" t="s">
        <v>213</v>
      </c>
      <c r="AX1208" s="13" t="s">
        <v>86</v>
      </c>
      <c r="AY1208" s="238" t="s">
        <v>200</v>
      </c>
    </row>
    <row r="1209" s="2" customFormat="1" ht="16.5" customHeight="1">
      <c r="A1209" s="40"/>
      <c r="B1209" s="41"/>
      <c r="C1209" s="209" t="s">
        <v>2033</v>
      </c>
      <c r="D1209" s="209" t="s">
        <v>202</v>
      </c>
      <c r="E1209" s="210" t="s">
        <v>2034</v>
      </c>
      <c r="F1209" s="211" t="s">
        <v>2035</v>
      </c>
      <c r="G1209" s="212" t="s">
        <v>280</v>
      </c>
      <c r="H1209" s="213">
        <v>142.215</v>
      </c>
      <c r="I1209" s="214"/>
      <c r="J1209" s="215">
        <f>ROUND(I1209*H1209,1)</f>
        <v>0</v>
      </c>
      <c r="K1209" s="211" t="s">
        <v>206</v>
      </c>
      <c r="L1209" s="46"/>
      <c r="M1209" s="216" t="s">
        <v>32</v>
      </c>
      <c r="N1209" s="217" t="s">
        <v>49</v>
      </c>
      <c r="O1209" s="86"/>
      <c r="P1209" s="218">
        <f>O1209*H1209</f>
        <v>0</v>
      </c>
      <c r="Q1209" s="218">
        <v>0.00011</v>
      </c>
      <c r="R1209" s="218">
        <f>Q1209*H1209</f>
        <v>0.015643650000000002</v>
      </c>
      <c r="S1209" s="218">
        <v>0</v>
      </c>
      <c r="T1209" s="219">
        <f>S1209*H1209</f>
        <v>0</v>
      </c>
      <c r="U1209" s="40"/>
      <c r="V1209" s="40"/>
      <c r="W1209" s="40"/>
      <c r="X1209" s="40"/>
      <c r="Y1209" s="40"/>
      <c r="Z1209" s="40"/>
      <c r="AA1209" s="40"/>
      <c r="AB1209" s="40"/>
      <c r="AC1209" s="40"/>
      <c r="AD1209" s="40"/>
      <c r="AE1209" s="40"/>
      <c r="AR1209" s="220" t="s">
        <v>310</v>
      </c>
      <c r="AT1209" s="220" t="s">
        <v>202</v>
      </c>
      <c r="AU1209" s="220" t="s">
        <v>88</v>
      </c>
      <c r="AY1209" s="18" t="s">
        <v>200</v>
      </c>
      <c r="BE1209" s="221">
        <f>IF(N1209="základní",J1209,0)</f>
        <v>0</v>
      </c>
      <c r="BF1209" s="221">
        <f>IF(N1209="snížená",J1209,0)</f>
        <v>0</v>
      </c>
      <c r="BG1209" s="221">
        <f>IF(N1209="zákl. přenesená",J1209,0)</f>
        <v>0</v>
      </c>
      <c r="BH1209" s="221">
        <f>IF(N1209="sníž. přenesená",J1209,0)</f>
        <v>0</v>
      </c>
      <c r="BI1209" s="221">
        <f>IF(N1209="nulová",J1209,0)</f>
        <v>0</v>
      </c>
      <c r="BJ1209" s="18" t="s">
        <v>86</v>
      </c>
      <c r="BK1209" s="221">
        <f>ROUND(I1209*H1209,1)</f>
        <v>0</v>
      </c>
      <c r="BL1209" s="18" t="s">
        <v>310</v>
      </c>
      <c r="BM1209" s="220" t="s">
        <v>2036</v>
      </c>
    </row>
    <row r="1210" s="2" customFormat="1">
      <c r="A1210" s="40"/>
      <c r="B1210" s="41"/>
      <c r="C1210" s="42"/>
      <c r="D1210" s="222" t="s">
        <v>209</v>
      </c>
      <c r="E1210" s="42"/>
      <c r="F1210" s="223" t="s">
        <v>2037</v>
      </c>
      <c r="G1210" s="42"/>
      <c r="H1210" s="42"/>
      <c r="I1210" s="224"/>
      <c r="J1210" s="42"/>
      <c r="K1210" s="42"/>
      <c r="L1210" s="46"/>
      <c r="M1210" s="225"/>
      <c r="N1210" s="226"/>
      <c r="O1210" s="86"/>
      <c r="P1210" s="86"/>
      <c r="Q1210" s="86"/>
      <c r="R1210" s="86"/>
      <c r="S1210" s="86"/>
      <c r="T1210" s="87"/>
      <c r="U1210" s="40"/>
      <c r="V1210" s="40"/>
      <c r="W1210" s="40"/>
      <c r="X1210" s="40"/>
      <c r="Y1210" s="40"/>
      <c r="Z1210" s="40"/>
      <c r="AA1210" s="40"/>
      <c r="AB1210" s="40"/>
      <c r="AC1210" s="40"/>
      <c r="AD1210" s="40"/>
      <c r="AE1210" s="40"/>
      <c r="AT1210" s="18" t="s">
        <v>209</v>
      </c>
      <c r="AU1210" s="18" t="s">
        <v>88</v>
      </c>
    </row>
    <row r="1211" s="13" customFormat="1">
      <c r="A1211" s="13"/>
      <c r="B1211" s="227"/>
      <c r="C1211" s="228"/>
      <c r="D1211" s="229" t="s">
        <v>211</v>
      </c>
      <c r="E1211" s="230" t="s">
        <v>32</v>
      </c>
      <c r="F1211" s="231" t="s">
        <v>2038</v>
      </c>
      <c r="G1211" s="228"/>
      <c r="H1211" s="232">
        <v>142.215</v>
      </c>
      <c r="I1211" s="233"/>
      <c r="J1211" s="228"/>
      <c r="K1211" s="228"/>
      <c r="L1211" s="234"/>
      <c r="M1211" s="235"/>
      <c r="N1211" s="236"/>
      <c r="O1211" s="236"/>
      <c r="P1211" s="236"/>
      <c r="Q1211" s="236"/>
      <c r="R1211" s="236"/>
      <c r="S1211" s="236"/>
      <c r="T1211" s="237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T1211" s="238" t="s">
        <v>211</v>
      </c>
      <c r="AU1211" s="238" t="s">
        <v>88</v>
      </c>
      <c r="AV1211" s="13" t="s">
        <v>88</v>
      </c>
      <c r="AW1211" s="13" t="s">
        <v>213</v>
      </c>
      <c r="AX1211" s="13" t="s">
        <v>86</v>
      </c>
      <c r="AY1211" s="238" t="s">
        <v>200</v>
      </c>
    </row>
    <row r="1212" s="2" customFormat="1" ht="24.15" customHeight="1">
      <c r="A1212" s="40"/>
      <c r="B1212" s="41"/>
      <c r="C1212" s="209" t="s">
        <v>2039</v>
      </c>
      <c r="D1212" s="209" t="s">
        <v>202</v>
      </c>
      <c r="E1212" s="210" t="s">
        <v>2040</v>
      </c>
      <c r="F1212" s="211" t="s">
        <v>2041</v>
      </c>
      <c r="G1212" s="212" t="s">
        <v>272</v>
      </c>
      <c r="H1212" s="213">
        <v>183.33000000000001</v>
      </c>
      <c r="I1212" s="214"/>
      <c r="J1212" s="215">
        <f>ROUND(I1212*H1212,1)</f>
        <v>0</v>
      </c>
      <c r="K1212" s="211" t="s">
        <v>206</v>
      </c>
      <c r="L1212" s="46"/>
      <c r="M1212" s="216" t="s">
        <v>32</v>
      </c>
      <c r="N1212" s="217" t="s">
        <v>49</v>
      </c>
      <c r="O1212" s="86"/>
      <c r="P1212" s="218">
        <f>O1212*H1212</f>
        <v>0</v>
      </c>
      <c r="Q1212" s="218">
        <v>0.0050000000000000001</v>
      </c>
      <c r="R1212" s="218">
        <f>Q1212*H1212</f>
        <v>0.91665000000000008</v>
      </c>
      <c r="S1212" s="218">
        <v>0</v>
      </c>
      <c r="T1212" s="219">
        <f>S1212*H1212</f>
        <v>0</v>
      </c>
      <c r="U1212" s="40"/>
      <c r="V1212" s="40"/>
      <c r="W1212" s="40"/>
      <c r="X1212" s="40"/>
      <c r="Y1212" s="40"/>
      <c r="Z1212" s="40"/>
      <c r="AA1212" s="40"/>
      <c r="AB1212" s="40"/>
      <c r="AC1212" s="40"/>
      <c r="AD1212" s="40"/>
      <c r="AE1212" s="40"/>
      <c r="AR1212" s="220" t="s">
        <v>310</v>
      </c>
      <c r="AT1212" s="220" t="s">
        <v>202</v>
      </c>
      <c r="AU1212" s="220" t="s">
        <v>88</v>
      </c>
      <c r="AY1212" s="18" t="s">
        <v>200</v>
      </c>
      <c r="BE1212" s="221">
        <f>IF(N1212="základní",J1212,0)</f>
        <v>0</v>
      </c>
      <c r="BF1212" s="221">
        <f>IF(N1212="snížená",J1212,0)</f>
        <v>0</v>
      </c>
      <c r="BG1212" s="221">
        <f>IF(N1212="zákl. přenesená",J1212,0)</f>
        <v>0</v>
      </c>
      <c r="BH1212" s="221">
        <f>IF(N1212="sníž. přenesená",J1212,0)</f>
        <v>0</v>
      </c>
      <c r="BI1212" s="221">
        <f>IF(N1212="nulová",J1212,0)</f>
        <v>0</v>
      </c>
      <c r="BJ1212" s="18" t="s">
        <v>86</v>
      </c>
      <c r="BK1212" s="221">
        <f>ROUND(I1212*H1212,1)</f>
        <v>0</v>
      </c>
      <c r="BL1212" s="18" t="s">
        <v>310</v>
      </c>
      <c r="BM1212" s="220" t="s">
        <v>2042</v>
      </c>
    </row>
    <row r="1213" s="2" customFormat="1">
      <c r="A1213" s="40"/>
      <c r="B1213" s="41"/>
      <c r="C1213" s="42"/>
      <c r="D1213" s="222" t="s">
        <v>209</v>
      </c>
      <c r="E1213" s="42"/>
      <c r="F1213" s="223" t="s">
        <v>2043</v>
      </c>
      <c r="G1213" s="42"/>
      <c r="H1213" s="42"/>
      <c r="I1213" s="224"/>
      <c r="J1213" s="42"/>
      <c r="K1213" s="42"/>
      <c r="L1213" s="46"/>
      <c r="M1213" s="225"/>
      <c r="N1213" s="226"/>
      <c r="O1213" s="86"/>
      <c r="P1213" s="86"/>
      <c r="Q1213" s="86"/>
      <c r="R1213" s="86"/>
      <c r="S1213" s="86"/>
      <c r="T1213" s="87"/>
      <c r="U1213" s="40"/>
      <c r="V1213" s="40"/>
      <c r="W1213" s="40"/>
      <c r="X1213" s="40"/>
      <c r="Y1213" s="40"/>
      <c r="Z1213" s="40"/>
      <c r="AA1213" s="40"/>
      <c r="AB1213" s="40"/>
      <c r="AC1213" s="40"/>
      <c r="AD1213" s="40"/>
      <c r="AE1213" s="40"/>
      <c r="AT1213" s="18" t="s">
        <v>209</v>
      </c>
      <c r="AU1213" s="18" t="s">
        <v>88</v>
      </c>
    </row>
    <row r="1214" s="2" customFormat="1" ht="16.5" customHeight="1">
      <c r="A1214" s="40"/>
      <c r="B1214" s="41"/>
      <c r="C1214" s="260" t="s">
        <v>2044</v>
      </c>
      <c r="D1214" s="260" t="s">
        <v>292</v>
      </c>
      <c r="E1214" s="261" t="s">
        <v>2045</v>
      </c>
      <c r="F1214" s="262" t="s">
        <v>2046</v>
      </c>
      <c r="G1214" s="263" t="s">
        <v>449</v>
      </c>
      <c r="H1214" s="264">
        <v>12372.623</v>
      </c>
      <c r="I1214" s="265"/>
      <c r="J1214" s="266">
        <f>ROUND(I1214*H1214,1)</f>
        <v>0</v>
      </c>
      <c r="K1214" s="262" t="s">
        <v>206</v>
      </c>
      <c r="L1214" s="267"/>
      <c r="M1214" s="268" t="s">
        <v>32</v>
      </c>
      <c r="N1214" s="269" t="s">
        <v>49</v>
      </c>
      <c r="O1214" s="86"/>
      <c r="P1214" s="218">
        <f>O1214*H1214</f>
        <v>0</v>
      </c>
      <c r="Q1214" s="218">
        <v>0.00050000000000000001</v>
      </c>
      <c r="R1214" s="218">
        <f>Q1214*H1214</f>
        <v>6.1863114999999995</v>
      </c>
      <c r="S1214" s="218">
        <v>0</v>
      </c>
      <c r="T1214" s="219">
        <f>S1214*H1214</f>
        <v>0</v>
      </c>
      <c r="U1214" s="40"/>
      <c r="V1214" s="40"/>
      <c r="W1214" s="40"/>
      <c r="X1214" s="40"/>
      <c r="Y1214" s="40"/>
      <c r="Z1214" s="40"/>
      <c r="AA1214" s="40"/>
      <c r="AB1214" s="40"/>
      <c r="AC1214" s="40"/>
      <c r="AD1214" s="40"/>
      <c r="AE1214" s="40"/>
      <c r="AR1214" s="220" t="s">
        <v>429</v>
      </c>
      <c r="AT1214" s="220" t="s">
        <v>292</v>
      </c>
      <c r="AU1214" s="220" t="s">
        <v>88</v>
      </c>
      <c r="AY1214" s="18" t="s">
        <v>200</v>
      </c>
      <c r="BE1214" s="221">
        <f>IF(N1214="základní",J1214,0)</f>
        <v>0</v>
      </c>
      <c r="BF1214" s="221">
        <f>IF(N1214="snížená",J1214,0)</f>
        <v>0</v>
      </c>
      <c r="BG1214" s="221">
        <f>IF(N1214="zákl. přenesená",J1214,0)</f>
        <v>0</v>
      </c>
      <c r="BH1214" s="221">
        <f>IF(N1214="sníž. přenesená",J1214,0)</f>
        <v>0</v>
      </c>
      <c r="BI1214" s="221">
        <f>IF(N1214="nulová",J1214,0)</f>
        <v>0</v>
      </c>
      <c r="BJ1214" s="18" t="s">
        <v>86</v>
      </c>
      <c r="BK1214" s="221">
        <f>ROUND(I1214*H1214,1)</f>
        <v>0</v>
      </c>
      <c r="BL1214" s="18" t="s">
        <v>310</v>
      </c>
      <c r="BM1214" s="220" t="s">
        <v>2047</v>
      </c>
    </row>
    <row r="1215" s="13" customFormat="1">
      <c r="A1215" s="13"/>
      <c r="B1215" s="227"/>
      <c r="C1215" s="228"/>
      <c r="D1215" s="229" t="s">
        <v>211</v>
      </c>
      <c r="E1215" s="230" t="s">
        <v>32</v>
      </c>
      <c r="F1215" s="231" t="s">
        <v>2048</v>
      </c>
      <c r="G1215" s="228"/>
      <c r="H1215" s="232">
        <v>10758.8028169014</v>
      </c>
      <c r="I1215" s="233"/>
      <c r="J1215" s="228"/>
      <c r="K1215" s="228"/>
      <c r="L1215" s="234"/>
      <c r="M1215" s="235"/>
      <c r="N1215" s="236"/>
      <c r="O1215" s="236"/>
      <c r="P1215" s="236"/>
      <c r="Q1215" s="236"/>
      <c r="R1215" s="236"/>
      <c r="S1215" s="236"/>
      <c r="T1215" s="237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T1215" s="238" t="s">
        <v>211</v>
      </c>
      <c r="AU1215" s="238" t="s">
        <v>88</v>
      </c>
      <c r="AV1215" s="13" t="s">
        <v>88</v>
      </c>
      <c r="AW1215" s="13" t="s">
        <v>213</v>
      </c>
      <c r="AX1215" s="13" t="s">
        <v>86</v>
      </c>
      <c r="AY1215" s="238" t="s">
        <v>200</v>
      </c>
    </row>
    <row r="1216" s="13" customFormat="1">
      <c r="A1216" s="13"/>
      <c r="B1216" s="227"/>
      <c r="C1216" s="228"/>
      <c r="D1216" s="229" t="s">
        <v>211</v>
      </c>
      <c r="E1216" s="228"/>
      <c r="F1216" s="231" t="s">
        <v>2049</v>
      </c>
      <c r="G1216" s="228"/>
      <c r="H1216" s="232">
        <v>12372.623</v>
      </c>
      <c r="I1216" s="233"/>
      <c r="J1216" s="228"/>
      <c r="K1216" s="228"/>
      <c r="L1216" s="234"/>
      <c r="M1216" s="235"/>
      <c r="N1216" s="236"/>
      <c r="O1216" s="236"/>
      <c r="P1216" s="236"/>
      <c r="Q1216" s="236"/>
      <c r="R1216" s="236"/>
      <c r="S1216" s="236"/>
      <c r="T1216" s="237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T1216" s="238" t="s">
        <v>211</v>
      </c>
      <c r="AU1216" s="238" t="s">
        <v>88</v>
      </c>
      <c r="AV1216" s="13" t="s">
        <v>88</v>
      </c>
      <c r="AW1216" s="13" t="s">
        <v>4</v>
      </c>
      <c r="AX1216" s="13" t="s">
        <v>86</v>
      </c>
      <c r="AY1216" s="238" t="s">
        <v>200</v>
      </c>
    </row>
    <row r="1217" s="2" customFormat="1" ht="16.5" customHeight="1">
      <c r="A1217" s="40"/>
      <c r="B1217" s="41"/>
      <c r="C1217" s="260" t="s">
        <v>2050</v>
      </c>
      <c r="D1217" s="260" t="s">
        <v>292</v>
      </c>
      <c r="E1217" s="261" t="s">
        <v>2051</v>
      </c>
      <c r="F1217" s="262" t="s">
        <v>2052</v>
      </c>
      <c r="G1217" s="263" t="s">
        <v>449</v>
      </c>
      <c r="H1217" s="264">
        <v>604.22500000000002</v>
      </c>
      <c r="I1217" s="265"/>
      <c r="J1217" s="266">
        <f>ROUND(I1217*H1217,1)</f>
        <v>0</v>
      </c>
      <c r="K1217" s="262" t="s">
        <v>206</v>
      </c>
      <c r="L1217" s="267"/>
      <c r="M1217" s="268" t="s">
        <v>32</v>
      </c>
      <c r="N1217" s="269" t="s">
        <v>49</v>
      </c>
      <c r="O1217" s="86"/>
      <c r="P1217" s="218">
        <f>O1217*H1217</f>
        <v>0</v>
      </c>
      <c r="Q1217" s="218">
        <v>0.00080000000000000004</v>
      </c>
      <c r="R1217" s="218">
        <f>Q1217*H1217</f>
        <v>0.48338000000000003</v>
      </c>
      <c r="S1217" s="218">
        <v>0</v>
      </c>
      <c r="T1217" s="219">
        <f>S1217*H1217</f>
        <v>0</v>
      </c>
      <c r="U1217" s="40"/>
      <c r="V1217" s="40"/>
      <c r="W1217" s="40"/>
      <c r="X1217" s="40"/>
      <c r="Y1217" s="40"/>
      <c r="Z1217" s="40"/>
      <c r="AA1217" s="40"/>
      <c r="AB1217" s="40"/>
      <c r="AC1217" s="40"/>
      <c r="AD1217" s="40"/>
      <c r="AE1217" s="40"/>
      <c r="AR1217" s="220" t="s">
        <v>429</v>
      </c>
      <c r="AT1217" s="220" t="s">
        <v>292</v>
      </c>
      <c r="AU1217" s="220" t="s">
        <v>88</v>
      </c>
      <c r="AY1217" s="18" t="s">
        <v>200</v>
      </c>
      <c r="BE1217" s="221">
        <f>IF(N1217="základní",J1217,0)</f>
        <v>0</v>
      </c>
      <c r="BF1217" s="221">
        <f>IF(N1217="snížená",J1217,0)</f>
        <v>0</v>
      </c>
      <c r="BG1217" s="221">
        <f>IF(N1217="zákl. přenesená",J1217,0)</f>
        <v>0</v>
      </c>
      <c r="BH1217" s="221">
        <f>IF(N1217="sníž. přenesená",J1217,0)</f>
        <v>0</v>
      </c>
      <c r="BI1217" s="221">
        <f>IF(N1217="nulová",J1217,0)</f>
        <v>0</v>
      </c>
      <c r="BJ1217" s="18" t="s">
        <v>86</v>
      </c>
      <c r="BK1217" s="221">
        <f>ROUND(I1217*H1217,1)</f>
        <v>0</v>
      </c>
      <c r="BL1217" s="18" t="s">
        <v>310</v>
      </c>
      <c r="BM1217" s="220" t="s">
        <v>2053</v>
      </c>
    </row>
    <row r="1218" s="2" customFormat="1" ht="24.15" customHeight="1">
      <c r="A1218" s="40"/>
      <c r="B1218" s="41"/>
      <c r="C1218" s="209" t="s">
        <v>2054</v>
      </c>
      <c r="D1218" s="209" t="s">
        <v>202</v>
      </c>
      <c r="E1218" s="210" t="s">
        <v>2055</v>
      </c>
      <c r="F1218" s="211" t="s">
        <v>2056</v>
      </c>
      <c r="G1218" s="212" t="s">
        <v>250</v>
      </c>
      <c r="H1218" s="213">
        <v>16.936</v>
      </c>
      <c r="I1218" s="214"/>
      <c r="J1218" s="215">
        <f>ROUND(I1218*H1218,1)</f>
        <v>0</v>
      </c>
      <c r="K1218" s="211" t="s">
        <v>206</v>
      </c>
      <c r="L1218" s="46"/>
      <c r="M1218" s="216" t="s">
        <v>32</v>
      </c>
      <c r="N1218" s="217" t="s">
        <v>49</v>
      </c>
      <c r="O1218" s="86"/>
      <c r="P1218" s="218">
        <f>O1218*H1218</f>
        <v>0</v>
      </c>
      <c r="Q1218" s="218">
        <v>0</v>
      </c>
      <c r="R1218" s="218">
        <f>Q1218*H1218</f>
        <v>0</v>
      </c>
      <c r="S1218" s="218">
        <v>0</v>
      </c>
      <c r="T1218" s="219">
        <f>S1218*H1218</f>
        <v>0</v>
      </c>
      <c r="U1218" s="40"/>
      <c r="V1218" s="40"/>
      <c r="W1218" s="40"/>
      <c r="X1218" s="40"/>
      <c r="Y1218" s="40"/>
      <c r="Z1218" s="40"/>
      <c r="AA1218" s="40"/>
      <c r="AB1218" s="40"/>
      <c r="AC1218" s="40"/>
      <c r="AD1218" s="40"/>
      <c r="AE1218" s="40"/>
      <c r="AR1218" s="220" t="s">
        <v>310</v>
      </c>
      <c r="AT1218" s="220" t="s">
        <v>202</v>
      </c>
      <c r="AU1218" s="220" t="s">
        <v>88</v>
      </c>
      <c r="AY1218" s="18" t="s">
        <v>200</v>
      </c>
      <c r="BE1218" s="221">
        <f>IF(N1218="základní",J1218,0)</f>
        <v>0</v>
      </c>
      <c r="BF1218" s="221">
        <f>IF(N1218="snížená",J1218,0)</f>
        <v>0</v>
      </c>
      <c r="BG1218" s="221">
        <f>IF(N1218="zákl. přenesená",J1218,0)</f>
        <v>0</v>
      </c>
      <c r="BH1218" s="221">
        <f>IF(N1218="sníž. přenesená",J1218,0)</f>
        <v>0</v>
      </c>
      <c r="BI1218" s="221">
        <f>IF(N1218="nulová",J1218,0)</f>
        <v>0</v>
      </c>
      <c r="BJ1218" s="18" t="s">
        <v>86</v>
      </c>
      <c r="BK1218" s="221">
        <f>ROUND(I1218*H1218,1)</f>
        <v>0</v>
      </c>
      <c r="BL1218" s="18" t="s">
        <v>310</v>
      </c>
      <c r="BM1218" s="220" t="s">
        <v>2057</v>
      </c>
    </row>
    <row r="1219" s="2" customFormat="1">
      <c r="A1219" s="40"/>
      <c r="B1219" s="41"/>
      <c r="C1219" s="42"/>
      <c r="D1219" s="222" t="s">
        <v>209</v>
      </c>
      <c r="E1219" s="42"/>
      <c r="F1219" s="223" t="s">
        <v>2058</v>
      </c>
      <c r="G1219" s="42"/>
      <c r="H1219" s="42"/>
      <c r="I1219" s="224"/>
      <c r="J1219" s="42"/>
      <c r="K1219" s="42"/>
      <c r="L1219" s="46"/>
      <c r="M1219" s="225"/>
      <c r="N1219" s="226"/>
      <c r="O1219" s="86"/>
      <c r="P1219" s="86"/>
      <c r="Q1219" s="86"/>
      <c r="R1219" s="86"/>
      <c r="S1219" s="86"/>
      <c r="T1219" s="87"/>
      <c r="U1219" s="40"/>
      <c r="V1219" s="40"/>
      <c r="W1219" s="40"/>
      <c r="X1219" s="40"/>
      <c r="Y1219" s="40"/>
      <c r="Z1219" s="40"/>
      <c r="AA1219" s="40"/>
      <c r="AB1219" s="40"/>
      <c r="AC1219" s="40"/>
      <c r="AD1219" s="40"/>
      <c r="AE1219" s="40"/>
      <c r="AT1219" s="18" t="s">
        <v>209</v>
      </c>
      <c r="AU1219" s="18" t="s">
        <v>88</v>
      </c>
    </row>
    <row r="1220" s="12" customFormat="1" ht="22.8" customHeight="1">
      <c r="A1220" s="12"/>
      <c r="B1220" s="193"/>
      <c r="C1220" s="194"/>
      <c r="D1220" s="195" t="s">
        <v>77</v>
      </c>
      <c r="E1220" s="207" t="s">
        <v>2059</v>
      </c>
      <c r="F1220" s="207" t="s">
        <v>2060</v>
      </c>
      <c r="G1220" s="194"/>
      <c r="H1220" s="194"/>
      <c r="I1220" s="197"/>
      <c r="J1220" s="208">
        <f>BK1220</f>
        <v>0</v>
      </c>
      <c r="K1220" s="194"/>
      <c r="L1220" s="199"/>
      <c r="M1220" s="200"/>
      <c r="N1220" s="201"/>
      <c r="O1220" s="201"/>
      <c r="P1220" s="202">
        <f>SUM(P1221:P1248)</f>
        <v>0</v>
      </c>
      <c r="Q1220" s="201"/>
      <c r="R1220" s="202">
        <f>SUM(R1221:R1248)</f>
        <v>1.1963933</v>
      </c>
      <c r="S1220" s="201"/>
      <c r="T1220" s="203">
        <f>SUM(T1221:T1248)</f>
        <v>0</v>
      </c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R1220" s="204" t="s">
        <v>88</v>
      </c>
      <c r="AT1220" s="205" t="s">
        <v>77</v>
      </c>
      <c r="AU1220" s="205" t="s">
        <v>86</v>
      </c>
      <c r="AY1220" s="204" t="s">
        <v>200</v>
      </c>
      <c r="BK1220" s="206">
        <f>SUM(BK1221:BK1248)</f>
        <v>0</v>
      </c>
    </row>
    <row r="1221" s="2" customFormat="1" ht="16.5" customHeight="1">
      <c r="A1221" s="40"/>
      <c r="B1221" s="41"/>
      <c r="C1221" s="209" t="s">
        <v>2061</v>
      </c>
      <c r="D1221" s="209" t="s">
        <v>202</v>
      </c>
      <c r="E1221" s="210" t="s">
        <v>2062</v>
      </c>
      <c r="F1221" s="211" t="s">
        <v>2063</v>
      </c>
      <c r="G1221" s="212" t="s">
        <v>272</v>
      </c>
      <c r="H1221" s="213">
        <v>1899.79</v>
      </c>
      <c r="I1221" s="214"/>
      <c r="J1221" s="215">
        <f>ROUND(I1221*H1221,1)</f>
        <v>0</v>
      </c>
      <c r="K1221" s="211" t="s">
        <v>206</v>
      </c>
      <c r="L1221" s="46"/>
      <c r="M1221" s="216" t="s">
        <v>32</v>
      </c>
      <c r="N1221" s="217" t="s">
        <v>49</v>
      </c>
      <c r="O1221" s="86"/>
      <c r="P1221" s="218">
        <f>O1221*H1221</f>
        <v>0</v>
      </c>
      <c r="Q1221" s="218">
        <v>0.00020000000000000001</v>
      </c>
      <c r="R1221" s="218">
        <f>Q1221*H1221</f>
        <v>0.37995800000000002</v>
      </c>
      <c r="S1221" s="218">
        <v>0</v>
      </c>
      <c r="T1221" s="219">
        <f>S1221*H1221</f>
        <v>0</v>
      </c>
      <c r="U1221" s="40"/>
      <c r="V1221" s="40"/>
      <c r="W1221" s="40"/>
      <c r="X1221" s="40"/>
      <c r="Y1221" s="40"/>
      <c r="Z1221" s="40"/>
      <c r="AA1221" s="40"/>
      <c r="AB1221" s="40"/>
      <c r="AC1221" s="40"/>
      <c r="AD1221" s="40"/>
      <c r="AE1221" s="40"/>
      <c r="AR1221" s="220" t="s">
        <v>310</v>
      </c>
      <c r="AT1221" s="220" t="s">
        <v>202</v>
      </c>
      <c r="AU1221" s="220" t="s">
        <v>88</v>
      </c>
      <c r="AY1221" s="18" t="s">
        <v>200</v>
      </c>
      <c r="BE1221" s="221">
        <f>IF(N1221="základní",J1221,0)</f>
        <v>0</v>
      </c>
      <c r="BF1221" s="221">
        <f>IF(N1221="snížená",J1221,0)</f>
        <v>0</v>
      </c>
      <c r="BG1221" s="221">
        <f>IF(N1221="zákl. přenesená",J1221,0)</f>
        <v>0</v>
      </c>
      <c r="BH1221" s="221">
        <f>IF(N1221="sníž. přenesená",J1221,0)</f>
        <v>0</v>
      </c>
      <c r="BI1221" s="221">
        <f>IF(N1221="nulová",J1221,0)</f>
        <v>0</v>
      </c>
      <c r="BJ1221" s="18" t="s">
        <v>86</v>
      </c>
      <c r="BK1221" s="221">
        <f>ROUND(I1221*H1221,1)</f>
        <v>0</v>
      </c>
      <c r="BL1221" s="18" t="s">
        <v>310</v>
      </c>
      <c r="BM1221" s="220" t="s">
        <v>2064</v>
      </c>
    </row>
    <row r="1222" s="2" customFormat="1">
      <c r="A1222" s="40"/>
      <c r="B1222" s="41"/>
      <c r="C1222" s="42"/>
      <c r="D1222" s="222" t="s">
        <v>209</v>
      </c>
      <c r="E1222" s="42"/>
      <c r="F1222" s="223" t="s">
        <v>2065</v>
      </c>
      <c r="G1222" s="42"/>
      <c r="H1222" s="42"/>
      <c r="I1222" s="224"/>
      <c r="J1222" s="42"/>
      <c r="K1222" s="42"/>
      <c r="L1222" s="46"/>
      <c r="M1222" s="225"/>
      <c r="N1222" s="226"/>
      <c r="O1222" s="86"/>
      <c r="P1222" s="86"/>
      <c r="Q1222" s="86"/>
      <c r="R1222" s="86"/>
      <c r="S1222" s="86"/>
      <c r="T1222" s="87"/>
      <c r="U1222" s="40"/>
      <c r="V1222" s="40"/>
      <c r="W1222" s="40"/>
      <c r="X1222" s="40"/>
      <c r="Y1222" s="40"/>
      <c r="Z1222" s="40"/>
      <c r="AA1222" s="40"/>
      <c r="AB1222" s="40"/>
      <c r="AC1222" s="40"/>
      <c r="AD1222" s="40"/>
      <c r="AE1222" s="40"/>
      <c r="AT1222" s="18" t="s">
        <v>209</v>
      </c>
      <c r="AU1222" s="18" t="s">
        <v>88</v>
      </c>
    </row>
    <row r="1223" s="15" customFormat="1">
      <c r="A1223" s="15"/>
      <c r="B1223" s="250"/>
      <c r="C1223" s="251"/>
      <c r="D1223" s="229" t="s">
        <v>211</v>
      </c>
      <c r="E1223" s="252" t="s">
        <v>32</v>
      </c>
      <c r="F1223" s="253" t="s">
        <v>614</v>
      </c>
      <c r="G1223" s="251"/>
      <c r="H1223" s="252" t="s">
        <v>32</v>
      </c>
      <c r="I1223" s="254"/>
      <c r="J1223" s="251"/>
      <c r="K1223" s="251"/>
      <c r="L1223" s="255"/>
      <c r="M1223" s="256"/>
      <c r="N1223" s="257"/>
      <c r="O1223" s="257"/>
      <c r="P1223" s="257"/>
      <c r="Q1223" s="257"/>
      <c r="R1223" s="257"/>
      <c r="S1223" s="257"/>
      <c r="T1223" s="258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T1223" s="259" t="s">
        <v>211</v>
      </c>
      <c r="AU1223" s="259" t="s">
        <v>88</v>
      </c>
      <c r="AV1223" s="15" t="s">
        <v>86</v>
      </c>
      <c r="AW1223" s="15" t="s">
        <v>213</v>
      </c>
      <c r="AX1223" s="15" t="s">
        <v>78</v>
      </c>
      <c r="AY1223" s="259" t="s">
        <v>200</v>
      </c>
    </row>
    <row r="1224" s="13" customFormat="1">
      <c r="A1224" s="13"/>
      <c r="B1224" s="227"/>
      <c r="C1224" s="228"/>
      <c r="D1224" s="229" t="s">
        <v>211</v>
      </c>
      <c r="E1224" s="230" t="s">
        <v>32</v>
      </c>
      <c r="F1224" s="231" t="s">
        <v>615</v>
      </c>
      <c r="G1224" s="228"/>
      <c r="H1224" s="232">
        <v>205.666</v>
      </c>
      <c r="I1224" s="233"/>
      <c r="J1224" s="228"/>
      <c r="K1224" s="228"/>
      <c r="L1224" s="234"/>
      <c r="M1224" s="235"/>
      <c r="N1224" s="236"/>
      <c r="O1224" s="236"/>
      <c r="P1224" s="236"/>
      <c r="Q1224" s="236"/>
      <c r="R1224" s="236"/>
      <c r="S1224" s="236"/>
      <c r="T1224" s="237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T1224" s="238" t="s">
        <v>211</v>
      </c>
      <c r="AU1224" s="238" t="s">
        <v>88</v>
      </c>
      <c r="AV1224" s="13" t="s">
        <v>88</v>
      </c>
      <c r="AW1224" s="13" t="s">
        <v>213</v>
      </c>
      <c r="AX1224" s="13" t="s">
        <v>78</v>
      </c>
      <c r="AY1224" s="238" t="s">
        <v>200</v>
      </c>
    </row>
    <row r="1225" s="13" customFormat="1">
      <c r="A1225" s="13"/>
      <c r="B1225" s="227"/>
      <c r="C1225" s="228"/>
      <c r="D1225" s="229" t="s">
        <v>211</v>
      </c>
      <c r="E1225" s="230" t="s">
        <v>32</v>
      </c>
      <c r="F1225" s="231" t="s">
        <v>616</v>
      </c>
      <c r="G1225" s="228"/>
      <c r="H1225" s="232">
        <v>186.23500000000001</v>
      </c>
      <c r="I1225" s="233"/>
      <c r="J1225" s="228"/>
      <c r="K1225" s="228"/>
      <c r="L1225" s="234"/>
      <c r="M1225" s="235"/>
      <c r="N1225" s="236"/>
      <c r="O1225" s="236"/>
      <c r="P1225" s="236"/>
      <c r="Q1225" s="236"/>
      <c r="R1225" s="236"/>
      <c r="S1225" s="236"/>
      <c r="T1225" s="237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T1225" s="238" t="s">
        <v>211</v>
      </c>
      <c r="AU1225" s="238" t="s">
        <v>88</v>
      </c>
      <c r="AV1225" s="13" t="s">
        <v>88</v>
      </c>
      <c r="AW1225" s="13" t="s">
        <v>213</v>
      </c>
      <c r="AX1225" s="13" t="s">
        <v>78</v>
      </c>
      <c r="AY1225" s="238" t="s">
        <v>200</v>
      </c>
    </row>
    <row r="1226" s="13" customFormat="1">
      <c r="A1226" s="13"/>
      <c r="B1226" s="227"/>
      <c r="C1226" s="228"/>
      <c r="D1226" s="229" t="s">
        <v>211</v>
      </c>
      <c r="E1226" s="230" t="s">
        <v>32</v>
      </c>
      <c r="F1226" s="231" t="s">
        <v>617</v>
      </c>
      <c r="G1226" s="228"/>
      <c r="H1226" s="232">
        <v>533.596</v>
      </c>
      <c r="I1226" s="233"/>
      <c r="J1226" s="228"/>
      <c r="K1226" s="228"/>
      <c r="L1226" s="234"/>
      <c r="M1226" s="235"/>
      <c r="N1226" s="236"/>
      <c r="O1226" s="236"/>
      <c r="P1226" s="236"/>
      <c r="Q1226" s="236"/>
      <c r="R1226" s="236"/>
      <c r="S1226" s="236"/>
      <c r="T1226" s="237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T1226" s="238" t="s">
        <v>211</v>
      </c>
      <c r="AU1226" s="238" t="s">
        <v>88</v>
      </c>
      <c r="AV1226" s="13" t="s">
        <v>88</v>
      </c>
      <c r="AW1226" s="13" t="s">
        <v>213</v>
      </c>
      <c r="AX1226" s="13" t="s">
        <v>78</v>
      </c>
      <c r="AY1226" s="238" t="s">
        <v>200</v>
      </c>
    </row>
    <row r="1227" s="13" customFormat="1">
      <c r="A1227" s="13"/>
      <c r="B1227" s="227"/>
      <c r="C1227" s="228"/>
      <c r="D1227" s="229" t="s">
        <v>211</v>
      </c>
      <c r="E1227" s="230" t="s">
        <v>32</v>
      </c>
      <c r="F1227" s="231" t="s">
        <v>618</v>
      </c>
      <c r="G1227" s="228"/>
      <c r="H1227" s="232">
        <v>198.69345000000001</v>
      </c>
      <c r="I1227" s="233"/>
      <c r="J1227" s="228"/>
      <c r="K1227" s="228"/>
      <c r="L1227" s="234"/>
      <c r="M1227" s="235"/>
      <c r="N1227" s="236"/>
      <c r="O1227" s="236"/>
      <c r="P1227" s="236"/>
      <c r="Q1227" s="236"/>
      <c r="R1227" s="236"/>
      <c r="S1227" s="236"/>
      <c r="T1227" s="237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T1227" s="238" t="s">
        <v>211</v>
      </c>
      <c r="AU1227" s="238" t="s">
        <v>88</v>
      </c>
      <c r="AV1227" s="13" t="s">
        <v>88</v>
      </c>
      <c r="AW1227" s="13" t="s">
        <v>213</v>
      </c>
      <c r="AX1227" s="13" t="s">
        <v>78</v>
      </c>
      <c r="AY1227" s="238" t="s">
        <v>200</v>
      </c>
    </row>
    <row r="1228" s="13" customFormat="1">
      <c r="A1228" s="13"/>
      <c r="B1228" s="227"/>
      <c r="C1228" s="228"/>
      <c r="D1228" s="229" t="s">
        <v>211</v>
      </c>
      <c r="E1228" s="230" t="s">
        <v>32</v>
      </c>
      <c r="F1228" s="231" t="s">
        <v>619</v>
      </c>
      <c r="G1228" s="228"/>
      <c r="H1228" s="232">
        <v>144.36000000000001</v>
      </c>
      <c r="I1228" s="233"/>
      <c r="J1228" s="228"/>
      <c r="K1228" s="228"/>
      <c r="L1228" s="234"/>
      <c r="M1228" s="235"/>
      <c r="N1228" s="236"/>
      <c r="O1228" s="236"/>
      <c r="P1228" s="236"/>
      <c r="Q1228" s="236"/>
      <c r="R1228" s="236"/>
      <c r="S1228" s="236"/>
      <c r="T1228" s="237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T1228" s="238" t="s">
        <v>211</v>
      </c>
      <c r="AU1228" s="238" t="s">
        <v>88</v>
      </c>
      <c r="AV1228" s="13" t="s">
        <v>88</v>
      </c>
      <c r="AW1228" s="13" t="s">
        <v>213</v>
      </c>
      <c r="AX1228" s="13" t="s">
        <v>78</v>
      </c>
      <c r="AY1228" s="238" t="s">
        <v>200</v>
      </c>
    </row>
    <row r="1229" s="15" customFormat="1">
      <c r="A1229" s="15"/>
      <c r="B1229" s="250"/>
      <c r="C1229" s="251"/>
      <c r="D1229" s="229" t="s">
        <v>211</v>
      </c>
      <c r="E1229" s="252" t="s">
        <v>32</v>
      </c>
      <c r="F1229" s="253" t="s">
        <v>620</v>
      </c>
      <c r="G1229" s="251"/>
      <c r="H1229" s="252" t="s">
        <v>32</v>
      </c>
      <c r="I1229" s="254"/>
      <c r="J1229" s="251"/>
      <c r="K1229" s="251"/>
      <c r="L1229" s="255"/>
      <c r="M1229" s="256"/>
      <c r="N1229" s="257"/>
      <c r="O1229" s="257"/>
      <c r="P1229" s="257"/>
      <c r="Q1229" s="257"/>
      <c r="R1229" s="257"/>
      <c r="S1229" s="257"/>
      <c r="T1229" s="258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T1229" s="259" t="s">
        <v>211</v>
      </c>
      <c r="AU1229" s="259" t="s">
        <v>88</v>
      </c>
      <c r="AV1229" s="15" t="s">
        <v>86</v>
      </c>
      <c r="AW1229" s="15" t="s">
        <v>213</v>
      </c>
      <c r="AX1229" s="15" t="s">
        <v>78</v>
      </c>
      <c r="AY1229" s="259" t="s">
        <v>200</v>
      </c>
    </row>
    <row r="1230" s="13" customFormat="1">
      <c r="A1230" s="13"/>
      <c r="B1230" s="227"/>
      <c r="C1230" s="228"/>
      <c r="D1230" s="229" t="s">
        <v>211</v>
      </c>
      <c r="E1230" s="230" t="s">
        <v>32</v>
      </c>
      <c r="F1230" s="231" t="s">
        <v>621</v>
      </c>
      <c r="G1230" s="228"/>
      <c r="H1230" s="232">
        <v>112.03125</v>
      </c>
      <c r="I1230" s="233"/>
      <c r="J1230" s="228"/>
      <c r="K1230" s="228"/>
      <c r="L1230" s="234"/>
      <c r="M1230" s="235"/>
      <c r="N1230" s="236"/>
      <c r="O1230" s="236"/>
      <c r="P1230" s="236"/>
      <c r="Q1230" s="236"/>
      <c r="R1230" s="236"/>
      <c r="S1230" s="236"/>
      <c r="T1230" s="237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T1230" s="238" t="s">
        <v>211</v>
      </c>
      <c r="AU1230" s="238" t="s">
        <v>88</v>
      </c>
      <c r="AV1230" s="13" t="s">
        <v>88</v>
      </c>
      <c r="AW1230" s="13" t="s">
        <v>213</v>
      </c>
      <c r="AX1230" s="13" t="s">
        <v>78</v>
      </c>
      <c r="AY1230" s="238" t="s">
        <v>200</v>
      </c>
    </row>
    <row r="1231" s="13" customFormat="1">
      <c r="A1231" s="13"/>
      <c r="B1231" s="227"/>
      <c r="C1231" s="228"/>
      <c r="D1231" s="229" t="s">
        <v>211</v>
      </c>
      <c r="E1231" s="230" t="s">
        <v>32</v>
      </c>
      <c r="F1231" s="231" t="s">
        <v>622</v>
      </c>
      <c r="G1231" s="228"/>
      <c r="H1231" s="232">
        <v>150.578125</v>
      </c>
      <c r="I1231" s="233"/>
      <c r="J1231" s="228"/>
      <c r="K1231" s="228"/>
      <c r="L1231" s="234"/>
      <c r="M1231" s="235"/>
      <c r="N1231" s="236"/>
      <c r="O1231" s="236"/>
      <c r="P1231" s="236"/>
      <c r="Q1231" s="236"/>
      <c r="R1231" s="236"/>
      <c r="S1231" s="236"/>
      <c r="T1231" s="237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T1231" s="238" t="s">
        <v>211</v>
      </c>
      <c r="AU1231" s="238" t="s">
        <v>88</v>
      </c>
      <c r="AV1231" s="13" t="s">
        <v>88</v>
      </c>
      <c r="AW1231" s="13" t="s">
        <v>213</v>
      </c>
      <c r="AX1231" s="13" t="s">
        <v>78</v>
      </c>
      <c r="AY1231" s="238" t="s">
        <v>200</v>
      </c>
    </row>
    <row r="1232" s="13" customFormat="1">
      <c r="A1232" s="13"/>
      <c r="B1232" s="227"/>
      <c r="C1232" s="228"/>
      <c r="D1232" s="229" t="s">
        <v>211</v>
      </c>
      <c r="E1232" s="230" t="s">
        <v>32</v>
      </c>
      <c r="F1232" s="231" t="s">
        <v>623</v>
      </c>
      <c r="G1232" s="228"/>
      <c r="H1232" s="232">
        <v>50.369999999999997</v>
      </c>
      <c r="I1232" s="233"/>
      <c r="J1232" s="228"/>
      <c r="K1232" s="228"/>
      <c r="L1232" s="234"/>
      <c r="M1232" s="235"/>
      <c r="N1232" s="236"/>
      <c r="O1232" s="236"/>
      <c r="P1232" s="236"/>
      <c r="Q1232" s="236"/>
      <c r="R1232" s="236"/>
      <c r="S1232" s="236"/>
      <c r="T1232" s="237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T1232" s="238" t="s">
        <v>211</v>
      </c>
      <c r="AU1232" s="238" t="s">
        <v>88</v>
      </c>
      <c r="AV1232" s="13" t="s">
        <v>88</v>
      </c>
      <c r="AW1232" s="13" t="s">
        <v>213</v>
      </c>
      <c r="AX1232" s="13" t="s">
        <v>78</v>
      </c>
      <c r="AY1232" s="238" t="s">
        <v>200</v>
      </c>
    </row>
    <row r="1233" s="13" customFormat="1">
      <c r="A1233" s="13"/>
      <c r="B1233" s="227"/>
      <c r="C1233" s="228"/>
      <c r="D1233" s="229" t="s">
        <v>211</v>
      </c>
      <c r="E1233" s="230" t="s">
        <v>32</v>
      </c>
      <c r="F1233" s="231" t="s">
        <v>631</v>
      </c>
      <c r="G1233" s="228"/>
      <c r="H1233" s="232">
        <v>-284.43000000000001</v>
      </c>
      <c r="I1233" s="233"/>
      <c r="J1233" s="228"/>
      <c r="K1233" s="228"/>
      <c r="L1233" s="234"/>
      <c r="M1233" s="235"/>
      <c r="N1233" s="236"/>
      <c r="O1233" s="236"/>
      <c r="P1233" s="236"/>
      <c r="Q1233" s="236"/>
      <c r="R1233" s="236"/>
      <c r="S1233" s="236"/>
      <c r="T1233" s="237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T1233" s="238" t="s">
        <v>211</v>
      </c>
      <c r="AU1233" s="238" t="s">
        <v>88</v>
      </c>
      <c r="AV1233" s="13" t="s">
        <v>88</v>
      </c>
      <c r="AW1233" s="13" t="s">
        <v>213</v>
      </c>
      <c r="AX1233" s="13" t="s">
        <v>78</v>
      </c>
      <c r="AY1233" s="238" t="s">
        <v>200</v>
      </c>
    </row>
    <row r="1234" s="13" customFormat="1">
      <c r="A1234" s="13"/>
      <c r="B1234" s="227"/>
      <c r="C1234" s="228"/>
      <c r="D1234" s="229" t="s">
        <v>211</v>
      </c>
      <c r="E1234" s="230" t="s">
        <v>32</v>
      </c>
      <c r="F1234" s="231" t="s">
        <v>2066</v>
      </c>
      <c r="G1234" s="228"/>
      <c r="H1234" s="232">
        <v>1244.435</v>
      </c>
      <c r="I1234" s="233"/>
      <c r="J1234" s="228"/>
      <c r="K1234" s="228"/>
      <c r="L1234" s="234"/>
      <c r="M1234" s="235"/>
      <c r="N1234" s="236"/>
      <c r="O1234" s="236"/>
      <c r="P1234" s="236"/>
      <c r="Q1234" s="236"/>
      <c r="R1234" s="236"/>
      <c r="S1234" s="236"/>
      <c r="T1234" s="237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T1234" s="238" t="s">
        <v>211</v>
      </c>
      <c r="AU1234" s="238" t="s">
        <v>88</v>
      </c>
      <c r="AV1234" s="13" t="s">
        <v>88</v>
      </c>
      <c r="AW1234" s="13" t="s">
        <v>213</v>
      </c>
      <c r="AX1234" s="13" t="s">
        <v>78</v>
      </c>
      <c r="AY1234" s="238" t="s">
        <v>200</v>
      </c>
    </row>
    <row r="1235" s="13" customFormat="1">
      <c r="A1235" s="13"/>
      <c r="B1235" s="227"/>
      <c r="C1235" s="228"/>
      <c r="D1235" s="229" t="s">
        <v>211</v>
      </c>
      <c r="E1235" s="230" t="s">
        <v>32</v>
      </c>
      <c r="F1235" s="231" t="s">
        <v>2067</v>
      </c>
      <c r="G1235" s="228"/>
      <c r="H1235" s="232">
        <v>59.32</v>
      </c>
      <c r="I1235" s="233"/>
      <c r="J1235" s="228"/>
      <c r="K1235" s="228"/>
      <c r="L1235" s="234"/>
      <c r="M1235" s="235"/>
      <c r="N1235" s="236"/>
      <c r="O1235" s="236"/>
      <c r="P1235" s="236"/>
      <c r="Q1235" s="236"/>
      <c r="R1235" s="236"/>
      <c r="S1235" s="236"/>
      <c r="T1235" s="237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T1235" s="238" t="s">
        <v>211</v>
      </c>
      <c r="AU1235" s="238" t="s">
        <v>88</v>
      </c>
      <c r="AV1235" s="13" t="s">
        <v>88</v>
      </c>
      <c r="AW1235" s="13" t="s">
        <v>213</v>
      </c>
      <c r="AX1235" s="13" t="s">
        <v>78</v>
      </c>
      <c r="AY1235" s="238" t="s">
        <v>200</v>
      </c>
    </row>
    <row r="1236" s="13" customFormat="1">
      <c r="A1236" s="13"/>
      <c r="B1236" s="227"/>
      <c r="C1236" s="228"/>
      <c r="D1236" s="229" t="s">
        <v>211</v>
      </c>
      <c r="E1236" s="230" t="s">
        <v>32</v>
      </c>
      <c r="F1236" s="231" t="s">
        <v>2068</v>
      </c>
      <c r="G1236" s="228"/>
      <c r="H1236" s="232">
        <v>-701.06500000000005</v>
      </c>
      <c r="I1236" s="233"/>
      <c r="J1236" s="228"/>
      <c r="K1236" s="228"/>
      <c r="L1236" s="234"/>
      <c r="M1236" s="235"/>
      <c r="N1236" s="236"/>
      <c r="O1236" s="236"/>
      <c r="P1236" s="236"/>
      <c r="Q1236" s="236"/>
      <c r="R1236" s="236"/>
      <c r="S1236" s="236"/>
      <c r="T1236" s="237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T1236" s="238" t="s">
        <v>211</v>
      </c>
      <c r="AU1236" s="238" t="s">
        <v>88</v>
      </c>
      <c r="AV1236" s="13" t="s">
        <v>88</v>
      </c>
      <c r="AW1236" s="13" t="s">
        <v>213</v>
      </c>
      <c r="AX1236" s="13" t="s">
        <v>78</v>
      </c>
      <c r="AY1236" s="238" t="s">
        <v>200</v>
      </c>
    </row>
    <row r="1237" s="14" customFormat="1">
      <c r="A1237" s="14"/>
      <c r="B1237" s="239"/>
      <c r="C1237" s="240"/>
      <c r="D1237" s="229" t="s">
        <v>211</v>
      </c>
      <c r="E1237" s="241" t="s">
        <v>32</v>
      </c>
      <c r="F1237" s="242" t="s">
        <v>220</v>
      </c>
      <c r="G1237" s="240"/>
      <c r="H1237" s="243">
        <v>1899.7898250000001</v>
      </c>
      <c r="I1237" s="244"/>
      <c r="J1237" s="240"/>
      <c r="K1237" s="240"/>
      <c r="L1237" s="245"/>
      <c r="M1237" s="246"/>
      <c r="N1237" s="247"/>
      <c r="O1237" s="247"/>
      <c r="P1237" s="247"/>
      <c r="Q1237" s="247"/>
      <c r="R1237" s="247"/>
      <c r="S1237" s="247"/>
      <c r="T1237" s="248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T1237" s="249" t="s">
        <v>211</v>
      </c>
      <c r="AU1237" s="249" t="s">
        <v>88</v>
      </c>
      <c r="AV1237" s="14" t="s">
        <v>207</v>
      </c>
      <c r="AW1237" s="14" t="s">
        <v>213</v>
      </c>
      <c r="AX1237" s="14" t="s">
        <v>86</v>
      </c>
      <c r="AY1237" s="249" t="s">
        <v>200</v>
      </c>
    </row>
    <row r="1238" s="2" customFormat="1" ht="21.75" customHeight="1">
      <c r="A1238" s="40"/>
      <c r="B1238" s="41"/>
      <c r="C1238" s="209" t="s">
        <v>2069</v>
      </c>
      <c r="D1238" s="209" t="s">
        <v>202</v>
      </c>
      <c r="E1238" s="210" t="s">
        <v>2070</v>
      </c>
      <c r="F1238" s="211" t="s">
        <v>2071</v>
      </c>
      <c r="G1238" s="212" t="s">
        <v>272</v>
      </c>
      <c r="H1238" s="213">
        <v>701.06500000000005</v>
      </c>
      <c r="I1238" s="214"/>
      <c r="J1238" s="215">
        <f>ROUND(I1238*H1238,1)</f>
        <v>0</v>
      </c>
      <c r="K1238" s="211" t="s">
        <v>206</v>
      </c>
      <c r="L1238" s="46"/>
      <c r="M1238" s="216" t="s">
        <v>32</v>
      </c>
      <c r="N1238" s="217" t="s">
        <v>49</v>
      </c>
      <c r="O1238" s="86"/>
      <c r="P1238" s="218">
        <f>O1238*H1238</f>
        <v>0</v>
      </c>
      <c r="Q1238" s="218">
        <v>0.00020000000000000001</v>
      </c>
      <c r="R1238" s="218">
        <f>Q1238*H1238</f>
        <v>0.140213</v>
      </c>
      <c r="S1238" s="218">
        <v>0</v>
      </c>
      <c r="T1238" s="219">
        <f>S1238*H1238</f>
        <v>0</v>
      </c>
      <c r="U1238" s="40"/>
      <c r="V1238" s="40"/>
      <c r="W1238" s="40"/>
      <c r="X1238" s="40"/>
      <c r="Y1238" s="40"/>
      <c r="Z1238" s="40"/>
      <c r="AA1238" s="40"/>
      <c r="AB1238" s="40"/>
      <c r="AC1238" s="40"/>
      <c r="AD1238" s="40"/>
      <c r="AE1238" s="40"/>
      <c r="AR1238" s="220" t="s">
        <v>310</v>
      </c>
      <c r="AT1238" s="220" t="s">
        <v>202</v>
      </c>
      <c r="AU1238" s="220" t="s">
        <v>88</v>
      </c>
      <c r="AY1238" s="18" t="s">
        <v>200</v>
      </c>
      <c r="BE1238" s="221">
        <f>IF(N1238="základní",J1238,0)</f>
        <v>0</v>
      </c>
      <c r="BF1238" s="221">
        <f>IF(N1238="snížená",J1238,0)</f>
        <v>0</v>
      </c>
      <c r="BG1238" s="221">
        <f>IF(N1238="zákl. přenesená",J1238,0)</f>
        <v>0</v>
      </c>
      <c r="BH1238" s="221">
        <f>IF(N1238="sníž. přenesená",J1238,0)</f>
        <v>0</v>
      </c>
      <c r="BI1238" s="221">
        <f>IF(N1238="nulová",J1238,0)</f>
        <v>0</v>
      </c>
      <c r="BJ1238" s="18" t="s">
        <v>86</v>
      </c>
      <c r="BK1238" s="221">
        <f>ROUND(I1238*H1238,1)</f>
        <v>0</v>
      </c>
      <c r="BL1238" s="18" t="s">
        <v>310</v>
      </c>
      <c r="BM1238" s="220" t="s">
        <v>2072</v>
      </c>
    </row>
    <row r="1239" s="2" customFormat="1">
      <c r="A1239" s="40"/>
      <c r="B1239" s="41"/>
      <c r="C1239" s="42"/>
      <c r="D1239" s="222" t="s">
        <v>209</v>
      </c>
      <c r="E1239" s="42"/>
      <c r="F1239" s="223" t="s">
        <v>2073</v>
      </c>
      <c r="G1239" s="42"/>
      <c r="H1239" s="42"/>
      <c r="I1239" s="224"/>
      <c r="J1239" s="42"/>
      <c r="K1239" s="42"/>
      <c r="L1239" s="46"/>
      <c r="M1239" s="225"/>
      <c r="N1239" s="226"/>
      <c r="O1239" s="86"/>
      <c r="P1239" s="86"/>
      <c r="Q1239" s="86"/>
      <c r="R1239" s="86"/>
      <c r="S1239" s="86"/>
      <c r="T1239" s="87"/>
      <c r="U1239" s="40"/>
      <c r="V1239" s="40"/>
      <c r="W1239" s="40"/>
      <c r="X1239" s="40"/>
      <c r="Y1239" s="40"/>
      <c r="Z1239" s="40"/>
      <c r="AA1239" s="40"/>
      <c r="AB1239" s="40"/>
      <c r="AC1239" s="40"/>
      <c r="AD1239" s="40"/>
      <c r="AE1239" s="40"/>
      <c r="AT1239" s="18" t="s">
        <v>209</v>
      </c>
      <c r="AU1239" s="18" t="s">
        <v>88</v>
      </c>
    </row>
    <row r="1240" s="13" customFormat="1">
      <c r="A1240" s="13"/>
      <c r="B1240" s="227"/>
      <c r="C1240" s="228"/>
      <c r="D1240" s="229" t="s">
        <v>211</v>
      </c>
      <c r="E1240" s="230" t="s">
        <v>32</v>
      </c>
      <c r="F1240" s="231" t="s">
        <v>616</v>
      </c>
      <c r="G1240" s="228"/>
      <c r="H1240" s="232">
        <v>186.23500000000001</v>
      </c>
      <c r="I1240" s="233"/>
      <c r="J1240" s="228"/>
      <c r="K1240" s="228"/>
      <c r="L1240" s="234"/>
      <c r="M1240" s="235"/>
      <c r="N1240" s="236"/>
      <c r="O1240" s="236"/>
      <c r="P1240" s="236"/>
      <c r="Q1240" s="236"/>
      <c r="R1240" s="236"/>
      <c r="S1240" s="236"/>
      <c r="T1240" s="237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T1240" s="238" t="s">
        <v>211</v>
      </c>
      <c r="AU1240" s="238" t="s">
        <v>88</v>
      </c>
      <c r="AV1240" s="13" t="s">
        <v>88</v>
      </c>
      <c r="AW1240" s="13" t="s">
        <v>213</v>
      </c>
      <c r="AX1240" s="13" t="s">
        <v>78</v>
      </c>
      <c r="AY1240" s="238" t="s">
        <v>200</v>
      </c>
    </row>
    <row r="1241" s="13" customFormat="1">
      <c r="A1241" s="13"/>
      <c r="B1241" s="227"/>
      <c r="C1241" s="228"/>
      <c r="D1241" s="229" t="s">
        <v>211</v>
      </c>
      <c r="E1241" s="230" t="s">
        <v>32</v>
      </c>
      <c r="F1241" s="231" t="s">
        <v>619</v>
      </c>
      <c r="G1241" s="228"/>
      <c r="H1241" s="232">
        <v>144.36000000000001</v>
      </c>
      <c r="I1241" s="233"/>
      <c r="J1241" s="228"/>
      <c r="K1241" s="228"/>
      <c r="L1241" s="234"/>
      <c r="M1241" s="235"/>
      <c r="N1241" s="236"/>
      <c r="O1241" s="236"/>
      <c r="P1241" s="236"/>
      <c r="Q1241" s="236"/>
      <c r="R1241" s="236"/>
      <c r="S1241" s="236"/>
      <c r="T1241" s="237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T1241" s="238" t="s">
        <v>211</v>
      </c>
      <c r="AU1241" s="238" t="s">
        <v>88</v>
      </c>
      <c r="AV1241" s="13" t="s">
        <v>88</v>
      </c>
      <c r="AW1241" s="13" t="s">
        <v>213</v>
      </c>
      <c r="AX1241" s="13" t="s">
        <v>78</v>
      </c>
      <c r="AY1241" s="238" t="s">
        <v>200</v>
      </c>
    </row>
    <row r="1242" s="13" customFormat="1">
      <c r="A1242" s="13"/>
      <c r="B1242" s="227"/>
      <c r="C1242" s="228"/>
      <c r="D1242" s="229" t="s">
        <v>211</v>
      </c>
      <c r="E1242" s="230" t="s">
        <v>32</v>
      </c>
      <c r="F1242" s="231" t="s">
        <v>623</v>
      </c>
      <c r="G1242" s="228"/>
      <c r="H1242" s="232">
        <v>50.369999999999997</v>
      </c>
      <c r="I1242" s="233"/>
      <c r="J1242" s="228"/>
      <c r="K1242" s="228"/>
      <c r="L1242" s="234"/>
      <c r="M1242" s="235"/>
      <c r="N1242" s="236"/>
      <c r="O1242" s="236"/>
      <c r="P1242" s="236"/>
      <c r="Q1242" s="236"/>
      <c r="R1242" s="236"/>
      <c r="S1242" s="236"/>
      <c r="T1242" s="237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T1242" s="238" t="s">
        <v>211</v>
      </c>
      <c r="AU1242" s="238" t="s">
        <v>88</v>
      </c>
      <c r="AV1242" s="13" t="s">
        <v>88</v>
      </c>
      <c r="AW1242" s="13" t="s">
        <v>213</v>
      </c>
      <c r="AX1242" s="13" t="s">
        <v>78</v>
      </c>
      <c r="AY1242" s="238" t="s">
        <v>200</v>
      </c>
    </row>
    <row r="1243" s="13" customFormat="1">
      <c r="A1243" s="13"/>
      <c r="B1243" s="227"/>
      <c r="C1243" s="228"/>
      <c r="D1243" s="229" t="s">
        <v>211</v>
      </c>
      <c r="E1243" s="230" t="s">
        <v>32</v>
      </c>
      <c r="F1243" s="231" t="s">
        <v>1288</v>
      </c>
      <c r="G1243" s="228"/>
      <c r="H1243" s="232">
        <v>320.10000000000002</v>
      </c>
      <c r="I1243" s="233"/>
      <c r="J1243" s="228"/>
      <c r="K1243" s="228"/>
      <c r="L1243" s="234"/>
      <c r="M1243" s="235"/>
      <c r="N1243" s="236"/>
      <c r="O1243" s="236"/>
      <c r="P1243" s="236"/>
      <c r="Q1243" s="236"/>
      <c r="R1243" s="236"/>
      <c r="S1243" s="236"/>
      <c r="T1243" s="237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T1243" s="238" t="s">
        <v>211</v>
      </c>
      <c r="AU1243" s="238" t="s">
        <v>88</v>
      </c>
      <c r="AV1243" s="13" t="s">
        <v>88</v>
      </c>
      <c r="AW1243" s="13" t="s">
        <v>213</v>
      </c>
      <c r="AX1243" s="13" t="s">
        <v>78</v>
      </c>
      <c r="AY1243" s="238" t="s">
        <v>200</v>
      </c>
    </row>
    <row r="1244" s="14" customFormat="1">
      <c r="A1244" s="14"/>
      <c r="B1244" s="239"/>
      <c r="C1244" s="240"/>
      <c r="D1244" s="229" t="s">
        <v>211</v>
      </c>
      <c r="E1244" s="241" t="s">
        <v>32</v>
      </c>
      <c r="F1244" s="242" t="s">
        <v>220</v>
      </c>
      <c r="G1244" s="240"/>
      <c r="H1244" s="243">
        <v>701.06500000000005</v>
      </c>
      <c r="I1244" s="244"/>
      <c r="J1244" s="240"/>
      <c r="K1244" s="240"/>
      <c r="L1244" s="245"/>
      <c r="M1244" s="246"/>
      <c r="N1244" s="247"/>
      <c r="O1244" s="247"/>
      <c r="P1244" s="247"/>
      <c r="Q1244" s="247"/>
      <c r="R1244" s="247"/>
      <c r="S1244" s="247"/>
      <c r="T1244" s="248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T1244" s="249" t="s">
        <v>211</v>
      </c>
      <c r="AU1244" s="249" t="s">
        <v>88</v>
      </c>
      <c r="AV1244" s="14" t="s">
        <v>207</v>
      </c>
      <c r="AW1244" s="14" t="s">
        <v>213</v>
      </c>
      <c r="AX1244" s="14" t="s">
        <v>86</v>
      </c>
      <c r="AY1244" s="249" t="s">
        <v>200</v>
      </c>
    </row>
    <row r="1245" s="2" customFormat="1" ht="24.15" customHeight="1">
      <c r="A1245" s="40"/>
      <c r="B1245" s="41"/>
      <c r="C1245" s="209" t="s">
        <v>2074</v>
      </c>
      <c r="D1245" s="209" t="s">
        <v>202</v>
      </c>
      <c r="E1245" s="210" t="s">
        <v>2075</v>
      </c>
      <c r="F1245" s="211" t="s">
        <v>2076</v>
      </c>
      <c r="G1245" s="212" t="s">
        <v>272</v>
      </c>
      <c r="H1245" s="213">
        <v>1899.79</v>
      </c>
      <c r="I1245" s="214"/>
      <c r="J1245" s="215">
        <f>ROUND(I1245*H1245,1)</f>
        <v>0</v>
      </c>
      <c r="K1245" s="211" t="s">
        <v>206</v>
      </c>
      <c r="L1245" s="46"/>
      <c r="M1245" s="216" t="s">
        <v>32</v>
      </c>
      <c r="N1245" s="217" t="s">
        <v>49</v>
      </c>
      <c r="O1245" s="86"/>
      <c r="P1245" s="218">
        <f>O1245*H1245</f>
        <v>0</v>
      </c>
      <c r="Q1245" s="218">
        <v>0.00025999999999999998</v>
      </c>
      <c r="R1245" s="218">
        <f>Q1245*H1245</f>
        <v>0.49394539999999992</v>
      </c>
      <c r="S1245" s="218">
        <v>0</v>
      </c>
      <c r="T1245" s="219">
        <f>S1245*H1245</f>
        <v>0</v>
      </c>
      <c r="U1245" s="40"/>
      <c r="V1245" s="40"/>
      <c r="W1245" s="40"/>
      <c r="X1245" s="40"/>
      <c r="Y1245" s="40"/>
      <c r="Z1245" s="40"/>
      <c r="AA1245" s="40"/>
      <c r="AB1245" s="40"/>
      <c r="AC1245" s="40"/>
      <c r="AD1245" s="40"/>
      <c r="AE1245" s="40"/>
      <c r="AR1245" s="220" t="s">
        <v>310</v>
      </c>
      <c r="AT1245" s="220" t="s">
        <v>202</v>
      </c>
      <c r="AU1245" s="220" t="s">
        <v>88</v>
      </c>
      <c r="AY1245" s="18" t="s">
        <v>200</v>
      </c>
      <c r="BE1245" s="221">
        <f>IF(N1245="základní",J1245,0)</f>
        <v>0</v>
      </c>
      <c r="BF1245" s="221">
        <f>IF(N1245="snížená",J1245,0)</f>
        <v>0</v>
      </c>
      <c r="BG1245" s="221">
        <f>IF(N1245="zákl. přenesená",J1245,0)</f>
        <v>0</v>
      </c>
      <c r="BH1245" s="221">
        <f>IF(N1245="sníž. přenesená",J1245,0)</f>
        <v>0</v>
      </c>
      <c r="BI1245" s="221">
        <f>IF(N1245="nulová",J1245,0)</f>
        <v>0</v>
      </c>
      <c r="BJ1245" s="18" t="s">
        <v>86</v>
      </c>
      <c r="BK1245" s="221">
        <f>ROUND(I1245*H1245,1)</f>
        <v>0</v>
      </c>
      <c r="BL1245" s="18" t="s">
        <v>310</v>
      </c>
      <c r="BM1245" s="220" t="s">
        <v>2077</v>
      </c>
    </row>
    <row r="1246" s="2" customFormat="1">
      <c r="A1246" s="40"/>
      <c r="B1246" s="41"/>
      <c r="C1246" s="42"/>
      <c r="D1246" s="222" t="s">
        <v>209</v>
      </c>
      <c r="E1246" s="42"/>
      <c r="F1246" s="223" t="s">
        <v>2078</v>
      </c>
      <c r="G1246" s="42"/>
      <c r="H1246" s="42"/>
      <c r="I1246" s="224"/>
      <c r="J1246" s="42"/>
      <c r="K1246" s="42"/>
      <c r="L1246" s="46"/>
      <c r="M1246" s="225"/>
      <c r="N1246" s="226"/>
      <c r="O1246" s="86"/>
      <c r="P1246" s="86"/>
      <c r="Q1246" s="86"/>
      <c r="R1246" s="86"/>
      <c r="S1246" s="86"/>
      <c r="T1246" s="87"/>
      <c r="U1246" s="40"/>
      <c r="V1246" s="40"/>
      <c r="W1246" s="40"/>
      <c r="X1246" s="40"/>
      <c r="Y1246" s="40"/>
      <c r="Z1246" s="40"/>
      <c r="AA1246" s="40"/>
      <c r="AB1246" s="40"/>
      <c r="AC1246" s="40"/>
      <c r="AD1246" s="40"/>
      <c r="AE1246" s="40"/>
      <c r="AT1246" s="18" t="s">
        <v>209</v>
      </c>
      <c r="AU1246" s="18" t="s">
        <v>88</v>
      </c>
    </row>
    <row r="1247" s="2" customFormat="1" ht="24.15" customHeight="1">
      <c r="A1247" s="40"/>
      <c r="B1247" s="41"/>
      <c r="C1247" s="209" t="s">
        <v>2079</v>
      </c>
      <c r="D1247" s="209" t="s">
        <v>202</v>
      </c>
      <c r="E1247" s="210" t="s">
        <v>2080</v>
      </c>
      <c r="F1247" s="211" t="s">
        <v>2081</v>
      </c>
      <c r="G1247" s="212" t="s">
        <v>272</v>
      </c>
      <c r="H1247" s="213">
        <v>701.06500000000005</v>
      </c>
      <c r="I1247" s="214"/>
      <c r="J1247" s="215">
        <f>ROUND(I1247*H1247,1)</f>
        <v>0</v>
      </c>
      <c r="K1247" s="211" t="s">
        <v>206</v>
      </c>
      <c r="L1247" s="46"/>
      <c r="M1247" s="216" t="s">
        <v>32</v>
      </c>
      <c r="N1247" s="217" t="s">
        <v>49</v>
      </c>
      <c r="O1247" s="86"/>
      <c r="P1247" s="218">
        <f>O1247*H1247</f>
        <v>0</v>
      </c>
      <c r="Q1247" s="218">
        <v>0.00025999999999999998</v>
      </c>
      <c r="R1247" s="218">
        <f>Q1247*H1247</f>
        <v>0.18227689999999999</v>
      </c>
      <c r="S1247" s="218">
        <v>0</v>
      </c>
      <c r="T1247" s="219">
        <f>S1247*H1247</f>
        <v>0</v>
      </c>
      <c r="U1247" s="40"/>
      <c r="V1247" s="40"/>
      <c r="W1247" s="40"/>
      <c r="X1247" s="40"/>
      <c r="Y1247" s="40"/>
      <c r="Z1247" s="40"/>
      <c r="AA1247" s="40"/>
      <c r="AB1247" s="40"/>
      <c r="AC1247" s="40"/>
      <c r="AD1247" s="40"/>
      <c r="AE1247" s="40"/>
      <c r="AR1247" s="220" t="s">
        <v>310</v>
      </c>
      <c r="AT1247" s="220" t="s">
        <v>202</v>
      </c>
      <c r="AU1247" s="220" t="s">
        <v>88</v>
      </c>
      <c r="AY1247" s="18" t="s">
        <v>200</v>
      </c>
      <c r="BE1247" s="221">
        <f>IF(N1247="základní",J1247,0)</f>
        <v>0</v>
      </c>
      <c r="BF1247" s="221">
        <f>IF(N1247="snížená",J1247,0)</f>
        <v>0</v>
      </c>
      <c r="BG1247" s="221">
        <f>IF(N1247="zákl. přenesená",J1247,0)</f>
        <v>0</v>
      </c>
      <c r="BH1247" s="221">
        <f>IF(N1247="sníž. přenesená",J1247,0)</f>
        <v>0</v>
      </c>
      <c r="BI1247" s="221">
        <f>IF(N1247="nulová",J1247,0)</f>
        <v>0</v>
      </c>
      <c r="BJ1247" s="18" t="s">
        <v>86</v>
      </c>
      <c r="BK1247" s="221">
        <f>ROUND(I1247*H1247,1)</f>
        <v>0</v>
      </c>
      <c r="BL1247" s="18" t="s">
        <v>310</v>
      </c>
      <c r="BM1247" s="220" t="s">
        <v>2082</v>
      </c>
    </row>
    <row r="1248" s="2" customFormat="1">
      <c r="A1248" s="40"/>
      <c r="B1248" s="41"/>
      <c r="C1248" s="42"/>
      <c r="D1248" s="222" t="s">
        <v>209</v>
      </c>
      <c r="E1248" s="42"/>
      <c r="F1248" s="223" t="s">
        <v>2083</v>
      </c>
      <c r="G1248" s="42"/>
      <c r="H1248" s="42"/>
      <c r="I1248" s="224"/>
      <c r="J1248" s="42"/>
      <c r="K1248" s="42"/>
      <c r="L1248" s="46"/>
      <c r="M1248" s="225"/>
      <c r="N1248" s="226"/>
      <c r="O1248" s="86"/>
      <c r="P1248" s="86"/>
      <c r="Q1248" s="86"/>
      <c r="R1248" s="86"/>
      <c r="S1248" s="86"/>
      <c r="T1248" s="87"/>
      <c r="U1248" s="40"/>
      <c r="V1248" s="40"/>
      <c r="W1248" s="40"/>
      <c r="X1248" s="40"/>
      <c r="Y1248" s="40"/>
      <c r="Z1248" s="40"/>
      <c r="AA1248" s="40"/>
      <c r="AB1248" s="40"/>
      <c r="AC1248" s="40"/>
      <c r="AD1248" s="40"/>
      <c r="AE1248" s="40"/>
      <c r="AT1248" s="18" t="s">
        <v>209</v>
      </c>
      <c r="AU1248" s="18" t="s">
        <v>88</v>
      </c>
    </row>
    <row r="1249" s="12" customFormat="1" ht="22.8" customHeight="1">
      <c r="A1249" s="12"/>
      <c r="B1249" s="193"/>
      <c r="C1249" s="194"/>
      <c r="D1249" s="195" t="s">
        <v>77</v>
      </c>
      <c r="E1249" s="207" t="s">
        <v>2084</v>
      </c>
      <c r="F1249" s="207" t="s">
        <v>2085</v>
      </c>
      <c r="G1249" s="194"/>
      <c r="H1249" s="194"/>
      <c r="I1249" s="197"/>
      <c r="J1249" s="208">
        <f>BK1249</f>
        <v>0</v>
      </c>
      <c r="K1249" s="194"/>
      <c r="L1249" s="199"/>
      <c r="M1249" s="200"/>
      <c r="N1249" s="201"/>
      <c r="O1249" s="201"/>
      <c r="P1249" s="202">
        <f>SUM(P1250:P1254)</f>
        <v>0</v>
      </c>
      <c r="Q1249" s="201"/>
      <c r="R1249" s="202">
        <f>SUM(R1250:R1254)</f>
        <v>0.97445835000000003</v>
      </c>
      <c r="S1249" s="201"/>
      <c r="T1249" s="203">
        <f>SUM(T1250:T1254)</f>
        <v>0</v>
      </c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R1249" s="204" t="s">
        <v>88</v>
      </c>
      <c r="AT1249" s="205" t="s">
        <v>77</v>
      </c>
      <c r="AU1249" s="205" t="s">
        <v>86</v>
      </c>
      <c r="AY1249" s="204" t="s">
        <v>200</v>
      </c>
      <c r="BK1249" s="206">
        <f>SUM(BK1250:BK1254)</f>
        <v>0</v>
      </c>
    </row>
    <row r="1250" s="2" customFormat="1" ht="16.5" customHeight="1">
      <c r="A1250" s="40"/>
      <c r="B1250" s="41"/>
      <c r="C1250" s="209" t="s">
        <v>2086</v>
      </c>
      <c r="D1250" s="209" t="s">
        <v>202</v>
      </c>
      <c r="E1250" s="210" t="s">
        <v>2087</v>
      </c>
      <c r="F1250" s="211" t="s">
        <v>2088</v>
      </c>
      <c r="G1250" s="212" t="s">
        <v>272</v>
      </c>
      <c r="H1250" s="213">
        <v>1203.0350000000001</v>
      </c>
      <c r="I1250" s="214"/>
      <c r="J1250" s="215">
        <f>ROUND(I1250*H1250,1)</f>
        <v>0</v>
      </c>
      <c r="K1250" s="211" t="s">
        <v>206</v>
      </c>
      <c r="L1250" s="46"/>
      <c r="M1250" s="216" t="s">
        <v>32</v>
      </c>
      <c r="N1250" s="217" t="s">
        <v>49</v>
      </c>
      <c r="O1250" s="86"/>
      <c r="P1250" s="218">
        <f>O1250*H1250</f>
        <v>0</v>
      </c>
      <c r="Q1250" s="218">
        <v>0.00054000000000000001</v>
      </c>
      <c r="R1250" s="218">
        <f>Q1250*H1250</f>
        <v>0.64963890000000002</v>
      </c>
      <c r="S1250" s="218">
        <v>0</v>
      </c>
      <c r="T1250" s="219">
        <f>S1250*H1250</f>
        <v>0</v>
      </c>
      <c r="U1250" s="40"/>
      <c r="V1250" s="40"/>
      <c r="W1250" s="40"/>
      <c r="X1250" s="40"/>
      <c r="Y1250" s="40"/>
      <c r="Z1250" s="40"/>
      <c r="AA1250" s="40"/>
      <c r="AB1250" s="40"/>
      <c r="AC1250" s="40"/>
      <c r="AD1250" s="40"/>
      <c r="AE1250" s="40"/>
      <c r="AR1250" s="220" t="s">
        <v>310</v>
      </c>
      <c r="AT1250" s="220" t="s">
        <v>202</v>
      </c>
      <c r="AU1250" s="220" t="s">
        <v>88</v>
      </c>
      <c r="AY1250" s="18" t="s">
        <v>200</v>
      </c>
      <c r="BE1250" s="221">
        <f>IF(N1250="základní",J1250,0)</f>
        <v>0</v>
      </c>
      <c r="BF1250" s="221">
        <f>IF(N1250="snížená",J1250,0)</f>
        <v>0</v>
      </c>
      <c r="BG1250" s="221">
        <f>IF(N1250="zákl. přenesená",J1250,0)</f>
        <v>0</v>
      </c>
      <c r="BH1250" s="221">
        <f>IF(N1250="sníž. přenesená",J1250,0)</f>
        <v>0</v>
      </c>
      <c r="BI1250" s="221">
        <f>IF(N1250="nulová",J1250,0)</f>
        <v>0</v>
      </c>
      <c r="BJ1250" s="18" t="s">
        <v>86</v>
      </c>
      <c r="BK1250" s="221">
        <f>ROUND(I1250*H1250,1)</f>
        <v>0</v>
      </c>
      <c r="BL1250" s="18" t="s">
        <v>310</v>
      </c>
      <c r="BM1250" s="220" t="s">
        <v>2089</v>
      </c>
    </row>
    <row r="1251" s="2" customFormat="1">
      <c r="A1251" s="40"/>
      <c r="B1251" s="41"/>
      <c r="C1251" s="42"/>
      <c r="D1251" s="222" t="s">
        <v>209</v>
      </c>
      <c r="E1251" s="42"/>
      <c r="F1251" s="223" t="s">
        <v>2090</v>
      </c>
      <c r="G1251" s="42"/>
      <c r="H1251" s="42"/>
      <c r="I1251" s="224"/>
      <c r="J1251" s="42"/>
      <c r="K1251" s="42"/>
      <c r="L1251" s="46"/>
      <c r="M1251" s="225"/>
      <c r="N1251" s="226"/>
      <c r="O1251" s="86"/>
      <c r="P1251" s="86"/>
      <c r="Q1251" s="86"/>
      <c r="R1251" s="86"/>
      <c r="S1251" s="86"/>
      <c r="T1251" s="87"/>
      <c r="U1251" s="40"/>
      <c r="V1251" s="40"/>
      <c r="W1251" s="40"/>
      <c r="X1251" s="40"/>
      <c r="Y1251" s="40"/>
      <c r="Z1251" s="40"/>
      <c r="AA1251" s="40"/>
      <c r="AB1251" s="40"/>
      <c r="AC1251" s="40"/>
      <c r="AD1251" s="40"/>
      <c r="AE1251" s="40"/>
      <c r="AT1251" s="18" t="s">
        <v>209</v>
      </c>
      <c r="AU1251" s="18" t="s">
        <v>88</v>
      </c>
    </row>
    <row r="1252" s="13" customFormat="1">
      <c r="A1252" s="13"/>
      <c r="B1252" s="227"/>
      <c r="C1252" s="228"/>
      <c r="D1252" s="229" t="s">
        <v>211</v>
      </c>
      <c r="E1252" s="230" t="s">
        <v>32</v>
      </c>
      <c r="F1252" s="231" t="s">
        <v>2091</v>
      </c>
      <c r="G1252" s="228"/>
      <c r="H1252" s="232">
        <v>1203.0347699700001</v>
      </c>
      <c r="I1252" s="233"/>
      <c r="J1252" s="228"/>
      <c r="K1252" s="228"/>
      <c r="L1252" s="234"/>
      <c r="M1252" s="235"/>
      <c r="N1252" s="236"/>
      <c r="O1252" s="236"/>
      <c r="P1252" s="236"/>
      <c r="Q1252" s="236"/>
      <c r="R1252" s="236"/>
      <c r="S1252" s="236"/>
      <c r="T1252" s="237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T1252" s="238" t="s">
        <v>211</v>
      </c>
      <c r="AU1252" s="238" t="s">
        <v>88</v>
      </c>
      <c r="AV1252" s="13" t="s">
        <v>88</v>
      </c>
      <c r="AW1252" s="13" t="s">
        <v>213</v>
      </c>
      <c r="AX1252" s="13" t="s">
        <v>86</v>
      </c>
      <c r="AY1252" s="238" t="s">
        <v>200</v>
      </c>
    </row>
    <row r="1253" s="2" customFormat="1" ht="16.5" customHeight="1">
      <c r="A1253" s="40"/>
      <c r="B1253" s="41"/>
      <c r="C1253" s="209" t="s">
        <v>2092</v>
      </c>
      <c r="D1253" s="209" t="s">
        <v>202</v>
      </c>
      <c r="E1253" s="210" t="s">
        <v>2093</v>
      </c>
      <c r="F1253" s="211" t="s">
        <v>2094</v>
      </c>
      <c r="G1253" s="212" t="s">
        <v>272</v>
      </c>
      <c r="H1253" s="213">
        <v>1203.0350000000001</v>
      </c>
      <c r="I1253" s="214"/>
      <c r="J1253" s="215">
        <f>ROUND(I1253*H1253,1)</f>
        <v>0</v>
      </c>
      <c r="K1253" s="211" t="s">
        <v>206</v>
      </c>
      <c r="L1253" s="46"/>
      <c r="M1253" s="216" t="s">
        <v>32</v>
      </c>
      <c r="N1253" s="217" t="s">
        <v>49</v>
      </c>
      <c r="O1253" s="86"/>
      <c r="P1253" s="218">
        <f>O1253*H1253</f>
        <v>0</v>
      </c>
      <c r="Q1253" s="218">
        <v>0.00027</v>
      </c>
      <c r="R1253" s="218">
        <f>Q1253*H1253</f>
        <v>0.32481945000000001</v>
      </c>
      <c r="S1253" s="218">
        <v>0</v>
      </c>
      <c r="T1253" s="219">
        <f>S1253*H1253</f>
        <v>0</v>
      </c>
      <c r="U1253" s="40"/>
      <c r="V1253" s="40"/>
      <c r="W1253" s="40"/>
      <c r="X1253" s="40"/>
      <c r="Y1253" s="40"/>
      <c r="Z1253" s="40"/>
      <c r="AA1253" s="40"/>
      <c r="AB1253" s="40"/>
      <c r="AC1253" s="40"/>
      <c r="AD1253" s="40"/>
      <c r="AE1253" s="40"/>
      <c r="AR1253" s="220" t="s">
        <v>310</v>
      </c>
      <c r="AT1253" s="220" t="s">
        <v>202</v>
      </c>
      <c r="AU1253" s="220" t="s">
        <v>88</v>
      </c>
      <c r="AY1253" s="18" t="s">
        <v>200</v>
      </c>
      <c r="BE1253" s="221">
        <f>IF(N1253="základní",J1253,0)</f>
        <v>0</v>
      </c>
      <c r="BF1253" s="221">
        <f>IF(N1253="snížená",J1253,0)</f>
        <v>0</v>
      </c>
      <c r="BG1253" s="221">
        <f>IF(N1253="zákl. přenesená",J1253,0)</f>
        <v>0</v>
      </c>
      <c r="BH1253" s="221">
        <f>IF(N1253="sníž. přenesená",J1253,0)</f>
        <v>0</v>
      </c>
      <c r="BI1253" s="221">
        <f>IF(N1253="nulová",J1253,0)</f>
        <v>0</v>
      </c>
      <c r="BJ1253" s="18" t="s">
        <v>86</v>
      </c>
      <c r="BK1253" s="221">
        <f>ROUND(I1253*H1253,1)</f>
        <v>0</v>
      </c>
      <c r="BL1253" s="18" t="s">
        <v>310</v>
      </c>
      <c r="BM1253" s="220" t="s">
        <v>2095</v>
      </c>
    </row>
    <row r="1254" s="2" customFormat="1">
      <c r="A1254" s="40"/>
      <c r="B1254" s="41"/>
      <c r="C1254" s="42"/>
      <c r="D1254" s="222" t="s">
        <v>209</v>
      </c>
      <c r="E1254" s="42"/>
      <c r="F1254" s="223" t="s">
        <v>2096</v>
      </c>
      <c r="G1254" s="42"/>
      <c r="H1254" s="42"/>
      <c r="I1254" s="224"/>
      <c r="J1254" s="42"/>
      <c r="K1254" s="42"/>
      <c r="L1254" s="46"/>
      <c r="M1254" s="225"/>
      <c r="N1254" s="226"/>
      <c r="O1254" s="86"/>
      <c r="P1254" s="86"/>
      <c r="Q1254" s="86"/>
      <c r="R1254" s="86"/>
      <c r="S1254" s="86"/>
      <c r="T1254" s="87"/>
      <c r="U1254" s="40"/>
      <c r="V1254" s="40"/>
      <c r="W1254" s="40"/>
      <c r="X1254" s="40"/>
      <c r="Y1254" s="40"/>
      <c r="Z1254" s="40"/>
      <c r="AA1254" s="40"/>
      <c r="AB1254" s="40"/>
      <c r="AC1254" s="40"/>
      <c r="AD1254" s="40"/>
      <c r="AE1254" s="40"/>
      <c r="AT1254" s="18" t="s">
        <v>209</v>
      </c>
      <c r="AU1254" s="18" t="s">
        <v>88</v>
      </c>
    </row>
    <row r="1255" s="12" customFormat="1" ht="25.92" customHeight="1">
      <c r="A1255" s="12"/>
      <c r="B1255" s="193"/>
      <c r="C1255" s="194"/>
      <c r="D1255" s="195" t="s">
        <v>77</v>
      </c>
      <c r="E1255" s="196" t="s">
        <v>2097</v>
      </c>
      <c r="F1255" s="196" t="s">
        <v>2098</v>
      </c>
      <c r="G1255" s="194"/>
      <c r="H1255" s="194"/>
      <c r="I1255" s="197"/>
      <c r="J1255" s="198">
        <f>BK1255</f>
        <v>0</v>
      </c>
      <c r="K1255" s="194"/>
      <c r="L1255" s="199"/>
      <c r="M1255" s="200"/>
      <c r="N1255" s="201"/>
      <c r="O1255" s="201"/>
      <c r="P1255" s="202">
        <f>SUM(P1256:P1257)</f>
        <v>0</v>
      </c>
      <c r="Q1255" s="201"/>
      <c r="R1255" s="202">
        <f>SUM(R1256:R1257)</f>
        <v>0</v>
      </c>
      <c r="S1255" s="201"/>
      <c r="T1255" s="203">
        <f>SUM(T1256:T1257)</f>
        <v>0</v>
      </c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R1255" s="204" t="s">
        <v>207</v>
      </c>
      <c r="AT1255" s="205" t="s">
        <v>77</v>
      </c>
      <c r="AU1255" s="205" t="s">
        <v>78</v>
      </c>
      <c r="AY1255" s="204" t="s">
        <v>200</v>
      </c>
      <c r="BK1255" s="206">
        <f>SUM(BK1256:BK1257)</f>
        <v>0</v>
      </c>
    </row>
    <row r="1256" s="2" customFormat="1" ht="16.5" customHeight="1">
      <c r="A1256" s="40"/>
      <c r="B1256" s="41"/>
      <c r="C1256" s="209" t="s">
        <v>2099</v>
      </c>
      <c r="D1256" s="209" t="s">
        <v>202</v>
      </c>
      <c r="E1256" s="210" t="s">
        <v>2100</v>
      </c>
      <c r="F1256" s="211" t="s">
        <v>2101</v>
      </c>
      <c r="G1256" s="212" t="s">
        <v>449</v>
      </c>
      <c r="H1256" s="213">
        <v>1</v>
      </c>
      <c r="I1256" s="214"/>
      <c r="J1256" s="215">
        <f>ROUND(I1256*H1256,1)</f>
        <v>0</v>
      </c>
      <c r="K1256" s="211" t="s">
        <v>32</v>
      </c>
      <c r="L1256" s="46"/>
      <c r="M1256" s="216" t="s">
        <v>32</v>
      </c>
      <c r="N1256" s="217" t="s">
        <v>49</v>
      </c>
      <c r="O1256" s="86"/>
      <c r="P1256" s="218">
        <f>O1256*H1256</f>
        <v>0</v>
      </c>
      <c r="Q1256" s="218">
        <v>0</v>
      </c>
      <c r="R1256" s="218">
        <f>Q1256*H1256</f>
        <v>0</v>
      </c>
      <c r="S1256" s="218">
        <v>0</v>
      </c>
      <c r="T1256" s="219">
        <f>S1256*H1256</f>
        <v>0</v>
      </c>
      <c r="U1256" s="40"/>
      <c r="V1256" s="40"/>
      <c r="W1256" s="40"/>
      <c r="X1256" s="40"/>
      <c r="Y1256" s="40"/>
      <c r="Z1256" s="40"/>
      <c r="AA1256" s="40"/>
      <c r="AB1256" s="40"/>
      <c r="AC1256" s="40"/>
      <c r="AD1256" s="40"/>
      <c r="AE1256" s="40"/>
      <c r="AR1256" s="220" t="s">
        <v>2102</v>
      </c>
      <c r="AT1256" s="220" t="s">
        <v>202</v>
      </c>
      <c r="AU1256" s="220" t="s">
        <v>86</v>
      </c>
      <c r="AY1256" s="18" t="s">
        <v>200</v>
      </c>
      <c r="BE1256" s="221">
        <f>IF(N1256="základní",J1256,0)</f>
        <v>0</v>
      </c>
      <c r="BF1256" s="221">
        <f>IF(N1256="snížená",J1256,0)</f>
        <v>0</v>
      </c>
      <c r="BG1256" s="221">
        <f>IF(N1256="zákl. přenesená",J1256,0)</f>
        <v>0</v>
      </c>
      <c r="BH1256" s="221">
        <f>IF(N1256="sníž. přenesená",J1256,0)</f>
        <v>0</v>
      </c>
      <c r="BI1256" s="221">
        <f>IF(N1256="nulová",J1256,0)</f>
        <v>0</v>
      </c>
      <c r="BJ1256" s="18" t="s">
        <v>86</v>
      </c>
      <c r="BK1256" s="221">
        <f>ROUND(I1256*H1256,1)</f>
        <v>0</v>
      </c>
      <c r="BL1256" s="18" t="s">
        <v>2102</v>
      </c>
      <c r="BM1256" s="220" t="s">
        <v>2103</v>
      </c>
    </row>
    <row r="1257" s="2" customFormat="1">
      <c r="A1257" s="40"/>
      <c r="B1257" s="41"/>
      <c r="C1257" s="42"/>
      <c r="D1257" s="229" t="s">
        <v>355</v>
      </c>
      <c r="E1257" s="42"/>
      <c r="F1257" s="281" t="s">
        <v>2104</v>
      </c>
      <c r="G1257" s="42"/>
      <c r="H1257" s="42"/>
      <c r="I1257" s="224"/>
      <c r="J1257" s="42"/>
      <c r="K1257" s="42"/>
      <c r="L1257" s="46"/>
      <c r="M1257" s="283"/>
      <c r="N1257" s="284"/>
      <c r="O1257" s="285"/>
      <c r="P1257" s="285"/>
      <c r="Q1257" s="285"/>
      <c r="R1257" s="285"/>
      <c r="S1257" s="285"/>
      <c r="T1257" s="286"/>
      <c r="U1257" s="40"/>
      <c r="V1257" s="40"/>
      <c r="W1257" s="40"/>
      <c r="X1257" s="40"/>
      <c r="Y1257" s="40"/>
      <c r="Z1257" s="40"/>
      <c r="AA1257" s="40"/>
      <c r="AB1257" s="40"/>
      <c r="AC1257" s="40"/>
      <c r="AD1257" s="40"/>
      <c r="AE1257" s="40"/>
      <c r="AT1257" s="18" t="s">
        <v>355</v>
      </c>
      <c r="AU1257" s="18" t="s">
        <v>86</v>
      </c>
    </row>
    <row r="1258" s="2" customFormat="1" ht="6.96" customHeight="1">
      <c r="A1258" s="40"/>
      <c r="B1258" s="61"/>
      <c r="C1258" s="62"/>
      <c r="D1258" s="62"/>
      <c r="E1258" s="62"/>
      <c r="F1258" s="62"/>
      <c r="G1258" s="62"/>
      <c r="H1258" s="62"/>
      <c r="I1258" s="62"/>
      <c r="J1258" s="62"/>
      <c r="K1258" s="62"/>
      <c r="L1258" s="46"/>
      <c r="M1258" s="40"/>
      <c r="O1258" s="40"/>
      <c r="P1258" s="40"/>
      <c r="Q1258" s="40"/>
      <c r="R1258" s="40"/>
      <c r="S1258" s="40"/>
      <c r="T1258" s="40"/>
      <c r="U1258" s="40"/>
      <c r="V1258" s="40"/>
      <c r="W1258" s="40"/>
      <c r="X1258" s="40"/>
      <c r="Y1258" s="40"/>
      <c r="Z1258" s="40"/>
      <c r="AA1258" s="40"/>
      <c r="AB1258" s="40"/>
      <c r="AC1258" s="40"/>
      <c r="AD1258" s="40"/>
      <c r="AE1258" s="40"/>
    </row>
  </sheetData>
  <sheetProtection sheet="1" autoFilter="0" formatColumns="0" formatRows="0" objects="1" scenarios="1" spinCount="100000" saltValue="KJLjv4VDhjxIX5rTSkm+AsXTKn97qgJ1SaUCMbjC0rChCJ03GL7GaMblqik8b0Bu6UkHNqrbYt5aKviJMut8tA==" hashValue="rSPBtlgoHEx65Z7Nyomwv/TwPwRoPNR5U0wkNFrBS3Q6+yFAj1rVekcJm/wZeK/AooqKCLk4bv2ck8NtZimzow==" algorithmName="SHA-512" password="CC35"/>
  <autoFilter ref="C104:K1257"/>
  <mergeCells count="9">
    <mergeCell ref="E7:H7"/>
    <mergeCell ref="E9:H9"/>
    <mergeCell ref="E18:H18"/>
    <mergeCell ref="E27:H27"/>
    <mergeCell ref="E48:H48"/>
    <mergeCell ref="E50:H50"/>
    <mergeCell ref="E95:H95"/>
    <mergeCell ref="E97:H97"/>
    <mergeCell ref="L2:V2"/>
  </mergeCells>
  <hyperlinks>
    <hyperlink ref="F109" r:id="rId1" display="https://podminky.urs.cz/item/CS_URS_2023_02/122351104"/>
    <hyperlink ref="F112" r:id="rId2" display="https://podminky.urs.cz/item/CS_URS_2023_02/131351100"/>
    <hyperlink ref="F117" r:id="rId3" display="https://podminky.urs.cz/item/CS_URS_2023_02/162351103"/>
    <hyperlink ref="F121" r:id="rId4" display="https://podminky.urs.cz/item/CS_URS_2023_02/162751117"/>
    <hyperlink ref="F127" r:id="rId5" display="https://podminky.urs.cz/item/CS_URS_2023_02/162751119"/>
    <hyperlink ref="F131" r:id="rId6" display="https://podminky.urs.cz/item/CS_URS_2023_02/167151111"/>
    <hyperlink ref="F134" r:id="rId7" display="https://podminky.urs.cz/item/CS_URS_2023_02/171201231"/>
    <hyperlink ref="F137" r:id="rId8" display="https://podminky.urs.cz/item/CS_URS_2023_02/174151101"/>
    <hyperlink ref="F142" r:id="rId9" display="https://podminky.urs.cz/item/CS_URS_2023_02/174151102"/>
    <hyperlink ref="F148" r:id="rId10" display="https://podminky.urs.cz/item/CS_URS_2023_02/181951112"/>
    <hyperlink ref="F152" r:id="rId11" display="https://podminky.urs.cz/item/CS_URS_2023_02/226112114"/>
    <hyperlink ref="F156" r:id="rId12" display="https://podminky.urs.cz/item/CS_URS_2023_02/231112112"/>
    <hyperlink ref="F162" r:id="rId13" display="https://podminky.urs.cz/item/CS_URS_2023_02/231611114"/>
    <hyperlink ref="F165" r:id="rId14" display="https://podminky.urs.cz/item/CS_URS_2023_02/271532212"/>
    <hyperlink ref="F171" r:id="rId15" display="https://podminky.urs.cz/item/CS_URS_2023_02/273321211"/>
    <hyperlink ref="F179" r:id="rId16" display="https://podminky.urs.cz/item/CS_URS_2023_02/273321611"/>
    <hyperlink ref="F182" r:id="rId17" display="https://podminky.urs.cz/item/CS_URS_2023_02/273351121"/>
    <hyperlink ref="F191" r:id="rId18" display="https://podminky.urs.cz/item/CS_URS_2023_02/273351122"/>
    <hyperlink ref="F193" r:id="rId19" display="https://podminky.urs.cz/item/CS_URS_2023_02/273362021"/>
    <hyperlink ref="F202" r:id="rId20" display="https://podminky.urs.cz/item/CS_URS_2023_02/274321611"/>
    <hyperlink ref="F212" r:id="rId21" display="https://podminky.urs.cz/item/CS_URS_2023_02/274351121"/>
    <hyperlink ref="F221" r:id="rId22" display="https://podminky.urs.cz/item/CS_URS_2023_02/274351122"/>
    <hyperlink ref="F223" r:id="rId23" display="https://podminky.urs.cz/item/CS_URS_2023_02/274361821"/>
    <hyperlink ref="F226" r:id="rId24" display="https://podminky.urs.cz/item/CS_URS_2023_02/275322611"/>
    <hyperlink ref="F229" r:id="rId25" display="https://podminky.urs.cz/item/CS_URS_2023_02/275351121"/>
    <hyperlink ref="F232" r:id="rId26" display="https://podminky.urs.cz/item/CS_URS_2023_02/275351122"/>
    <hyperlink ref="F234" r:id="rId27" display="https://podminky.urs.cz/item/CS_URS_2023_02/275361821"/>
    <hyperlink ref="F238" r:id="rId28" display="https://podminky.urs.cz/item/CS_URS_2023_02/311101214"/>
    <hyperlink ref="F246" r:id="rId29" display="https://podminky.urs.cz/item/CS_URS_2023_02/311101215"/>
    <hyperlink ref="F253" r:id="rId30" display="https://podminky.urs.cz/item/CS_URS_2023_02/311272211"/>
    <hyperlink ref="F256" r:id="rId31" display="https://podminky.urs.cz/item/CS_URS_2023_02/311272311"/>
    <hyperlink ref="F259" r:id="rId32" display="https://podminky.urs.cz/item/CS_URS_2023_02/317168012"/>
    <hyperlink ref="F262" r:id="rId33" display="https://podminky.urs.cz/item/CS_URS_2023_02/317168017"/>
    <hyperlink ref="F265" r:id="rId34" display="https://podminky.urs.cz/item/CS_URS_2023_02/330321611"/>
    <hyperlink ref="F268" r:id="rId35" display="https://podminky.urs.cz/item/CS_URS_2023_02/332351115"/>
    <hyperlink ref="F271" r:id="rId36" display="https://podminky.urs.cz/item/CS_URS_2023_02/332351116"/>
    <hyperlink ref="F273" r:id="rId37" display="https://podminky.urs.cz/item/CS_URS_2023_02/332361821"/>
    <hyperlink ref="F276" r:id="rId38" display="https://podminky.urs.cz/item/CS_URS_2023_02/341321610"/>
    <hyperlink ref="F305" r:id="rId39" display="https://podminky.urs.cz/item/CS_URS_2023_02/341351111"/>
    <hyperlink ref="F315" r:id="rId40" display="https://podminky.urs.cz/item/CS_URS_2023_02/341351112"/>
    <hyperlink ref="F317" r:id="rId41" display="https://podminky.urs.cz/item/CS_URS_2023_02/341361821"/>
    <hyperlink ref="F320" r:id="rId42" display="https://podminky.urs.cz/item/CS_URS_2023_02/342244201"/>
    <hyperlink ref="F326" r:id="rId43" display="https://podminky.urs.cz/item/CS_URS_2023_02/342244221"/>
    <hyperlink ref="F330" r:id="rId44" display="https://podminky.urs.cz/item/CS_URS_2023_02/411321616"/>
    <hyperlink ref="F333" r:id="rId45" display="https://podminky.urs.cz/item/CS_URS_2023_02/411351021"/>
    <hyperlink ref="F335" r:id="rId46" display="https://podminky.urs.cz/item/CS_URS_2023_02/411351022"/>
    <hyperlink ref="F337" r:id="rId47" display="https://podminky.urs.cz/item/CS_URS_2023_02/411354315"/>
    <hyperlink ref="F339" r:id="rId48" display="https://podminky.urs.cz/item/CS_URS_2023_02/411354316"/>
    <hyperlink ref="F341" r:id="rId49" display="https://podminky.urs.cz/item/CS_URS_2023_02/411361821"/>
    <hyperlink ref="F344" r:id="rId50" display="https://podminky.urs.cz/item/CS_URS_2023_02/417351115"/>
    <hyperlink ref="F347" r:id="rId51" display="https://podminky.urs.cz/item/CS_URS_2023_02/417351116"/>
    <hyperlink ref="F350" r:id="rId52" display="https://podminky.urs.cz/item/CS_URS_2023_02/611321341"/>
    <hyperlink ref="F353" r:id="rId53" display="https://podminky.urs.cz/item/CS_URS_2023_02/611321391"/>
    <hyperlink ref="F355" r:id="rId54" display="https://podminky.urs.cz/item/CS_URS_2023_02/612321321"/>
    <hyperlink ref="F358" r:id="rId55" display="https://podminky.urs.cz/item/CS_URS_2023_02/612321341"/>
    <hyperlink ref="F379" r:id="rId56" display="https://podminky.urs.cz/item/CS_URS_2023_02/612321391"/>
    <hyperlink ref="F382" r:id="rId57" display="https://podminky.urs.cz/item/CS_URS_2023_02/622151021"/>
    <hyperlink ref="F385" r:id="rId58" display="https://podminky.urs.cz/item/CS_URS_2023_02/622151031"/>
    <hyperlink ref="F390" r:id="rId59" display="https://podminky.urs.cz/item/CS_URS_2023_02/622211031"/>
    <hyperlink ref="F402" r:id="rId60" display="https://podminky.urs.cz/item/CS_URS_2023_02/622252001"/>
    <hyperlink ref="F407" r:id="rId61" display="https://podminky.urs.cz/item/CS_URS_2023_02/622252002"/>
    <hyperlink ref="F423" r:id="rId62" display="https://podminky.urs.cz/item/CS_URS_2023_02/622511112"/>
    <hyperlink ref="F425" r:id="rId63" display="https://podminky.urs.cz/item/CS_URS_2023_02/622531012"/>
    <hyperlink ref="F427" r:id="rId64" display="https://podminky.urs.cz/item/CS_URS_2023_02/631311115"/>
    <hyperlink ref="F434" r:id="rId65" display="https://podminky.urs.cz/item/CS_URS_2023_02/631362021"/>
    <hyperlink ref="F441" r:id="rId66" display="https://podminky.urs.cz/item/CS_URS_2023_02/632451024"/>
    <hyperlink ref="F452" r:id="rId67" display="https://podminky.urs.cz/item/CS_URS_2023_02/941211112"/>
    <hyperlink ref="F455" r:id="rId68" display="https://podminky.urs.cz/item/CS_URS_2023_02/941211212"/>
    <hyperlink ref="F458" r:id="rId69" display="https://podminky.urs.cz/item/CS_URS_2023_02/941211812"/>
    <hyperlink ref="F460" r:id="rId70" display="https://podminky.urs.cz/item/CS_URS_2023_02/943211111"/>
    <hyperlink ref="F465" r:id="rId71" display="https://podminky.urs.cz/item/CS_URS_2023_02/943211211"/>
    <hyperlink ref="F468" r:id="rId72" display="https://podminky.urs.cz/item/CS_URS_2023_02/943211811"/>
    <hyperlink ref="F470" r:id="rId73" display="https://podminky.urs.cz/item/CS_URS_2023_02/949101111"/>
    <hyperlink ref="F475" r:id="rId74" display="https://podminky.urs.cz/item/CS_URS_2023_02/952901111"/>
    <hyperlink ref="F478" r:id="rId75" display="https://podminky.urs.cz/item/CS_URS_2023_02/952901114"/>
    <hyperlink ref="F481" r:id="rId76" display="https://podminky.urs.cz/item/CS_URS_2023_02/953312115"/>
    <hyperlink ref="F489" r:id="rId77" display="https://podminky.urs.cz/item/CS_URS_2023_02/441171121"/>
    <hyperlink ref="F530" r:id="rId78" display="https://podminky.urs.cz/item/CS_URS_2023_02/441171151"/>
    <hyperlink ref="F537" r:id="rId79" display="https://podminky.urs.cz/item/CS_URS_2023_02/441171112"/>
    <hyperlink ref="F548" r:id="rId80" display="https://podminky.urs.cz/item/CS_URS_2023_02/441171113"/>
    <hyperlink ref="F560" r:id="rId81" display="https://podminky.urs.cz/item/CS_URS_2023_02/441171121"/>
    <hyperlink ref="F587" r:id="rId82" display="https://podminky.urs.cz/item/CS_URS_2023_02/441171111"/>
    <hyperlink ref="F598" r:id="rId83" display="https://podminky.urs.cz/item/CS_URS_2023_02/441171141"/>
    <hyperlink ref="F604" r:id="rId84" display="https://podminky.urs.cz/item/CS_URS_2023_02/953943211"/>
    <hyperlink ref="F607" r:id="rId85" display="https://podminky.urs.cz/item/CS_URS_2023_02/953962113"/>
    <hyperlink ref="F613" r:id="rId86" display="https://podminky.urs.cz/item/CS_URS_2023_02/953965124"/>
    <hyperlink ref="F616" r:id="rId87" display="https://podminky.urs.cz/item/CS_URS_2023_02/998012102"/>
    <hyperlink ref="F620" r:id="rId88" display="https://podminky.urs.cz/item/CS_URS_2023_02/711111001"/>
    <hyperlink ref="F626" r:id="rId89" display="https://podminky.urs.cz/item/CS_URS_2023_02/711112001"/>
    <hyperlink ref="F631" r:id="rId90" display="https://podminky.urs.cz/item/CS_URS_2023_02/711141559"/>
    <hyperlink ref="F637" r:id="rId91" display="https://podminky.urs.cz/item/CS_URS_2023_02/711142559"/>
    <hyperlink ref="F642" r:id="rId92" display="https://podminky.urs.cz/item/CS_URS_2023_02/711161273"/>
    <hyperlink ref="F648" r:id="rId93" display="https://podminky.urs.cz/item/CS_URS_2023_02/998711102"/>
    <hyperlink ref="F651" r:id="rId94" display="https://podminky.urs.cz/item/CS_URS_2023_02/713121111"/>
    <hyperlink ref="F656" r:id="rId95" display="https://podminky.urs.cz/item/CS_URS_2023_02/713131141"/>
    <hyperlink ref="F661" r:id="rId96" display="https://podminky.urs.cz/item/CS_URS_2023_02/713131172"/>
    <hyperlink ref="F664" r:id="rId97" display="https://podminky.urs.cz/item/CS_URS_2023_02/713151165"/>
    <hyperlink ref="F669" r:id="rId98" display="https://podminky.urs.cz/item/CS_URS_2023_02/713191115"/>
    <hyperlink ref="F674" r:id="rId99" display="https://podminky.urs.cz/item/CS_URS_2023_02/713191132"/>
    <hyperlink ref="F679" r:id="rId100" display="https://podminky.urs.cz/item/CS_URS_2023_02/998713102"/>
    <hyperlink ref="F682" r:id="rId101" display="https://podminky.urs.cz/item/CS_URS_2023_02/722254116"/>
    <hyperlink ref="F726" r:id="rId102" display="https://podminky.urs.cz/item/CS_URS_2023_02/762083111"/>
    <hyperlink ref="F728" r:id="rId103" display="https://podminky.urs.cz/item/CS_URS_2023_02/762332141"/>
    <hyperlink ref="F734" r:id="rId104" display="https://podminky.urs.cz/item/CS_URS_2023_02/762341026"/>
    <hyperlink ref="F737" r:id="rId105" display="https://podminky.urs.cz/item/CS_URS_2023_02/762342214"/>
    <hyperlink ref="F743" r:id="rId106" display="https://podminky.urs.cz/item/CS_URS_2023_02/762342523"/>
    <hyperlink ref="F749" r:id="rId107" display="https://podminky.urs.cz/item/CS_URS_2023_02/762395000"/>
    <hyperlink ref="F752" r:id="rId108" display="https://podminky.urs.cz/item/CS_URS_2023_02/762951015"/>
    <hyperlink ref="F757" r:id="rId109" display="https://podminky.urs.cz/item/CS_URS_2023_02/762951103"/>
    <hyperlink ref="F759" r:id="rId110" display="https://podminky.urs.cz/item/CS_URS_2023_02/762952046"/>
    <hyperlink ref="F763" r:id="rId111" display="https://podminky.urs.cz/item/CS_URS_2023_02/762952111"/>
    <hyperlink ref="F768" r:id="rId112" display="https://podminky.urs.cz/item/CS_URS_2023_02/998762102"/>
    <hyperlink ref="F771" r:id="rId113" display="https://podminky.urs.cz/item/CS_URS_2023_02/763131414"/>
    <hyperlink ref="F774" r:id="rId114" display="https://podminky.urs.cz/item/CS_URS_2023_02/763131432"/>
    <hyperlink ref="F781" r:id="rId115" display="https://podminky.urs.cz/item/CS_URS_2023_02/763131451"/>
    <hyperlink ref="F784" r:id="rId116" display="https://podminky.urs.cz/item/CS_URS_2023_02/763131714"/>
    <hyperlink ref="F787" r:id="rId117" display="https://podminky.urs.cz/item/CS_URS_2023_02/763131722"/>
    <hyperlink ref="F792" r:id="rId118" display="https://podminky.urs.cz/item/CS_URS_2023_02/763164556"/>
    <hyperlink ref="F795" r:id="rId119" display="https://podminky.urs.cz/item/CS_URS_2023_02/998763302"/>
    <hyperlink ref="F798" r:id="rId120" display="https://podminky.urs.cz/item/CS_URS_2023_02/764011613"/>
    <hyperlink ref="F802" r:id="rId121" display="https://podminky.urs.cz/item/CS_URS_2023_02/764211623"/>
    <hyperlink ref="F806" r:id="rId122" display="https://podminky.urs.cz/item/CS_URS_2023_02/764212606"/>
    <hyperlink ref="F810" r:id="rId123" display="https://podminky.urs.cz/item/CS_URS_2023_02/764212649"/>
    <hyperlink ref="F814" r:id="rId124" display="https://podminky.urs.cz/item/CS_URS_2023_02/764216603"/>
    <hyperlink ref="F824" r:id="rId125" display="https://podminky.urs.cz/item/CS_URS_2023_02/764218611"/>
    <hyperlink ref="F828" r:id="rId126" display="https://podminky.urs.cz/item/CS_URS_2023_02/764311613"/>
    <hyperlink ref="F832" r:id="rId127" display="https://podminky.urs.cz/item/CS_URS_2023_02/764511603"/>
    <hyperlink ref="F836" r:id="rId128" display="https://podminky.urs.cz/item/CS_URS_2023_02/764518622"/>
    <hyperlink ref="F840" r:id="rId129" display="https://podminky.urs.cz/item/CS_URS_2023_02/998764102"/>
    <hyperlink ref="F843" r:id="rId130" display="https://podminky.urs.cz/item/CS_URS_2023_02/765123013"/>
    <hyperlink ref="F848" r:id="rId131" display="https://podminky.urs.cz/item/CS_URS_2023_02/765123911"/>
    <hyperlink ref="F851" r:id="rId132" display="https://podminky.urs.cz/item/CS_URS_2023_02/765125302"/>
    <hyperlink ref="F854" r:id="rId133" display="https://podminky.urs.cz/item/CS_URS_2023_02/765191023"/>
    <hyperlink ref="F859" r:id="rId134" display="https://podminky.urs.cz/item/CS_URS_2023_02/998765102"/>
    <hyperlink ref="F869" r:id="rId135" display="https://podminky.urs.cz/item/CS_URS_2023_02/766622116"/>
    <hyperlink ref="F873" r:id="rId136" display="https://podminky.urs.cz/item/CS_URS_2023_02/766622131"/>
    <hyperlink ref="F880" r:id="rId137" display="https://podminky.urs.cz/item/CS_URS_2023_02/766622132"/>
    <hyperlink ref="F886" r:id="rId138" display="https://podminky.urs.cz/item/CS_URS_2023_02/766660171"/>
    <hyperlink ref="F909" r:id="rId139" display="https://podminky.urs.cz/item/CS_URS_2023_02/766660172"/>
    <hyperlink ref="F924" r:id="rId140" display="https://podminky.urs.cz/item/CS_URS_2023_02/766660174"/>
    <hyperlink ref="F929" r:id="rId141" display="https://podminky.urs.cz/item/CS_URS_2023_02/766671029"/>
    <hyperlink ref="F935" r:id="rId142" display="https://podminky.urs.cz/item/CS_URS_2023_02/766682111"/>
    <hyperlink ref="F939" r:id="rId143" display="https://podminky.urs.cz/item/CS_URS_2023_02/766682112"/>
    <hyperlink ref="F943" r:id="rId144" display="https://podminky.urs.cz/item/CS_URS_2023_02/766682122"/>
    <hyperlink ref="F946" r:id="rId145" display="https://podminky.urs.cz/item/CS_URS_2023_02/766694116"/>
    <hyperlink ref="F957" r:id="rId146" display="https://podminky.urs.cz/item/CS_URS_2023_02/998766102"/>
    <hyperlink ref="F960" r:id="rId147" display="https://podminky.urs.cz/item/CS_URS_2023_02/767114131"/>
    <hyperlink ref="F965" r:id="rId148" display="https://podminky.urs.cz/item/CS_URS_2023_02/767114232"/>
    <hyperlink ref="F971" r:id="rId149" display="https://podminky.urs.cz/item/CS_URS_2023_02/767114235"/>
    <hyperlink ref="F977" r:id="rId150" display="https://podminky.urs.cz/item/CS_URS_2023_02/767114235"/>
    <hyperlink ref="F983" r:id="rId151" display="https://podminky.urs.cz/item/CS_URS_2023_02/767114235"/>
    <hyperlink ref="F988" r:id="rId152" display="https://podminky.urs.cz/item/CS_URS_2023_02/767531111"/>
    <hyperlink ref="F996" r:id="rId153" display="https://podminky.urs.cz/item/CS_URS_2023_02/767531121"/>
    <hyperlink ref="F1001" r:id="rId154" display="https://podminky.urs.cz/item/CS_URS_2023_02/767640111"/>
    <hyperlink ref="F1008" r:id="rId155" display="https://podminky.urs.cz/item/CS_URS_2023_02/767640111"/>
    <hyperlink ref="F1013" r:id="rId156" display="https://podminky.urs.cz/item/CS_URS_2023_02/767640221"/>
    <hyperlink ref="F1020" r:id="rId157" display="https://podminky.urs.cz/item/CS_URS_2023_02/767640221"/>
    <hyperlink ref="F1026" r:id="rId158" display="https://podminky.urs.cz/item/CS_URS_2023_02/767995111"/>
    <hyperlink ref="F1033" r:id="rId159" display="https://podminky.urs.cz/item/CS_URS_2023_02/767995117"/>
    <hyperlink ref="F1061" r:id="rId160" display="https://podminky.urs.cz/item/CS_URS_2023_02/998767102"/>
    <hyperlink ref="F1064" r:id="rId161" display="https://podminky.urs.cz/item/CS_URS_2023_02/771111011"/>
    <hyperlink ref="F1073" r:id="rId162" display="https://podminky.urs.cz/item/CS_URS_2023_02/771121011"/>
    <hyperlink ref="F1076" r:id="rId163" display="https://podminky.urs.cz/item/CS_URS_2023_02/771474112"/>
    <hyperlink ref="F1086" r:id="rId164" display="https://podminky.urs.cz/item/CS_URS_2023_02/771574412"/>
    <hyperlink ref="F1092" r:id="rId165" display="https://podminky.urs.cz/item/CS_URS_2023_02/771574413"/>
    <hyperlink ref="F1098" r:id="rId166" display="https://podminky.urs.cz/item/CS_URS_2023_02/771591112"/>
    <hyperlink ref="F1101" r:id="rId167" display="https://podminky.urs.cz/item/CS_URS_2023_02/771591115"/>
    <hyperlink ref="F1107" r:id="rId168" display="https://podminky.urs.cz/item/CS_URS_2023_02/771591117"/>
    <hyperlink ref="F1109" r:id="rId169" display="https://podminky.urs.cz/item/CS_URS_2023_02/998771102"/>
    <hyperlink ref="F1112" r:id="rId170" display="https://podminky.urs.cz/item/CS_URS_2023_02/775111311"/>
    <hyperlink ref="F1119" r:id="rId171" display="https://podminky.urs.cz/item/CS_URS_2023_02/775121321"/>
    <hyperlink ref="F1122" r:id="rId172" display="https://podminky.urs.cz/item/CS_URS_2023_02/775141122"/>
    <hyperlink ref="F1125" r:id="rId173" display="https://podminky.urs.cz/item/CS_URS_2023_02/775413320"/>
    <hyperlink ref="F1132" r:id="rId174" display="https://podminky.urs.cz/item/CS_URS_2023_02/775429121"/>
    <hyperlink ref="F1139" r:id="rId175" display="https://podminky.urs.cz/item/CS_URS_2023_02/775449121"/>
    <hyperlink ref="F1144" r:id="rId176" display="https://podminky.urs.cz/item/CS_URS_2023_02/775469112"/>
    <hyperlink ref="F1149" r:id="rId177" display="https://podminky.urs.cz/item/CS_URS_2023_02/775511571"/>
    <hyperlink ref="F1153" r:id="rId178" display="https://podminky.urs.cz/item/CS_URS_2023_02/775591311"/>
    <hyperlink ref="F1156" r:id="rId179" display="https://podminky.urs.cz/item/CS_URS_2023_02/775591314"/>
    <hyperlink ref="F1158" r:id="rId180" display="https://podminky.urs.cz/item/CS_URS_2023_02/775591316"/>
    <hyperlink ref="F1161" r:id="rId181" display="https://podminky.urs.cz/item/CS_URS_2023_02/775591411"/>
    <hyperlink ref="F1163" r:id="rId182" display="https://podminky.urs.cz/item/CS_URS_2023_02/998775102"/>
    <hyperlink ref="F1166" r:id="rId183" display="https://podminky.urs.cz/item/CS_URS_2023_02/781121011"/>
    <hyperlink ref="F1194" r:id="rId184" display="https://podminky.urs.cz/item/CS_URS_2023_02/781121015"/>
    <hyperlink ref="F1197" r:id="rId185" display="https://podminky.urs.cz/item/CS_URS_2023_02/781474152"/>
    <hyperlink ref="F1202" r:id="rId186" display="https://podminky.urs.cz/item/CS_URS_2023_02/781474153"/>
    <hyperlink ref="F1207" r:id="rId187" display="https://podminky.urs.cz/item/CS_URS_2023_02/781495115"/>
    <hyperlink ref="F1210" r:id="rId188" display="https://podminky.urs.cz/item/CS_URS_2023_02/781495117"/>
    <hyperlink ref="F1213" r:id="rId189" display="https://podminky.urs.cz/item/CS_URS_2023_02/781734112"/>
    <hyperlink ref="F1219" r:id="rId190" display="https://podminky.urs.cz/item/CS_URS_2023_02/998781102"/>
    <hyperlink ref="F1222" r:id="rId191" display="https://podminky.urs.cz/item/CS_URS_2023_02/784181121"/>
    <hyperlink ref="F1239" r:id="rId192" display="https://podminky.urs.cz/item/CS_URS_2023_02/784181125"/>
    <hyperlink ref="F1246" r:id="rId193" display="https://podminky.urs.cz/item/CS_URS_2023_02/784211101"/>
    <hyperlink ref="F1248" r:id="rId194" display="https://podminky.urs.cz/item/CS_URS_2023_02/784211105"/>
    <hyperlink ref="F1251" r:id="rId195" display="https://podminky.urs.cz/item/CS_URS_2023_02/789325210"/>
    <hyperlink ref="F1254" r:id="rId196" display="https://podminky.urs.cz/item/CS_URS_2023_02/789325220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97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8" t="s">
        <v>91</v>
      </c>
    </row>
    <row r="3" hidden="1" s="1" customFormat="1" ht="6.96" customHeight="1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21"/>
      <c r="AT3" s="18" t="s">
        <v>88</v>
      </c>
    </row>
    <row r="4" hidden="1" s="1" customFormat="1" ht="24.96" customHeight="1">
      <c r="B4" s="21"/>
      <c r="D4" s="133" t="s">
        <v>121</v>
      </c>
      <c r="L4" s="21"/>
      <c r="M4" s="134" t="s">
        <v>10</v>
      </c>
      <c r="AT4" s="18" t="s">
        <v>4</v>
      </c>
    </row>
    <row r="5" hidden="1" s="1" customFormat="1" ht="6.96" customHeight="1">
      <c r="B5" s="21"/>
      <c r="L5" s="21"/>
    </row>
    <row r="6" hidden="1" s="1" customFormat="1" ht="12" customHeight="1">
      <c r="B6" s="21"/>
      <c r="D6" s="135" t="s">
        <v>16</v>
      </c>
      <c r="L6" s="21"/>
    </row>
    <row r="7" hidden="1" s="1" customFormat="1" ht="16.5" customHeight="1">
      <c r="B7" s="21"/>
      <c r="E7" s="136" t="str">
        <f>'Rekapitulace stavby'!K6</f>
        <v>Kulturní dům ČP 1, Třemošná- rev 03</v>
      </c>
      <c r="F7" s="135"/>
      <c r="G7" s="135"/>
      <c r="H7" s="135"/>
      <c r="L7" s="21"/>
    </row>
    <row r="8" hidden="1" s="2" customFormat="1" ht="12" customHeight="1">
      <c r="A8" s="40"/>
      <c r="B8" s="46"/>
      <c r="C8" s="40"/>
      <c r="D8" s="135" t="s">
        <v>134</v>
      </c>
      <c r="E8" s="40"/>
      <c r="F8" s="40"/>
      <c r="G8" s="40"/>
      <c r="H8" s="40"/>
      <c r="I8" s="40"/>
      <c r="J8" s="40"/>
      <c r="K8" s="40"/>
      <c r="L8" s="137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hidden="1" s="2" customFormat="1" ht="16.5" customHeight="1">
      <c r="A9" s="40"/>
      <c r="B9" s="46"/>
      <c r="C9" s="40"/>
      <c r="D9" s="40"/>
      <c r="E9" s="138" t="s">
        <v>2105</v>
      </c>
      <c r="F9" s="40"/>
      <c r="G9" s="40"/>
      <c r="H9" s="40"/>
      <c r="I9" s="40"/>
      <c r="J9" s="40"/>
      <c r="K9" s="40"/>
      <c r="L9" s="13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hidden="1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3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hidden="1" s="2" customFormat="1" ht="12" customHeight="1">
      <c r="A11" s="40"/>
      <c r="B11" s="46"/>
      <c r="C11" s="40"/>
      <c r="D11" s="135" t="s">
        <v>18</v>
      </c>
      <c r="E11" s="40"/>
      <c r="F11" s="139" t="s">
        <v>32</v>
      </c>
      <c r="G11" s="40"/>
      <c r="H11" s="40"/>
      <c r="I11" s="135" t="s">
        <v>20</v>
      </c>
      <c r="J11" s="139" t="s">
        <v>32</v>
      </c>
      <c r="K11" s="40"/>
      <c r="L11" s="13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hidden="1" s="2" customFormat="1" ht="12" customHeight="1">
      <c r="A12" s="40"/>
      <c r="B12" s="46"/>
      <c r="C12" s="40"/>
      <c r="D12" s="135" t="s">
        <v>22</v>
      </c>
      <c r="E12" s="40"/>
      <c r="F12" s="139" t="s">
        <v>41</v>
      </c>
      <c r="G12" s="40"/>
      <c r="H12" s="40"/>
      <c r="I12" s="135" t="s">
        <v>24</v>
      </c>
      <c r="J12" s="140" t="str">
        <f>'Rekapitulace stavby'!AN8</f>
        <v>20. 12. 2023</v>
      </c>
      <c r="K12" s="40"/>
      <c r="L12" s="13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hidden="1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3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hidden="1" s="2" customFormat="1" ht="12" customHeight="1">
      <c r="A14" s="40"/>
      <c r="B14" s="46"/>
      <c r="C14" s="40"/>
      <c r="D14" s="135" t="s">
        <v>30</v>
      </c>
      <c r="E14" s="40"/>
      <c r="F14" s="40"/>
      <c r="G14" s="40"/>
      <c r="H14" s="40"/>
      <c r="I14" s="135" t="s">
        <v>31</v>
      </c>
      <c r="J14" s="139" t="s">
        <v>32</v>
      </c>
      <c r="K14" s="40"/>
      <c r="L14" s="13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hidden="1" s="2" customFormat="1" ht="18" customHeight="1">
      <c r="A15" s="40"/>
      <c r="B15" s="46"/>
      <c r="C15" s="40"/>
      <c r="D15" s="40"/>
      <c r="E15" s="139" t="s">
        <v>41</v>
      </c>
      <c r="F15" s="40"/>
      <c r="G15" s="40"/>
      <c r="H15" s="40"/>
      <c r="I15" s="135" t="s">
        <v>34</v>
      </c>
      <c r="J15" s="139" t="s">
        <v>32</v>
      </c>
      <c r="K15" s="40"/>
      <c r="L15" s="13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hidden="1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3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hidden="1" s="2" customFormat="1" ht="12" customHeight="1">
      <c r="A17" s="40"/>
      <c r="B17" s="46"/>
      <c r="C17" s="40"/>
      <c r="D17" s="135" t="s">
        <v>35</v>
      </c>
      <c r="E17" s="40"/>
      <c r="F17" s="40"/>
      <c r="G17" s="40"/>
      <c r="H17" s="40"/>
      <c r="I17" s="135" t="s">
        <v>31</v>
      </c>
      <c r="J17" s="34" t="str">
        <f>'Rekapitulace stavby'!AN13</f>
        <v>Vyplň údaj</v>
      </c>
      <c r="K17" s="40"/>
      <c r="L17" s="13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hidden="1" s="2" customFormat="1" ht="18" customHeight="1">
      <c r="A18" s="40"/>
      <c r="B18" s="46"/>
      <c r="C18" s="40"/>
      <c r="D18" s="40"/>
      <c r="E18" s="34" t="str">
        <f>'Rekapitulace stavby'!E14</f>
        <v>Vyplň údaj</v>
      </c>
      <c r="F18" s="139"/>
      <c r="G18" s="139"/>
      <c r="H18" s="139"/>
      <c r="I18" s="135" t="s">
        <v>34</v>
      </c>
      <c r="J18" s="34" t="str">
        <f>'Rekapitulace stavby'!AN14</f>
        <v>Vyplň údaj</v>
      </c>
      <c r="K18" s="40"/>
      <c r="L18" s="13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hidden="1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3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hidden="1" s="2" customFormat="1" ht="12" customHeight="1">
      <c r="A20" s="40"/>
      <c r="B20" s="46"/>
      <c r="C20" s="40"/>
      <c r="D20" s="135" t="s">
        <v>37</v>
      </c>
      <c r="E20" s="40"/>
      <c r="F20" s="40"/>
      <c r="G20" s="40"/>
      <c r="H20" s="40"/>
      <c r="I20" s="135" t="s">
        <v>31</v>
      </c>
      <c r="J20" s="139" t="s">
        <v>32</v>
      </c>
      <c r="K20" s="40"/>
      <c r="L20" s="13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hidden="1" s="2" customFormat="1" ht="18" customHeight="1">
      <c r="A21" s="40"/>
      <c r="B21" s="46"/>
      <c r="C21" s="40"/>
      <c r="D21" s="40"/>
      <c r="E21" s="139" t="s">
        <v>41</v>
      </c>
      <c r="F21" s="40"/>
      <c r="G21" s="40"/>
      <c r="H21" s="40"/>
      <c r="I21" s="135" t="s">
        <v>34</v>
      </c>
      <c r="J21" s="139" t="s">
        <v>32</v>
      </c>
      <c r="K21" s="40"/>
      <c r="L21" s="13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hidden="1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3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hidden="1" s="2" customFormat="1" ht="12" customHeight="1">
      <c r="A23" s="40"/>
      <c r="B23" s="46"/>
      <c r="C23" s="40"/>
      <c r="D23" s="135" t="s">
        <v>40</v>
      </c>
      <c r="E23" s="40"/>
      <c r="F23" s="40"/>
      <c r="G23" s="40"/>
      <c r="H23" s="40"/>
      <c r="I23" s="135" t="s">
        <v>31</v>
      </c>
      <c r="J23" s="139" t="s">
        <v>32</v>
      </c>
      <c r="K23" s="40"/>
      <c r="L23" s="13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hidden="1" s="2" customFormat="1" ht="18" customHeight="1">
      <c r="A24" s="40"/>
      <c r="B24" s="46"/>
      <c r="C24" s="40"/>
      <c r="D24" s="40"/>
      <c r="E24" s="139" t="s">
        <v>41</v>
      </c>
      <c r="F24" s="40"/>
      <c r="G24" s="40"/>
      <c r="H24" s="40"/>
      <c r="I24" s="135" t="s">
        <v>34</v>
      </c>
      <c r="J24" s="139" t="s">
        <v>32</v>
      </c>
      <c r="K24" s="40"/>
      <c r="L24" s="13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hidden="1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3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hidden="1" s="2" customFormat="1" ht="12" customHeight="1">
      <c r="A26" s="40"/>
      <c r="B26" s="46"/>
      <c r="C26" s="40"/>
      <c r="D26" s="135" t="s">
        <v>42</v>
      </c>
      <c r="E26" s="40"/>
      <c r="F26" s="40"/>
      <c r="G26" s="40"/>
      <c r="H26" s="40"/>
      <c r="I26" s="40"/>
      <c r="J26" s="40"/>
      <c r="K26" s="40"/>
      <c r="L26" s="13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hidden="1" s="8" customFormat="1" ht="16.5" customHeight="1">
      <c r="A27" s="143"/>
      <c r="B27" s="144"/>
      <c r="C27" s="143"/>
      <c r="D27" s="143"/>
      <c r="E27" s="145" t="s">
        <v>32</v>
      </c>
      <c r="F27" s="145"/>
      <c r="G27" s="145"/>
      <c r="H27" s="145"/>
      <c r="I27" s="143"/>
      <c r="J27" s="143"/>
      <c r="K27" s="143"/>
      <c r="L27" s="146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</row>
    <row r="28" hidden="1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3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hidden="1" s="2" customFormat="1" ht="6.96" customHeight="1">
      <c r="A29" s="40"/>
      <c r="B29" s="46"/>
      <c r="C29" s="40"/>
      <c r="D29" s="147"/>
      <c r="E29" s="147"/>
      <c r="F29" s="147"/>
      <c r="G29" s="147"/>
      <c r="H29" s="147"/>
      <c r="I29" s="147"/>
      <c r="J29" s="147"/>
      <c r="K29" s="147"/>
      <c r="L29" s="13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hidden="1" s="2" customFormat="1" ht="25.44" customHeight="1">
      <c r="A30" s="40"/>
      <c r="B30" s="46"/>
      <c r="C30" s="40"/>
      <c r="D30" s="148" t="s">
        <v>44</v>
      </c>
      <c r="E30" s="40"/>
      <c r="F30" s="40"/>
      <c r="G30" s="40"/>
      <c r="H30" s="40"/>
      <c r="I30" s="40"/>
      <c r="J30" s="149">
        <f>ROUND(J89, 1)</f>
        <v>0</v>
      </c>
      <c r="K30" s="40"/>
      <c r="L30" s="13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hidden="1" s="2" customFormat="1" ht="6.96" customHeight="1">
      <c r="A31" s="40"/>
      <c r="B31" s="46"/>
      <c r="C31" s="40"/>
      <c r="D31" s="147"/>
      <c r="E31" s="147"/>
      <c r="F31" s="147"/>
      <c r="G31" s="147"/>
      <c r="H31" s="147"/>
      <c r="I31" s="147"/>
      <c r="J31" s="147"/>
      <c r="K31" s="147"/>
      <c r="L31" s="13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hidden="1" s="2" customFormat="1" ht="14.4" customHeight="1">
      <c r="A32" s="40"/>
      <c r="B32" s="46"/>
      <c r="C32" s="40"/>
      <c r="D32" s="40"/>
      <c r="E32" s="40"/>
      <c r="F32" s="150" t="s">
        <v>46</v>
      </c>
      <c r="G32" s="40"/>
      <c r="H32" s="40"/>
      <c r="I32" s="150" t="s">
        <v>45</v>
      </c>
      <c r="J32" s="150" t="s">
        <v>47</v>
      </c>
      <c r="K32" s="40"/>
      <c r="L32" s="13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hidden="1" s="2" customFormat="1" ht="14.4" customHeight="1">
      <c r="A33" s="40"/>
      <c r="B33" s="46"/>
      <c r="C33" s="40"/>
      <c r="D33" s="151" t="s">
        <v>48</v>
      </c>
      <c r="E33" s="135" t="s">
        <v>49</v>
      </c>
      <c r="F33" s="152">
        <f>ROUND((SUM(BE89:BE300)),  1)</f>
        <v>0</v>
      </c>
      <c r="G33" s="40"/>
      <c r="H33" s="40"/>
      <c r="I33" s="153">
        <v>0.20999999999999999</v>
      </c>
      <c r="J33" s="152">
        <f>ROUND(((SUM(BE89:BE300))*I33),  1)</f>
        <v>0</v>
      </c>
      <c r="K33" s="40"/>
      <c r="L33" s="13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hidden="1" s="2" customFormat="1" ht="14.4" customHeight="1">
      <c r="A34" s="40"/>
      <c r="B34" s="46"/>
      <c r="C34" s="40"/>
      <c r="D34" s="40"/>
      <c r="E34" s="135" t="s">
        <v>50</v>
      </c>
      <c r="F34" s="152">
        <f>ROUND((SUM(BF89:BF300)),  1)</f>
        <v>0</v>
      </c>
      <c r="G34" s="40"/>
      <c r="H34" s="40"/>
      <c r="I34" s="153">
        <v>0.14999999999999999</v>
      </c>
      <c r="J34" s="152">
        <f>ROUND(((SUM(BF89:BF300))*I34),  1)</f>
        <v>0</v>
      </c>
      <c r="K34" s="40"/>
      <c r="L34" s="13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35" t="s">
        <v>51</v>
      </c>
      <c r="F35" s="152">
        <f>ROUND((SUM(BG89:BG300)),  1)</f>
        <v>0</v>
      </c>
      <c r="G35" s="40"/>
      <c r="H35" s="40"/>
      <c r="I35" s="153">
        <v>0.20999999999999999</v>
      </c>
      <c r="J35" s="152">
        <f>0</f>
        <v>0</v>
      </c>
      <c r="K35" s="40"/>
      <c r="L35" s="13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35" t="s">
        <v>52</v>
      </c>
      <c r="F36" s="152">
        <f>ROUND((SUM(BH89:BH300)),  1)</f>
        <v>0</v>
      </c>
      <c r="G36" s="40"/>
      <c r="H36" s="40"/>
      <c r="I36" s="153">
        <v>0.14999999999999999</v>
      </c>
      <c r="J36" s="152">
        <f>0</f>
        <v>0</v>
      </c>
      <c r="K36" s="40"/>
      <c r="L36" s="13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35" t="s">
        <v>53</v>
      </c>
      <c r="F37" s="152">
        <f>ROUND((SUM(BI89:BI300)),  1)</f>
        <v>0</v>
      </c>
      <c r="G37" s="40"/>
      <c r="H37" s="40"/>
      <c r="I37" s="153">
        <v>0</v>
      </c>
      <c r="J37" s="152">
        <f>0</f>
        <v>0</v>
      </c>
      <c r="K37" s="40"/>
      <c r="L37" s="13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3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25.44" customHeight="1">
      <c r="A39" s="40"/>
      <c r="B39" s="46"/>
      <c r="C39" s="154"/>
      <c r="D39" s="155" t="s">
        <v>54</v>
      </c>
      <c r="E39" s="156"/>
      <c r="F39" s="156"/>
      <c r="G39" s="157" t="s">
        <v>55</v>
      </c>
      <c r="H39" s="158" t="s">
        <v>56</v>
      </c>
      <c r="I39" s="156"/>
      <c r="J39" s="159">
        <f>SUM(J30:J37)</f>
        <v>0</v>
      </c>
      <c r="K39" s="160"/>
      <c r="L39" s="13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161"/>
      <c r="C40" s="162"/>
      <c r="D40" s="162"/>
      <c r="E40" s="162"/>
      <c r="F40" s="162"/>
      <c r="G40" s="162"/>
      <c r="H40" s="162"/>
      <c r="I40" s="162"/>
      <c r="J40" s="162"/>
      <c r="K40" s="162"/>
      <c r="L40" s="13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/>
    <row r="42" hidden="1"/>
    <row r="43" hidden="1"/>
    <row r="44" hidden="1" s="2" customFormat="1" ht="6.96" customHeight="1">
      <c r="A44" s="4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3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hidden="1" s="2" customFormat="1" ht="24.96" customHeight="1">
      <c r="A45" s="40"/>
      <c r="B45" s="41"/>
      <c r="C45" s="24" t="s">
        <v>155</v>
      </c>
      <c r="D45" s="42"/>
      <c r="E45" s="42"/>
      <c r="F45" s="42"/>
      <c r="G45" s="42"/>
      <c r="H45" s="42"/>
      <c r="I45" s="42"/>
      <c r="J45" s="42"/>
      <c r="K45" s="42"/>
      <c r="L45" s="137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hidden="1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3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hidden="1" s="2" customFormat="1" ht="12" customHeight="1">
      <c r="A47" s="40"/>
      <c r="B47" s="41"/>
      <c r="C47" s="33" t="s">
        <v>16</v>
      </c>
      <c r="D47" s="42"/>
      <c r="E47" s="42"/>
      <c r="F47" s="42"/>
      <c r="G47" s="42"/>
      <c r="H47" s="42"/>
      <c r="I47" s="42"/>
      <c r="J47" s="42"/>
      <c r="K47" s="42"/>
      <c r="L47" s="13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hidden="1" s="2" customFormat="1" ht="16.5" customHeight="1">
      <c r="A48" s="40"/>
      <c r="B48" s="41"/>
      <c r="C48" s="42"/>
      <c r="D48" s="42"/>
      <c r="E48" s="165" t="str">
        <f>E7</f>
        <v>Kulturní dům ČP 1, Třemošná- rev 03</v>
      </c>
      <c r="F48" s="33"/>
      <c r="G48" s="33"/>
      <c r="H48" s="33"/>
      <c r="I48" s="42"/>
      <c r="J48" s="42"/>
      <c r="K48" s="42"/>
      <c r="L48" s="13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hidden="1" s="2" customFormat="1" ht="12" customHeight="1">
      <c r="A49" s="40"/>
      <c r="B49" s="41"/>
      <c r="C49" s="33" t="s">
        <v>134</v>
      </c>
      <c r="D49" s="42"/>
      <c r="E49" s="42"/>
      <c r="F49" s="42"/>
      <c r="G49" s="42"/>
      <c r="H49" s="42"/>
      <c r="I49" s="42"/>
      <c r="J49" s="42"/>
      <c r="K49" s="42"/>
      <c r="L49" s="13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hidden="1" s="2" customFormat="1" ht="16.5" customHeight="1">
      <c r="A50" s="40"/>
      <c r="B50" s="41"/>
      <c r="C50" s="42"/>
      <c r="D50" s="42"/>
      <c r="E50" s="71" t="str">
        <f>E9</f>
        <v>02 - Zdravotní instalace</v>
      </c>
      <c r="F50" s="42"/>
      <c r="G50" s="42"/>
      <c r="H50" s="42"/>
      <c r="I50" s="42"/>
      <c r="J50" s="42"/>
      <c r="K50" s="42"/>
      <c r="L50" s="13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hidden="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3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hidden="1" s="2" customFormat="1" ht="12" customHeight="1">
      <c r="A52" s="40"/>
      <c r="B52" s="41"/>
      <c r="C52" s="33" t="s">
        <v>22</v>
      </c>
      <c r="D52" s="42"/>
      <c r="E52" s="42"/>
      <c r="F52" s="28" t="str">
        <f>F12</f>
        <v xml:space="preserve"> </v>
      </c>
      <c r="G52" s="42"/>
      <c r="H52" s="42"/>
      <c r="I52" s="33" t="s">
        <v>24</v>
      </c>
      <c r="J52" s="74" t="str">
        <f>IF(J12="","",J12)</f>
        <v>20. 12. 2023</v>
      </c>
      <c r="K52" s="42"/>
      <c r="L52" s="13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hidden="1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3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hidden="1" s="2" customFormat="1" ht="15.15" customHeight="1">
      <c r="A54" s="40"/>
      <c r="B54" s="41"/>
      <c r="C54" s="33" t="s">
        <v>30</v>
      </c>
      <c r="D54" s="42"/>
      <c r="E54" s="42"/>
      <c r="F54" s="28" t="str">
        <f>E15</f>
        <v xml:space="preserve"> </v>
      </c>
      <c r="G54" s="42"/>
      <c r="H54" s="42"/>
      <c r="I54" s="33" t="s">
        <v>37</v>
      </c>
      <c r="J54" s="38" t="str">
        <f>E21</f>
        <v xml:space="preserve"> </v>
      </c>
      <c r="K54" s="42"/>
      <c r="L54" s="13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hidden="1" s="2" customFormat="1" ht="15.15" customHeight="1">
      <c r="A55" s="40"/>
      <c r="B55" s="41"/>
      <c r="C55" s="33" t="s">
        <v>35</v>
      </c>
      <c r="D55" s="42"/>
      <c r="E55" s="42"/>
      <c r="F55" s="28" t="str">
        <f>IF(E18="","",E18)</f>
        <v>Vyplň údaj</v>
      </c>
      <c r="G55" s="42"/>
      <c r="H55" s="42"/>
      <c r="I55" s="33" t="s">
        <v>40</v>
      </c>
      <c r="J55" s="38" t="str">
        <f>E24</f>
        <v xml:space="preserve"> </v>
      </c>
      <c r="K55" s="42"/>
      <c r="L55" s="13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hidden="1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3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hidden="1" s="2" customFormat="1" ht="29.28" customHeight="1">
      <c r="A57" s="40"/>
      <c r="B57" s="41"/>
      <c r="C57" s="166" t="s">
        <v>156</v>
      </c>
      <c r="D57" s="167"/>
      <c r="E57" s="167"/>
      <c r="F57" s="167"/>
      <c r="G57" s="167"/>
      <c r="H57" s="167"/>
      <c r="I57" s="167"/>
      <c r="J57" s="168" t="s">
        <v>157</v>
      </c>
      <c r="K57" s="167"/>
      <c r="L57" s="13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hidden="1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3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hidden="1" s="2" customFormat="1" ht="22.8" customHeight="1">
      <c r="A59" s="40"/>
      <c r="B59" s="41"/>
      <c r="C59" s="169" t="s">
        <v>76</v>
      </c>
      <c r="D59" s="42"/>
      <c r="E59" s="42"/>
      <c r="F59" s="42"/>
      <c r="G59" s="42"/>
      <c r="H59" s="42"/>
      <c r="I59" s="42"/>
      <c r="J59" s="104">
        <f>J89</f>
        <v>0</v>
      </c>
      <c r="K59" s="42"/>
      <c r="L59" s="13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8" t="s">
        <v>158</v>
      </c>
    </row>
    <row r="60" hidden="1" s="9" customFormat="1" ht="24.96" customHeight="1">
      <c r="A60" s="9"/>
      <c r="B60" s="170"/>
      <c r="C60" s="171"/>
      <c r="D60" s="172" t="s">
        <v>159</v>
      </c>
      <c r="E60" s="173"/>
      <c r="F60" s="173"/>
      <c r="G60" s="173"/>
      <c r="H60" s="173"/>
      <c r="I60" s="173"/>
      <c r="J60" s="174">
        <f>J90</f>
        <v>0</v>
      </c>
      <c r="K60" s="171"/>
      <c r="L60" s="175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idden="1" s="10" customFormat="1" ht="19.92" customHeight="1">
      <c r="A61" s="10"/>
      <c r="B61" s="176"/>
      <c r="C61" s="177"/>
      <c r="D61" s="178" t="s">
        <v>160</v>
      </c>
      <c r="E61" s="179"/>
      <c r="F61" s="179"/>
      <c r="G61" s="179"/>
      <c r="H61" s="179"/>
      <c r="I61" s="179"/>
      <c r="J61" s="180">
        <f>J91</f>
        <v>0</v>
      </c>
      <c r="K61" s="177"/>
      <c r="L61" s="181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hidden="1" s="10" customFormat="1" ht="19.92" customHeight="1">
      <c r="A62" s="10"/>
      <c r="B62" s="176"/>
      <c r="C62" s="177"/>
      <c r="D62" s="178" t="s">
        <v>163</v>
      </c>
      <c r="E62" s="179"/>
      <c r="F62" s="179"/>
      <c r="G62" s="179"/>
      <c r="H62" s="179"/>
      <c r="I62" s="179"/>
      <c r="J62" s="180">
        <f>J126</f>
        <v>0</v>
      </c>
      <c r="K62" s="177"/>
      <c r="L62" s="181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hidden="1" s="10" customFormat="1" ht="19.92" customHeight="1">
      <c r="A63" s="10"/>
      <c r="B63" s="176"/>
      <c r="C63" s="177"/>
      <c r="D63" s="178" t="s">
        <v>167</v>
      </c>
      <c r="E63" s="179"/>
      <c r="F63" s="179"/>
      <c r="G63" s="179"/>
      <c r="H63" s="179"/>
      <c r="I63" s="179"/>
      <c r="J63" s="180">
        <f>J136</f>
        <v>0</v>
      </c>
      <c r="K63" s="177"/>
      <c r="L63" s="181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hidden="1" s="9" customFormat="1" ht="24.96" customHeight="1">
      <c r="A64" s="9"/>
      <c r="B64" s="170"/>
      <c r="C64" s="171"/>
      <c r="D64" s="172" t="s">
        <v>168</v>
      </c>
      <c r="E64" s="173"/>
      <c r="F64" s="173"/>
      <c r="G64" s="173"/>
      <c r="H64" s="173"/>
      <c r="I64" s="173"/>
      <c r="J64" s="174">
        <f>J139</f>
        <v>0</v>
      </c>
      <c r="K64" s="171"/>
      <c r="L64" s="175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hidden="1" s="10" customFormat="1" ht="19.92" customHeight="1">
      <c r="A65" s="10"/>
      <c r="B65" s="176"/>
      <c r="C65" s="177"/>
      <c r="D65" s="178" t="s">
        <v>2106</v>
      </c>
      <c r="E65" s="179"/>
      <c r="F65" s="179"/>
      <c r="G65" s="179"/>
      <c r="H65" s="179"/>
      <c r="I65" s="179"/>
      <c r="J65" s="180">
        <f>J140</f>
        <v>0</v>
      </c>
      <c r="K65" s="177"/>
      <c r="L65" s="181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hidden="1" s="10" customFormat="1" ht="19.92" customHeight="1">
      <c r="A66" s="10"/>
      <c r="B66" s="176"/>
      <c r="C66" s="177"/>
      <c r="D66" s="178" t="s">
        <v>171</v>
      </c>
      <c r="E66" s="179"/>
      <c r="F66" s="179"/>
      <c r="G66" s="179"/>
      <c r="H66" s="179"/>
      <c r="I66" s="179"/>
      <c r="J66" s="180">
        <f>J199</f>
        <v>0</v>
      </c>
      <c r="K66" s="177"/>
      <c r="L66" s="181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hidden="1" s="10" customFormat="1" ht="19.92" customHeight="1">
      <c r="A67" s="10"/>
      <c r="B67" s="176"/>
      <c r="C67" s="177"/>
      <c r="D67" s="178" t="s">
        <v>172</v>
      </c>
      <c r="E67" s="179"/>
      <c r="F67" s="179"/>
      <c r="G67" s="179"/>
      <c r="H67" s="179"/>
      <c r="I67" s="179"/>
      <c r="J67" s="180">
        <f>J251</f>
        <v>0</v>
      </c>
      <c r="K67" s="177"/>
      <c r="L67" s="181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hidden="1" s="10" customFormat="1" ht="19.92" customHeight="1">
      <c r="A68" s="10"/>
      <c r="B68" s="176"/>
      <c r="C68" s="177"/>
      <c r="D68" s="178" t="s">
        <v>2107</v>
      </c>
      <c r="E68" s="179"/>
      <c r="F68" s="179"/>
      <c r="G68" s="179"/>
      <c r="H68" s="179"/>
      <c r="I68" s="179"/>
      <c r="J68" s="180">
        <f>J290</f>
        <v>0</v>
      </c>
      <c r="K68" s="177"/>
      <c r="L68" s="181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hidden="1" s="9" customFormat="1" ht="24.96" customHeight="1">
      <c r="A69" s="9"/>
      <c r="B69" s="170"/>
      <c r="C69" s="171"/>
      <c r="D69" s="172" t="s">
        <v>2108</v>
      </c>
      <c r="E69" s="173"/>
      <c r="F69" s="173"/>
      <c r="G69" s="173"/>
      <c r="H69" s="173"/>
      <c r="I69" s="173"/>
      <c r="J69" s="174">
        <f>J297</f>
        <v>0</v>
      </c>
      <c r="K69" s="171"/>
      <c r="L69" s="175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hidden="1" s="2" customFormat="1" ht="21.84" customHeight="1">
      <c r="A70" s="40"/>
      <c r="B70" s="41"/>
      <c r="C70" s="42"/>
      <c r="D70" s="42"/>
      <c r="E70" s="42"/>
      <c r="F70" s="42"/>
      <c r="G70" s="42"/>
      <c r="H70" s="42"/>
      <c r="I70" s="42"/>
      <c r="J70" s="42"/>
      <c r="K70" s="42"/>
      <c r="L70" s="137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 hidden="1" s="2" customFormat="1" ht="6.96" customHeight="1">
      <c r="A71" s="40"/>
      <c r="B71" s="61"/>
      <c r="C71" s="62"/>
      <c r="D71" s="62"/>
      <c r="E71" s="62"/>
      <c r="F71" s="62"/>
      <c r="G71" s="62"/>
      <c r="H71" s="62"/>
      <c r="I71" s="62"/>
      <c r="J71" s="62"/>
      <c r="K71" s="62"/>
      <c r="L71" s="137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 hidden="1"/>
    <row r="73" hidden="1"/>
    <row r="74" hidden="1"/>
    <row r="75" s="2" customFormat="1" ht="6.96" customHeight="1">
      <c r="A75" s="40"/>
      <c r="B75" s="63"/>
      <c r="C75" s="64"/>
      <c r="D75" s="64"/>
      <c r="E75" s="64"/>
      <c r="F75" s="64"/>
      <c r="G75" s="64"/>
      <c r="H75" s="64"/>
      <c r="I75" s="64"/>
      <c r="J75" s="64"/>
      <c r="K75" s="64"/>
      <c r="L75" s="137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24.96" customHeight="1">
      <c r="A76" s="40"/>
      <c r="B76" s="41"/>
      <c r="C76" s="24" t="s">
        <v>185</v>
      </c>
      <c r="D76" s="42"/>
      <c r="E76" s="42"/>
      <c r="F76" s="42"/>
      <c r="G76" s="42"/>
      <c r="H76" s="42"/>
      <c r="I76" s="42"/>
      <c r="J76" s="42"/>
      <c r="K76" s="42"/>
      <c r="L76" s="137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6.96" customHeight="1">
      <c r="A77" s="40"/>
      <c r="B77" s="41"/>
      <c r="C77" s="42"/>
      <c r="D77" s="42"/>
      <c r="E77" s="42"/>
      <c r="F77" s="42"/>
      <c r="G77" s="42"/>
      <c r="H77" s="42"/>
      <c r="I77" s="42"/>
      <c r="J77" s="42"/>
      <c r="K77" s="42"/>
      <c r="L77" s="137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12" customHeight="1">
      <c r="A78" s="40"/>
      <c r="B78" s="41"/>
      <c r="C78" s="33" t="s">
        <v>16</v>
      </c>
      <c r="D78" s="42"/>
      <c r="E78" s="42"/>
      <c r="F78" s="42"/>
      <c r="G78" s="42"/>
      <c r="H78" s="42"/>
      <c r="I78" s="42"/>
      <c r="J78" s="42"/>
      <c r="K78" s="42"/>
      <c r="L78" s="137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16.5" customHeight="1">
      <c r="A79" s="40"/>
      <c r="B79" s="41"/>
      <c r="C79" s="42"/>
      <c r="D79" s="42"/>
      <c r="E79" s="165" t="str">
        <f>E7</f>
        <v>Kulturní dům ČP 1, Třemošná- rev 03</v>
      </c>
      <c r="F79" s="33"/>
      <c r="G79" s="33"/>
      <c r="H79" s="33"/>
      <c r="I79" s="42"/>
      <c r="J79" s="42"/>
      <c r="K79" s="42"/>
      <c r="L79" s="13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12" customHeight="1">
      <c r="A80" s="40"/>
      <c r="B80" s="41"/>
      <c r="C80" s="33" t="s">
        <v>134</v>
      </c>
      <c r="D80" s="42"/>
      <c r="E80" s="42"/>
      <c r="F80" s="42"/>
      <c r="G80" s="42"/>
      <c r="H80" s="42"/>
      <c r="I80" s="42"/>
      <c r="J80" s="42"/>
      <c r="K80" s="42"/>
      <c r="L80" s="13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6.5" customHeight="1">
      <c r="A81" s="40"/>
      <c r="B81" s="41"/>
      <c r="C81" s="42"/>
      <c r="D81" s="42"/>
      <c r="E81" s="71" t="str">
        <f>E9</f>
        <v>02 - Zdravotní instalace</v>
      </c>
      <c r="F81" s="42"/>
      <c r="G81" s="42"/>
      <c r="H81" s="42"/>
      <c r="I81" s="42"/>
      <c r="J81" s="42"/>
      <c r="K81" s="42"/>
      <c r="L81" s="13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6.96" customHeight="1">
      <c r="A82" s="40"/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13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2" customHeight="1">
      <c r="A83" s="40"/>
      <c r="B83" s="41"/>
      <c r="C83" s="33" t="s">
        <v>22</v>
      </c>
      <c r="D83" s="42"/>
      <c r="E83" s="42"/>
      <c r="F83" s="28" t="str">
        <f>F12</f>
        <v xml:space="preserve"> </v>
      </c>
      <c r="G83" s="42"/>
      <c r="H83" s="42"/>
      <c r="I83" s="33" t="s">
        <v>24</v>
      </c>
      <c r="J83" s="74" t="str">
        <f>IF(J12="","",J12)</f>
        <v>20. 12. 2023</v>
      </c>
      <c r="K83" s="42"/>
      <c r="L83" s="137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6.96" customHeight="1">
      <c r="A84" s="40"/>
      <c r="B84" s="41"/>
      <c r="C84" s="42"/>
      <c r="D84" s="42"/>
      <c r="E84" s="42"/>
      <c r="F84" s="42"/>
      <c r="G84" s="42"/>
      <c r="H84" s="42"/>
      <c r="I84" s="42"/>
      <c r="J84" s="42"/>
      <c r="K84" s="42"/>
      <c r="L84" s="13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15.15" customHeight="1">
      <c r="A85" s="40"/>
      <c r="B85" s="41"/>
      <c r="C85" s="33" t="s">
        <v>30</v>
      </c>
      <c r="D85" s="42"/>
      <c r="E85" s="42"/>
      <c r="F85" s="28" t="str">
        <f>E15</f>
        <v xml:space="preserve"> </v>
      </c>
      <c r="G85" s="42"/>
      <c r="H85" s="42"/>
      <c r="I85" s="33" t="s">
        <v>37</v>
      </c>
      <c r="J85" s="38" t="str">
        <f>E21</f>
        <v xml:space="preserve"> </v>
      </c>
      <c r="K85" s="42"/>
      <c r="L85" s="13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5.15" customHeight="1">
      <c r="A86" s="40"/>
      <c r="B86" s="41"/>
      <c r="C86" s="33" t="s">
        <v>35</v>
      </c>
      <c r="D86" s="42"/>
      <c r="E86" s="42"/>
      <c r="F86" s="28" t="str">
        <f>IF(E18="","",E18)</f>
        <v>Vyplň údaj</v>
      </c>
      <c r="G86" s="42"/>
      <c r="H86" s="42"/>
      <c r="I86" s="33" t="s">
        <v>40</v>
      </c>
      <c r="J86" s="38" t="str">
        <f>E24</f>
        <v xml:space="preserve"> </v>
      </c>
      <c r="K86" s="42"/>
      <c r="L86" s="13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0.32" customHeight="1">
      <c r="A87" s="40"/>
      <c r="B87" s="41"/>
      <c r="C87" s="42"/>
      <c r="D87" s="42"/>
      <c r="E87" s="42"/>
      <c r="F87" s="42"/>
      <c r="G87" s="42"/>
      <c r="H87" s="42"/>
      <c r="I87" s="42"/>
      <c r="J87" s="42"/>
      <c r="K87" s="42"/>
      <c r="L87" s="13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11" customFormat="1" ht="29.28" customHeight="1">
      <c r="A88" s="182"/>
      <c r="B88" s="183"/>
      <c r="C88" s="184" t="s">
        <v>186</v>
      </c>
      <c r="D88" s="185" t="s">
        <v>63</v>
      </c>
      <c r="E88" s="185" t="s">
        <v>59</v>
      </c>
      <c r="F88" s="185" t="s">
        <v>60</v>
      </c>
      <c r="G88" s="185" t="s">
        <v>187</v>
      </c>
      <c r="H88" s="185" t="s">
        <v>188</v>
      </c>
      <c r="I88" s="185" t="s">
        <v>189</v>
      </c>
      <c r="J88" s="185" t="s">
        <v>157</v>
      </c>
      <c r="K88" s="186" t="s">
        <v>190</v>
      </c>
      <c r="L88" s="187"/>
      <c r="M88" s="94" t="s">
        <v>32</v>
      </c>
      <c r="N88" s="95" t="s">
        <v>48</v>
      </c>
      <c r="O88" s="95" t="s">
        <v>191</v>
      </c>
      <c r="P88" s="95" t="s">
        <v>192</v>
      </c>
      <c r="Q88" s="95" t="s">
        <v>193</v>
      </c>
      <c r="R88" s="95" t="s">
        <v>194</v>
      </c>
      <c r="S88" s="95" t="s">
        <v>195</v>
      </c>
      <c r="T88" s="96" t="s">
        <v>196</v>
      </c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</row>
    <row r="89" s="2" customFormat="1" ht="22.8" customHeight="1">
      <c r="A89" s="40"/>
      <c r="B89" s="41"/>
      <c r="C89" s="101" t="s">
        <v>197</v>
      </c>
      <c r="D89" s="42"/>
      <c r="E89" s="42"/>
      <c r="F89" s="42"/>
      <c r="G89" s="42"/>
      <c r="H89" s="42"/>
      <c r="I89" s="42"/>
      <c r="J89" s="188">
        <f>BK89</f>
        <v>0</v>
      </c>
      <c r="K89" s="42"/>
      <c r="L89" s="46"/>
      <c r="M89" s="97"/>
      <c r="N89" s="189"/>
      <c r="O89" s="98"/>
      <c r="P89" s="190">
        <f>P90+P139+P297</f>
        <v>0</v>
      </c>
      <c r="Q89" s="98"/>
      <c r="R89" s="190">
        <f>R90+R139+R297</f>
        <v>32.059455200000002</v>
      </c>
      <c r="S89" s="98"/>
      <c r="T89" s="191">
        <f>T90+T139+T297</f>
        <v>0</v>
      </c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T89" s="18" t="s">
        <v>77</v>
      </c>
      <c r="AU89" s="18" t="s">
        <v>158</v>
      </c>
      <c r="BK89" s="192">
        <f>BK90+BK139+BK297</f>
        <v>0</v>
      </c>
    </row>
    <row r="90" s="12" customFormat="1" ht="25.92" customHeight="1">
      <c r="A90" s="12"/>
      <c r="B90" s="193"/>
      <c r="C90" s="194"/>
      <c r="D90" s="195" t="s">
        <v>77</v>
      </c>
      <c r="E90" s="196" t="s">
        <v>198</v>
      </c>
      <c r="F90" s="196" t="s">
        <v>199</v>
      </c>
      <c r="G90" s="194"/>
      <c r="H90" s="194"/>
      <c r="I90" s="197"/>
      <c r="J90" s="198">
        <f>BK90</f>
        <v>0</v>
      </c>
      <c r="K90" s="194"/>
      <c r="L90" s="199"/>
      <c r="M90" s="200"/>
      <c r="N90" s="201"/>
      <c r="O90" s="201"/>
      <c r="P90" s="202">
        <f>P91+P126+P136</f>
        <v>0</v>
      </c>
      <c r="Q90" s="201"/>
      <c r="R90" s="202">
        <f>R91+R126+R136</f>
        <v>30.380218200000002</v>
      </c>
      <c r="S90" s="201"/>
      <c r="T90" s="203">
        <f>T91+T126+T136</f>
        <v>0</v>
      </c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R90" s="204" t="s">
        <v>86</v>
      </c>
      <c r="AT90" s="205" t="s">
        <v>77</v>
      </c>
      <c r="AU90" s="205" t="s">
        <v>78</v>
      </c>
      <c r="AY90" s="204" t="s">
        <v>200</v>
      </c>
      <c r="BK90" s="206">
        <f>BK91+BK126+BK136</f>
        <v>0</v>
      </c>
    </row>
    <row r="91" s="12" customFormat="1" ht="22.8" customHeight="1">
      <c r="A91" s="12"/>
      <c r="B91" s="193"/>
      <c r="C91" s="194"/>
      <c r="D91" s="195" t="s">
        <v>77</v>
      </c>
      <c r="E91" s="207" t="s">
        <v>86</v>
      </c>
      <c r="F91" s="207" t="s">
        <v>201</v>
      </c>
      <c r="G91" s="194"/>
      <c r="H91" s="194"/>
      <c r="I91" s="197"/>
      <c r="J91" s="208">
        <f>BK91</f>
        <v>0</v>
      </c>
      <c r="K91" s="194"/>
      <c r="L91" s="199"/>
      <c r="M91" s="200"/>
      <c r="N91" s="201"/>
      <c r="O91" s="201"/>
      <c r="P91" s="202">
        <f>SUM(P92:P125)</f>
        <v>0</v>
      </c>
      <c r="Q91" s="201"/>
      <c r="R91" s="202">
        <f>SUM(R92:R125)</f>
        <v>23.460000000000001</v>
      </c>
      <c r="S91" s="201"/>
      <c r="T91" s="203">
        <f>SUM(T92:T125)</f>
        <v>0</v>
      </c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R91" s="204" t="s">
        <v>86</v>
      </c>
      <c r="AT91" s="205" t="s">
        <v>77</v>
      </c>
      <c r="AU91" s="205" t="s">
        <v>86</v>
      </c>
      <c r="AY91" s="204" t="s">
        <v>200</v>
      </c>
      <c r="BK91" s="206">
        <f>SUM(BK92:BK125)</f>
        <v>0</v>
      </c>
    </row>
    <row r="92" s="2" customFormat="1" ht="24.15" customHeight="1">
      <c r="A92" s="40"/>
      <c r="B92" s="41"/>
      <c r="C92" s="209" t="s">
        <v>86</v>
      </c>
      <c r="D92" s="209" t="s">
        <v>202</v>
      </c>
      <c r="E92" s="210" t="s">
        <v>2109</v>
      </c>
      <c r="F92" s="211" t="s">
        <v>2110</v>
      </c>
      <c r="G92" s="212" t="s">
        <v>205</v>
      </c>
      <c r="H92" s="213">
        <v>26.800000000000001</v>
      </c>
      <c r="I92" s="214"/>
      <c r="J92" s="215">
        <f>ROUND(I92*H92,1)</f>
        <v>0</v>
      </c>
      <c r="K92" s="211" t="s">
        <v>206</v>
      </c>
      <c r="L92" s="46"/>
      <c r="M92" s="216" t="s">
        <v>32</v>
      </c>
      <c r="N92" s="217" t="s">
        <v>49</v>
      </c>
      <c r="O92" s="86"/>
      <c r="P92" s="218">
        <f>O92*H92</f>
        <v>0</v>
      </c>
      <c r="Q92" s="218">
        <v>0</v>
      </c>
      <c r="R92" s="218">
        <f>Q92*H92</f>
        <v>0</v>
      </c>
      <c r="S92" s="218">
        <v>0</v>
      </c>
      <c r="T92" s="219">
        <f>S92*H92</f>
        <v>0</v>
      </c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R92" s="220" t="s">
        <v>207</v>
      </c>
      <c r="AT92" s="220" t="s">
        <v>202</v>
      </c>
      <c r="AU92" s="220" t="s">
        <v>88</v>
      </c>
      <c r="AY92" s="18" t="s">
        <v>200</v>
      </c>
      <c r="BE92" s="221">
        <f>IF(N92="základní",J92,0)</f>
        <v>0</v>
      </c>
      <c r="BF92" s="221">
        <f>IF(N92="snížená",J92,0)</f>
        <v>0</v>
      </c>
      <c r="BG92" s="221">
        <f>IF(N92="zákl. přenesená",J92,0)</f>
        <v>0</v>
      </c>
      <c r="BH92" s="221">
        <f>IF(N92="sníž. přenesená",J92,0)</f>
        <v>0</v>
      </c>
      <c r="BI92" s="221">
        <f>IF(N92="nulová",J92,0)</f>
        <v>0</v>
      </c>
      <c r="BJ92" s="18" t="s">
        <v>86</v>
      </c>
      <c r="BK92" s="221">
        <f>ROUND(I92*H92,1)</f>
        <v>0</v>
      </c>
      <c r="BL92" s="18" t="s">
        <v>207</v>
      </c>
      <c r="BM92" s="220" t="s">
        <v>2111</v>
      </c>
    </row>
    <row r="93" s="2" customFormat="1">
      <c r="A93" s="40"/>
      <c r="B93" s="41"/>
      <c r="C93" s="42"/>
      <c r="D93" s="222" t="s">
        <v>209</v>
      </c>
      <c r="E93" s="42"/>
      <c r="F93" s="223" t="s">
        <v>2112</v>
      </c>
      <c r="G93" s="42"/>
      <c r="H93" s="42"/>
      <c r="I93" s="224"/>
      <c r="J93" s="42"/>
      <c r="K93" s="42"/>
      <c r="L93" s="46"/>
      <c r="M93" s="225"/>
      <c r="N93" s="226"/>
      <c r="O93" s="86"/>
      <c r="P93" s="86"/>
      <c r="Q93" s="86"/>
      <c r="R93" s="86"/>
      <c r="S93" s="86"/>
      <c r="T93" s="87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T93" s="18" t="s">
        <v>209</v>
      </c>
      <c r="AU93" s="18" t="s">
        <v>88</v>
      </c>
    </row>
    <row r="94" s="15" customFormat="1">
      <c r="A94" s="15"/>
      <c r="B94" s="250"/>
      <c r="C94" s="251"/>
      <c r="D94" s="229" t="s">
        <v>211</v>
      </c>
      <c r="E94" s="252" t="s">
        <v>32</v>
      </c>
      <c r="F94" s="253" t="s">
        <v>2113</v>
      </c>
      <c r="G94" s="251"/>
      <c r="H94" s="252" t="s">
        <v>32</v>
      </c>
      <c r="I94" s="254"/>
      <c r="J94" s="251"/>
      <c r="K94" s="251"/>
      <c r="L94" s="255"/>
      <c r="M94" s="256"/>
      <c r="N94" s="257"/>
      <c r="O94" s="257"/>
      <c r="P94" s="257"/>
      <c r="Q94" s="257"/>
      <c r="R94" s="257"/>
      <c r="S94" s="257"/>
      <c r="T94" s="258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T94" s="259" t="s">
        <v>211</v>
      </c>
      <c r="AU94" s="259" t="s">
        <v>88</v>
      </c>
      <c r="AV94" s="15" t="s">
        <v>86</v>
      </c>
      <c r="AW94" s="15" t="s">
        <v>213</v>
      </c>
      <c r="AX94" s="15" t="s">
        <v>78</v>
      </c>
      <c r="AY94" s="259" t="s">
        <v>200</v>
      </c>
    </row>
    <row r="95" s="13" customFormat="1">
      <c r="A95" s="13"/>
      <c r="B95" s="227"/>
      <c r="C95" s="228"/>
      <c r="D95" s="229" t="s">
        <v>211</v>
      </c>
      <c r="E95" s="230" t="s">
        <v>32</v>
      </c>
      <c r="F95" s="231" t="s">
        <v>2114</v>
      </c>
      <c r="G95" s="228"/>
      <c r="H95" s="232">
        <v>14.65</v>
      </c>
      <c r="I95" s="233"/>
      <c r="J95" s="228"/>
      <c r="K95" s="228"/>
      <c r="L95" s="234"/>
      <c r="M95" s="235"/>
      <c r="N95" s="236"/>
      <c r="O95" s="236"/>
      <c r="P95" s="236"/>
      <c r="Q95" s="236"/>
      <c r="R95" s="236"/>
      <c r="S95" s="236"/>
      <c r="T95" s="237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T95" s="238" t="s">
        <v>211</v>
      </c>
      <c r="AU95" s="238" t="s">
        <v>88</v>
      </c>
      <c r="AV95" s="13" t="s">
        <v>88</v>
      </c>
      <c r="AW95" s="13" t="s">
        <v>213</v>
      </c>
      <c r="AX95" s="13" t="s">
        <v>78</v>
      </c>
      <c r="AY95" s="238" t="s">
        <v>200</v>
      </c>
    </row>
    <row r="96" s="13" customFormat="1">
      <c r="A96" s="13"/>
      <c r="B96" s="227"/>
      <c r="C96" s="228"/>
      <c r="D96" s="229" t="s">
        <v>211</v>
      </c>
      <c r="E96" s="230" t="s">
        <v>32</v>
      </c>
      <c r="F96" s="231" t="s">
        <v>2115</v>
      </c>
      <c r="G96" s="228"/>
      <c r="H96" s="232">
        <v>6.7400000000000002</v>
      </c>
      <c r="I96" s="233"/>
      <c r="J96" s="228"/>
      <c r="K96" s="228"/>
      <c r="L96" s="234"/>
      <c r="M96" s="235"/>
      <c r="N96" s="236"/>
      <c r="O96" s="236"/>
      <c r="P96" s="236"/>
      <c r="Q96" s="236"/>
      <c r="R96" s="236"/>
      <c r="S96" s="236"/>
      <c r="T96" s="237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T96" s="238" t="s">
        <v>211</v>
      </c>
      <c r="AU96" s="238" t="s">
        <v>88</v>
      </c>
      <c r="AV96" s="13" t="s">
        <v>88</v>
      </c>
      <c r="AW96" s="13" t="s">
        <v>213</v>
      </c>
      <c r="AX96" s="13" t="s">
        <v>78</v>
      </c>
      <c r="AY96" s="238" t="s">
        <v>200</v>
      </c>
    </row>
    <row r="97" s="13" customFormat="1">
      <c r="A97" s="13"/>
      <c r="B97" s="227"/>
      <c r="C97" s="228"/>
      <c r="D97" s="229" t="s">
        <v>211</v>
      </c>
      <c r="E97" s="230" t="s">
        <v>32</v>
      </c>
      <c r="F97" s="231" t="s">
        <v>2116</v>
      </c>
      <c r="G97" s="228"/>
      <c r="H97" s="232">
        <v>1.3500000000000001</v>
      </c>
      <c r="I97" s="233"/>
      <c r="J97" s="228"/>
      <c r="K97" s="228"/>
      <c r="L97" s="234"/>
      <c r="M97" s="235"/>
      <c r="N97" s="236"/>
      <c r="O97" s="236"/>
      <c r="P97" s="236"/>
      <c r="Q97" s="236"/>
      <c r="R97" s="236"/>
      <c r="S97" s="236"/>
      <c r="T97" s="237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T97" s="238" t="s">
        <v>211</v>
      </c>
      <c r="AU97" s="238" t="s">
        <v>88</v>
      </c>
      <c r="AV97" s="13" t="s">
        <v>88</v>
      </c>
      <c r="AW97" s="13" t="s">
        <v>213</v>
      </c>
      <c r="AX97" s="13" t="s">
        <v>78</v>
      </c>
      <c r="AY97" s="238" t="s">
        <v>200</v>
      </c>
    </row>
    <row r="98" s="13" customFormat="1">
      <c r="A98" s="13"/>
      <c r="B98" s="227"/>
      <c r="C98" s="228"/>
      <c r="D98" s="229" t="s">
        <v>211</v>
      </c>
      <c r="E98" s="230" t="s">
        <v>32</v>
      </c>
      <c r="F98" s="231" t="s">
        <v>2117</v>
      </c>
      <c r="G98" s="228"/>
      <c r="H98" s="232">
        <v>0.72999999999999998</v>
      </c>
      <c r="I98" s="233"/>
      <c r="J98" s="228"/>
      <c r="K98" s="228"/>
      <c r="L98" s="234"/>
      <c r="M98" s="235"/>
      <c r="N98" s="236"/>
      <c r="O98" s="236"/>
      <c r="P98" s="236"/>
      <c r="Q98" s="236"/>
      <c r="R98" s="236"/>
      <c r="S98" s="236"/>
      <c r="T98" s="237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T98" s="238" t="s">
        <v>211</v>
      </c>
      <c r="AU98" s="238" t="s">
        <v>88</v>
      </c>
      <c r="AV98" s="13" t="s">
        <v>88</v>
      </c>
      <c r="AW98" s="13" t="s">
        <v>213</v>
      </c>
      <c r="AX98" s="13" t="s">
        <v>78</v>
      </c>
      <c r="AY98" s="238" t="s">
        <v>200</v>
      </c>
    </row>
    <row r="99" s="13" customFormat="1">
      <c r="A99" s="13"/>
      <c r="B99" s="227"/>
      <c r="C99" s="228"/>
      <c r="D99" s="229" t="s">
        <v>211</v>
      </c>
      <c r="E99" s="230" t="s">
        <v>32</v>
      </c>
      <c r="F99" s="231" t="s">
        <v>2118</v>
      </c>
      <c r="G99" s="228"/>
      <c r="H99" s="232">
        <v>3.3300000000000001</v>
      </c>
      <c r="I99" s="233"/>
      <c r="J99" s="228"/>
      <c r="K99" s="228"/>
      <c r="L99" s="234"/>
      <c r="M99" s="235"/>
      <c r="N99" s="236"/>
      <c r="O99" s="236"/>
      <c r="P99" s="236"/>
      <c r="Q99" s="236"/>
      <c r="R99" s="236"/>
      <c r="S99" s="236"/>
      <c r="T99" s="237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T99" s="238" t="s">
        <v>211</v>
      </c>
      <c r="AU99" s="238" t="s">
        <v>88</v>
      </c>
      <c r="AV99" s="13" t="s">
        <v>88</v>
      </c>
      <c r="AW99" s="13" t="s">
        <v>213</v>
      </c>
      <c r="AX99" s="13" t="s">
        <v>78</v>
      </c>
      <c r="AY99" s="238" t="s">
        <v>200</v>
      </c>
    </row>
    <row r="100" s="14" customFormat="1">
      <c r="A100" s="14"/>
      <c r="B100" s="239"/>
      <c r="C100" s="240"/>
      <c r="D100" s="229" t="s">
        <v>211</v>
      </c>
      <c r="E100" s="241" t="s">
        <v>32</v>
      </c>
      <c r="F100" s="242" t="s">
        <v>220</v>
      </c>
      <c r="G100" s="240"/>
      <c r="H100" s="243">
        <v>26.800000000000004</v>
      </c>
      <c r="I100" s="244"/>
      <c r="J100" s="240"/>
      <c r="K100" s="240"/>
      <c r="L100" s="245"/>
      <c r="M100" s="246"/>
      <c r="N100" s="247"/>
      <c r="O100" s="247"/>
      <c r="P100" s="247"/>
      <c r="Q100" s="247"/>
      <c r="R100" s="247"/>
      <c r="S100" s="247"/>
      <c r="T100" s="248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T100" s="249" t="s">
        <v>211</v>
      </c>
      <c r="AU100" s="249" t="s">
        <v>88</v>
      </c>
      <c r="AV100" s="14" t="s">
        <v>207</v>
      </c>
      <c r="AW100" s="14" t="s">
        <v>213</v>
      </c>
      <c r="AX100" s="14" t="s">
        <v>86</v>
      </c>
      <c r="AY100" s="249" t="s">
        <v>200</v>
      </c>
    </row>
    <row r="101" s="2" customFormat="1" ht="37.8" customHeight="1">
      <c r="A101" s="40"/>
      <c r="B101" s="41"/>
      <c r="C101" s="209" t="s">
        <v>88</v>
      </c>
      <c r="D101" s="209" t="s">
        <v>202</v>
      </c>
      <c r="E101" s="210" t="s">
        <v>2119</v>
      </c>
      <c r="F101" s="211" t="s">
        <v>2120</v>
      </c>
      <c r="G101" s="212" t="s">
        <v>205</v>
      </c>
      <c r="H101" s="213">
        <v>38.210000000000001</v>
      </c>
      <c r="I101" s="214"/>
      <c r="J101" s="215">
        <f>ROUND(I101*H101,1)</f>
        <v>0</v>
      </c>
      <c r="K101" s="211" t="s">
        <v>206</v>
      </c>
      <c r="L101" s="46"/>
      <c r="M101" s="216" t="s">
        <v>32</v>
      </c>
      <c r="N101" s="217" t="s">
        <v>49</v>
      </c>
      <c r="O101" s="86"/>
      <c r="P101" s="218">
        <f>O101*H101</f>
        <v>0</v>
      </c>
      <c r="Q101" s="218">
        <v>0</v>
      </c>
      <c r="R101" s="218">
        <f>Q101*H101</f>
        <v>0</v>
      </c>
      <c r="S101" s="218">
        <v>0</v>
      </c>
      <c r="T101" s="219">
        <f>S101*H101</f>
        <v>0</v>
      </c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R101" s="220" t="s">
        <v>207</v>
      </c>
      <c r="AT101" s="220" t="s">
        <v>202</v>
      </c>
      <c r="AU101" s="220" t="s">
        <v>88</v>
      </c>
      <c r="AY101" s="18" t="s">
        <v>200</v>
      </c>
      <c r="BE101" s="221">
        <f>IF(N101="základní",J101,0)</f>
        <v>0</v>
      </c>
      <c r="BF101" s="221">
        <f>IF(N101="snížená",J101,0)</f>
        <v>0</v>
      </c>
      <c r="BG101" s="221">
        <f>IF(N101="zákl. přenesená",J101,0)</f>
        <v>0</v>
      </c>
      <c r="BH101" s="221">
        <f>IF(N101="sníž. přenesená",J101,0)</f>
        <v>0</v>
      </c>
      <c r="BI101" s="221">
        <f>IF(N101="nulová",J101,0)</f>
        <v>0</v>
      </c>
      <c r="BJ101" s="18" t="s">
        <v>86</v>
      </c>
      <c r="BK101" s="221">
        <f>ROUND(I101*H101,1)</f>
        <v>0</v>
      </c>
      <c r="BL101" s="18" t="s">
        <v>207</v>
      </c>
      <c r="BM101" s="220" t="s">
        <v>2121</v>
      </c>
    </row>
    <row r="102" s="2" customFormat="1">
      <c r="A102" s="40"/>
      <c r="B102" s="41"/>
      <c r="C102" s="42"/>
      <c r="D102" s="222" t="s">
        <v>209</v>
      </c>
      <c r="E102" s="42"/>
      <c r="F102" s="223" t="s">
        <v>2122</v>
      </c>
      <c r="G102" s="42"/>
      <c r="H102" s="42"/>
      <c r="I102" s="224"/>
      <c r="J102" s="42"/>
      <c r="K102" s="42"/>
      <c r="L102" s="46"/>
      <c r="M102" s="225"/>
      <c r="N102" s="226"/>
      <c r="O102" s="86"/>
      <c r="P102" s="86"/>
      <c r="Q102" s="86"/>
      <c r="R102" s="86"/>
      <c r="S102" s="86"/>
      <c r="T102" s="87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T102" s="18" t="s">
        <v>209</v>
      </c>
      <c r="AU102" s="18" t="s">
        <v>88</v>
      </c>
    </row>
    <row r="103" s="13" customFormat="1">
      <c r="A103" s="13"/>
      <c r="B103" s="227"/>
      <c r="C103" s="228"/>
      <c r="D103" s="229" t="s">
        <v>211</v>
      </c>
      <c r="E103" s="230" t="s">
        <v>32</v>
      </c>
      <c r="F103" s="231" t="s">
        <v>2123</v>
      </c>
      <c r="G103" s="228"/>
      <c r="H103" s="232">
        <v>26.800000000000001</v>
      </c>
      <c r="I103" s="233"/>
      <c r="J103" s="228"/>
      <c r="K103" s="228"/>
      <c r="L103" s="234"/>
      <c r="M103" s="235"/>
      <c r="N103" s="236"/>
      <c r="O103" s="236"/>
      <c r="P103" s="236"/>
      <c r="Q103" s="236"/>
      <c r="R103" s="236"/>
      <c r="S103" s="236"/>
      <c r="T103" s="237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T103" s="238" t="s">
        <v>211</v>
      </c>
      <c r="AU103" s="238" t="s">
        <v>88</v>
      </c>
      <c r="AV103" s="13" t="s">
        <v>88</v>
      </c>
      <c r="AW103" s="13" t="s">
        <v>213</v>
      </c>
      <c r="AX103" s="13" t="s">
        <v>78</v>
      </c>
      <c r="AY103" s="238" t="s">
        <v>200</v>
      </c>
    </row>
    <row r="104" s="13" customFormat="1">
      <c r="A104" s="13"/>
      <c r="B104" s="227"/>
      <c r="C104" s="228"/>
      <c r="D104" s="229" t="s">
        <v>211</v>
      </c>
      <c r="E104" s="230" t="s">
        <v>32</v>
      </c>
      <c r="F104" s="231" t="s">
        <v>2124</v>
      </c>
      <c r="G104" s="228"/>
      <c r="H104" s="232">
        <v>11.41</v>
      </c>
      <c r="I104" s="233"/>
      <c r="J104" s="228"/>
      <c r="K104" s="228"/>
      <c r="L104" s="234"/>
      <c r="M104" s="235"/>
      <c r="N104" s="236"/>
      <c r="O104" s="236"/>
      <c r="P104" s="236"/>
      <c r="Q104" s="236"/>
      <c r="R104" s="236"/>
      <c r="S104" s="236"/>
      <c r="T104" s="237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T104" s="238" t="s">
        <v>211</v>
      </c>
      <c r="AU104" s="238" t="s">
        <v>88</v>
      </c>
      <c r="AV104" s="13" t="s">
        <v>88</v>
      </c>
      <c r="AW104" s="13" t="s">
        <v>213</v>
      </c>
      <c r="AX104" s="13" t="s">
        <v>78</v>
      </c>
      <c r="AY104" s="238" t="s">
        <v>200</v>
      </c>
    </row>
    <row r="105" s="14" customFormat="1">
      <c r="A105" s="14"/>
      <c r="B105" s="239"/>
      <c r="C105" s="240"/>
      <c r="D105" s="229" t="s">
        <v>211</v>
      </c>
      <c r="E105" s="241" t="s">
        <v>32</v>
      </c>
      <c r="F105" s="242" t="s">
        <v>220</v>
      </c>
      <c r="G105" s="240"/>
      <c r="H105" s="243">
        <v>38.210000000000001</v>
      </c>
      <c r="I105" s="244"/>
      <c r="J105" s="240"/>
      <c r="K105" s="240"/>
      <c r="L105" s="245"/>
      <c r="M105" s="246"/>
      <c r="N105" s="247"/>
      <c r="O105" s="247"/>
      <c r="P105" s="247"/>
      <c r="Q105" s="247"/>
      <c r="R105" s="247"/>
      <c r="S105" s="247"/>
      <c r="T105" s="248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T105" s="249" t="s">
        <v>211</v>
      </c>
      <c r="AU105" s="249" t="s">
        <v>88</v>
      </c>
      <c r="AV105" s="14" t="s">
        <v>207</v>
      </c>
      <c r="AW105" s="14" t="s">
        <v>213</v>
      </c>
      <c r="AX105" s="14" t="s">
        <v>86</v>
      </c>
      <c r="AY105" s="249" t="s">
        <v>200</v>
      </c>
    </row>
    <row r="106" s="2" customFormat="1" ht="24.15" customHeight="1">
      <c r="A106" s="40"/>
      <c r="B106" s="41"/>
      <c r="C106" s="209" t="s">
        <v>148</v>
      </c>
      <c r="D106" s="209" t="s">
        <v>202</v>
      </c>
      <c r="E106" s="210" t="s">
        <v>2125</v>
      </c>
      <c r="F106" s="211" t="s">
        <v>2126</v>
      </c>
      <c r="G106" s="212" t="s">
        <v>205</v>
      </c>
      <c r="H106" s="213">
        <v>11.41</v>
      </c>
      <c r="I106" s="214"/>
      <c r="J106" s="215">
        <f>ROUND(I106*H106,1)</f>
        <v>0</v>
      </c>
      <c r="K106" s="211" t="s">
        <v>206</v>
      </c>
      <c r="L106" s="46"/>
      <c r="M106" s="216" t="s">
        <v>32</v>
      </c>
      <c r="N106" s="217" t="s">
        <v>49</v>
      </c>
      <c r="O106" s="86"/>
      <c r="P106" s="218">
        <f>O106*H106</f>
        <v>0</v>
      </c>
      <c r="Q106" s="218">
        <v>0</v>
      </c>
      <c r="R106" s="218">
        <f>Q106*H106</f>
        <v>0</v>
      </c>
      <c r="S106" s="218">
        <v>0</v>
      </c>
      <c r="T106" s="219">
        <f>S106*H106</f>
        <v>0</v>
      </c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0" t="s">
        <v>207</v>
      </c>
      <c r="AT106" s="220" t="s">
        <v>202</v>
      </c>
      <c r="AU106" s="220" t="s">
        <v>88</v>
      </c>
      <c r="AY106" s="18" t="s">
        <v>200</v>
      </c>
      <c r="BE106" s="221">
        <f>IF(N106="základní",J106,0)</f>
        <v>0</v>
      </c>
      <c r="BF106" s="221">
        <f>IF(N106="snížená",J106,0)</f>
        <v>0</v>
      </c>
      <c r="BG106" s="221">
        <f>IF(N106="zákl. přenesená",J106,0)</f>
        <v>0</v>
      </c>
      <c r="BH106" s="221">
        <f>IF(N106="sníž. přenesená",J106,0)</f>
        <v>0</v>
      </c>
      <c r="BI106" s="221">
        <f>IF(N106="nulová",J106,0)</f>
        <v>0</v>
      </c>
      <c r="BJ106" s="18" t="s">
        <v>86</v>
      </c>
      <c r="BK106" s="221">
        <f>ROUND(I106*H106,1)</f>
        <v>0</v>
      </c>
      <c r="BL106" s="18" t="s">
        <v>207</v>
      </c>
      <c r="BM106" s="220" t="s">
        <v>2127</v>
      </c>
    </row>
    <row r="107" s="2" customFormat="1">
      <c r="A107" s="40"/>
      <c r="B107" s="41"/>
      <c r="C107" s="42"/>
      <c r="D107" s="222" t="s">
        <v>209</v>
      </c>
      <c r="E107" s="42"/>
      <c r="F107" s="223" t="s">
        <v>2128</v>
      </c>
      <c r="G107" s="42"/>
      <c r="H107" s="42"/>
      <c r="I107" s="224"/>
      <c r="J107" s="42"/>
      <c r="K107" s="42"/>
      <c r="L107" s="46"/>
      <c r="M107" s="225"/>
      <c r="N107" s="226"/>
      <c r="O107" s="86"/>
      <c r="P107" s="86"/>
      <c r="Q107" s="86"/>
      <c r="R107" s="86"/>
      <c r="S107" s="86"/>
      <c r="T107" s="87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T107" s="18" t="s">
        <v>209</v>
      </c>
      <c r="AU107" s="18" t="s">
        <v>88</v>
      </c>
    </row>
    <row r="108" s="13" customFormat="1">
      <c r="A108" s="13"/>
      <c r="B108" s="227"/>
      <c r="C108" s="228"/>
      <c r="D108" s="229" t="s">
        <v>211</v>
      </c>
      <c r="E108" s="230" t="s">
        <v>32</v>
      </c>
      <c r="F108" s="231" t="s">
        <v>2129</v>
      </c>
      <c r="G108" s="228"/>
      <c r="H108" s="232">
        <v>11.41</v>
      </c>
      <c r="I108" s="233"/>
      <c r="J108" s="228"/>
      <c r="K108" s="228"/>
      <c r="L108" s="234"/>
      <c r="M108" s="235"/>
      <c r="N108" s="236"/>
      <c r="O108" s="236"/>
      <c r="P108" s="236"/>
      <c r="Q108" s="236"/>
      <c r="R108" s="236"/>
      <c r="S108" s="236"/>
      <c r="T108" s="237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T108" s="238" t="s">
        <v>211</v>
      </c>
      <c r="AU108" s="238" t="s">
        <v>88</v>
      </c>
      <c r="AV108" s="13" t="s">
        <v>88</v>
      </c>
      <c r="AW108" s="13" t="s">
        <v>213</v>
      </c>
      <c r="AX108" s="13" t="s">
        <v>86</v>
      </c>
      <c r="AY108" s="238" t="s">
        <v>200</v>
      </c>
    </row>
    <row r="109" s="2" customFormat="1" ht="24.15" customHeight="1">
      <c r="A109" s="40"/>
      <c r="B109" s="41"/>
      <c r="C109" s="209" t="s">
        <v>207</v>
      </c>
      <c r="D109" s="209" t="s">
        <v>202</v>
      </c>
      <c r="E109" s="210" t="s">
        <v>255</v>
      </c>
      <c r="F109" s="211" t="s">
        <v>256</v>
      </c>
      <c r="G109" s="212" t="s">
        <v>205</v>
      </c>
      <c r="H109" s="213">
        <v>11.41</v>
      </c>
      <c r="I109" s="214"/>
      <c r="J109" s="215">
        <f>ROUND(I109*H109,1)</f>
        <v>0</v>
      </c>
      <c r="K109" s="211" t="s">
        <v>206</v>
      </c>
      <c r="L109" s="46"/>
      <c r="M109" s="216" t="s">
        <v>32</v>
      </c>
      <c r="N109" s="217" t="s">
        <v>49</v>
      </c>
      <c r="O109" s="86"/>
      <c r="P109" s="218">
        <f>O109*H109</f>
        <v>0</v>
      </c>
      <c r="Q109" s="218">
        <v>0</v>
      </c>
      <c r="R109" s="218">
        <f>Q109*H109</f>
        <v>0</v>
      </c>
      <c r="S109" s="218">
        <v>0</v>
      </c>
      <c r="T109" s="219">
        <f>S109*H109</f>
        <v>0</v>
      </c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0" t="s">
        <v>207</v>
      </c>
      <c r="AT109" s="220" t="s">
        <v>202</v>
      </c>
      <c r="AU109" s="220" t="s">
        <v>88</v>
      </c>
      <c r="AY109" s="18" t="s">
        <v>200</v>
      </c>
      <c r="BE109" s="221">
        <f>IF(N109="základní",J109,0)</f>
        <v>0</v>
      </c>
      <c r="BF109" s="221">
        <f>IF(N109="snížená",J109,0)</f>
        <v>0</v>
      </c>
      <c r="BG109" s="221">
        <f>IF(N109="zákl. přenesená",J109,0)</f>
        <v>0</v>
      </c>
      <c r="BH109" s="221">
        <f>IF(N109="sníž. přenesená",J109,0)</f>
        <v>0</v>
      </c>
      <c r="BI109" s="221">
        <f>IF(N109="nulová",J109,0)</f>
        <v>0</v>
      </c>
      <c r="BJ109" s="18" t="s">
        <v>86</v>
      </c>
      <c r="BK109" s="221">
        <f>ROUND(I109*H109,1)</f>
        <v>0</v>
      </c>
      <c r="BL109" s="18" t="s">
        <v>207</v>
      </c>
      <c r="BM109" s="220" t="s">
        <v>2130</v>
      </c>
    </row>
    <row r="110" s="2" customFormat="1">
      <c r="A110" s="40"/>
      <c r="B110" s="41"/>
      <c r="C110" s="42"/>
      <c r="D110" s="222" t="s">
        <v>209</v>
      </c>
      <c r="E110" s="42"/>
      <c r="F110" s="223" t="s">
        <v>258</v>
      </c>
      <c r="G110" s="42"/>
      <c r="H110" s="42"/>
      <c r="I110" s="224"/>
      <c r="J110" s="42"/>
      <c r="K110" s="42"/>
      <c r="L110" s="46"/>
      <c r="M110" s="225"/>
      <c r="N110" s="226"/>
      <c r="O110" s="86"/>
      <c r="P110" s="86"/>
      <c r="Q110" s="86"/>
      <c r="R110" s="86"/>
      <c r="S110" s="86"/>
      <c r="T110" s="87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T110" s="18" t="s">
        <v>209</v>
      </c>
      <c r="AU110" s="18" t="s">
        <v>88</v>
      </c>
    </row>
    <row r="111" s="13" customFormat="1">
      <c r="A111" s="13"/>
      <c r="B111" s="227"/>
      <c r="C111" s="228"/>
      <c r="D111" s="229" t="s">
        <v>211</v>
      </c>
      <c r="E111" s="230" t="s">
        <v>32</v>
      </c>
      <c r="F111" s="231" t="s">
        <v>2123</v>
      </c>
      <c r="G111" s="228"/>
      <c r="H111" s="232">
        <v>26.800000000000001</v>
      </c>
      <c r="I111" s="233"/>
      <c r="J111" s="228"/>
      <c r="K111" s="228"/>
      <c r="L111" s="234"/>
      <c r="M111" s="235"/>
      <c r="N111" s="236"/>
      <c r="O111" s="236"/>
      <c r="P111" s="236"/>
      <c r="Q111" s="236"/>
      <c r="R111" s="236"/>
      <c r="S111" s="236"/>
      <c r="T111" s="237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T111" s="238" t="s">
        <v>211</v>
      </c>
      <c r="AU111" s="238" t="s">
        <v>88</v>
      </c>
      <c r="AV111" s="13" t="s">
        <v>88</v>
      </c>
      <c r="AW111" s="13" t="s">
        <v>213</v>
      </c>
      <c r="AX111" s="13" t="s">
        <v>78</v>
      </c>
      <c r="AY111" s="238" t="s">
        <v>200</v>
      </c>
    </row>
    <row r="112" s="13" customFormat="1">
      <c r="A112" s="13"/>
      <c r="B112" s="227"/>
      <c r="C112" s="228"/>
      <c r="D112" s="229" t="s">
        <v>211</v>
      </c>
      <c r="E112" s="230" t="s">
        <v>32</v>
      </c>
      <c r="F112" s="231" t="s">
        <v>2131</v>
      </c>
      <c r="G112" s="228"/>
      <c r="H112" s="232">
        <v>-11.73</v>
      </c>
      <c r="I112" s="233"/>
      <c r="J112" s="228"/>
      <c r="K112" s="228"/>
      <c r="L112" s="234"/>
      <c r="M112" s="235"/>
      <c r="N112" s="236"/>
      <c r="O112" s="236"/>
      <c r="P112" s="236"/>
      <c r="Q112" s="236"/>
      <c r="R112" s="236"/>
      <c r="S112" s="236"/>
      <c r="T112" s="237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T112" s="238" t="s">
        <v>211</v>
      </c>
      <c r="AU112" s="238" t="s">
        <v>88</v>
      </c>
      <c r="AV112" s="13" t="s">
        <v>88</v>
      </c>
      <c r="AW112" s="13" t="s">
        <v>213</v>
      </c>
      <c r="AX112" s="13" t="s">
        <v>78</v>
      </c>
      <c r="AY112" s="238" t="s">
        <v>200</v>
      </c>
    </row>
    <row r="113" s="13" customFormat="1">
      <c r="A113" s="13"/>
      <c r="B113" s="227"/>
      <c r="C113" s="228"/>
      <c r="D113" s="229" t="s">
        <v>211</v>
      </c>
      <c r="E113" s="230" t="s">
        <v>32</v>
      </c>
      <c r="F113" s="231" t="s">
        <v>2132</v>
      </c>
      <c r="G113" s="228"/>
      <c r="H113" s="232">
        <v>-3.6600000000000001</v>
      </c>
      <c r="I113" s="233"/>
      <c r="J113" s="228"/>
      <c r="K113" s="228"/>
      <c r="L113" s="234"/>
      <c r="M113" s="235"/>
      <c r="N113" s="236"/>
      <c r="O113" s="236"/>
      <c r="P113" s="236"/>
      <c r="Q113" s="236"/>
      <c r="R113" s="236"/>
      <c r="S113" s="236"/>
      <c r="T113" s="237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T113" s="238" t="s">
        <v>211</v>
      </c>
      <c r="AU113" s="238" t="s">
        <v>88</v>
      </c>
      <c r="AV113" s="13" t="s">
        <v>88</v>
      </c>
      <c r="AW113" s="13" t="s">
        <v>213</v>
      </c>
      <c r="AX113" s="13" t="s">
        <v>78</v>
      </c>
      <c r="AY113" s="238" t="s">
        <v>200</v>
      </c>
    </row>
    <row r="114" s="14" customFormat="1">
      <c r="A114" s="14"/>
      <c r="B114" s="239"/>
      <c r="C114" s="240"/>
      <c r="D114" s="229" t="s">
        <v>211</v>
      </c>
      <c r="E114" s="241" t="s">
        <v>32</v>
      </c>
      <c r="F114" s="242" t="s">
        <v>220</v>
      </c>
      <c r="G114" s="240"/>
      <c r="H114" s="243">
        <v>11.41</v>
      </c>
      <c r="I114" s="244"/>
      <c r="J114" s="240"/>
      <c r="K114" s="240"/>
      <c r="L114" s="245"/>
      <c r="M114" s="246"/>
      <c r="N114" s="247"/>
      <c r="O114" s="247"/>
      <c r="P114" s="247"/>
      <c r="Q114" s="247"/>
      <c r="R114" s="247"/>
      <c r="S114" s="247"/>
      <c r="T114" s="248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T114" s="249" t="s">
        <v>211</v>
      </c>
      <c r="AU114" s="249" t="s">
        <v>88</v>
      </c>
      <c r="AV114" s="14" t="s">
        <v>207</v>
      </c>
      <c r="AW114" s="14" t="s">
        <v>213</v>
      </c>
      <c r="AX114" s="14" t="s">
        <v>86</v>
      </c>
      <c r="AY114" s="249" t="s">
        <v>200</v>
      </c>
    </row>
    <row r="115" s="2" customFormat="1" ht="37.8" customHeight="1">
      <c r="A115" s="40"/>
      <c r="B115" s="41"/>
      <c r="C115" s="209" t="s">
        <v>234</v>
      </c>
      <c r="D115" s="209" t="s">
        <v>202</v>
      </c>
      <c r="E115" s="210" t="s">
        <v>2133</v>
      </c>
      <c r="F115" s="211" t="s">
        <v>2134</v>
      </c>
      <c r="G115" s="212" t="s">
        <v>205</v>
      </c>
      <c r="H115" s="213">
        <v>11.73</v>
      </c>
      <c r="I115" s="214"/>
      <c r="J115" s="215">
        <f>ROUND(I115*H115,1)</f>
        <v>0</v>
      </c>
      <c r="K115" s="211" t="s">
        <v>206</v>
      </c>
      <c r="L115" s="46"/>
      <c r="M115" s="216" t="s">
        <v>32</v>
      </c>
      <c r="N115" s="217" t="s">
        <v>49</v>
      </c>
      <c r="O115" s="86"/>
      <c r="P115" s="218">
        <f>O115*H115</f>
        <v>0</v>
      </c>
      <c r="Q115" s="218">
        <v>0</v>
      </c>
      <c r="R115" s="218">
        <f>Q115*H115</f>
        <v>0</v>
      </c>
      <c r="S115" s="218">
        <v>0</v>
      </c>
      <c r="T115" s="219">
        <f>S115*H115</f>
        <v>0</v>
      </c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0" t="s">
        <v>207</v>
      </c>
      <c r="AT115" s="220" t="s">
        <v>202</v>
      </c>
      <c r="AU115" s="220" t="s">
        <v>88</v>
      </c>
      <c r="AY115" s="18" t="s">
        <v>200</v>
      </c>
      <c r="BE115" s="221">
        <f>IF(N115="základní",J115,0)</f>
        <v>0</v>
      </c>
      <c r="BF115" s="221">
        <f>IF(N115="snížená",J115,0)</f>
        <v>0</v>
      </c>
      <c r="BG115" s="221">
        <f>IF(N115="zákl. přenesená",J115,0)</f>
        <v>0</v>
      </c>
      <c r="BH115" s="221">
        <f>IF(N115="sníž. přenesená",J115,0)</f>
        <v>0</v>
      </c>
      <c r="BI115" s="221">
        <f>IF(N115="nulová",J115,0)</f>
        <v>0</v>
      </c>
      <c r="BJ115" s="18" t="s">
        <v>86</v>
      </c>
      <c r="BK115" s="221">
        <f>ROUND(I115*H115,1)</f>
        <v>0</v>
      </c>
      <c r="BL115" s="18" t="s">
        <v>207</v>
      </c>
      <c r="BM115" s="220" t="s">
        <v>2135</v>
      </c>
    </row>
    <row r="116" s="2" customFormat="1">
      <c r="A116" s="40"/>
      <c r="B116" s="41"/>
      <c r="C116" s="42"/>
      <c r="D116" s="222" t="s">
        <v>209</v>
      </c>
      <c r="E116" s="42"/>
      <c r="F116" s="223" t="s">
        <v>2136</v>
      </c>
      <c r="G116" s="42"/>
      <c r="H116" s="42"/>
      <c r="I116" s="224"/>
      <c r="J116" s="42"/>
      <c r="K116" s="42"/>
      <c r="L116" s="46"/>
      <c r="M116" s="225"/>
      <c r="N116" s="226"/>
      <c r="O116" s="86"/>
      <c r="P116" s="86"/>
      <c r="Q116" s="86"/>
      <c r="R116" s="86"/>
      <c r="S116" s="86"/>
      <c r="T116" s="87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T116" s="18" t="s">
        <v>209</v>
      </c>
      <c r="AU116" s="18" t="s">
        <v>88</v>
      </c>
    </row>
    <row r="117" s="15" customFormat="1">
      <c r="A117" s="15"/>
      <c r="B117" s="250"/>
      <c r="C117" s="251"/>
      <c r="D117" s="229" t="s">
        <v>211</v>
      </c>
      <c r="E117" s="252" t="s">
        <v>32</v>
      </c>
      <c r="F117" s="253" t="s">
        <v>2113</v>
      </c>
      <c r="G117" s="251"/>
      <c r="H117" s="252" t="s">
        <v>32</v>
      </c>
      <c r="I117" s="254"/>
      <c r="J117" s="251"/>
      <c r="K117" s="251"/>
      <c r="L117" s="255"/>
      <c r="M117" s="256"/>
      <c r="N117" s="257"/>
      <c r="O117" s="257"/>
      <c r="P117" s="257"/>
      <c r="Q117" s="257"/>
      <c r="R117" s="257"/>
      <c r="S117" s="257"/>
      <c r="T117" s="25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T117" s="259" t="s">
        <v>211</v>
      </c>
      <c r="AU117" s="259" t="s">
        <v>88</v>
      </c>
      <c r="AV117" s="15" t="s">
        <v>86</v>
      </c>
      <c r="AW117" s="15" t="s">
        <v>213</v>
      </c>
      <c r="AX117" s="15" t="s">
        <v>78</v>
      </c>
      <c r="AY117" s="259" t="s">
        <v>200</v>
      </c>
    </row>
    <row r="118" s="13" customFormat="1">
      <c r="A118" s="13"/>
      <c r="B118" s="227"/>
      <c r="C118" s="228"/>
      <c r="D118" s="229" t="s">
        <v>211</v>
      </c>
      <c r="E118" s="230" t="s">
        <v>32</v>
      </c>
      <c r="F118" s="231" t="s">
        <v>2137</v>
      </c>
      <c r="G118" s="228"/>
      <c r="H118" s="232">
        <v>6.1699999999999999</v>
      </c>
      <c r="I118" s="233"/>
      <c r="J118" s="228"/>
      <c r="K118" s="228"/>
      <c r="L118" s="234"/>
      <c r="M118" s="235"/>
      <c r="N118" s="236"/>
      <c r="O118" s="236"/>
      <c r="P118" s="236"/>
      <c r="Q118" s="236"/>
      <c r="R118" s="236"/>
      <c r="S118" s="236"/>
      <c r="T118" s="237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T118" s="238" t="s">
        <v>211</v>
      </c>
      <c r="AU118" s="238" t="s">
        <v>88</v>
      </c>
      <c r="AV118" s="13" t="s">
        <v>88</v>
      </c>
      <c r="AW118" s="13" t="s">
        <v>213</v>
      </c>
      <c r="AX118" s="13" t="s">
        <v>78</v>
      </c>
      <c r="AY118" s="238" t="s">
        <v>200</v>
      </c>
    </row>
    <row r="119" s="13" customFormat="1">
      <c r="A119" s="13"/>
      <c r="B119" s="227"/>
      <c r="C119" s="228"/>
      <c r="D119" s="229" t="s">
        <v>211</v>
      </c>
      <c r="E119" s="230" t="s">
        <v>32</v>
      </c>
      <c r="F119" s="231" t="s">
        <v>2138</v>
      </c>
      <c r="G119" s="228"/>
      <c r="H119" s="232">
        <v>2.98</v>
      </c>
      <c r="I119" s="233"/>
      <c r="J119" s="228"/>
      <c r="K119" s="228"/>
      <c r="L119" s="234"/>
      <c r="M119" s="235"/>
      <c r="N119" s="236"/>
      <c r="O119" s="236"/>
      <c r="P119" s="236"/>
      <c r="Q119" s="236"/>
      <c r="R119" s="236"/>
      <c r="S119" s="236"/>
      <c r="T119" s="237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T119" s="238" t="s">
        <v>211</v>
      </c>
      <c r="AU119" s="238" t="s">
        <v>88</v>
      </c>
      <c r="AV119" s="13" t="s">
        <v>88</v>
      </c>
      <c r="AW119" s="13" t="s">
        <v>213</v>
      </c>
      <c r="AX119" s="13" t="s">
        <v>78</v>
      </c>
      <c r="AY119" s="238" t="s">
        <v>200</v>
      </c>
    </row>
    <row r="120" s="13" customFormat="1">
      <c r="A120" s="13"/>
      <c r="B120" s="227"/>
      <c r="C120" s="228"/>
      <c r="D120" s="229" t="s">
        <v>211</v>
      </c>
      <c r="E120" s="230" t="s">
        <v>32</v>
      </c>
      <c r="F120" s="231" t="s">
        <v>2139</v>
      </c>
      <c r="G120" s="228"/>
      <c r="H120" s="232">
        <v>0.59999999999999998</v>
      </c>
      <c r="I120" s="233"/>
      <c r="J120" s="228"/>
      <c r="K120" s="228"/>
      <c r="L120" s="234"/>
      <c r="M120" s="235"/>
      <c r="N120" s="236"/>
      <c r="O120" s="236"/>
      <c r="P120" s="236"/>
      <c r="Q120" s="236"/>
      <c r="R120" s="236"/>
      <c r="S120" s="236"/>
      <c r="T120" s="237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T120" s="238" t="s">
        <v>211</v>
      </c>
      <c r="AU120" s="238" t="s">
        <v>88</v>
      </c>
      <c r="AV120" s="13" t="s">
        <v>88</v>
      </c>
      <c r="AW120" s="13" t="s">
        <v>213</v>
      </c>
      <c r="AX120" s="13" t="s">
        <v>78</v>
      </c>
      <c r="AY120" s="238" t="s">
        <v>200</v>
      </c>
    </row>
    <row r="121" s="13" customFormat="1">
      <c r="A121" s="13"/>
      <c r="B121" s="227"/>
      <c r="C121" s="228"/>
      <c r="D121" s="229" t="s">
        <v>211</v>
      </c>
      <c r="E121" s="230" t="s">
        <v>32</v>
      </c>
      <c r="F121" s="231" t="s">
        <v>2140</v>
      </c>
      <c r="G121" s="228"/>
      <c r="H121" s="232">
        <v>0.32000000000000001</v>
      </c>
      <c r="I121" s="233"/>
      <c r="J121" s="228"/>
      <c r="K121" s="228"/>
      <c r="L121" s="234"/>
      <c r="M121" s="235"/>
      <c r="N121" s="236"/>
      <c r="O121" s="236"/>
      <c r="P121" s="236"/>
      <c r="Q121" s="236"/>
      <c r="R121" s="236"/>
      <c r="S121" s="236"/>
      <c r="T121" s="237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T121" s="238" t="s">
        <v>211</v>
      </c>
      <c r="AU121" s="238" t="s">
        <v>88</v>
      </c>
      <c r="AV121" s="13" t="s">
        <v>88</v>
      </c>
      <c r="AW121" s="13" t="s">
        <v>213</v>
      </c>
      <c r="AX121" s="13" t="s">
        <v>78</v>
      </c>
      <c r="AY121" s="238" t="s">
        <v>200</v>
      </c>
    </row>
    <row r="122" s="13" customFormat="1">
      <c r="A122" s="13"/>
      <c r="B122" s="227"/>
      <c r="C122" s="228"/>
      <c r="D122" s="229" t="s">
        <v>211</v>
      </c>
      <c r="E122" s="230" t="s">
        <v>32</v>
      </c>
      <c r="F122" s="231" t="s">
        <v>2141</v>
      </c>
      <c r="G122" s="228"/>
      <c r="H122" s="232">
        <v>1.6599999999999999</v>
      </c>
      <c r="I122" s="233"/>
      <c r="J122" s="228"/>
      <c r="K122" s="228"/>
      <c r="L122" s="234"/>
      <c r="M122" s="235"/>
      <c r="N122" s="236"/>
      <c r="O122" s="236"/>
      <c r="P122" s="236"/>
      <c r="Q122" s="236"/>
      <c r="R122" s="236"/>
      <c r="S122" s="236"/>
      <c r="T122" s="237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T122" s="238" t="s">
        <v>211</v>
      </c>
      <c r="AU122" s="238" t="s">
        <v>88</v>
      </c>
      <c r="AV122" s="13" t="s">
        <v>88</v>
      </c>
      <c r="AW122" s="13" t="s">
        <v>213</v>
      </c>
      <c r="AX122" s="13" t="s">
        <v>78</v>
      </c>
      <c r="AY122" s="238" t="s">
        <v>200</v>
      </c>
    </row>
    <row r="123" s="14" customFormat="1">
      <c r="A123" s="14"/>
      <c r="B123" s="239"/>
      <c r="C123" s="240"/>
      <c r="D123" s="229" t="s">
        <v>211</v>
      </c>
      <c r="E123" s="241" t="s">
        <v>32</v>
      </c>
      <c r="F123" s="242" t="s">
        <v>220</v>
      </c>
      <c r="G123" s="240"/>
      <c r="H123" s="243">
        <v>11.73</v>
      </c>
      <c r="I123" s="244"/>
      <c r="J123" s="240"/>
      <c r="K123" s="240"/>
      <c r="L123" s="245"/>
      <c r="M123" s="246"/>
      <c r="N123" s="247"/>
      <c r="O123" s="247"/>
      <c r="P123" s="247"/>
      <c r="Q123" s="247"/>
      <c r="R123" s="247"/>
      <c r="S123" s="247"/>
      <c r="T123" s="248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T123" s="249" t="s">
        <v>211</v>
      </c>
      <c r="AU123" s="249" t="s">
        <v>88</v>
      </c>
      <c r="AV123" s="14" t="s">
        <v>207</v>
      </c>
      <c r="AW123" s="14" t="s">
        <v>213</v>
      </c>
      <c r="AX123" s="14" t="s">
        <v>86</v>
      </c>
      <c r="AY123" s="249" t="s">
        <v>200</v>
      </c>
    </row>
    <row r="124" s="2" customFormat="1" ht="16.5" customHeight="1">
      <c r="A124" s="40"/>
      <c r="B124" s="41"/>
      <c r="C124" s="260" t="s">
        <v>241</v>
      </c>
      <c r="D124" s="260" t="s">
        <v>292</v>
      </c>
      <c r="E124" s="261" t="s">
        <v>2142</v>
      </c>
      <c r="F124" s="262" t="s">
        <v>2143</v>
      </c>
      <c r="G124" s="263" t="s">
        <v>250</v>
      </c>
      <c r="H124" s="264">
        <v>23.460000000000001</v>
      </c>
      <c r="I124" s="265"/>
      <c r="J124" s="266">
        <f>ROUND(I124*H124,1)</f>
        <v>0</v>
      </c>
      <c r="K124" s="262" t="s">
        <v>206</v>
      </c>
      <c r="L124" s="267"/>
      <c r="M124" s="268" t="s">
        <v>32</v>
      </c>
      <c r="N124" s="269" t="s">
        <v>49</v>
      </c>
      <c r="O124" s="86"/>
      <c r="P124" s="218">
        <f>O124*H124</f>
        <v>0</v>
      </c>
      <c r="Q124" s="218">
        <v>1</v>
      </c>
      <c r="R124" s="218">
        <f>Q124*H124</f>
        <v>23.460000000000001</v>
      </c>
      <c r="S124" s="218">
        <v>0</v>
      </c>
      <c r="T124" s="219">
        <f>S124*H124</f>
        <v>0</v>
      </c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0" t="s">
        <v>254</v>
      </c>
      <c r="AT124" s="220" t="s">
        <v>292</v>
      </c>
      <c r="AU124" s="220" t="s">
        <v>88</v>
      </c>
      <c r="AY124" s="18" t="s">
        <v>200</v>
      </c>
      <c r="BE124" s="221">
        <f>IF(N124="základní",J124,0)</f>
        <v>0</v>
      </c>
      <c r="BF124" s="221">
        <f>IF(N124="snížená",J124,0)</f>
        <v>0</v>
      </c>
      <c r="BG124" s="221">
        <f>IF(N124="zákl. přenesená",J124,0)</f>
        <v>0</v>
      </c>
      <c r="BH124" s="221">
        <f>IF(N124="sníž. přenesená",J124,0)</f>
        <v>0</v>
      </c>
      <c r="BI124" s="221">
        <f>IF(N124="nulová",J124,0)</f>
        <v>0</v>
      </c>
      <c r="BJ124" s="18" t="s">
        <v>86</v>
      </c>
      <c r="BK124" s="221">
        <f>ROUND(I124*H124,1)</f>
        <v>0</v>
      </c>
      <c r="BL124" s="18" t="s">
        <v>207</v>
      </c>
      <c r="BM124" s="220" t="s">
        <v>2144</v>
      </c>
    </row>
    <row r="125" s="13" customFormat="1">
      <c r="A125" s="13"/>
      <c r="B125" s="227"/>
      <c r="C125" s="228"/>
      <c r="D125" s="229" t="s">
        <v>211</v>
      </c>
      <c r="E125" s="230" t="s">
        <v>32</v>
      </c>
      <c r="F125" s="231" t="s">
        <v>2145</v>
      </c>
      <c r="G125" s="228"/>
      <c r="H125" s="232">
        <v>23.460000000000001</v>
      </c>
      <c r="I125" s="233"/>
      <c r="J125" s="228"/>
      <c r="K125" s="228"/>
      <c r="L125" s="234"/>
      <c r="M125" s="235"/>
      <c r="N125" s="236"/>
      <c r="O125" s="236"/>
      <c r="P125" s="236"/>
      <c r="Q125" s="236"/>
      <c r="R125" s="236"/>
      <c r="S125" s="236"/>
      <c r="T125" s="237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T125" s="238" t="s">
        <v>211</v>
      </c>
      <c r="AU125" s="238" t="s">
        <v>88</v>
      </c>
      <c r="AV125" s="13" t="s">
        <v>88</v>
      </c>
      <c r="AW125" s="13" t="s">
        <v>213</v>
      </c>
      <c r="AX125" s="13" t="s">
        <v>86</v>
      </c>
      <c r="AY125" s="238" t="s">
        <v>200</v>
      </c>
    </row>
    <row r="126" s="12" customFormat="1" ht="22.8" customHeight="1">
      <c r="A126" s="12"/>
      <c r="B126" s="193"/>
      <c r="C126" s="194"/>
      <c r="D126" s="195" t="s">
        <v>77</v>
      </c>
      <c r="E126" s="207" t="s">
        <v>207</v>
      </c>
      <c r="F126" s="207" t="s">
        <v>548</v>
      </c>
      <c r="G126" s="194"/>
      <c r="H126" s="194"/>
      <c r="I126" s="197"/>
      <c r="J126" s="208">
        <f>BK126</f>
        <v>0</v>
      </c>
      <c r="K126" s="194"/>
      <c r="L126" s="199"/>
      <c r="M126" s="200"/>
      <c r="N126" s="201"/>
      <c r="O126" s="201"/>
      <c r="P126" s="202">
        <f>SUM(P127:P135)</f>
        <v>0</v>
      </c>
      <c r="Q126" s="201"/>
      <c r="R126" s="202">
        <f>SUM(R127:R135)</f>
        <v>6.9202182000000008</v>
      </c>
      <c r="S126" s="201"/>
      <c r="T126" s="203">
        <f>SUM(T127:T135)</f>
        <v>0</v>
      </c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R126" s="204" t="s">
        <v>86</v>
      </c>
      <c r="AT126" s="205" t="s">
        <v>77</v>
      </c>
      <c r="AU126" s="205" t="s">
        <v>86</v>
      </c>
      <c r="AY126" s="204" t="s">
        <v>200</v>
      </c>
      <c r="BK126" s="206">
        <f>SUM(BK127:BK135)</f>
        <v>0</v>
      </c>
    </row>
    <row r="127" s="2" customFormat="1" ht="21.75" customHeight="1">
      <c r="A127" s="40"/>
      <c r="B127" s="41"/>
      <c r="C127" s="209" t="s">
        <v>247</v>
      </c>
      <c r="D127" s="209" t="s">
        <v>202</v>
      </c>
      <c r="E127" s="210" t="s">
        <v>2146</v>
      </c>
      <c r="F127" s="211" t="s">
        <v>2147</v>
      </c>
      <c r="G127" s="212" t="s">
        <v>205</v>
      </c>
      <c r="H127" s="213">
        <v>3.6600000000000001</v>
      </c>
      <c r="I127" s="214"/>
      <c r="J127" s="215">
        <f>ROUND(I127*H127,1)</f>
        <v>0</v>
      </c>
      <c r="K127" s="211" t="s">
        <v>206</v>
      </c>
      <c r="L127" s="46"/>
      <c r="M127" s="216" t="s">
        <v>32</v>
      </c>
      <c r="N127" s="217" t="s">
        <v>49</v>
      </c>
      <c r="O127" s="86"/>
      <c r="P127" s="218">
        <f>O127*H127</f>
        <v>0</v>
      </c>
      <c r="Q127" s="218">
        <v>1.8907700000000001</v>
      </c>
      <c r="R127" s="218">
        <f>Q127*H127</f>
        <v>6.9202182000000008</v>
      </c>
      <c r="S127" s="218">
        <v>0</v>
      </c>
      <c r="T127" s="219">
        <f>S127*H127</f>
        <v>0</v>
      </c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0" t="s">
        <v>207</v>
      </c>
      <c r="AT127" s="220" t="s">
        <v>202</v>
      </c>
      <c r="AU127" s="220" t="s">
        <v>88</v>
      </c>
      <c r="AY127" s="18" t="s">
        <v>200</v>
      </c>
      <c r="BE127" s="221">
        <f>IF(N127="základní",J127,0)</f>
        <v>0</v>
      </c>
      <c r="BF127" s="221">
        <f>IF(N127="snížená",J127,0)</f>
        <v>0</v>
      </c>
      <c r="BG127" s="221">
        <f>IF(N127="zákl. přenesená",J127,0)</f>
        <v>0</v>
      </c>
      <c r="BH127" s="221">
        <f>IF(N127="sníž. přenesená",J127,0)</f>
        <v>0</v>
      </c>
      <c r="BI127" s="221">
        <f>IF(N127="nulová",J127,0)</f>
        <v>0</v>
      </c>
      <c r="BJ127" s="18" t="s">
        <v>86</v>
      </c>
      <c r="BK127" s="221">
        <f>ROUND(I127*H127,1)</f>
        <v>0</v>
      </c>
      <c r="BL127" s="18" t="s">
        <v>207</v>
      </c>
      <c r="BM127" s="220" t="s">
        <v>2148</v>
      </c>
    </row>
    <row r="128" s="2" customFormat="1">
      <c r="A128" s="40"/>
      <c r="B128" s="41"/>
      <c r="C128" s="42"/>
      <c r="D128" s="222" t="s">
        <v>209</v>
      </c>
      <c r="E128" s="42"/>
      <c r="F128" s="223" t="s">
        <v>2149</v>
      </c>
      <c r="G128" s="42"/>
      <c r="H128" s="42"/>
      <c r="I128" s="224"/>
      <c r="J128" s="42"/>
      <c r="K128" s="42"/>
      <c r="L128" s="46"/>
      <c r="M128" s="225"/>
      <c r="N128" s="226"/>
      <c r="O128" s="86"/>
      <c r="P128" s="86"/>
      <c r="Q128" s="86"/>
      <c r="R128" s="86"/>
      <c r="S128" s="86"/>
      <c r="T128" s="87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8" t="s">
        <v>209</v>
      </c>
      <c r="AU128" s="18" t="s">
        <v>88</v>
      </c>
    </row>
    <row r="129" s="15" customFormat="1">
      <c r="A129" s="15"/>
      <c r="B129" s="250"/>
      <c r="C129" s="251"/>
      <c r="D129" s="229" t="s">
        <v>211</v>
      </c>
      <c r="E129" s="252" t="s">
        <v>32</v>
      </c>
      <c r="F129" s="253" t="s">
        <v>2113</v>
      </c>
      <c r="G129" s="251"/>
      <c r="H129" s="252" t="s">
        <v>32</v>
      </c>
      <c r="I129" s="254"/>
      <c r="J129" s="251"/>
      <c r="K129" s="251"/>
      <c r="L129" s="255"/>
      <c r="M129" s="256"/>
      <c r="N129" s="257"/>
      <c r="O129" s="257"/>
      <c r="P129" s="257"/>
      <c r="Q129" s="257"/>
      <c r="R129" s="257"/>
      <c r="S129" s="257"/>
      <c r="T129" s="25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T129" s="259" t="s">
        <v>211</v>
      </c>
      <c r="AU129" s="259" t="s">
        <v>88</v>
      </c>
      <c r="AV129" s="15" t="s">
        <v>86</v>
      </c>
      <c r="AW129" s="15" t="s">
        <v>213</v>
      </c>
      <c r="AX129" s="15" t="s">
        <v>78</v>
      </c>
      <c r="AY129" s="259" t="s">
        <v>200</v>
      </c>
    </row>
    <row r="130" s="13" customFormat="1">
      <c r="A130" s="13"/>
      <c r="B130" s="227"/>
      <c r="C130" s="228"/>
      <c r="D130" s="229" t="s">
        <v>211</v>
      </c>
      <c r="E130" s="230" t="s">
        <v>32</v>
      </c>
      <c r="F130" s="231" t="s">
        <v>2150</v>
      </c>
      <c r="G130" s="228"/>
      <c r="H130" s="232">
        <v>1.54</v>
      </c>
      <c r="I130" s="233"/>
      <c r="J130" s="228"/>
      <c r="K130" s="228"/>
      <c r="L130" s="234"/>
      <c r="M130" s="235"/>
      <c r="N130" s="236"/>
      <c r="O130" s="236"/>
      <c r="P130" s="236"/>
      <c r="Q130" s="236"/>
      <c r="R130" s="236"/>
      <c r="S130" s="236"/>
      <c r="T130" s="237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38" t="s">
        <v>211</v>
      </c>
      <c r="AU130" s="238" t="s">
        <v>88</v>
      </c>
      <c r="AV130" s="13" t="s">
        <v>88</v>
      </c>
      <c r="AW130" s="13" t="s">
        <v>213</v>
      </c>
      <c r="AX130" s="13" t="s">
        <v>78</v>
      </c>
      <c r="AY130" s="238" t="s">
        <v>200</v>
      </c>
    </row>
    <row r="131" s="13" customFormat="1">
      <c r="A131" s="13"/>
      <c r="B131" s="227"/>
      <c r="C131" s="228"/>
      <c r="D131" s="229" t="s">
        <v>211</v>
      </c>
      <c r="E131" s="230" t="s">
        <v>32</v>
      </c>
      <c r="F131" s="231" t="s">
        <v>2151</v>
      </c>
      <c r="G131" s="228"/>
      <c r="H131" s="232">
        <v>1.48</v>
      </c>
      <c r="I131" s="233"/>
      <c r="J131" s="228"/>
      <c r="K131" s="228"/>
      <c r="L131" s="234"/>
      <c r="M131" s="235"/>
      <c r="N131" s="236"/>
      <c r="O131" s="236"/>
      <c r="P131" s="236"/>
      <c r="Q131" s="236"/>
      <c r="R131" s="236"/>
      <c r="S131" s="236"/>
      <c r="T131" s="237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T131" s="238" t="s">
        <v>211</v>
      </c>
      <c r="AU131" s="238" t="s">
        <v>88</v>
      </c>
      <c r="AV131" s="13" t="s">
        <v>88</v>
      </c>
      <c r="AW131" s="13" t="s">
        <v>213</v>
      </c>
      <c r="AX131" s="13" t="s">
        <v>78</v>
      </c>
      <c r="AY131" s="238" t="s">
        <v>200</v>
      </c>
    </row>
    <row r="132" s="13" customFormat="1">
      <c r="A132" s="13"/>
      <c r="B132" s="227"/>
      <c r="C132" s="228"/>
      <c r="D132" s="229" t="s">
        <v>211</v>
      </c>
      <c r="E132" s="230" t="s">
        <v>32</v>
      </c>
      <c r="F132" s="231" t="s">
        <v>2152</v>
      </c>
      <c r="G132" s="228"/>
      <c r="H132" s="232">
        <v>0.14999999999999999</v>
      </c>
      <c r="I132" s="233"/>
      <c r="J132" s="228"/>
      <c r="K132" s="228"/>
      <c r="L132" s="234"/>
      <c r="M132" s="235"/>
      <c r="N132" s="236"/>
      <c r="O132" s="236"/>
      <c r="P132" s="236"/>
      <c r="Q132" s="236"/>
      <c r="R132" s="236"/>
      <c r="S132" s="236"/>
      <c r="T132" s="237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T132" s="238" t="s">
        <v>211</v>
      </c>
      <c r="AU132" s="238" t="s">
        <v>88</v>
      </c>
      <c r="AV132" s="13" t="s">
        <v>88</v>
      </c>
      <c r="AW132" s="13" t="s">
        <v>213</v>
      </c>
      <c r="AX132" s="13" t="s">
        <v>78</v>
      </c>
      <c r="AY132" s="238" t="s">
        <v>200</v>
      </c>
    </row>
    <row r="133" s="13" customFormat="1">
      <c r="A133" s="13"/>
      <c r="B133" s="227"/>
      <c r="C133" s="228"/>
      <c r="D133" s="229" t="s">
        <v>211</v>
      </c>
      <c r="E133" s="230" t="s">
        <v>32</v>
      </c>
      <c r="F133" s="231" t="s">
        <v>2153</v>
      </c>
      <c r="G133" s="228"/>
      <c r="H133" s="232">
        <v>0.080000000000000002</v>
      </c>
      <c r="I133" s="233"/>
      <c r="J133" s="228"/>
      <c r="K133" s="228"/>
      <c r="L133" s="234"/>
      <c r="M133" s="235"/>
      <c r="N133" s="236"/>
      <c r="O133" s="236"/>
      <c r="P133" s="236"/>
      <c r="Q133" s="236"/>
      <c r="R133" s="236"/>
      <c r="S133" s="236"/>
      <c r="T133" s="237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38" t="s">
        <v>211</v>
      </c>
      <c r="AU133" s="238" t="s">
        <v>88</v>
      </c>
      <c r="AV133" s="13" t="s">
        <v>88</v>
      </c>
      <c r="AW133" s="13" t="s">
        <v>213</v>
      </c>
      <c r="AX133" s="13" t="s">
        <v>78</v>
      </c>
      <c r="AY133" s="238" t="s">
        <v>200</v>
      </c>
    </row>
    <row r="134" s="13" customFormat="1">
      <c r="A134" s="13"/>
      <c r="B134" s="227"/>
      <c r="C134" s="228"/>
      <c r="D134" s="229" t="s">
        <v>211</v>
      </c>
      <c r="E134" s="230" t="s">
        <v>32</v>
      </c>
      <c r="F134" s="231" t="s">
        <v>2154</v>
      </c>
      <c r="G134" s="228"/>
      <c r="H134" s="232">
        <v>0.40999999999999998</v>
      </c>
      <c r="I134" s="233"/>
      <c r="J134" s="228"/>
      <c r="K134" s="228"/>
      <c r="L134" s="234"/>
      <c r="M134" s="235"/>
      <c r="N134" s="236"/>
      <c r="O134" s="236"/>
      <c r="P134" s="236"/>
      <c r="Q134" s="236"/>
      <c r="R134" s="236"/>
      <c r="S134" s="236"/>
      <c r="T134" s="237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T134" s="238" t="s">
        <v>211</v>
      </c>
      <c r="AU134" s="238" t="s">
        <v>88</v>
      </c>
      <c r="AV134" s="13" t="s">
        <v>88</v>
      </c>
      <c r="AW134" s="13" t="s">
        <v>213</v>
      </c>
      <c r="AX134" s="13" t="s">
        <v>78</v>
      </c>
      <c r="AY134" s="238" t="s">
        <v>200</v>
      </c>
    </row>
    <row r="135" s="14" customFormat="1">
      <c r="A135" s="14"/>
      <c r="B135" s="239"/>
      <c r="C135" s="240"/>
      <c r="D135" s="229" t="s">
        <v>211</v>
      </c>
      <c r="E135" s="241" t="s">
        <v>32</v>
      </c>
      <c r="F135" s="242" t="s">
        <v>220</v>
      </c>
      <c r="G135" s="240"/>
      <c r="H135" s="243">
        <v>3.6600000000000001</v>
      </c>
      <c r="I135" s="244"/>
      <c r="J135" s="240"/>
      <c r="K135" s="240"/>
      <c r="L135" s="245"/>
      <c r="M135" s="246"/>
      <c r="N135" s="247"/>
      <c r="O135" s="247"/>
      <c r="P135" s="247"/>
      <c r="Q135" s="247"/>
      <c r="R135" s="247"/>
      <c r="S135" s="247"/>
      <c r="T135" s="248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T135" s="249" t="s">
        <v>211</v>
      </c>
      <c r="AU135" s="249" t="s">
        <v>88</v>
      </c>
      <c r="AV135" s="14" t="s">
        <v>207</v>
      </c>
      <c r="AW135" s="14" t="s">
        <v>213</v>
      </c>
      <c r="AX135" s="14" t="s">
        <v>86</v>
      </c>
      <c r="AY135" s="249" t="s">
        <v>200</v>
      </c>
    </row>
    <row r="136" s="12" customFormat="1" ht="22.8" customHeight="1">
      <c r="A136" s="12"/>
      <c r="B136" s="193"/>
      <c r="C136" s="194"/>
      <c r="D136" s="195" t="s">
        <v>77</v>
      </c>
      <c r="E136" s="207" t="s">
        <v>959</v>
      </c>
      <c r="F136" s="207" t="s">
        <v>960</v>
      </c>
      <c r="G136" s="194"/>
      <c r="H136" s="194"/>
      <c r="I136" s="197"/>
      <c r="J136" s="208">
        <f>BK136</f>
        <v>0</v>
      </c>
      <c r="K136" s="194"/>
      <c r="L136" s="199"/>
      <c r="M136" s="200"/>
      <c r="N136" s="201"/>
      <c r="O136" s="201"/>
      <c r="P136" s="202">
        <f>SUM(P137:P138)</f>
        <v>0</v>
      </c>
      <c r="Q136" s="201"/>
      <c r="R136" s="202">
        <f>SUM(R137:R138)</f>
        <v>0</v>
      </c>
      <c r="S136" s="201"/>
      <c r="T136" s="203">
        <f>SUM(T137:T138)</f>
        <v>0</v>
      </c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R136" s="204" t="s">
        <v>86</v>
      </c>
      <c r="AT136" s="205" t="s">
        <v>77</v>
      </c>
      <c r="AU136" s="205" t="s">
        <v>86</v>
      </c>
      <c r="AY136" s="204" t="s">
        <v>200</v>
      </c>
      <c r="BK136" s="206">
        <f>SUM(BK137:BK138)</f>
        <v>0</v>
      </c>
    </row>
    <row r="137" s="2" customFormat="1" ht="33" customHeight="1">
      <c r="A137" s="40"/>
      <c r="B137" s="41"/>
      <c r="C137" s="209" t="s">
        <v>254</v>
      </c>
      <c r="D137" s="209" t="s">
        <v>202</v>
      </c>
      <c r="E137" s="210" t="s">
        <v>2155</v>
      </c>
      <c r="F137" s="211" t="s">
        <v>2156</v>
      </c>
      <c r="G137" s="212" t="s">
        <v>250</v>
      </c>
      <c r="H137" s="213">
        <v>30.379999999999999</v>
      </c>
      <c r="I137" s="214"/>
      <c r="J137" s="215">
        <f>ROUND(I137*H137,1)</f>
        <v>0</v>
      </c>
      <c r="K137" s="211" t="s">
        <v>206</v>
      </c>
      <c r="L137" s="46"/>
      <c r="M137" s="216" t="s">
        <v>32</v>
      </c>
      <c r="N137" s="217" t="s">
        <v>49</v>
      </c>
      <c r="O137" s="86"/>
      <c r="P137" s="218">
        <f>O137*H137</f>
        <v>0</v>
      </c>
      <c r="Q137" s="218">
        <v>0</v>
      </c>
      <c r="R137" s="218">
        <f>Q137*H137</f>
        <v>0</v>
      </c>
      <c r="S137" s="218">
        <v>0</v>
      </c>
      <c r="T137" s="219">
        <f>S137*H137</f>
        <v>0</v>
      </c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R137" s="220" t="s">
        <v>207</v>
      </c>
      <c r="AT137" s="220" t="s">
        <v>202</v>
      </c>
      <c r="AU137" s="220" t="s">
        <v>88</v>
      </c>
      <c r="AY137" s="18" t="s">
        <v>200</v>
      </c>
      <c r="BE137" s="221">
        <f>IF(N137="základní",J137,0)</f>
        <v>0</v>
      </c>
      <c r="BF137" s="221">
        <f>IF(N137="snížená",J137,0)</f>
        <v>0</v>
      </c>
      <c r="BG137" s="221">
        <f>IF(N137="zákl. přenesená",J137,0)</f>
        <v>0</v>
      </c>
      <c r="BH137" s="221">
        <f>IF(N137="sníž. přenesená",J137,0)</f>
        <v>0</v>
      </c>
      <c r="BI137" s="221">
        <f>IF(N137="nulová",J137,0)</f>
        <v>0</v>
      </c>
      <c r="BJ137" s="18" t="s">
        <v>86</v>
      </c>
      <c r="BK137" s="221">
        <f>ROUND(I137*H137,1)</f>
        <v>0</v>
      </c>
      <c r="BL137" s="18" t="s">
        <v>207</v>
      </c>
      <c r="BM137" s="220" t="s">
        <v>2157</v>
      </c>
    </row>
    <row r="138" s="2" customFormat="1">
      <c r="A138" s="40"/>
      <c r="B138" s="41"/>
      <c r="C138" s="42"/>
      <c r="D138" s="222" t="s">
        <v>209</v>
      </c>
      <c r="E138" s="42"/>
      <c r="F138" s="223" t="s">
        <v>2158</v>
      </c>
      <c r="G138" s="42"/>
      <c r="H138" s="42"/>
      <c r="I138" s="224"/>
      <c r="J138" s="42"/>
      <c r="K138" s="42"/>
      <c r="L138" s="46"/>
      <c r="M138" s="225"/>
      <c r="N138" s="226"/>
      <c r="O138" s="86"/>
      <c r="P138" s="86"/>
      <c r="Q138" s="86"/>
      <c r="R138" s="86"/>
      <c r="S138" s="86"/>
      <c r="T138" s="87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T138" s="18" t="s">
        <v>209</v>
      </c>
      <c r="AU138" s="18" t="s">
        <v>88</v>
      </c>
    </row>
    <row r="139" s="12" customFormat="1" ht="25.92" customHeight="1">
      <c r="A139" s="12"/>
      <c r="B139" s="193"/>
      <c r="C139" s="194"/>
      <c r="D139" s="195" t="s">
        <v>77</v>
      </c>
      <c r="E139" s="196" t="s">
        <v>966</v>
      </c>
      <c r="F139" s="196" t="s">
        <v>967</v>
      </c>
      <c r="G139" s="194"/>
      <c r="H139" s="194"/>
      <c r="I139" s="197"/>
      <c r="J139" s="198">
        <f>BK139</f>
        <v>0</v>
      </c>
      <c r="K139" s="194"/>
      <c r="L139" s="199"/>
      <c r="M139" s="200"/>
      <c r="N139" s="201"/>
      <c r="O139" s="201"/>
      <c r="P139" s="202">
        <f>P140+P199+P251+P290</f>
        <v>0</v>
      </c>
      <c r="Q139" s="201"/>
      <c r="R139" s="202">
        <f>R140+R199+R251+R290</f>
        <v>1.6792369999999999</v>
      </c>
      <c r="S139" s="201"/>
      <c r="T139" s="203">
        <f>T140+T199+T251+T290</f>
        <v>0</v>
      </c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R139" s="204" t="s">
        <v>88</v>
      </c>
      <c r="AT139" s="205" t="s">
        <v>77</v>
      </c>
      <c r="AU139" s="205" t="s">
        <v>78</v>
      </c>
      <c r="AY139" s="204" t="s">
        <v>200</v>
      </c>
      <c r="BK139" s="206">
        <f>BK140+BK199+BK251+BK290</f>
        <v>0</v>
      </c>
    </row>
    <row r="140" s="12" customFormat="1" ht="22.8" customHeight="1">
      <c r="A140" s="12"/>
      <c r="B140" s="193"/>
      <c r="C140" s="194"/>
      <c r="D140" s="195" t="s">
        <v>77</v>
      </c>
      <c r="E140" s="207" t="s">
        <v>2159</v>
      </c>
      <c r="F140" s="207" t="s">
        <v>2160</v>
      </c>
      <c r="G140" s="194"/>
      <c r="H140" s="194"/>
      <c r="I140" s="197"/>
      <c r="J140" s="208">
        <f>BK140</f>
        <v>0</v>
      </c>
      <c r="K140" s="194"/>
      <c r="L140" s="199"/>
      <c r="M140" s="200"/>
      <c r="N140" s="201"/>
      <c r="O140" s="201"/>
      <c r="P140" s="202">
        <f>SUM(P141:P198)</f>
        <v>0</v>
      </c>
      <c r="Q140" s="201"/>
      <c r="R140" s="202">
        <f>SUM(R141:R198)</f>
        <v>0.45128600000000002</v>
      </c>
      <c r="S140" s="201"/>
      <c r="T140" s="203">
        <f>SUM(T141:T198)</f>
        <v>0</v>
      </c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R140" s="204" t="s">
        <v>88</v>
      </c>
      <c r="AT140" s="205" t="s">
        <v>77</v>
      </c>
      <c r="AU140" s="205" t="s">
        <v>86</v>
      </c>
      <c r="AY140" s="204" t="s">
        <v>200</v>
      </c>
      <c r="BK140" s="206">
        <f>SUM(BK141:BK198)</f>
        <v>0</v>
      </c>
    </row>
    <row r="141" s="2" customFormat="1" ht="16.5" customHeight="1">
      <c r="A141" s="40"/>
      <c r="B141" s="41"/>
      <c r="C141" s="209" t="s">
        <v>261</v>
      </c>
      <c r="D141" s="209" t="s">
        <v>202</v>
      </c>
      <c r="E141" s="210" t="s">
        <v>2161</v>
      </c>
      <c r="F141" s="211" t="s">
        <v>2162</v>
      </c>
      <c r="G141" s="212" t="s">
        <v>280</v>
      </c>
      <c r="H141" s="213">
        <v>71.5</v>
      </c>
      <c r="I141" s="214"/>
      <c r="J141" s="215">
        <f>ROUND(I141*H141,1)</f>
        <v>0</v>
      </c>
      <c r="K141" s="211" t="s">
        <v>206</v>
      </c>
      <c r="L141" s="46"/>
      <c r="M141" s="216" t="s">
        <v>32</v>
      </c>
      <c r="N141" s="217" t="s">
        <v>49</v>
      </c>
      <c r="O141" s="86"/>
      <c r="P141" s="218">
        <f>O141*H141</f>
        <v>0</v>
      </c>
      <c r="Q141" s="218">
        <v>0.00197</v>
      </c>
      <c r="R141" s="218">
        <f>Q141*H141</f>
        <v>0.14085500000000001</v>
      </c>
      <c r="S141" s="218">
        <v>0</v>
      </c>
      <c r="T141" s="219">
        <f>S141*H141</f>
        <v>0</v>
      </c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0" t="s">
        <v>310</v>
      </c>
      <c r="AT141" s="220" t="s">
        <v>202</v>
      </c>
      <c r="AU141" s="220" t="s">
        <v>88</v>
      </c>
      <c r="AY141" s="18" t="s">
        <v>200</v>
      </c>
      <c r="BE141" s="221">
        <f>IF(N141="základní",J141,0)</f>
        <v>0</v>
      </c>
      <c r="BF141" s="221">
        <f>IF(N141="snížená",J141,0)</f>
        <v>0</v>
      </c>
      <c r="BG141" s="221">
        <f>IF(N141="zákl. přenesená",J141,0)</f>
        <v>0</v>
      </c>
      <c r="BH141" s="221">
        <f>IF(N141="sníž. přenesená",J141,0)</f>
        <v>0</v>
      </c>
      <c r="BI141" s="221">
        <f>IF(N141="nulová",J141,0)</f>
        <v>0</v>
      </c>
      <c r="BJ141" s="18" t="s">
        <v>86</v>
      </c>
      <c r="BK141" s="221">
        <f>ROUND(I141*H141,1)</f>
        <v>0</v>
      </c>
      <c r="BL141" s="18" t="s">
        <v>310</v>
      </c>
      <c r="BM141" s="220" t="s">
        <v>2163</v>
      </c>
    </row>
    <row r="142" s="2" customFormat="1">
      <c r="A142" s="40"/>
      <c r="B142" s="41"/>
      <c r="C142" s="42"/>
      <c r="D142" s="222" t="s">
        <v>209</v>
      </c>
      <c r="E142" s="42"/>
      <c r="F142" s="223" t="s">
        <v>2164</v>
      </c>
      <c r="G142" s="42"/>
      <c r="H142" s="42"/>
      <c r="I142" s="224"/>
      <c r="J142" s="42"/>
      <c r="K142" s="42"/>
      <c r="L142" s="46"/>
      <c r="M142" s="225"/>
      <c r="N142" s="226"/>
      <c r="O142" s="86"/>
      <c r="P142" s="86"/>
      <c r="Q142" s="86"/>
      <c r="R142" s="86"/>
      <c r="S142" s="86"/>
      <c r="T142" s="87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8" t="s">
        <v>209</v>
      </c>
      <c r="AU142" s="18" t="s">
        <v>88</v>
      </c>
    </row>
    <row r="143" s="2" customFormat="1" ht="16.5" customHeight="1">
      <c r="A143" s="40"/>
      <c r="B143" s="41"/>
      <c r="C143" s="209" t="s">
        <v>269</v>
      </c>
      <c r="D143" s="209" t="s">
        <v>202</v>
      </c>
      <c r="E143" s="210" t="s">
        <v>2165</v>
      </c>
      <c r="F143" s="211" t="s">
        <v>2166</v>
      </c>
      <c r="G143" s="212" t="s">
        <v>280</v>
      </c>
      <c r="H143" s="213">
        <v>75.5</v>
      </c>
      <c r="I143" s="214"/>
      <c r="J143" s="215">
        <f>ROUND(I143*H143,1)</f>
        <v>0</v>
      </c>
      <c r="K143" s="211" t="s">
        <v>206</v>
      </c>
      <c r="L143" s="46"/>
      <c r="M143" s="216" t="s">
        <v>32</v>
      </c>
      <c r="N143" s="217" t="s">
        <v>49</v>
      </c>
      <c r="O143" s="86"/>
      <c r="P143" s="218">
        <f>O143*H143</f>
        <v>0</v>
      </c>
      <c r="Q143" s="218">
        <v>0.0030400000000000002</v>
      </c>
      <c r="R143" s="218">
        <f>Q143*H143</f>
        <v>0.22952</v>
      </c>
      <c r="S143" s="218">
        <v>0</v>
      </c>
      <c r="T143" s="219">
        <f>S143*H143</f>
        <v>0</v>
      </c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R143" s="220" t="s">
        <v>310</v>
      </c>
      <c r="AT143" s="220" t="s">
        <v>202</v>
      </c>
      <c r="AU143" s="220" t="s">
        <v>88</v>
      </c>
      <c r="AY143" s="18" t="s">
        <v>200</v>
      </c>
      <c r="BE143" s="221">
        <f>IF(N143="základní",J143,0)</f>
        <v>0</v>
      </c>
      <c r="BF143" s="221">
        <f>IF(N143="snížená",J143,0)</f>
        <v>0</v>
      </c>
      <c r="BG143" s="221">
        <f>IF(N143="zákl. přenesená",J143,0)</f>
        <v>0</v>
      </c>
      <c r="BH143" s="221">
        <f>IF(N143="sníž. přenesená",J143,0)</f>
        <v>0</v>
      </c>
      <c r="BI143" s="221">
        <f>IF(N143="nulová",J143,0)</f>
        <v>0</v>
      </c>
      <c r="BJ143" s="18" t="s">
        <v>86</v>
      </c>
      <c r="BK143" s="221">
        <f>ROUND(I143*H143,1)</f>
        <v>0</v>
      </c>
      <c r="BL143" s="18" t="s">
        <v>310</v>
      </c>
      <c r="BM143" s="220" t="s">
        <v>2167</v>
      </c>
    </row>
    <row r="144" s="2" customFormat="1">
      <c r="A144" s="40"/>
      <c r="B144" s="41"/>
      <c r="C144" s="42"/>
      <c r="D144" s="222" t="s">
        <v>209</v>
      </c>
      <c r="E144" s="42"/>
      <c r="F144" s="223" t="s">
        <v>2168</v>
      </c>
      <c r="G144" s="42"/>
      <c r="H144" s="42"/>
      <c r="I144" s="224"/>
      <c r="J144" s="42"/>
      <c r="K144" s="42"/>
      <c r="L144" s="46"/>
      <c r="M144" s="225"/>
      <c r="N144" s="226"/>
      <c r="O144" s="86"/>
      <c r="P144" s="86"/>
      <c r="Q144" s="86"/>
      <c r="R144" s="86"/>
      <c r="S144" s="86"/>
      <c r="T144" s="87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T144" s="18" t="s">
        <v>209</v>
      </c>
      <c r="AU144" s="18" t="s">
        <v>88</v>
      </c>
    </row>
    <row r="145" s="2" customFormat="1" ht="16.5" customHeight="1">
      <c r="A145" s="40"/>
      <c r="B145" s="41"/>
      <c r="C145" s="209" t="s">
        <v>277</v>
      </c>
      <c r="D145" s="209" t="s">
        <v>202</v>
      </c>
      <c r="E145" s="210" t="s">
        <v>2169</v>
      </c>
      <c r="F145" s="211" t="s">
        <v>2170</v>
      </c>
      <c r="G145" s="212" t="s">
        <v>280</v>
      </c>
      <c r="H145" s="213">
        <v>3.7000000000000002</v>
      </c>
      <c r="I145" s="214"/>
      <c r="J145" s="215">
        <f>ROUND(I145*H145,1)</f>
        <v>0</v>
      </c>
      <c r="K145" s="211" t="s">
        <v>206</v>
      </c>
      <c r="L145" s="46"/>
      <c r="M145" s="216" t="s">
        <v>32</v>
      </c>
      <c r="N145" s="217" t="s">
        <v>49</v>
      </c>
      <c r="O145" s="86"/>
      <c r="P145" s="218">
        <f>O145*H145</f>
        <v>0</v>
      </c>
      <c r="Q145" s="218">
        <v>0.0049199999999999999</v>
      </c>
      <c r="R145" s="218">
        <f>Q145*H145</f>
        <v>0.018204000000000001</v>
      </c>
      <c r="S145" s="218">
        <v>0</v>
      </c>
      <c r="T145" s="219">
        <f>S145*H145</f>
        <v>0</v>
      </c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0" t="s">
        <v>310</v>
      </c>
      <c r="AT145" s="220" t="s">
        <v>202</v>
      </c>
      <c r="AU145" s="220" t="s">
        <v>88</v>
      </c>
      <c r="AY145" s="18" t="s">
        <v>200</v>
      </c>
      <c r="BE145" s="221">
        <f>IF(N145="základní",J145,0)</f>
        <v>0</v>
      </c>
      <c r="BF145" s="221">
        <f>IF(N145="snížená",J145,0)</f>
        <v>0</v>
      </c>
      <c r="BG145" s="221">
        <f>IF(N145="zákl. přenesená",J145,0)</f>
        <v>0</v>
      </c>
      <c r="BH145" s="221">
        <f>IF(N145="sníž. přenesená",J145,0)</f>
        <v>0</v>
      </c>
      <c r="BI145" s="221">
        <f>IF(N145="nulová",J145,0)</f>
        <v>0</v>
      </c>
      <c r="BJ145" s="18" t="s">
        <v>86</v>
      </c>
      <c r="BK145" s="221">
        <f>ROUND(I145*H145,1)</f>
        <v>0</v>
      </c>
      <c r="BL145" s="18" t="s">
        <v>310</v>
      </c>
      <c r="BM145" s="220" t="s">
        <v>2171</v>
      </c>
    </row>
    <row r="146" s="2" customFormat="1">
      <c r="A146" s="40"/>
      <c r="B146" s="41"/>
      <c r="C146" s="42"/>
      <c r="D146" s="222" t="s">
        <v>209</v>
      </c>
      <c r="E146" s="42"/>
      <c r="F146" s="223" t="s">
        <v>2172</v>
      </c>
      <c r="G146" s="42"/>
      <c r="H146" s="42"/>
      <c r="I146" s="224"/>
      <c r="J146" s="42"/>
      <c r="K146" s="42"/>
      <c r="L146" s="46"/>
      <c r="M146" s="225"/>
      <c r="N146" s="226"/>
      <c r="O146" s="86"/>
      <c r="P146" s="86"/>
      <c r="Q146" s="86"/>
      <c r="R146" s="86"/>
      <c r="S146" s="86"/>
      <c r="T146" s="87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T146" s="18" t="s">
        <v>209</v>
      </c>
      <c r="AU146" s="18" t="s">
        <v>88</v>
      </c>
    </row>
    <row r="147" s="2" customFormat="1" ht="16.5" customHeight="1">
      <c r="A147" s="40"/>
      <c r="B147" s="41"/>
      <c r="C147" s="209" t="s">
        <v>285</v>
      </c>
      <c r="D147" s="209" t="s">
        <v>202</v>
      </c>
      <c r="E147" s="210" t="s">
        <v>2173</v>
      </c>
      <c r="F147" s="211" t="s">
        <v>2174</v>
      </c>
      <c r="G147" s="212" t="s">
        <v>280</v>
      </c>
      <c r="H147" s="213">
        <v>4</v>
      </c>
      <c r="I147" s="214"/>
      <c r="J147" s="215">
        <f>ROUND(I147*H147,1)</f>
        <v>0</v>
      </c>
      <c r="K147" s="211" t="s">
        <v>206</v>
      </c>
      <c r="L147" s="46"/>
      <c r="M147" s="216" t="s">
        <v>32</v>
      </c>
      <c r="N147" s="217" t="s">
        <v>49</v>
      </c>
      <c r="O147" s="86"/>
      <c r="P147" s="218">
        <f>O147*H147</f>
        <v>0</v>
      </c>
      <c r="Q147" s="218">
        <v>0.00071000000000000002</v>
      </c>
      <c r="R147" s="218">
        <f>Q147*H147</f>
        <v>0.0028400000000000001</v>
      </c>
      <c r="S147" s="218">
        <v>0</v>
      </c>
      <c r="T147" s="219">
        <f>S147*H147</f>
        <v>0</v>
      </c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R147" s="220" t="s">
        <v>310</v>
      </c>
      <c r="AT147" s="220" t="s">
        <v>202</v>
      </c>
      <c r="AU147" s="220" t="s">
        <v>88</v>
      </c>
      <c r="AY147" s="18" t="s">
        <v>200</v>
      </c>
      <c r="BE147" s="221">
        <f>IF(N147="základní",J147,0)</f>
        <v>0</v>
      </c>
      <c r="BF147" s="221">
        <f>IF(N147="snížená",J147,0)</f>
        <v>0</v>
      </c>
      <c r="BG147" s="221">
        <f>IF(N147="zákl. přenesená",J147,0)</f>
        <v>0</v>
      </c>
      <c r="BH147" s="221">
        <f>IF(N147="sníž. přenesená",J147,0)</f>
        <v>0</v>
      </c>
      <c r="BI147" s="221">
        <f>IF(N147="nulová",J147,0)</f>
        <v>0</v>
      </c>
      <c r="BJ147" s="18" t="s">
        <v>86</v>
      </c>
      <c r="BK147" s="221">
        <f>ROUND(I147*H147,1)</f>
        <v>0</v>
      </c>
      <c r="BL147" s="18" t="s">
        <v>310</v>
      </c>
      <c r="BM147" s="220" t="s">
        <v>2175</v>
      </c>
    </row>
    <row r="148" s="2" customFormat="1">
      <c r="A148" s="40"/>
      <c r="B148" s="41"/>
      <c r="C148" s="42"/>
      <c r="D148" s="222" t="s">
        <v>209</v>
      </c>
      <c r="E148" s="42"/>
      <c r="F148" s="223" t="s">
        <v>2176</v>
      </c>
      <c r="G148" s="42"/>
      <c r="H148" s="42"/>
      <c r="I148" s="224"/>
      <c r="J148" s="42"/>
      <c r="K148" s="42"/>
      <c r="L148" s="46"/>
      <c r="M148" s="225"/>
      <c r="N148" s="226"/>
      <c r="O148" s="86"/>
      <c r="P148" s="86"/>
      <c r="Q148" s="86"/>
      <c r="R148" s="86"/>
      <c r="S148" s="86"/>
      <c r="T148" s="87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T148" s="18" t="s">
        <v>209</v>
      </c>
      <c r="AU148" s="18" t="s">
        <v>88</v>
      </c>
    </row>
    <row r="149" s="2" customFormat="1" ht="16.5" customHeight="1">
      <c r="A149" s="40"/>
      <c r="B149" s="41"/>
      <c r="C149" s="209" t="s">
        <v>291</v>
      </c>
      <c r="D149" s="209" t="s">
        <v>202</v>
      </c>
      <c r="E149" s="210" t="s">
        <v>2177</v>
      </c>
      <c r="F149" s="211" t="s">
        <v>2178</v>
      </c>
      <c r="G149" s="212" t="s">
        <v>280</v>
      </c>
      <c r="H149" s="213">
        <v>7.2000000000000002</v>
      </c>
      <c r="I149" s="214"/>
      <c r="J149" s="215">
        <f>ROUND(I149*H149,1)</f>
        <v>0</v>
      </c>
      <c r="K149" s="211" t="s">
        <v>206</v>
      </c>
      <c r="L149" s="46"/>
      <c r="M149" s="216" t="s">
        <v>32</v>
      </c>
      <c r="N149" s="217" t="s">
        <v>49</v>
      </c>
      <c r="O149" s="86"/>
      <c r="P149" s="218">
        <f>O149*H149</f>
        <v>0</v>
      </c>
      <c r="Q149" s="218">
        <v>0.0020600000000000002</v>
      </c>
      <c r="R149" s="218">
        <f>Q149*H149</f>
        <v>0.014832000000000001</v>
      </c>
      <c r="S149" s="218">
        <v>0</v>
      </c>
      <c r="T149" s="219">
        <f>S149*H149</f>
        <v>0</v>
      </c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R149" s="220" t="s">
        <v>310</v>
      </c>
      <c r="AT149" s="220" t="s">
        <v>202</v>
      </c>
      <c r="AU149" s="220" t="s">
        <v>88</v>
      </c>
      <c r="AY149" s="18" t="s">
        <v>200</v>
      </c>
      <c r="BE149" s="221">
        <f>IF(N149="základní",J149,0)</f>
        <v>0</v>
      </c>
      <c r="BF149" s="221">
        <f>IF(N149="snížená",J149,0)</f>
        <v>0</v>
      </c>
      <c r="BG149" s="221">
        <f>IF(N149="zákl. přenesená",J149,0)</f>
        <v>0</v>
      </c>
      <c r="BH149" s="221">
        <f>IF(N149="sníž. přenesená",J149,0)</f>
        <v>0</v>
      </c>
      <c r="BI149" s="221">
        <f>IF(N149="nulová",J149,0)</f>
        <v>0</v>
      </c>
      <c r="BJ149" s="18" t="s">
        <v>86</v>
      </c>
      <c r="BK149" s="221">
        <f>ROUND(I149*H149,1)</f>
        <v>0</v>
      </c>
      <c r="BL149" s="18" t="s">
        <v>310</v>
      </c>
      <c r="BM149" s="220" t="s">
        <v>2179</v>
      </c>
    </row>
    <row r="150" s="2" customFormat="1">
      <c r="A150" s="40"/>
      <c r="B150" s="41"/>
      <c r="C150" s="42"/>
      <c r="D150" s="222" t="s">
        <v>209</v>
      </c>
      <c r="E150" s="42"/>
      <c r="F150" s="223" t="s">
        <v>2180</v>
      </c>
      <c r="G150" s="42"/>
      <c r="H150" s="42"/>
      <c r="I150" s="224"/>
      <c r="J150" s="42"/>
      <c r="K150" s="42"/>
      <c r="L150" s="46"/>
      <c r="M150" s="225"/>
      <c r="N150" s="226"/>
      <c r="O150" s="86"/>
      <c r="P150" s="86"/>
      <c r="Q150" s="86"/>
      <c r="R150" s="86"/>
      <c r="S150" s="86"/>
      <c r="T150" s="87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T150" s="18" t="s">
        <v>209</v>
      </c>
      <c r="AU150" s="18" t="s">
        <v>88</v>
      </c>
    </row>
    <row r="151" s="2" customFormat="1" ht="16.5" customHeight="1">
      <c r="A151" s="40"/>
      <c r="B151" s="41"/>
      <c r="C151" s="209" t="s">
        <v>297</v>
      </c>
      <c r="D151" s="209" t="s">
        <v>202</v>
      </c>
      <c r="E151" s="210" t="s">
        <v>2181</v>
      </c>
      <c r="F151" s="211" t="s">
        <v>2182</v>
      </c>
      <c r="G151" s="212" t="s">
        <v>280</v>
      </c>
      <c r="H151" s="213">
        <v>18.899999999999999</v>
      </c>
      <c r="I151" s="214"/>
      <c r="J151" s="215">
        <f>ROUND(I151*H151,1)</f>
        <v>0</v>
      </c>
      <c r="K151" s="211" t="s">
        <v>206</v>
      </c>
      <c r="L151" s="46"/>
      <c r="M151" s="216" t="s">
        <v>32</v>
      </c>
      <c r="N151" s="217" t="s">
        <v>49</v>
      </c>
      <c r="O151" s="86"/>
      <c r="P151" s="218">
        <f>O151*H151</f>
        <v>0</v>
      </c>
      <c r="Q151" s="218">
        <v>0.00040999999999999999</v>
      </c>
      <c r="R151" s="218">
        <f>Q151*H151</f>
        <v>0.0077489999999999989</v>
      </c>
      <c r="S151" s="218">
        <v>0</v>
      </c>
      <c r="T151" s="219">
        <f>S151*H151</f>
        <v>0</v>
      </c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0" t="s">
        <v>310</v>
      </c>
      <c r="AT151" s="220" t="s">
        <v>202</v>
      </c>
      <c r="AU151" s="220" t="s">
        <v>88</v>
      </c>
      <c r="AY151" s="18" t="s">
        <v>200</v>
      </c>
      <c r="BE151" s="221">
        <f>IF(N151="základní",J151,0)</f>
        <v>0</v>
      </c>
      <c r="BF151" s="221">
        <f>IF(N151="snížená",J151,0)</f>
        <v>0</v>
      </c>
      <c r="BG151" s="221">
        <f>IF(N151="zákl. přenesená",J151,0)</f>
        <v>0</v>
      </c>
      <c r="BH151" s="221">
        <f>IF(N151="sníž. přenesená",J151,0)</f>
        <v>0</v>
      </c>
      <c r="BI151" s="221">
        <f>IF(N151="nulová",J151,0)</f>
        <v>0</v>
      </c>
      <c r="BJ151" s="18" t="s">
        <v>86</v>
      </c>
      <c r="BK151" s="221">
        <f>ROUND(I151*H151,1)</f>
        <v>0</v>
      </c>
      <c r="BL151" s="18" t="s">
        <v>310</v>
      </c>
      <c r="BM151" s="220" t="s">
        <v>2183</v>
      </c>
    </row>
    <row r="152" s="2" customFormat="1">
      <c r="A152" s="40"/>
      <c r="B152" s="41"/>
      <c r="C152" s="42"/>
      <c r="D152" s="222" t="s">
        <v>209</v>
      </c>
      <c r="E152" s="42"/>
      <c r="F152" s="223" t="s">
        <v>2184</v>
      </c>
      <c r="G152" s="42"/>
      <c r="H152" s="42"/>
      <c r="I152" s="224"/>
      <c r="J152" s="42"/>
      <c r="K152" s="42"/>
      <c r="L152" s="46"/>
      <c r="M152" s="225"/>
      <c r="N152" s="226"/>
      <c r="O152" s="86"/>
      <c r="P152" s="86"/>
      <c r="Q152" s="86"/>
      <c r="R152" s="86"/>
      <c r="S152" s="86"/>
      <c r="T152" s="87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T152" s="18" t="s">
        <v>209</v>
      </c>
      <c r="AU152" s="18" t="s">
        <v>88</v>
      </c>
    </row>
    <row r="153" s="13" customFormat="1">
      <c r="A153" s="13"/>
      <c r="B153" s="227"/>
      <c r="C153" s="228"/>
      <c r="D153" s="229" t="s">
        <v>211</v>
      </c>
      <c r="E153" s="230" t="s">
        <v>32</v>
      </c>
      <c r="F153" s="231" t="s">
        <v>2185</v>
      </c>
      <c r="G153" s="228"/>
      <c r="H153" s="232">
        <v>18.899999999999999</v>
      </c>
      <c r="I153" s="233"/>
      <c r="J153" s="228"/>
      <c r="K153" s="228"/>
      <c r="L153" s="234"/>
      <c r="M153" s="235"/>
      <c r="N153" s="236"/>
      <c r="O153" s="236"/>
      <c r="P153" s="236"/>
      <c r="Q153" s="236"/>
      <c r="R153" s="236"/>
      <c r="S153" s="236"/>
      <c r="T153" s="237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38" t="s">
        <v>211</v>
      </c>
      <c r="AU153" s="238" t="s">
        <v>88</v>
      </c>
      <c r="AV153" s="13" t="s">
        <v>88</v>
      </c>
      <c r="AW153" s="13" t="s">
        <v>213</v>
      </c>
      <c r="AX153" s="13" t="s">
        <v>86</v>
      </c>
      <c r="AY153" s="238" t="s">
        <v>200</v>
      </c>
    </row>
    <row r="154" s="2" customFormat="1" ht="16.5" customHeight="1">
      <c r="A154" s="40"/>
      <c r="B154" s="41"/>
      <c r="C154" s="209" t="s">
        <v>8</v>
      </c>
      <c r="D154" s="209" t="s">
        <v>202</v>
      </c>
      <c r="E154" s="210" t="s">
        <v>2186</v>
      </c>
      <c r="F154" s="211" t="s">
        <v>2187</v>
      </c>
      <c r="G154" s="212" t="s">
        <v>280</v>
      </c>
      <c r="H154" s="213">
        <v>21.199999999999999</v>
      </c>
      <c r="I154" s="214"/>
      <c r="J154" s="215">
        <f>ROUND(I154*H154,1)</f>
        <v>0</v>
      </c>
      <c r="K154" s="211" t="s">
        <v>206</v>
      </c>
      <c r="L154" s="46"/>
      <c r="M154" s="216" t="s">
        <v>32</v>
      </c>
      <c r="N154" s="217" t="s">
        <v>49</v>
      </c>
      <c r="O154" s="86"/>
      <c r="P154" s="218">
        <f>O154*H154</f>
        <v>0</v>
      </c>
      <c r="Q154" s="218">
        <v>0.00048000000000000001</v>
      </c>
      <c r="R154" s="218">
        <f>Q154*H154</f>
        <v>0.010175999999999999</v>
      </c>
      <c r="S154" s="218">
        <v>0</v>
      </c>
      <c r="T154" s="219">
        <f>S154*H154</f>
        <v>0</v>
      </c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0" t="s">
        <v>310</v>
      </c>
      <c r="AT154" s="220" t="s">
        <v>202</v>
      </c>
      <c r="AU154" s="220" t="s">
        <v>88</v>
      </c>
      <c r="AY154" s="18" t="s">
        <v>200</v>
      </c>
      <c r="BE154" s="221">
        <f>IF(N154="základní",J154,0)</f>
        <v>0</v>
      </c>
      <c r="BF154" s="221">
        <f>IF(N154="snížená",J154,0)</f>
        <v>0</v>
      </c>
      <c r="BG154" s="221">
        <f>IF(N154="zákl. přenesená",J154,0)</f>
        <v>0</v>
      </c>
      <c r="BH154" s="221">
        <f>IF(N154="sníž. přenesená",J154,0)</f>
        <v>0</v>
      </c>
      <c r="BI154" s="221">
        <f>IF(N154="nulová",J154,0)</f>
        <v>0</v>
      </c>
      <c r="BJ154" s="18" t="s">
        <v>86</v>
      </c>
      <c r="BK154" s="221">
        <f>ROUND(I154*H154,1)</f>
        <v>0</v>
      </c>
      <c r="BL154" s="18" t="s">
        <v>310</v>
      </c>
      <c r="BM154" s="220" t="s">
        <v>2188</v>
      </c>
    </row>
    <row r="155" s="2" customFormat="1">
      <c r="A155" s="40"/>
      <c r="B155" s="41"/>
      <c r="C155" s="42"/>
      <c r="D155" s="222" t="s">
        <v>209</v>
      </c>
      <c r="E155" s="42"/>
      <c r="F155" s="223" t="s">
        <v>2189</v>
      </c>
      <c r="G155" s="42"/>
      <c r="H155" s="42"/>
      <c r="I155" s="224"/>
      <c r="J155" s="42"/>
      <c r="K155" s="42"/>
      <c r="L155" s="46"/>
      <c r="M155" s="225"/>
      <c r="N155" s="226"/>
      <c r="O155" s="86"/>
      <c r="P155" s="86"/>
      <c r="Q155" s="86"/>
      <c r="R155" s="86"/>
      <c r="S155" s="86"/>
      <c r="T155" s="87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8" t="s">
        <v>209</v>
      </c>
      <c r="AU155" s="18" t="s">
        <v>88</v>
      </c>
    </row>
    <row r="156" s="2" customFormat="1" ht="16.5" customHeight="1">
      <c r="A156" s="40"/>
      <c r="B156" s="41"/>
      <c r="C156" s="260" t="s">
        <v>310</v>
      </c>
      <c r="D156" s="260" t="s">
        <v>292</v>
      </c>
      <c r="E156" s="261" t="s">
        <v>2190</v>
      </c>
      <c r="F156" s="262" t="s">
        <v>2191</v>
      </c>
      <c r="G156" s="263" t="s">
        <v>449</v>
      </c>
      <c r="H156" s="264">
        <v>51</v>
      </c>
      <c r="I156" s="265"/>
      <c r="J156" s="266">
        <f>ROUND(I156*H156,1)</f>
        <v>0</v>
      </c>
      <c r="K156" s="262" t="s">
        <v>206</v>
      </c>
      <c r="L156" s="267"/>
      <c r="M156" s="268" t="s">
        <v>32</v>
      </c>
      <c r="N156" s="269" t="s">
        <v>49</v>
      </c>
      <c r="O156" s="86"/>
      <c r="P156" s="218">
        <f>O156*H156</f>
        <v>0</v>
      </c>
      <c r="Q156" s="218">
        <v>5.0000000000000002E-05</v>
      </c>
      <c r="R156" s="218">
        <f>Q156*H156</f>
        <v>0.0025500000000000002</v>
      </c>
      <c r="S156" s="218">
        <v>0</v>
      </c>
      <c r="T156" s="219">
        <f>S156*H156</f>
        <v>0</v>
      </c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R156" s="220" t="s">
        <v>429</v>
      </c>
      <c r="AT156" s="220" t="s">
        <v>292</v>
      </c>
      <c r="AU156" s="220" t="s">
        <v>88</v>
      </c>
      <c r="AY156" s="18" t="s">
        <v>200</v>
      </c>
      <c r="BE156" s="221">
        <f>IF(N156="základní",J156,0)</f>
        <v>0</v>
      </c>
      <c r="BF156" s="221">
        <f>IF(N156="snížená",J156,0)</f>
        <v>0</v>
      </c>
      <c r="BG156" s="221">
        <f>IF(N156="zákl. přenesená",J156,0)</f>
        <v>0</v>
      </c>
      <c r="BH156" s="221">
        <f>IF(N156="sníž. přenesená",J156,0)</f>
        <v>0</v>
      </c>
      <c r="BI156" s="221">
        <f>IF(N156="nulová",J156,0)</f>
        <v>0</v>
      </c>
      <c r="BJ156" s="18" t="s">
        <v>86</v>
      </c>
      <c r="BK156" s="221">
        <f>ROUND(I156*H156,1)</f>
        <v>0</v>
      </c>
      <c r="BL156" s="18" t="s">
        <v>310</v>
      </c>
      <c r="BM156" s="220" t="s">
        <v>2192</v>
      </c>
    </row>
    <row r="157" s="2" customFormat="1" ht="16.5" customHeight="1">
      <c r="A157" s="40"/>
      <c r="B157" s="41"/>
      <c r="C157" s="260" t="s">
        <v>320</v>
      </c>
      <c r="D157" s="260" t="s">
        <v>292</v>
      </c>
      <c r="E157" s="261" t="s">
        <v>2193</v>
      </c>
      <c r="F157" s="262" t="s">
        <v>2194</v>
      </c>
      <c r="G157" s="263" t="s">
        <v>449</v>
      </c>
      <c r="H157" s="264">
        <v>8</v>
      </c>
      <c r="I157" s="265"/>
      <c r="J157" s="266">
        <f>ROUND(I157*H157,1)</f>
        <v>0</v>
      </c>
      <c r="K157" s="262" t="s">
        <v>206</v>
      </c>
      <c r="L157" s="267"/>
      <c r="M157" s="268" t="s">
        <v>32</v>
      </c>
      <c r="N157" s="269" t="s">
        <v>49</v>
      </c>
      <c r="O157" s="86"/>
      <c r="P157" s="218">
        <f>O157*H157</f>
        <v>0</v>
      </c>
      <c r="Q157" s="218">
        <v>8.0000000000000007E-05</v>
      </c>
      <c r="R157" s="218">
        <f>Q157*H157</f>
        <v>0.00064000000000000005</v>
      </c>
      <c r="S157" s="218">
        <v>0</v>
      </c>
      <c r="T157" s="219">
        <f>S157*H157</f>
        <v>0</v>
      </c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R157" s="220" t="s">
        <v>429</v>
      </c>
      <c r="AT157" s="220" t="s">
        <v>292</v>
      </c>
      <c r="AU157" s="220" t="s">
        <v>88</v>
      </c>
      <c r="AY157" s="18" t="s">
        <v>200</v>
      </c>
      <c r="BE157" s="221">
        <f>IF(N157="základní",J157,0)</f>
        <v>0</v>
      </c>
      <c r="BF157" s="221">
        <f>IF(N157="snížená",J157,0)</f>
        <v>0</v>
      </c>
      <c r="BG157" s="221">
        <f>IF(N157="zákl. přenesená",J157,0)</f>
        <v>0</v>
      </c>
      <c r="BH157" s="221">
        <f>IF(N157="sníž. přenesená",J157,0)</f>
        <v>0</v>
      </c>
      <c r="BI157" s="221">
        <f>IF(N157="nulová",J157,0)</f>
        <v>0</v>
      </c>
      <c r="BJ157" s="18" t="s">
        <v>86</v>
      </c>
      <c r="BK157" s="221">
        <f>ROUND(I157*H157,1)</f>
        <v>0</v>
      </c>
      <c r="BL157" s="18" t="s">
        <v>310</v>
      </c>
      <c r="BM157" s="220" t="s">
        <v>2195</v>
      </c>
    </row>
    <row r="158" s="2" customFormat="1" ht="16.5" customHeight="1">
      <c r="A158" s="40"/>
      <c r="B158" s="41"/>
      <c r="C158" s="260" t="s">
        <v>326</v>
      </c>
      <c r="D158" s="260" t="s">
        <v>292</v>
      </c>
      <c r="E158" s="261" t="s">
        <v>2196</v>
      </c>
      <c r="F158" s="262" t="s">
        <v>2197</v>
      </c>
      <c r="G158" s="263" t="s">
        <v>449</v>
      </c>
      <c r="H158" s="264">
        <v>7</v>
      </c>
      <c r="I158" s="265"/>
      <c r="J158" s="266">
        <f>ROUND(I158*H158,1)</f>
        <v>0</v>
      </c>
      <c r="K158" s="262" t="s">
        <v>206</v>
      </c>
      <c r="L158" s="267"/>
      <c r="M158" s="268" t="s">
        <v>32</v>
      </c>
      <c r="N158" s="269" t="s">
        <v>49</v>
      </c>
      <c r="O158" s="86"/>
      <c r="P158" s="218">
        <f>O158*H158</f>
        <v>0</v>
      </c>
      <c r="Q158" s="218">
        <v>0.00016000000000000001</v>
      </c>
      <c r="R158" s="218">
        <f>Q158*H158</f>
        <v>0.0011200000000000001</v>
      </c>
      <c r="S158" s="218">
        <v>0</v>
      </c>
      <c r="T158" s="219">
        <f>S158*H158</f>
        <v>0</v>
      </c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R158" s="220" t="s">
        <v>429</v>
      </c>
      <c r="AT158" s="220" t="s">
        <v>292</v>
      </c>
      <c r="AU158" s="220" t="s">
        <v>88</v>
      </c>
      <c r="AY158" s="18" t="s">
        <v>200</v>
      </c>
      <c r="BE158" s="221">
        <f>IF(N158="základní",J158,0)</f>
        <v>0</v>
      </c>
      <c r="BF158" s="221">
        <f>IF(N158="snížená",J158,0)</f>
        <v>0</v>
      </c>
      <c r="BG158" s="221">
        <f>IF(N158="zákl. přenesená",J158,0)</f>
        <v>0</v>
      </c>
      <c r="BH158" s="221">
        <f>IF(N158="sníž. přenesená",J158,0)</f>
        <v>0</v>
      </c>
      <c r="BI158" s="221">
        <f>IF(N158="nulová",J158,0)</f>
        <v>0</v>
      </c>
      <c r="BJ158" s="18" t="s">
        <v>86</v>
      </c>
      <c r="BK158" s="221">
        <f>ROUND(I158*H158,1)</f>
        <v>0</v>
      </c>
      <c r="BL158" s="18" t="s">
        <v>310</v>
      </c>
      <c r="BM158" s="220" t="s">
        <v>2198</v>
      </c>
    </row>
    <row r="159" s="2" customFormat="1" ht="16.5" customHeight="1">
      <c r="A159" s="40"/>
      <c r="B159" s="41"/>
      <c r="C159" s="260" t="s">
        <v>337</v>
      </c>
      <c r="D159" s="260" t="s">
        <v>292</v>
      </c>
      <c r="E159" s="261" t="s">
        <v>2199</v>
      </c>
      <c r="F159" s="262" t="s">
        <v>2200</v>
      </c>
      <c r="G159" s="263" t="s">
        <v>449</v>
      </c>
      <c r="H159" s="264">
        <v>1</v>
      </c>
      <c r="I159" s="265"/>
      <c r="J159" s="266">
        <f>ROUND(I159*H159,1)</f>
        <v>0</v>
      </c>
      <c r="K159" s="262" t="s">
        <v>206</v>
      </c>
      <c r="L159" s="267"/>
      <c r="M159" s="268" t="s">
        <v>32</v>
      </c>
      <c r="N159" s="269" t="s">
        <v>49</v>
      </c>
      <c r="O159" s="86"/>
      <c r="P159" s="218">
        <f>O159*H159</f>
        <v>0</v>
      </c>
      <c r="Q159" s="218">
        <v>0.00034000000000000002</v>
      </c>
      <c r="R159" s="218">
        <f>Q159*H159</f>
        <v>0.00034000000000000002</v>
      </c>
      <c r="S159" s="218">
        <v>0</v>
      </c>
      <c r="T159" s="219">
        <f>S159*H159</f>
        <v>0</v>
      </c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R159" s="220" t="s">
        <v>429</v>
      </c>
      <c r="AT159" s="220" t="s">
        <v>292</v>
      </c>
      <c r="AU159" s="220" t="s">
        <v>88</v>
      </c>
      <c r="AY159" s="18" t="s">
        <v>200</v>
      </c>
      <c r="BE159" s="221">
        <f>IF(N159="základní",J159,0)</f>
        <v>0</v>
      </c>
      <c r="BF159" s="221">
        <f>IF(N159="snížená",J159,0)</f>
        <v>0</v>
      </c>
      <c r="BG159" s="221">
        <f>IF(N159="zákl. přenesená",J159,0)</f>
        <v>0</v>
      </c>
      <c r="BH159" s="221">
        <f>IF(N159="sníž. přenesená",J159,0)</f>
        <v>0</v>
      </c>
      <c r="BI159" s="221">
        <f>IF(N159="nulová",J159,0)</f>
        <v>0</v>
      </c>
      <c r="BJ159" s="18" t="s">
        <v>86</v>
      </c>
      <c r="BK159" s="221">
        <f>ROUND(I159*H159,1)</f>
        <v>0</v>
      </c>
      <c r="BL159" s="18" t="s">
        <v>310</v>
      </c>
      <c r="BM159" s="220" t="s">
        <v>2201</v>
      </c>
    </row>
    <row r="160" s="2" customFormat="1" ht="16.5" customHeight="1">
      <c r="A160" s="40"/>
      <c r="B160" s="41"/>
      <c r="C160" s="260" t="s">
        <v>342</v>
      </c>
      <c r="D160" s="260" t="s">
        <v>292</v>
      </c>
      <c r="E160" s="261" t="s">
        <v>2202</v>
      </c>
      <c r="F160" s="262" t="s">
        <v>2203</v>
      </c>
      <c r="G160" s="263" t="s">
        <v>449</v>
      </c>
      <c r="H160" s="264">
        <v>15</v>
      </c>
      <c r="I160" s="265"/>
      <c r="J160" s="266">
        <f>ROUND(I160*H160,1)</f>
        <v>0</v>
      </c>
      <c r="K160" s="262" t="s">
        <v>206</v>
      </c>
      <c r="L160" s="267"/>
      <c r="M160" s="268" t="s">
        <v>32</v>
      </c>
      <c r="N160" s="269" t="s">
        <v>49</v>
      </c>
      <c r="O160" s="86"/>
      <c r="P160" s="218">
        <f>O160*H160</f>
        <v>0</v>
      </c>
      <c r="Q160" s="218">
        <v>0.00035</v>
      </c>
      <c r="R160" s="218">
        <f>Q160*H160</f>
        <v>0.0052500000000000003</v>
      </c>
      <c r="S160" s="218">
        <v>0</v>
      </c>
      <c r="T160" s="219">
        <f>S160*H160</f>
        <v>0</v>
      </c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R160" s="220" t="s">
        <v>429</v>
      </c>
      <c r="AT160" s="220" t="s">
        <v>292</v>
      </c>
      <c r="AU160" s="220" t="s">
        <v>88</v>
      </c>
      <c r="AY160" s="18" t="s">
        <v>200</v>
      </c>
      <c r="BE160" s="221">
        <f>IF(N160="základní",J160,0)</f>
        <v>0</v>
      </c>
      <c r="BF160" s="221">
        <f>IF(N160="snížená",J160,0)</f>
        <v>0</v>
      </c>
      <c r="BG160" s="221">
        <f>IF(N160="zákl. přenesená",J160,0)</f>
        <v>0</v>
      </c>
      <c r="BH160" s="221">
        <f>IF(N160="sníž. přenesená",J160,0)</f>
        <v>0</v>
      </c>
      <c r="BI160" s="221">
        <f>IF(N160="nulová",J160,0)</f>
        <v>0</v>
      </c>
      <c r="BJ160" s="18" t="s">
        <v>86</v>
      </c>
      <c r="BK160" s="221">
        <f>ROUND(I160*H160,1)</f>
        <v>0</v>
      </c>
      <c r="BL160" s="18" t="s">
        <v>310</v>
      </c>
      <c r="BM160" s="220" t="s">
        <v>2204</v>
      </c>
    </row>
    <row r="161" s="2" customFormat="1" ht="16.5" customHeight="1">
      <c r="A161" s="40"/>
      <c r="B161" s="41"/>
      <c r="C161" s="260" t="s">
        <v>7</v>
      </c>
      <c r="D161" s="260" t="s">
        <v>292</v>
      </c>
      <c r="E161" s="261" t="s">
        <v>2205</v>
      </c>
      <c r="F161" s="262" t="s">
        <v>2206</v>
      </c>
      <c r="G161" s="263" t="s">
        <v>449</v>
      </c>
      <c r="H161" s="264">
        <v>3</v>
      </c>
      <c r="I161" s="265"/>
      <c r="J161" s="266">
        <f>ROUND(I161*H161,1)</f>
        <v>0</v>
      </c>
      <c r="K161" s="262" t="s">
        <v>206</v>
      </c>
      <c r="L161" s="267"/>
      <c r="M161" s="268" t="s">
        <v>32</v>
      </c>
      <c r="N161" s="269" t="s">
        <v>49</v>
      </c>
      <c r="O161" s="86"/>
      <c r="P161" s="218">
        <f>O161*H161</f>
        <v>0</v>
      </c>
      <c r="Q161" s="218">
        <v>0.00064999999999999997</v>
      </c>
      <c r="R161" s="218">
        <f>Q161*H161</f>
        <v>0.0019499999999999999</v>
      </c>
      <c r="S161" s="218">
        <v>0</v>
      </c>
      <c r="T161" s="219">
        <f>S161*H161</f>
        <v>0</v>
      </c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R161" s="220" t="s">
        <v>429</v>
      </c>
      <c r="AT161" s="220" t="s">
        <v>292</v>
      </c>
      <c r="AU161" s="220" t="s">
        <v>88</v>
      </c>
      <c r="AY161" s="18" t="s">
        <v>200</v>
      </c>
      <c r="BE161" s="221">
        <f>IF(N161="základní",J161,0)</f>
        <v>0</v>
      </c>
      <c r="BF161" s="221">
        <f>IF(N161="snížená",J161,0)</f>
        <v>0</v>
      </c>
      <c r="BG161" s="221">
        <f>IF(N161="zákl. přenesená",J161,0)</f>
        <v>0</v>
      </c>
      <c r="BH161" s="221">
        <f>IF(N161="sníž. přenesená",J161,0)</f>
        <v>0</v>
      </c>
      <c r="BI161" s="221">
        <f>IF(N161="nulová",J161,0)</f>
        <v>0</v>
      </c>
      <c r="BJ161" s="18" t="s">
        <v>86</v>
      </c>
      <c r="BK161" s="221">
        <f>ROUND(I161*H161,1)</f>
        <v>0</v>
      </c>
      <c r="BL161" s="18" t="s">
        <v>310</v>
      </c>
      <c r="BM161" s="220" t="s">
        <v>2207</v>
      </c>
    </row>
    <row r="162" s="2" customFormat="1" ht="16.5" customHeight="1">
      <c r="A162" s="40"/>
      <c r="B162" s="41"/>
      <c r="C162" s="260" t="s">
        <v>363</v>
      </c>
      <c r="D162" s="260" t="s">
        <v>292</v>
      </c>
      <c r="E162" s="261" t="s">
        <v>2208</v>
      </c>
      <c r="F162" s="262" t="s">
        <v>2209</v>
      </c>
      <c r="G162" s="263" t="s">
        <v>449</v>
      </c>
      <c r="H162" s="264">
        <v>3</v>
      </c>
      <c r="I162" s="265"/>
      <c r="J162" s="266">
        <f>ROUND(I162*H162,1)</f>
        <v>0</v>
      </c>
      <c r="K162" s="262" t="s">
        <v>206</v>
      </c>
      <c r="L162" s="267"/>
      <c r="M162" s="268" t="s">
        <v>32</v>
      </c>
      <c r="N162" s="269" t="s">
        <v>49</v>
      </c>
      <c r="O162" s="86"/>
      <c r="P162" s="218">
        <f>O162*H162</f>
        <v>0</v>
      </c>
      <c r="Q162" s="218">
        <v>8.0000000000000007E-05</v>
      </c>
      <c r="R162" s="218">
        <f>Q162*H162</f>
        <v>0.00024000000000000003</v>
      </c>
      <c r="S162" s="218">
        <v>0</v>
      </c>
      <c r="T162" s="219">
        <f>S162*H162</f>
        <v>0</v>
      </c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R162" s="220" t="s">
        <v>429</v>
      </c>
      <c r="AT162" s="220" t="s">
        <v>292</v>
      </c>
      <c r="AU162" s="220" t="s">
        <v>88</v>
      </c>
      <c r="AY162" s="18" t="s">
        <v>200</v>
      </c>
      <c r="BE162" s="221">
        <f>IF(N162="základní",J162,0)</f>
        <v>0</v>
      </c>
      <c r="BF162" s="221">
        <f>IF(N162="snížená",J162,0)</f>
        <v>0</v>
      </c>
      <c r="BG162" s="221">
        <f>IF(N162="zákl. přenesená",J162,0)</f>
        <v>0</v>
      </c>
      <c r="BH162" s="221">
        <f>IF(N162="sníž. přenesená",J162,0)</f>
        <v>0</v>
      </c>
      <c r="BI162" s="221">
        <f>IF(N162="nulová",J162,0)</f>
        <v>0</v>
      </c>
      <c r="BJ162" s="18" t="s">
        <v>86</v>
      </c>
      <c r="BK162" s="221">
        <f>ROUND(I162*H162,1)</f>
        <v>0</v>
      </c>
      <c r="BL162" s="18" t="s">
        <v>310</v>
      </c>
      <c r="BM162" s="220" t="s">
        <v>2210</v>
      </c>
    </row>
    <row r="163" s="2" customFormat="1" ht="16.5" customHeight="1">
      <c r="A163" s="40"/>
      <c r="B163" s="41"/>
      <c r="C163" s="260" t="s">
        <v>374</v>
      </c>
      <c r="D163" s="260" t="s">
        <v>292</v>
      </c>
      <c r="E163" s="261" t="s">
        <v>2211</v>
      </c>
      <c r="F163" s="262" t="s">
        <v>2212</v>
      </c>
      <c r="G163" s="263" t="s">
        <v>449</v>
      </c>
      <c r="H163" s="264">
        <v>2</v>
      </c>
      <c r="I163" s="265"/>
      <c r="J163" s="266">
        <f>ROUND(I163*H163,1)</f>
        <v>0</v>
      </c>
      <c r="K163" s="262" t="s">
        <v>206</v>
      </c>
      <c r="L163" s="267"/>
      <c r="M163" s="268" t="s">
        <v>32</v>
      </c>
      <c r="N163" s="269" t="s">
        <v>49</v>
      </c>
      <c r="O163" s="86"/>
      <c r="P163" s="218">
        <f>O163*H163</f>
        <v>0</v>
      </c>
      <c r="Q163" s="218">
        <v>0.00014999999999999999</v>
      </c>
      <c r="R163" s="218">
        <f>Q163*H163</f>
        <v>0.00029999999999999997</v>
      </c>
      <c r="S163" s="218">
        <v>0</v>
      </c>
      <c r="T163" s="219">
        <f>S163*H163</f>
        <v>0</v>
      </c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0" t="s">
        <v>429</v>
      </c>
      <c r="AT163" s="220" t="s">
        <v>292</v>
      </c>
      <c r="AU163" s="220" t="s">
        <v>88</v>
      </c>
      <c r="AY163" s="18" t="s">
        <v>200</v>
      </c>
      <c r="BE163" s="221">
        <f>IF(N163="základní",J163,0)</f>
        <v>0</v>
      </c>
      <c r="BF163" s="221">
        <f>IF(N163="snížená",J163,0)</f>
        <v>0</v>
      </c>
      <c r="BG163" s="221">
        <f>IF(N163="zákl. přenesená",J163,0)</f>
        <v>0</v>
      </c>
      <c r="BH163" s="221">
        <f>IF(N163="sníž. přenesená",J163,0)</f>
        <v>0</v>
      </c>
      <c r="BI163" s="221">
        <f>IF(N163="nulová",J163,0)</f>
        <v>0</v>
      </c>
      <c r="BJ163" s="18" t="s">
        <v>86</v>
      </c>
      <c r="BK163" s="221">
        <f>ROUND(I163*H163,1)</f>
        <v>0</v>
      </c>
      <c r="BL163" s="18" t="s">
        <v>310</v>
      </c>
      <c r="BM163" s="220" t="s">
        <v>2213</v>
      </c>
    </row>
    <row r="164" s="2" customFormat="1" ht="16.5" customHeight="1">
      <c r="A164" s="40"/>
      <c r="B164" s="41"/>
      <c r="C164" s="260" t="s">
        <v>379</v>
      </c>
      <c r="D164" s="260" t="s">
        <v>292</v>
      </c>
      <c r="E164" s="261" t="s">
        <v>2214</v>
      </c>
      <c r="F164" s="262" t="s">
        <v>2215</v>
      </c>
      <c r="G164" s="263" t="s">
        <v>449</v>
      </c>
      <c r="H164" s="264">
        <v>3</v>
      </c>
      <c r="I164" s="265"/>
      <c r="J164" s="266">
        <f>ROUND(I164*H164,1)</f>
        <v>0</v>
      </c>
      <c r="K164" s="262" t="s">
        <v>206</v>
      </c>
      <c r="L164" s="267"/>
      <c r="M164" s="268" t="s">
        <v>32</v>
      </c>
      <c r="N164" s="269" t="s">
        <v>49</v>
      </c>
      <c r="O164" s="86"/>
      <c r="P164" s="218">
        <f>O164*H164</f>
        <v>0</v>
      </c>
      <c r="Q164" s="218">
        <v>0.00022000000000000001</v>
      </c>
      <c r="R164" s="218">
        <f>Q164*H164</f>
        <v>0.00066</v>
      </c>
      <c r="S164" s="218">
        <v>0</v>
      </c>
      <c r="T164" s="219">
        <f>S164*H164</f>
        <v>0</v>
      </c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R164" s="220" t="s">
        <v>429</v>
      </c>
      <c r="AT164" s="220" t="s">
        <v>292</v>
      </c>
      <c r="AU164" s="220" t="s">
        <v>88</v>
      </c>
      <c r="AY164" s="18" t="s">
        <v>200</v>
      </c>
      <c r="BE164" s="221">
        <f>IF(N164="základní",J164,0)</f>
        <v>0</v>
      </c>
      <c r="BF164" s="221">
        <f>IF(N164="snížená",J164,0)</f>
        <v>0</v>
      </c>
      <c r="BG164" s="221">
        <f>IF(N164="zákl. přenesená",J164,0)</f>
        <v>0</v>
      </c>
      <c r="BH164" s="221">
        <f>IF(N164="sníž. přenesená",J164,0)</f>
        <v>0</v>
      </c>
      <c r="BI164" s="221">
        <f>IF(N164="nulová",J164,0)</f>
        <v>0</v>
      </c>
      <c r="BJ164" s="18" t="s">
        <v>86</v>
      </c>
      <c r="BK164" s="221">
        <f>ROUND(I164*H164,1)</f>
        <v>0</v>
      </c>
      <c r="BL164" s="18" t="s">
        <v>310</v>
      </c>
      <c r="BM164" s="220" t="s">
        <v>2216</v>
      </c>
    </row>
    <row r="165" s="2" customFormat="1" ht="16.5" customHeight="1">
      <c r="A165" s="40"/>
      <c r="B165" s="41"/>
      <c r="C165" s="260" t="s">
        <v>385</v>
      </c>
      <c r="D165" s="260" t="s">
        <v>292</v>
      </c>
      <c r="E165" s="261" t="s">
        <v>2217</v>
      </c>
      <c r="F165" s="262" t="s">
        <v>2218</v>
      </c>
      <c r="G165" s="263" t="s">
        <v>449</v>
      </c>
      <c r="H165" s="264">
        <v>11</v>
      </c>
      <c r="I165" s="265"/>
      <c r="J165" s="266">
        <f>ROUND(I165*H165,1)</f>
        <v>0</v>
      </c>
      <c r="K165" s="262" t="s">
        <v>206</v>
      </c>
      <c r="L165" s="267"/>
      <c r="M165" s="268" t="s">
        <v>32</v>
      </c>
      <c r="N165" s="269" t="s">
        <v>49</v>
      </c>
      <c r="O165" s="86"/>
      <c r="P165" s="218">
        <f>O165*H165</f>
        <v>0</v>
      </c>
      <c r="Q165" s="218">
        <v>0.00010000000000000001</v>
      </c>
      <c r="R165" s="218">
        <f>Q165*H165</f>
        <v>0.0011000000000000001</v>
      </c>
      <c r="S165" s="218">
        <v>0</v>
      </c>
      <c r="T165" s="219">
        <f>S165*H165</f>
        <v>0</v>
      </c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R165" s="220" t="s">
        <v>429</v>
      </c>
      <c r="AT165" s="220" t="s">
        <v>292</v>
      </c>
      <c r="AU165" s="220" t="s">
        <v>88</v>
      </c>
      <c r="AY165" s="18" t="s">
        <v>200</v>
      </c>
      <c r="BE165" s="221">
        <f>IF(N165="základní",J165,0)</f>
        <v>0</v>
      </c>
      <c r="BF165" s="221">
        <f>IF(N165="snížená",J165,0)</f>
        <v>0</v>
      </c>
      <c r="BG165" s="221">
        <f>IF(N165="zákl. přenesená",J165,0)</f>
        <v>0</v>
      </c>
      <c r="BH165" s="221">
        <f>IF(N165="sníž. přenesená",J165,0)</f>
        <v>0</v>
      </c>
      <c r="BI165" s="221">
        <f>IF(N165="nulová",J165,0)</f>
        <v>0</v>
      </c>
      <c r="BJ165" s="18" t="s">
        <v>86</v>
      </c>
      <c r="BK165" s="221">
        <f>ROUND(I165*H165,1)</f>
        <v>0</v>
      </c>
      <c r="BL165" s="18" t="s">
        <v>310</v>
      </c>
      <c r="BM165" s="220" t="s">
        <v>2219</v>
      </c>
    </row>
    <row r="166" s="2" customFormat="1" ht="16.5" customHeight="1">
      <c r="A166" s="40"/>
      <c r="B166" s="41"/>
      <c r="C166" s="260" t="s">
        <v>391</v>
      </c>
      <c r="D166" s="260" t="s">
        <v>292</v>
      </c>
      <c r="E166" s="261" t="s">
        <v>2220</v>
      </c>
      <c r="F166" s="262" t="s">
        <v>2221</v>
      </c>
      <c r="G166" s="263" t="s">
        <v>449</v>
      </c>
      <c r="H166" s="264">
        <v>3</v>
      </c>
      <c r="I166" s="265"/>
      <c r="J166" s="266">
        <f>ROUND(I166*H166,1)</f>
        <v>0</v>
      </c>
      <c r="K166" s="262" t="s">
        <v>206</v>
      </c>
      <c r="L166" s="267"/>
      <c r="M166" s="268" t="s">
        <v>32</v>
      </c>
      <c r="N166" s="269" t="s">
        <v>49</v>
      </c>
      <c r="O166" s="86"/>
      <c r="P166" s="218">
        <f>O166*H166</f>
        <v>0</v>
      </c>
      <c r="Q166" s="218">
        <v>0.00012999999999999999</v>
      </c>
      <c r="R166" s="218">
        <f>Q166*H166</f>
        <v>0.00038999999999999994</v>
      </c>
      <c r="S166" s="218">
        <v>0</v>
      </c>
      <c r="T166" s="219">
        <f>S166*H166</f>
        <v>0</v>
      </c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R166" s="220" t="s">
        <v>429</v>
      </c>
      <c r="AT166" s="220" t="s">
        <v>292</v>
      </c>
      <c r="AU166" s="220" t="s">
        <v>88</v>
      </c>
      <c r="AY166" s="18" t="s">
        <v>200</v>
      </c>
      <c r="BE166" s="221">
        <f>IF(N166="základní",J166,0)</f>
        <v>0</v>
      </c>
      <c r="BF166" s="221">
        <f>IF(N166="snížená",J166,0)</f>
        <v>0</v>
      </c>
      <c r="BG166" s="221">
        <f>IF(N166="zákl. přenesená",J166,0)</f>
        <v>0</v>
      </c>
      <c r="BH166" s="221">
        <f>IF(N166="sníž. přenesená",J166,0)</f>
        <v>0</v>
      </c>
      <c r="BI166" s="221">
        <f>IF(N166="nulová",J166,0)</f>
        <v>0</v>
      </c>
      <c r="BJ166" s="18" t="s">
        <v>86</v>
      </c>
      <c r="BK166" s="221">
        <f>ROUND(I166*H166,1)</f>
        <v>0</v>
      </c>
      <c r="BL166" s="18" t="s">
        <v>310</v>
      </c>
      <c r="BM166" s="220" t="s">
        <v>2222</v>
      </c>
    </row>
    <row r="167" s="2" customFormat="1" ht="16.5" customHeight="1">
      <c r="A167" s="40"/>
      <c r="B167" s="41"/>
      <c r="C167" s="260" t="s">
        <v>397</v>
      </c>
      <c r="D167" s="260" t="s">
        <v>292</v>
      </c>
      <c r="E167" s="261" t="s">
        <v>2223</v>
      </c>
      <c r="F167" s="262" t="s">
        <v>2224</v>
      </c>
      <c r="G167" s="263" t="s">
        <v>449</v>
      </c>
      <c r="H167" s="264">
        <v>2</v>
      </c>
      <c r="I167" s="265"/>
      <c r="J167" s="266">
        <f>ROUND(I167*H167,1)</f>
        <v>0</v>
      </c>
      <c r="K167" s="262" t="s">
        <v>206</v>
      </c>
      <c r="L167" s="267"/>
      <c r="M167" s="268" t="s">
        <v>32</v>
      </c>
      <c r="N167" s="269" t="s">
        <v>49</v>
      </c>
      <c r="O167" s="86"/>
      <c r="P167" s="218">
        <f>O167*H167</f>
        <v>0</v>
      </c>
      <c r="Q167" s="218">
        <v>0.00023000000000000001</v>
      </c>
      <c r="R167" s="218">
        <f>Q167*H167</f>
        <v>0.00046000000000000001</v>
      </c>
      <c r="S167" s="218">
        <v>0</v>
      </c>
      <c r="T167" s="219">
        <f>S167*H167</f>
        <v>0</v>
      </c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R167" s="220" t="s">
        <v>429</v>
      </c>
      <c r="AT167" s="220" t="s">
        <v>292</v>
      </c>
      <c r="AU167" s="220" t="s">
        <v>88</v>
      </c>
      <c r="AY167" s="18" t="s">
        <v>200</v>
      </c>
      <c r="BE167" s="221">
        <f>IF(N167="základní",J167,0)</f>
        <v>0</v>
      </c>
      <c r="BF167" s="221">
        <f>IF(N167="snížená",J167,0)</f>
        <v>0</v>
      </c>
      <c r="BG167" s="221">
        <f>IF(N167="zákl. přenesená",J167,0)</f>
        <v>0</v>
      </c>
      <c r="BH167" s="221">
        <f>IF(N167="sníž. přenesená",J167,0)</f>
        <v>0</v>
      </c>
      <c r="BI167" s="221">
        <f>IF(N167="nulová",J167,0)</f>
        <v>0</v>
      </c>
      <c r="BJ167" s="18" t="s">
        <v>86</v>
      </c>
      <c r="BK167" s="221">
        <f>ROUND(I167*H167,1)</f>
        <v>0</v>
      </c>
      <c r="BL167" s="18" t="s">
        <v>310</v>
      </c>
      <c r="BM167" s="220" t="s">
        <v>2225</v>
      </c>
    </row>
    <row r="168" s="2" customFormat="1" ht="16.5" customHeight="1">
      <c r="A168" s="40"/>
      <c r="B168" s="41"/>
      <c r="C168" s="260" t="s">
        <v>402</v>
      </c>
      <c r="D168" s="260" t="s">
        <v>292</v>
      </c>
      <c r="E168" s="261" t="s">
        <v>2226</v>
      </c>
      <c r="F168" s="262" t="s">
        <v>2227</v>
      </c>
      <c r="G168" s="263" t="s">
        <v>449</v>
      </c>
      <c r="H168" s="264">
        <v>1</v>
      </c>
      <c r="I168" s="265"/>
      <c r="J168" s="266">
        <f>ROUND(I168*H168,1)</f>
        <v>0</v>
      </c>
      <c r="K168" s="262" t="s">
        <v>206</v>
      </c>
      <c r="L168" s="267"/>
      <c r="M168" s="268" t="s">
        <v>32</v>
      </c>
      <c r="N168" s="269" t="s">
        <v>49</v>
      </c>
      <c r="O168" s="86"/>
      <c r="P168" s="218">
        <f>O168*H168</f>
        <v>0</v>
      </c>
      <c r="Q168" s="218">
        <v>0.00023000000000000001</v>
      </c>
      <c r="R168" s="218">
        <f>Q168*H168</f>
        <v>0.00023000000000000001</v>
      </c>
      <c r="S168" s="218">
        <v>0</v>
      </c>
      <c r="T168" s="219">
        <f>S168*H168</f>
        <v>0</v>
      </c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R168" s="220" t="s">
        <v>429</v>
      </c>
      <c r="AT168" s="220" t="s">
        <v>292</v>
      </c>
      <c r="AU168" s="220" t="s">
        <v>88</v>
      </c>
      <c r="AY168" s="18" t="s">
        <v>200</v>
      </c>
      <c r="BE168" s="221">
        <f>IF(N168="základní",J168,0)</f>
        <v>0</v>
      </c>
      <c r="BF168" s="221">
        <f>IF(N168="snížená",J168,0)</f>
        <v>0</v>
      </c>
      <c r="BG168" s="221">
        <f>IF(N168="zákl. přenesená",J168,0)</f>
        <v>0</v>
      </c>
      <c r="BH168" s="221">
        <f>IF(N168="sníž. přenesená",J168,0)</f>
        <v>0</v>
      </c>
      <c r="BI168" s="221">
        <f>IF(N168="nulová",J168,0)</f>
        <v>0</v>
      </c>
      <c r="BJ168" s="18" t="s">
        <v>86</v>
      </c>
      <c r="BK168" s="221">
        <f>ROUND(I168*H168,1)</f>
        <v>0</v>
      </c>
      <c r="BL168" s="18" t="s">
        <v>310</v>
      </c>
      <c r="BM168" s="220" t="s">
        <v>2228</v>
      </c>
    </row>
    <row r="169" s="2" customFormat="1" ht="16.5" customHeight="1">
      <c r="A169" s="40"/>
      <c r="B169" s="41"/>
      <c r="C169" s="260" t="s">
        <v>409</v>
      </c>
      <c r="D169" s="260" t="s">
        <v>292</v>
      </c>
      <c r="E169" s="261" t="s">
        <v>2229</v>
      </c>
      <c r="F169" s="262" t="s">
        <v>2230</v>
      </c>
      <c r="G169" s="263" t="s">
        <v>449</v>
      </c>
      <c r="H169" s="264">
        <v>4</v>
      </c>
      <c r="I169" s="265"/>
      <c r="J169" s="266">
        <f>ROUND(I169*H169,1)</f>
        <v>0</v>
      </c>
      <c r="K169" s="262" t="s">
        <v>206</v>
      </c>
      <c r="L169" s="267"/>
      <c r="M169" s="268" t="s">
        <v>32</v>
      </c>
      <c r="N169" s="269" t="s">
        <v>49</v>
      </c>
      <c r="O169" s="86"/>
      <c r="P169" s="218">
        <f>O169*H169</f>
        <v>0</v>
      </c>
      <c r="Q169" s="218">
        <v>0.00031</v>
      </c>
      <c r="R169" s="218">
        <f>Q169*H169</f>
        <v>0.00124</v>
      </c>
      <c r="S169" s="218">
        <v>0</v>
      </c>
      <c r="T169" s="219">
        <f>S169*H169</f>
        <v>0</v>
      </c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0" t="s">
        <v>429</v>
      </c>
      <c r="AT169" s="220" t="s">
        <v>292</v>
      </c>
      <c r="AU169" s="220" t="s">
        <v>88</v>
      </c>
      <c r="AY169" s="18" t="s">
        <v>200</v>
      </c>
      <c r="BE169" s="221">
        <f>IF(N169="základní",J169,0)</f>
        <v>0</v>
      </c>
      <c r="BF169" s="221">
        <f>IF(N169="snížená",J169,0)</f>
        <v>0</v>
      </c>
      <c r="BG169" s="221">
        <f>IF(N169="zákl. přenesená",J169,0)</f>
        <v>0</v>
      </c>
      <c r="BH169" s="221">
        <f>IF(N169="sníž. přenesená",J169,0)</f>
        <v>0</v>
      </c>
      <c r="BI169" s="221">
        <f>IF(N169="nulová",J169,0)</f>
        <v>0</v>
      </c>
      <c r="BJ169" s="18" t="s">
        <v>86</v>
      </c>
      <c r="BK169" s="221">
        <f>ROUND(I169*H169,1)</f>
        <v>0</v>
      </c>
      <c r="BL169" s="18" t="s">
        <v>310</v>
      </c>
      <c r="BM169" s="220" t="s">
        <v>2231</v>
      </c>
    </row>
    <row r="170" s="2" customFormat="1" ht="24.15" customHeight="1">
      <c r="A170" s="40"/>
      <c r="B170" s="41"/>
      <c r="C170" s="260" t="s">
        <v>416</v>
      </c>
      <c r="D170" s="260" t="s">
        <v>292</v>
      </c>
      <c r="E170" s="261" t="s">
        <v>2232</v>
      </c>
      <c r="F170" s="262" t="s">
        <v>2233</v>
      </c>
      <c r="G170" s="263" t="s">
        <v>449</v>
      </c>
      <c r="H170" s="264">
        <v>2</v>
      </c>
      <c r="I170" s="265"/>
      <c r="J170" s="266">
        <f>ROUND(I170*H170,1)</f>
        <v>0</v>
      </c>
      <c r="K170" s="262" t="s">
        <v>32</v>
      </c>
      <c r="L170" s="267"/>
      <c r="M170" s="268" t="s">
        <v>32</v>
      </c>
      <c r="N170" s="269" t="s">
        <v>49</v>
      </c>
      <c r="O170" s="86"/>
      <c r="P170" s="218">
        <f>O170*H170</f>
        <v>0</v>
      </c>
      <c r="Q170" s="218">
        <v>0.00058</v>
      </c>
      <c r="R170" s="218">
        <f>Q170*H170</f>
        <v>0.00116</v>
      </c>
      <c r="S170" s="218">
        <v>0</v>
      </c>
      <c r="T170" s="219">
        <f>S170*H170</f>
        <v>0</v>
      </c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R170" s="220" t="s">
        <v>429</v>
      </c>
      <c r="AT170" s="220" t="s">
        <v>292</v>
      </c>
      <c r="AU170" s="220" t="s">
        <v>88</v>
      </c>
      <c r="AY170" s="18" t="s">
        <v>200</v>
      </c>
      <c r="BE170" s="221">
        <f>IF(N170="základní",J170,0)</f>
        <v>0</v>
      </c>
      <c r="BF170" s="221">
        <f>IF(N170="snížená",J170,0)</f>
        <v>0</v>
      </c>
      <c r="BG170" s="221">
        <f>IF(N170="zákl. přenesená",J170,0)</f>
        <v>0</v>
      </c>
      <c r="BH170" s="221">
        <f>IF(N170="sníž. přenesená",J170,0)</f>
        <v>0</v>
      </c>
      <c r="BI170" s="221">
        <f>IF(N170="nulová",J170,0)</f>
        <v>0</v>
      </c>
      <c r="BJ170" s="18" t="s">
        <v>86</v>
      </c>
      <c r="BK170" s="221">
        <f>ROUND(I170*H170,1)</f>
        <v>0</v>
      </c>
      <c r="BL170" s="18" t="s">
        <v>310</v>
      </c>
      <c r="BM170" s="220" t="s">
        <v>2234</v>
      </c>
    </row>
    <row r="171" s="2" customFormat="1" ht="16.5" customHeight="1">
      <c r="A171" s="40"/>
      <c r="B171" s="41"/>
      <c r="C171" s="260" t="s">
        <v>422</v>
      </c>
      <c r="D171" s="260" t="s">
        <v>292</v>
      </c>
      <c r="E171" s="261" t="s">
        <v>2235</v>
      </c>
      <c r="F171" s="262" t="s">
        <v>2236</v>
      </c>
      <c r="G171" s="263" t="s">
        <v>449</v>
      </c>
      <c r="H171" s="264">
        <v>1</v>
      </c>
      <c r="I171" s="265"/>
      <c r="J171" s="266">
        <f>ROUND(I171*H171,1)</f>
        <v>0</v>
      </c>
      <c r="K171" s="262" t="s">
        <v>206</v>
      </c>
      <c r="L171" s="267"/>
      <c r="M171" s="268" t="s">
        <v>32</v>
      </c>
      <c r="N171" s="269" t="s">
        <v>49</v>
      </c>
      <c r="O171" s="86"/>
      <c r="P171" s="218">
        <f>O171*H171</f>
        <v>0</v>
      </c>
      <c r="Q171" s="218">
        <v>8.0000000000000007E-05</v>
      </c>
      <c r="R171" s="218">
        <f>Q171*H171</f>
        <v>8.0000000000000007E-05</v>
      </c>
      <c r="S171" s="218">
        <v>0</v>
      </c>
      <c r="T171" s="219">
        <f>S171*H171</f>
        <v>0</v>
      </c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0" t="s">
        <v>429</v>
      </c>
      <c r="AT171" s="220" t="s">
        <v>292</v>
      </c>
      <c r="AU171" s="220" t="s">
        <v>88</v>
      </c>
      <c r="AY171" s="18" t="s">
        <v>200</v>
      </c>
      <c r="BE171" s="221">
        <f>IF(N171="základní",J171,0)</f>
        <v>0</v>
      </c>
      <c r="BF171" s="221">
        <f>IF(N171="snížená",J171,0)</f>
        <v>0</v>
      </c>
      <c r="BG171" s="221">
        <f>IF(N171="zákl. přenesená",J171,0)</f>
        <v>0</v>
      </c>
      <c r="BH171" s="221">
        <f>IF(N171="sníž. přenesená",J171,0)</f>
        <v>0</v>
      </c>
      <c r="BI171" s="221">
        <f>IF(N171="nulová",J171,0)</f>
        <v>0</v>
      </c>
      <c r="BJ171" s="18" t="s">
        <v>86</v>
      </c>
      <c r="BK171" s="221">
        <f>ROUND(I171*H171,1)</f>
        <v>0</v>
      </c>
      <c r="BL171" s="18" t="s">
        <v>310</v>
      </c>
      <c r="BM171" s="220" t="s">
        <v>2237</v>
      </c>
    </row>
    <row r="172" s="2" customFormat="1" ht="16.5" customHeight="1">
      <c r="A172" s="40"/>
      <c r="B172" s="41"/>
      <c r="C172" s="260" t="s">
        <v>429</v>
      </c>
      <c r="D172" s="260" t="s">
        <v>292</v>
      </c>
      <c r="E172" s="261" t="s">
        <v>2238</v>
      </c>
      <c r="F172" s="262" t="s">
        <v>2239</v>
      </c>
      <c r="G172" s="263" t="s">
        <v>449</v>
      </c>
      <c r="H172" s="264">
        <v>3</v>
      </c>
      <c r="I172" s="265"/>
      <c r="J172" s="266">
        <f>ROUND(I172*H172,1)</f>
        <v>0</v>
      </c>
      <c r="K172" s="262" t="s">
        <v>206</v>
      </c>
      <c r="L172" s="267"/>
      <c r="M172" s="268" t="s">
        <v>32</v>
      </c>
      <c r="N172" s="269" t="s">
        <v>49</v>
      </c>
      <c r="O172" s="86"/>
      <c r="P172" s="218">
        <f>O172*H172</f>
        <v>0</v>
      </c>
      <c r="Q172" s="218">
        <v>0.00022000000000000001</v>
      </c>
      <c r="R172" s="218">
        <f>Q172*H172</f>
        <v>0.00066</v>
      </c>
      <c r="S172" s="218">
        <v>0</v>
      </c>
      <c r="T172" s="219">
        <f>S172*H172</f>
        <v>0</v>
      </c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R172" s="220" t="s">
        <v>429</v>
      </c>
      <c r="AT172" s="220" t="s">
        <v>292</v>
      </c>
      <c r="AU172" s="220" t="s">
        <v>88</v>
      </c>
      <c r="AY172" s="18" t="s">
        <v>200</v>
      </c>
      <c r="BE172" s="221">
        <f>IF(N172="základní",J172,0)</f>
        <v>0</v>
      </c>
      <c r="BF172" s="221">
        <f>IF(N172="snížená",J172,0)</f>
        <v>0</v>
      </c>
      <c r="BG172" s="221">
        <f>IF(N172="zákl. přenesená",J172,0)</f>
        <v>0</v>
      </c>
      <c r="BH172" s="221">
        <f>IF(N172="sníž. přenesená",J172,0)</f>
        <v>0</v>
      </c>
      <c r="BI172" s="221">
        <f>IF(N172="nulová",J172,0)</f>
        <v>0</v>
      </c>
      <c r="BJ172" s="18" t="s">
        <v>86</v>
      </c>
      <c r="BK172" s="221">
        <f>ROUND(I172*H172,1)</f>
        <v>0</v>
      </c>
      <c r="BL172" s="18" t="s">
        <v>310</v>
      </c>
      <c r="BM172" s="220" t="s">
        <v>2240</v>
      </c>
    </row>
    <row r="173" s="2" customFormat="1" ht="16.5" customHeight="1">
      <c r="A173" s="40"/>
      <c r="B173" s="41"/>
      <c r="C173" s="260" t="s">
        <v>434</v>
      </c>
      <c r="D173" s="260" t="s">
        <v>292</v>
      </c>
      <c r="E173" s="261" t="s">
        <v>2241</v>
      </c>
      <c r="F173" s="262" t="s">
        <v>2242</v>
      </c>
      <c r="G173" s="263" t="s">
        <v>449</v>
      </c>
      <c r="H173" s="264">
        <v>2</v>
      </c>
      <c r="I173" s="265"/>
      <c r="J173" s="266">
        <f>ROUND(I173*H173,1)</f>
        <v>0</v>
      </c>
      <c r="K173" s="262" t="s">
        <v>206</v>
      </c>
      <c r="L173" s="267"/>
      <c r="M173" s="268" t="s">
        <v>32</v>
      </c>
      <c r="N173" s="269" t="s">
        <v>49</v>
      </c>
      <c r="O173" s="86"/>
      <c r="P173" s="218">
        <f>O173*H173</f>
        <v>0</v>
      </c>
      <c r="Q173" s="218">
        <v>0.00068999999999999997</v>
      </c>
      <c r="R173" s="218">
        <f>Q173*H173</f>
        <v>0.0013799999999999999</v>
      </c>
      <c r="S173" s="218">
        <v>0</v>
      </c>
      <c r="T173" s="219">
        <f>S173*H173</f>
        <v>0</v>
      </c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R173" s="220" t="s">
        <v>429</v>
      </c>
      <c r="AT173" s="220" t="s">
        <v>292</v>
      </c>
      <c r="AU173" s="220" t="s">
        <v>88</v>
      </c>
      <c r="AY173" s="18" t="s">
        <v>200</v>
      </c>
      <c r="BE173" s="221">
        <f>IF(N173="základní",J173,0)</f>
        <v>0</v>
      </c>
      <c r="BF173" s="221">
        <f>IF(N173="snížená",J173,0)</f>
        <v>0</v>
      </c>
      <c r="BG173" s="221">
        <f>IF(N173="zákl. přenesená",J173,0)</f>
        <v>0</v>
      </c>
      <c r="BH173" s="221">
        <f>IF(N173="sníž. přenesená",J173,0)</f>
        <v>0</v>
      </c>
      <c r="BI173" s="221">
        <f>IF(N173="nulová",J173,0)</f>
        <v>0</v>
      </c>
      <c r="BJ173" s="18" t="s">
        <v>86</v>
      </c>
      <c r="BK173" s="221">
        <f>ROUND(I173*H173,1)</f>
        <v>0</v>
      </c>
      <c r="BL173" s="18" t="s">
        <v>310</v>
      </c>
      <c r="BM173" s="220" t="s">
        <v>2243</v>
      </c>
    </row>
    <row r="174" s="2" customFormat="1" ht="16.5" customHeight="1">
      <c r="A174" s="40"/>
      <c r="B174" s="41"/>
      <c r="C174" s="260" t="s">
        <v>440</v>
      </c>
      <c r="D174" s="260" t="s">
        <v>292</v>
      </c>
      <c r="E174" s="261" t="s">
        <v>2244</v>
      </c>
      <c r="F174" s="262" t="s">
        <v>2245</v>
      </c>
      <c r="G174" s="263" t="s">
        <v>449</v>
      </c>
      <c r="H174" s="264">
        <v>6</v>
      </c>
      <c r="I174" s="265"/>
      <c r="J174" s="266">
        <f>ROUND(I174*H174,1)</f>
        <v>0</v>
      </c>
      <c r="K174" s="262" t="s">
        <v>206</v>
      </c>
      <c r="L174" s="267"/>
      <c r="M174" s="268" t="s">
        <v>32</v>
      </c>
      <c r="N174" s="269" t="s">
        <v>49</v>
      </c>
      <c r="O174" s="86"/>
      <c r="P174" s="218">
        <f>O174*H174</f>
        <v>0</v>
      </c>
      <c r="Q174" s="218">
        <v>0.00040000000000000002</v>
      </c>
      <c r="R174" s="218">
        <f>Q174*H174</f>
        <v>0.0024000000000000002</v>
      </c>
      <c r="S174" s="218">
        <v>0</v>
      </c>
      <c r="T174" s="219">
        <f>S174*H174</f>
        <v>0</v>
      </c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R174" s="220" t="s">
        <v>429</v>
      </c>
      <c r="AT174" s="220" t="s">
        <v>292</v>
      </c>
      <c r="AU174" s="220" t="s">
        <v>88</v>
      </c>
      <c r="AY174" s="18" t="s">
        <v>200</v>
      </c>
      <c r="BE174" s="221">
        <f>IF(N174="základní",J174,0)</f>
        <v>0</v>
      </c>
      <c r="BF174" s="221">
        <f>IF(N174="snížená",J174,0)</f>
        <v>0</v>
      </c>
      <c r="BG174" s="221">
        <f>IF(N174="zákl. přenesená",J174,0)</f>
        <v>0</v>
      </c>
      <c r="BH174" s="221">
        <f>IF(N174="sníž. přenesená",J174,0)</f>
        <v>0</v>
      </c>
      <c r="BI174" s="221">
        <f>IF(N174="nulová",J174,0)</f>
        <v>0</v>
      </c>
      <c r="BJ174" s="18" t="s">
        <v>86</v>
      </c>
      <c r="BK174" s="221">
        <f>ROUND(I174*H174,1)</f>
        <v>0</v>
      </c>
      <c r="BL174" s="18" t="s">
        <v>310</v>
      </c>
      <c r="BM174" s="220" t="s">
        <v>2246</v>
      </c>
    </row>
    <row r="175" s="2" customFormat="1" ht="16.5" customHeight="1">
      <c r="A175" s="40"/>
      <c r="B175" s="41"/>
      <c r="C175" s="260" t="s">
        <v>446</v>
      </c>
      <c r="D175" s="260" t="s">
        <v>292</v>
      </c>
      <c r="E175" s="261" t="s">
        <v>2247</v>
      </c>
      <c r="F175" s="262" t="s">
        <v>2248</v>
      </c>
      <c r="G175" s="263" t="s">
        <v>449</v>
      </c>
      <c r="H175" s="264">
        <v>3</v>
      </c>
      <c r="I175" s="265"/>
      <c r="J175" s="266">
        <f>ROUND(I175*H175,1)</f>
        <v>0</v>
      </c>
      <c r="K175" s="262" t="s">
        <v>206</v>
      </c>
      <c r="L175" s="267"/>
      <c r="M175" s="268" t="s">
        <v>32</v>
      </c>
      <c r="N175" s="269" t="s">
        <v>49</v>
      </c>
      <c r="O175" s="86"/>
      <c r="P175" s="218">
        <f>O175*H175</f>
        <v>0</v>
      </c>
      <c r="Q175" s="218">
        <v>0.00046000000000000001</v>
      </c>
      <c r="R175" s="218">
        <f>Q175*H175</f>
        <v>0.0013800000000000002</v>
      </c>
      <c r="S175" s="218">
        <v>0</v>
      </c>
      <c r="T175" s="219">
        <f>S175*H175</f>
        <v>0</v>
      </c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R175" s="220" t="s">
        <v>429</v>
      </c>
      <c r="AT175" s="220" t="s">
        <v>292</v>
      </c>
      <c r="AU175" s="220" t="s">
        <v>88</v>
      </c>
      <c r="AY175" s="18" t="s">
        <v>200</v>
      </c>
      <c r="BE175" s="221">
        <f>IF(N175="základní",J175,0)</f>
        <v>0</v>
      </c>
      <c r="BF175" s="221">
        <f>IF(N175="snížená",J175,0)</f>
        <v>0</v>
      </c>
      <c r="BG175" s="221">
        <f>IF(N175="zákl. přenesená",J175,0)</f>
        <v>0</v>
      </c>
      <c r="BH175" s="221">
        <f>IF(N175="sníž. přenesená",J175,0)</f>
        <v>0</v>
      </c>
      <c r="BI175" s="221">
        <f>IF(N175="nulová",J175,0)</f>
        <v>0</v>
      </c>
      <c r="BJ175" s="18" t="s">
        <v>86</v>
      </c>
      <c r="BK175" s="221">
        <f>ROUND(I175*H175,1)</f>
        <v>0</v>
      </c>
      <c r="BL175" s="18" t="s">
        <v>310</v>
      </c>
      <c r="BM175" s="220" t="s">
        <v>2249</v>
      </c>
    </row>
    <row r="176" s="2" customFormat="1" ht="16.5" customHeight="1">
      <c r="A176" s="40"/>
      <c r="B176" s="41"/>
      <c r="C176" s="260" t="s">
        <v>453</v>
      </c>
      <c r="D176" s="260" t="s">
        <v>292</v>
      </c>
      <c r="E176" s="261" t="s">
        <v>2250</v>
      </c>
      <c r="F176" s="262" t="s">
        <v>2251</v>
      </c>
      <c r="G176" s="263" t="s">
        <v>449</v>
      </c>
      <c r="H176" s="264">
        <v>1</v>
      </c>
      <c r="I176" s="265"/>
      <c r="J176" s="266">
        <f>ROUND(I176*H176,1)</f>
        <v>0</v>
      </c>
      <c r="K176" s="262" t="s">
        <v>206</v>
      </c>
      <c r="L176" s="267"/>
      <c r="M176" s="268" t="s">
        <v>32</v>
      </c>
      <c r="N176" s="269" t="s">
        <v>49</v>
      </c>
      <c r="O176" s="86"/>
      <c r="P176" s="218">
        <f>O176*H176</f>
        <v>0</v>
      </c>
      <c r="Q176" s="218">
        <v>0.001</v>
      </c>
      <c r="R176" s="218">
        <f>Q176*H176</f>
        <v>0.001</v>
      </c>
      <c r="S176" s="218">
        <v>0</v>
      </c>
      <c r="T176" s="219">
        <f>S176*H176</f>
        <v>0</v>
      </c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R176" s="220" t="s">
        <v>429</v>
      </c>
      <c r="AT176" s="220" t="s">
        <v>292</v>
      </c>
      <c r="AU176" s="220" t="s">
        <v>88</v>
      </c>
      <c r="AY176" s="18" t="s">
        <v>200</v>
      </c>
      <c r="BE176" s="221">
        <f>IF(N176="základní",J176,0)</f>
        <v>0</v>
      </c>
      <c r="BF176" s="221">
        <f>IF(N176="snížená",J176,0)</f>
        <v>0</v>
      </c>
      <c r="BG176" s="221">
        <f>IF(N176="zákl. přenesená",J176,0)</f>
        <v>0</v>
      </c>
      <c r="BH176" s="221">
        <f>IF(N176="sníž. přenesená",J176,0)</f>
        <v>0</v>
      </c>
      <c r="BI176" s="221">
        <f>IF(N176="nulová",J176,0)</f>
        <v>0</v>
      </c>
      <c r="BJ176" s="18" t="s">
        <v>86</v>
      </c>
      <c r="BK176" s="221">
        <f>ROUND(I176*H176,1)</f>
        <v>0</v>
      </c>
      <c r="BL176" s="18" t="s">
        <v>310</v>
      </c>
      <c r="BM176" s="220" t="s">
        <v>2252</v>
      </c>
    </row>
    <row r="177" s="2" customFormat="1" ht="16.5" customHeight="1">
      <c r="A177" s="40"/>
      <c r="B177" s="41"/>
      <c r="C177" s="209" t="s">
        <v>459</v>
      </c>
      <c r="D177" s="209" t="s">
        <v>202</v>
      </c>
      <c r="E177" s="210" t="s">
        <v>2253</v>
      </c>
      <c r="F177" s="211" t="s">
        <v>2254</v>
      </c>
      <c r="G177" s="212" t="s">
        <v>449</v>
      </c>
      <c r="H177" s="213">
        <v>21</v>
      </c>
      <c r="I177" s="214"/>
      <c r="J177" s="215">
        <f>ROUND(I177*H177,1)</f>
        <v>0</v>
      </c>
      <c r="K177" s="211" t="s">
        <v>206</v>
      </c>
      <c r="L177" s="46"/>
      <c r="M177" s="216" t="s">
        <v>32</v>
      </c>
      <c r="N177" s="217" t="s">
        <v>49</v>
      </c>
      <c r="O177" s="86"/>
      <c r="P177" s="218">
        <f>O177*H177</f>
        <v>0</v>
      </c>
      <c r="Q177" s="218">
        <v>0</v>
      </c>
      <c r="R177" s="218">
        <f>Q177*H177</f>
        <v>0</v>
      </c>
      <c r="S177" s="218">
        <v>0</v>
      </c>
      <c r="T177" s="219">
        <f>S177*H177</f>
        <v>0</v>
      </c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R177" s="220" t="s">
        <v>310</v>
      </c>
      <c r="AT177" s="220" t="s">
        <v>202</v>
      </c>
      <c r="AU177" s="220" t="s">
        <v>88</v>
      </c>
      <c r="AY177" s="18" t="s">
        <v>200</v>
      </c>
      <c r="BE177" s="221">
        <f>IF(N177="základní",J177,0)</f>
        <v>0</v>
      </c>
      <c r="BF177" s="221">
        <f>IF(N177="snížená",J177,0)</f>
        <v>0</v>
      </c>
      <c r="BG177" s="221">
        <f>IF(N177="zákl. přenesená",J177,0)</f>
        <v>0</v>
      </c>
      <c r="BH177" s="221">
        <f>IF(N177="sníž. přenesená",J177,0)</f>
        <v>0</v>
      </c>
      <c r="BI177" s="221">
        <f>IF(N177="nulová",J177,0)</f>
        <v>0</v>
      </c>
      <c r="BJ177" s="18" t="s">
        <v>86</v>
      </c>
      <c r="BK177" s="221">
        <f>ROUND(I177*H177,1)</f>
        <v>0</v>
      </c>
      <c r="BL177" s="18" t="s">
        <v>310</v>
      </c>
      <c r="BM177" s="220" t="s">
        <v>2255</v>
      </c>
    </row>
    <row r="178" s="2" customFormat="1">
      <c r="A178" s="40"/>
      <c r="B178" s="41"/>
      <c r="C178" s="42"/>
      <c r="D178" s="222" t="s">
        <v>209</v>
      </c>
      <c r="E178" s="42"/>
      <c r="F178" s="223" t="s">
        <v>2256</v>
      </c>
      <c r="G178" s="42"/>
      <c r="H178" s="42"/>
      <c r="I178" s="224"/>
      <c r="J178" s="42"/>
      <c r="K178" s="42"/>
      <c r="L178" s="46"/>
      <c r="M178" s="225"/>
      <c r="N178" s="226"/>
      <c r="O178" s="86"/>
      <c r="P178" s="86"/>
      <c r="Q178" s="86"/>
      <c r="R178" s="86"/>
      <c r="S178" s="86"/>
      <c r="T178" s="87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T178" s="18" t="s">
        <v>209</v>
      </c>
      <c r="AU178" s="18" t="s">
        <v>88</v>
      </c>
    </row>
    <row r="179" s="13" customFormat="1">
      <c r="A179" s="13"/>
      <c r="B179" s="227"/>
      <c r="C179" s="228"/>
      <c r="D179" s="229" t="s">
        <v>211</v>
      </c>
      <c r="E179" s="230" t="s">
        <v>32</v>
      </c>
      <c r="F179" s="231" t="s">
        <v>2257</v>
      </c>
      <c r="G179" s="228"/>
      <c r="H179" s="232">
        <v>21</v>
      </c>
      <c r="I179" s="233"/>
      <c r="J179" s="228"/>
      <c r="K179" s="228"/>
      <c r="L179" s="234"/>
      <c r="M179" s="235"/>
      <c r="N179" s="236"/>
      <c r="O179" s="236"/>
      <c r="P179" s="236"/>
      <c r="Q179" s="236"/>
      <c r="R179" s="236"/>
      <c r="S179" s="236"/>
      <c r="T179" s="237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T179" s="238" t="s">
        <v>211</v>
      </c>
      <c r="AU179" s="238" t="s">
        <v>88</v>
      </c>
      <c r="AV179" s="13" t="s">
        <v>88</v>
      </c>
      <c r="AW179" s="13" t="s">
        <v>213</v>
      </c>
      <c r="AX179" s="13" t="s">
        <v>86</v>
      </c>
      <c r="AY179" s="238" t="s">
        <v>200</v>
      </c>
    </row>
    <row r="180" s="2" customFormat="1" ht="16.5" customHeight="1">
      <c r="A180" s="40"/>
      <c r="B180" s="41"/>
      <c r="C180" s="209" t="s">
        <v>465</v>
      </c>
      <c r="D180" s="209" t="s">
        <v>202</v>
      </c>
      <c r="E180" s="210" t="s">
        <v>2258</v>
      </c>
      <c r="F180" s="211" t="s">
        <v>2259</v>
      </c>
      <c r="G180" s="212" t="s">
        <v>449</v>
      </c>
      <c r="H180" s="213">
        <v>12</v>
      </c>
      <c r="I180" s="214"/>
      <c r="J180" s="215">
        <f>ROUND(I180*H180,1)</f>
        <v>0</v>
      </c>
      <c r="K180" s="211" t="s">
        <v>206</v>
      </c>
      <c r="L180" s="46"/>
      <c r="M180" s="216" t="s">
        <v>32</v>
      </c>
      <c r="N180" s="217" t="s">
        <v>49</v>
      </c>
      <c r="O180" s="86"/>
      <c r="P180" s="218">
        <f>O180*H180</f>
        <v>0</v>
      </c>
      <c r="Q180" s="218">
        <v>0</v>
      </c>
      <c r="R180" s="218">
        <f>Q180*H180</f>
        <v>0</v>
      </c>
      <c r="S180" s="218">
        <v>0</v>
      </c>
      <c r="T180" s="219">
        <f>S180*H180</f>
        <v>0</v>
      </c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R180" s="220" t="s">
        <v>310</v>
      </c>
      <c r="AT180" s="220" t="s">
        <v>202</v>
      </c>
      <c r="AU180" s="220" t="s">
        <v>88</v>
      </c>
      <c r="AY180" s="18" t="s">
        <v>200</v>
      </c>
      <c r="BE180" s="221">
        <f>IF(N180="základní",J180,0)</f>
        <v>0</v>
      </c>
      <c r="BF180" s="221">
        <f>IF(N180="snížená",J180,0)</f>
        <v>0</v>
      </c>
      <c r="BG180" s="221">
        <f>IF(N180="zákl. přenesená",J180,0)</f>
        <v>0</v>
      </c>
      <c r="BH180" s="221">
        <f>IF(N180="sníž. přenesená",J180,0)</f>
        <v>0</v>
      </c>
      <c r="BI180" s="221">
        <f>IF(N180="nulová",J180,0)</f>
        <v>0</v>
      </c>
      <c r="BJ180" s="18" t="s">
        <v>86</v>
      </c>
      <c r="BK180" s="221">
        <f>ROUND(I180*H180,1)</f>
        <v>0</v>
      </c>
      <c r="BL180" s="18" t="s">
        <v>310</v>
      </c>
      <c r="BM180" s="220" t="s">
        <v>2260</v>
      </c>
    </row>
    <row r="181" s="2" customFormat="1">
      <c r="A181" s="40"/>
      <c r="B181" s="41"/>
      <c r="C181" s="42"/>
      <c r="D181" s="222" t="s">
        <v>209</v>
      </c>
      <c r="E181" s="42"/>
      <c r="F181" s="223" t="s">
        <v>2261</v>
      </c>
      <c r="G181" s="42"/>
      <c r="H181" s="42"/>
      <c r="I181" s="224"/>
      <c r="J181" s="42"/>
      <c r="K181" s="42"/>
      <c r="L181" s="46"/>
      <c r="M181" s="225"/>
      <c r="N181" s="226"/>
      <c r="O181" s="86"/>
      <c r="P181" s="86"/>
      <c r="Q181" s="86"/>
      <c r="R181" s="86"/>
      <c r="S181" s="86"/>
      <c r="T181" s="87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T181" s="18" t="s">
        <v>209</v>
      </c>
      <c r="AU181" s="18" t="s">
        <v>88</v>
      </c>
    </row>
    <row r="182" s="13" customFormat="1">
      <c r="A182" s="13"/>
      <c r="B182" s="227"/>
      <c r="C182" s="228"/>
      <c r="D182" s="229" t="s">
        <v>211</v>
      </c>
      <c r="E182" s="230" t="s">
        <v>32</v>
      </c>
      <c r="F182" s="231" t="s">
        <v>2262</v>
      </c>
      <c r="G182" s="228"/>
      <c r="H182" s="232">
        <v>12</v>
      </c>
      <c r="I182" s="233"/>
      <c r="J182" s="228"/>
      <c r="K182" s="228"/>
      <c r="L182" s="234"/>
      <c r="M182" s="235"/>
      <c r="N182" s="236"/>
      <c r="O182" s="236"/>
      <c r="P182" s="236"/>
      <c r="Q182" s="236"/>
      <c r="R182" s="236"/>
      <c r="S182" s="236"/>
      <c r="T182" s="237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38" t="s">
        <v>211</v>
      </c>
      <c r="AU182" s="238" t="s">
        <v>88</v>
      </c>
      <c r="AV182" s="13" t="s">
        <v>88</v>
      </c>
      <c r="AW182" s="13" t="s">
        <v>213</v>
      </c>
      <c r="AX182" s="13" t="s">
        <v>86</v>
      </c>
      <c r="AY182" s="238" t="s">
        <v>200</v>
      </c>
    </row>
    <row r="183" s="2" customFormat="1" ht="16.5" customHeight="1">
      <c r="A183" s="40"/>
      <c r="B183" s="41"/>
      <c r="C183" s="209" t="s">
        <v>471</v>
      </c>
      <c r="D183" s="209" t="s">
        <v>202</v>
      </c>
      <c r="E183" s="210" t="s">
        <v>2263</v>
      </c>
      <c r="F183" s="211" t="s">
        <v>2264</v>
      </c>
      <c r="G183" s="212" t="s">
        <v>449</v>
      </c>
      <c r="H183" s="213">
        <v>1</v>
      </c>
      <c r="I183" s="214"/>
      <c r="J183" s="215">
        <f>ROUND(I183*H183,1)</f>
        <v>0</v>
      </c>
      <c r="K183" s="211" t="s">
        <v>206</v>
      </c>
      <c r="L183" s="46"/>
      <c r="M183" s="216" t="s">
        <v>32</v>
      </c>
      <c r="N183" s="217" t="s">
        <v>49</v>
      </c>
      <c r="O183" s="86"/>
      <c r="P183" s="218">
        <f>O183*H183</f>
        <v>0</v>
      </c>
      <c r="Q183" s="218">
        <v>0.00089999999999999998</v>
      </c>
      <c r="R183" s="218">
        <f>Q183*H183</f>
        <v>0.00089999999999999998</v>
      </c>
      <c r="S183" s="218">
        <v>0</v>
      </c>
      <c r="T183" s="219">
        <f>S183*H183</f>
        <v>0</v>
      </c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R183" s="220" t="s">
        <v>310</v>
      </c>
      <c r="AT183" s="220" t="s">
        <v>202</v>
      </c>
      <c r="AU183" s="220" t="s">
        <v>88</v>
      </c>
      <c r="AY183" s="18" t="s">
        <v>200</v>
      </c>
      <c r="BE183" s="221">
        <f>IF(N183="základní",J183,0)</f>
        <v>0</v>
      </c>
      <c r="BF183" s="221">
        <f>IF(N183="snížená",J183,0)</f>
        <v>0</v>
      </c>
      <c r="BG183" s="221">
        <f>IF(N183="zákl. přenesená",J183,0)</f>
        <v>0</v>
      </c>
      <c r="BH183" s="221">
        <f>IF(N183="sníž. přenesená",J183,0)</f>
        <v>0</v>
      </c>
      <c r="BI183" s="221">
        <f>IF(N183="nulová",J183,0)</f>
        <v>0</v>
      </c>
      <c r="BJ183" s="18" t="s">
        <v>86</v>
      </c>
      <c r="BK183" s="221">
        <f>ROUND(I183*H183,1)</f>
        <v>0</v>
      </c>
      <c r="BL183" s="18" t="s">
        <v>310</v>
      </c>
      <c r="BM183" s="220" t="s">
        <v>2265</v>
      </c>
    </row>
    <row r="184" s="2" customFormat="1">
      <c r="A184" s="40"/>
      <c r="B184" s="41"/>
      <c r="C184" s="42"/>
      <c r="D184" s="222" t="s">
        <v>209</v>
      </c>
      <c r="E184" s="42"/>
      <c r="F184" s="223" t="s">
        <v>2266</v>
      </c>
      <c r="G184" s="42"/>
      <c r="H184" s="42"/>
      <c r="I184" s="224"/>
      <c r="J184" s="42"/>
      <c r="K184" s="42"/>
      <c r="L184" s="46"/>
      <c r="M184" s="225"/>
      <c r="N184" s="226"/>
      <c r="O184" s="86"/>
      <c r="P184" s="86"/>
      <c r="Q184" s="86"/>
      <c r="R184" s="86"/>
      <c r="S184" s="86"/>
      <c r="T184" s="87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T184" s="18" t="s">
        <v>209</v>
      </c>
      <c r="AU184" s="18" t="s">
        <v>88</v>
      </c>
    </row>
    <row r="185" s="2" customFormat="1" ht="16.5" customHeight="1">
      <c r="A185" s="40"/>
      <c r="B185" s="41"/>
      <c r="C185" s="209" t="s">
        <v>476</v>
      </c>
      <c r="D185" s="209" t="s">
        <v>202</v>
      </c>
      <c r="E185" s="210" t="s">
        <v>2267</v>
      </c>
      <c r="F185" s="211" t="s">
        <v>2268</v>
      </c>
      <c r="G185" s="212" t="s">
        <v>449</v>
      </c>
      <c r="H185" s="213">
        <v>1</v>
      </c>
      <c r="I185" s="214"/>
      <c r="J185" s="215">
        <f>ROUND(I185*H185,1)</f>
        <v>0</v>
      </c>
      <c r="K185" s="211" t="s">
        <v>206</v>
      </c>
      <c r="L185" s="46"/>
      <c r="M185" s="216" t="s">
        <v>32</v>
      </c>
      <c r="N185" s="217" t="s">
        <v>49</v>
      </c>
      <c r="O185" s="86"/>
      <c r="P185" s="218">
        <f>O185*H185</f>
        <v>0</v>
      </c>
      <c r="Q185" s="218">
        <v>0.00050000000000000001</v>
      </c>
      <c r="R185" s="218">
        <f>Q185*H185</f>
        <v>0.00050000000000000001</v>
      </c>
      <c r="S185" s="218">
        <v>0</v>
      </c>
      <c r="T185" s="219">
        <f>S185*H185</f>
        <v>0</v>
      </c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R185" s="220" t="s">
        <v>310</v>
      </c>
      <c r="AT185" s="220" t="s">
        <v>202</v>
      </c>
      <c r="AU185" s="220" t="s">
        <v>88</v>
      </c>
      <c r="AY185" s="18" t="s">
        <v>200</v>
      </c>
      <c r="BE185" s="221">
        <f>IF(N185="základní",J185,0)</f>
        <v>0</v>
      </c>
      <c r="BF185" s="221">
        <f>IF(N185="snížená",J185,0)</f>
        <v>0</v>
      </c>
      <c r="BG185" s="221">
        <f>IF(N185="zákl. přenesená",J185,0)</f>
        <v>0</v>
      </c>
      <c r="BH185" s="221">
        <f>IF(N185="sníž. přenesená",J185,0)</f>
        <v>0</v>
      </c>
      <c r="BI185" s="221">
        <f>IF(N185="nulová",J185,0)</f>
        <v>0</v>
      </c>
      <c r="BJ185" s="18" t="s">
        <v>86</v>
      </c>
      <c r="BK185" s="221">
        <f>ROUND(I185*H185,1)</f>
        <v>0</v>
      </c>
      <c r="BL185" s="18" t="s">
        <v>310</v>
      </c>
      <c r="BM185" s="220" t="s">
        <v>2269</v>
      </c>
    </row>
    <row r="186" s="2" customFormat="1">
      <c r="A186" s="40"/>
      <c r="B186" s="41"/>
      <c r="C186" s="42"/>
      <c r="D186" s="222" t="s">
        <v>209</v>
      </c>
      <c r="E186" s="42"/>
      <c r="F186" s="223" t="s">
        <v>2270</v>
      </c>
      <c r="G186" s="42"/>
      <c r="H186" s="42"/>
      <c r="I186" s="224"/>
      <c r="J186" s="42"/>
      <c r="K186" s="42"/>
      <c r="L186" s="46"/>
      <c r="M186" s="225"/>
      <c r="N186" s="226"/>
      <c r="O186" s="86"/>
      <c r="P186" s="86"/>
      <c r="Q186" s="86"/>
      <c r="R186" s="86"/>
      <c r="S186" s="86"/>
      <c r="T186" s="87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T186" s="18" t="s">
        <v>209</v>
      </c>
      <c r="AU186" s="18" t="s">
        <v>88</v>
      </c>
    </row>
    <row r="187" s="2" customFormat="1" ht="16.5" customHeight="1">
      <c r="A187" s="40"/>
      <c r="B187" s="41"/>
      <c r="C187" s="209" t="s">
        <v>482</v>
      </c>
      <c r="D187" s="209" t="s">
        <v>202</v>
      </c>
      <c r="E187" s="210" t="s">
        <v>2271</v>
      </c>
      <c r="F187" s="211" t="s">
        <v>2272</v>
      </c>
      <c r="G187" s="212" t="s">
        <v>449</v>
      </c>
      <c r="H187" s="213">
        <v>2</v>
      </c>
      <c r="I187" s="214"/>
      <c r="J187" s="215">
        <f>ROUND(I187*H187,1)</f>
        <v>0</v>
      </c>
      <c r="K187" s="211" t="s">
        <v>206</v>
      </c>
      <c r="L187" s="46"/>
      <c r="M187" s="216" t="s">
        <v>32</v>
      </c>
      <c r="N187" s="217" t="s">
        <v>49</v>
      </c>
      <c r="O187" s="86"/>
      <c r="P187" s="218">
        <f>O187*H187</f>
        <v>0</v>
      </c>
      <c r="Q187" s="218">
        <v>0.00029</v>
      </c>
      <c r="R187" s="218">
        <f>Q187*H187</f>
        <v>0.00058</v>
      </c>
      <c r="S187" s="218">
        <v>0</v>
      </c>
      <c r="T187" s="219">
        <f>S187*H187</f>
        <v>0</v>
      </c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R187" s="220" t="s">
        <v>310</v>
      </c>
      <c r="AT187" s="220" t="s">
        <v>202</v>
      </c>
      <c r="AU187" s="220" t="s">
        <v>88</v>
      </c>
      <c r="AY187" s="18" t="s">
        <v>200</v>
      </c>
      <c r="BE187" s="221">
        <f>IF(N187="základní",J187,0)</f>
        <v>0</v>
      </c>
      <c r="BF187" s="221">
        <f>IF(N187="snížená",J187,0)</f>
        <v>0</v>
      </c>
      <c r="BG187" s="221">
        <f>IF(N187="zákl. přenesená",J187,0)</f>
        <v>0</v>
      </c>
      <c r="BH187" s="221">
        <f>IF(N187="sníž. přenesená",J187,0)</f>
        <v>0</v>
      </c>
      <c r="BI187" s="221">
        <f>IF(N187="nulová",J187,0)</f>
        <v>0</v>
      </c>
      <c r="BJ187" s="18" t="s">
        <v>86</v>
      </c>
      <c r="BK187" s="221">
        <f>ROUND(I187*H187,1)</f>
        <v>0</v>
      </c>
      <c r="BL187" s="18" t="s">
        <v>310</v>
      </c>
      <c r="BM187" s="220" t="s">
        <v>2273</v>
      </c>
    </row>
    <row r="188" s="2" customFormat="1">
      <c r="A188" s="40"/>
      <c r="B188" s="41"/>
      <c r="C188" s="42"/>
      <c r="D188" s="222" t="s">
        <v>209</v>
      </c>
      <c r="E188" s="42"/>
      <c r="F188" s="223" t="s">
        <v>2274</v>
      </c>
      <c r="G188" s="42"/>
      <c r="H188" s="42"/>
      <c r="I188" s="224"/>
      <c r="J188" s="42"/>
      <c r="K188" s="42"/>
      <c r="L188" s="46"/>
      <c r="M188" s="225"/>
      <c r="N188" s="226"/>
      <c r="O188" s="86"/>
      <c r="P188" s="86"/>
      <c r="Q188" s="86"/>
      <c r="R188" s="86"/>
      <c r="S188" s="86"/>
      <c r="T188" s="87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T188" s="18" t="s">
        <v>209</v>
      </c>
      <c r="AU188" s="18" t="s">
        <v>88</v>
      </c>
    </row>
    <row r="189" s="2" customFormat="1" ht="16.5" customHeight="1">
      <c r="A189" s="40"/>
      <c r="B189" s="41"/>
      <c r="C189" s="209" t="s">
        <v>511</v>
      </c>
      <c r="D189" s="209" t="s">
        <v>202</v>
      </c>
      <c r="E189" s="210" t="s">
        <v>2275</v>
      </c>
      <c r="F189" s="211" t="s">
        <v>2276</v>
      </c>
      <c r="G189" s="212" t="s">
        <v>449</v>
      </c>
      <c r="H189" s="213">
        <v>4</v>
      </c>
      <c r="I189" s="214"/>
      <c r="J189" s="215">
        <f>ROUND(I189*H189,1)</f>
        <v>0</v>
      </c>
      <c r="K189" s="211" t="s">
        <v>206</v>
      </c>
      <c r="L189" s="46"/>
      <c r="M189" s="216" t="s">
        <v>32</v>
      </c>
      <c r="N189" s="217" t="s">
        <v>49</v>
      </c>
      <c r="O189" s="86"/>
      <c r="P189" s="218">
        <f>O189*H189</f>
        <v>0</v>
      </c>
      <c r="Q189" s="218">
        <v>0.00014999999999999999</v>
      </c>
      <c r="R189" s="218">
        <f>Q189*H189</f>
        <v>0.00059999999999999995</v>
      </c>
      <c r="S189" s="218">
        <v>0</v>
      </c>
      <c r="T189" s="219">
        <f>S189*H189</f>
        <v>0</v>
      </c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R189" s="220" t="s">
        <v>310</v>
      </c>
      <c r="AT189" s="220" t="s">
        <v>202</v>
      </c>
      <c r="AU189" s="220" t="s">
        <v>88</v>
      </c>
      <c r="AY189" s="18" t="s">
        <v>200</v>
      </c>
      <c r="BE189" s="221">
        <f>IF(N189="základní",J189,0)</f>
        <v>0</v>
      </c>
      <c r="BF189" s="221">
        <f>IF(N189="snížená",J189,0)</f>
        <v>0</v>
      </c>
      <c r="BG189" s="221">
        <f>IF(N189="zákl. přenesená",J189,0)</f>
        <v>0</v>
      </c>
      <c r="BH189" s="221">
        <f>IF(N189="sníž. přenesená",J189,0)</f>
        <v>0</v>
      </c>
      <c r="BI189" s="221">
        <f>IF(N189="nulová",J189,0)</f>
        <v>0</v>
      </c>
      <c r="BJ189" s="18" t="s">
        <v>86</v>
      </c>
      <c r="BK189" s="221">
        <f>ROUND(I189*H189,1)</f>
        <v>0</v>
      </c>
      <c r="BL189" s="18" t="s">
        <v>310</v>
      </c>
      <c r="BM189" s="220" t="s">
        <v>2277</v>
      </c>
    </row>
    <row r="190" s="2" customFormat="1">
      <c r="A190" s="40"/>
      <c r="B190" s="41"/>
      <c r="C190" s="42"/>
      <c r="D190" s="222" t="s">
        <v>209</v>
      </c>
      <c r="E190" s="42"/>
      <c r="F190" s="223" t="s">
        <v>2278</v>
      </c>
      <c r="G190" s="42"/>
      <c r="H190" s="42"/>
      <c r="I190" s="224"/>
      <c r="J190" s="42"/>
      <c r="K190" s="42"/>
      <c r="L190" s="46"/>
      <c r="M190" s="225"/>
      <c r="N190" s="226"/>
      <c r="O190" s="86"/>
      <c r="P190" s="86"/>
      <c r="Q190" s="86"/>
      <c r="R190" s="86"/>
      <c r="S190" s="86"/>
      <c r="T190" s="87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T190" s="18" t="s">
        <v>209</v>
      </c>
      <c r="AU190" s="18" t="s">
        <v>88</v>
      </c>
    </row>
    <row r="191" s="2" customFormat="1" ht="16.5" customHeight="1">
      <c r="A191" s="40"/>
      <c r="B191" s="41"/>
      <c r="C191" s="209" t="s">
        <v>523</v>
      </c>
      <c r="D191" s="209" t="s">
        <v>202</v>
      </c>
      <c r="E191" s="210" t="s">
        <v>2279</v>
      </c>
      <c r="F191" s="211" t="s">
        <v>2280</v>
      </c>
      <c r="G191" s="212" t="s">
        <v>280</v>
      </c>
      <c r="H191" s="213">
        <v>121.90000000000001</v>
      </c>
      <c r="I191" s="214"/>
      <c r="J191" s="215">
        <f>ROUND(I191*H191,1)</f>
        <v>0</v>
      </c>
      <c r="K191" s="211" t="s">
        <v>206</v>
      </c>
      <c r="L191" s="46"/>
      <c r="M191" s="216" t="s">
        <v>32</v>
      </c>
      <c r="N191" s="217" t="s">
        <v>49</v>
      </c>
      <c r="O191" s="86"/>
      <c r="P191" s="218">
        <f>O191*H191</f>
        <v>0</v>
      </c>
      <c r="Q191" s="218">
        <v>0</v>
      </c>
      <c r="R191" s="218">
        <f>Q191*H191</f>
        <v>0</v>
      </c>
      <c r="S191" s="218">
        <v>0</v>
      </c>
      <c r="T191" s="219">
        <f>S191*H191</f>
        <v>0</v>
      </c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R191" s="220" t="s">
        <v>310</v>
      </c>
      <c r="AT191" s="220" t="s">
        <v>202</v>
      </c>
      <c r="AU191" s="220" t="s">
        <v>88</v>
      </c>
      <c r="AY191" s="18" t="s">
        <v>200</v>
      </c>
      <c r="BE191" s="221">
        <f>IF(N191="základní",J191,0)</f>
        <v>0</v>
      </c>
      <c r="BF191" s="221">
        <f>IF(N191="snížená",J191,0)</f>
        <v>0</v>
      </c>
      <c r="BG191" s="221">
        <f>IF(N191="zákl. přenesená",J191,0)</f>
        <v>0</v>
      </c>
      <c r="BH191" s="221">
        <f>IF(N191="sníž. přenesená",J191,0)</f>
        <v>0</v>
      </c>
      <c r="BI191" s="221">
        <f>IF(N191="nulová",J191,0)</f>
        <v>0</v>
      </c>
      <c r="BJ191" s="18" t="s">
        <v>86</v>
      </c>
      <c r="BK191" s="221">
        <f>ROUND(I191*H191,1)</f>
        <v>0</v>
      </c>
      <c r="BL191" s="18" t="s">
        <v>310</v>
      </c>
      <c r="BM191" s="220" t="s">
        <v>2281</v>
      </c>
    </row>
    <row r="192" s="2" customFormat="1">
      <c r="A192" s="40"/>
      <c r="B192" s="41"/>
      <c r="C192" s="42"/>
      <c r="D192" s="222" t="s">
        <v>209</v>
      </c>
      <c r="E192" s="42"/>
      <c r="F192" s="223" t="s">
        <v>2282</v>
      </c>
      <c r="G192" s="42"/>
      <c r="H192" s="42"/>
      <c r="I192" s="224"/>
      <c r="J192" s="42"/>
      <c r="K192" s="42"/>
      <c r="L192" s="46"/>
      <c r="M192" s="225"/>
      <c r="N192" s="226"/>
      <c r="O192" s="86"/>
      <c r="P192" s="86"/>
      <c r="Q192" s="86"/>
      <c r="R192" s="86"/>
      <c r="S192" s="86"/>
      <c r="T192" s="87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T192" s="18" t="s">
        <v>209</v>
      </c>
      <c r="AU192" s="18" t="s">
        <v>88</v>
      </c>
    </row>
    <row r="193" s="13" customFormat="1">
      <c r="A193" s="13"/>
      <c r="B193" s="227"/>
      <c r="C193" s="228"/>
      <c r="D193" s="229" t="s">
        <v>211</v>
      </c>
      <c r="E193" s="230" t="s">
        <v>32</v>
      </c>
      <c r="F193" s="231" t="s">
        <v>2283</v>
      </c>
      <c r="G193" s="228"/>
      <c r="H193" s="232">
        <v>121.90000000000001</v>
      </c>
      <c r="I193" s="233"/>
      <c r="J193" s="228"/>
      <c r="K193" s="228"/>
      <c r="L193" s="234"/>
      <c r="M193" s="235"/>
      <c r="N193" s="236"/>
      <c r="O193" s="236"/>
      <c r="P193" s="236"/>
      <c r="Q193" s="236"/>
      <c r="R193" s="236"/>
      <c r="S193" s="236"/>
      <c r="T193" s="237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38" t="s">
        <v>211</v>
      </c>
      <c r="AU193" s="238" t="s">
        <v>88</v>
      </c>
      <c r="AV193" s="13" t="s">
        <v>88</v>
      </c>
      <c r="AW193" s="13" t="s">
        <v>213</v>
      </c>
      <c r="AX193" s="13" t="s">
        <v>86</v>
      </c>
      <c r="AY193" s="238" t="s">
        <v>200</v>
      </c>
    </row>
    <row r="194" s="2" customFormat="1" ht="16.5" customHeight="1">
      <c r="A194" s="40"/>
      <c r="B194" s="41"/>
      <c r="C194" s="209" t="s">
        <v>528</v>
      </c>
      <c r="D194" s="209" t="s">
        <v>202</v>
      </c>
      <c r="E194" s="210" t="s">
        <v>2284</v>
      </c>
      <c r="F194" s="211" t="s">
        <v>2285</v>
      </c>
      <c r="G194" s="212" t="s">
        <v>280</v>
      </c>
      <c r="H194" s="213">
        <v>79.200000000000003</v>
      </c>
      <c r="I194" s="214"/>
      <c r="J194" s="215">
        <f>ROUND(I194*H194,1)</f>
        <v>0</v>
      </c>
      <c r="K194" s="211" t="s">
        <v>206</v>
      </c>
      <c r="L194" s="46"/>
      <c r="M194" s="216" t="s">
        <v>32</v>
      </c>
      <c r="N194" s="217" t="s">
        <v>49</v>
      </c>
      <c r="O194" s="86"/>
      <c r="P194" s="218">
        <f>O194*H194</f>
        <v>0</v>
      </c>
      <c r="Q194" s="218">
        <v>0</v>
      </c>
      <c r="R194" s="218">
        <f>Q194*H194</f>
        <v>0</v>
      </c>
      <c r="S194" s="218">
        <v>0</v>
      </c>
      <c r="T194" s="219">
        <f>S194*H194</f>
        <v>0</v>
      </c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R194" s="220" t="s">
        <v>310</v>
      </c>
      <c r="AT194" s="220" t="s">
        <v>202</v>
      </c>
      <c r="AU194" s="220" t="s">
        <v>88</v>
      </c>
      <c r="AY194" s="18" t="s">
        <v>200</v>
      </c>
      <c r="BE194" s="221">
        <f>IF(N194="základní",J194,0)</f>
        <v>0</v>
      </c>
      <c r="BF194" s="221">
        <f>IF(N194="snížená",J194,0)</f>
        <v>0</v>
      </c>
      <c r="BG194" s="221">
        <f>IF(N194="zákl. přenesená",J194,0)</f>
        <v>0</v>
      </c>
      <c r="BH194" s="221">
        <f>IF(N194="sníž. přenesená",J194,0)</f>
        <v>0</v>
      </c>
      <c r="BI194" s="221">
        <f>IF(N194="nulová",J194,0)</f>
        <v>0</v>
      </c>
      <c r="BJ194" s="18" t="s">
        <v>86</v>
      </c>
      <c r="BK194" s="221">
        <f>ROUND(I194*H194,1)</f>
        <v>0</v>
      </c>
      <c r="BL194" s="18" t="s">
        <v>310</v>
      </c>
      <c r="BM194" s="220" t="s">
        <v>2286</v>
      </c>
    </row>
    <row r="195" s="2" customFormat="1">
      <c r="A195" s="40"/>
      <c r="B195" s="41"/>
      <c r="C195" s="42"/>
      <c r="D195" s="222" t="s">
        <v>209</v>
      </c>
      <c r="E195" s="42"/>
      <c r="F195" s="223" t="s">
        <v>2287</v>
      </c>
      <c r="G195" s="42"/>
      <c r="H195" s="42"/>
      <c r="I195" s="224"/>
      <c r="J195" s="42"/>
      <c r="K195" s="42"/>
      <c r="L195" s="46"/>
      <c r="M195" s="225"/>
      <c r="N195" s="226"/>
      <c r="O195" s="86"/>
      <c r="P195" s="86"/>
      <c r="Q195" s="86"/>
      <c r="R195" s="86"/>
      <c r="S195" s="86"/>
      <c r="T195" s="87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T195" s="18" t="s">
        <v>209</v>
      </c>
      <c r="AU195" s="18" t="s">
        <v>88</v>
      </c>
    </row>
    <row r="196" s="13" customFormat="1">
      <c r="A196" s="13"/>
      <c r="B196" s="227"/>
      <c r="C196" s="228"/>
      <c r="D196" s="229" t="s">
        <v>211</v>
      </c>
      <c r="E196" s="230" t="s">
        <v>32</v>
      </c>
      <c r="F196" s="231" t="s">
        <v>2288</v>
      </c>
      <c r="G196" s="228"/>
      <c r="H196" s="232">
        <v>79.200000000000003</v>
      </c>
      <c r="I196" s="233"/>
      <c r="J196" s="228"/>
      <c r="K196" s="228"/>
      <c r="L196" s="234"/>
      <c r="M196" s="235"/>
      <c r="N196" s="236"/>
      <c r="O196" s="236"/>
      <c r="P196" s="236"/>
      <c r="Q196" s="236"/>
      <c r="R196" s="236"/>
      <c r="S196" s="236"/>
      <c r="T196" s="237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T196" s="238" t="s">
        <v>211</v>
      </c>
      <c r="AU196" s="238" t="s">
        <v>88</v>
      </c>
      <c r="AV196" s="13" t="s">
        <v>88</v>
      </c>
      <c r="AW196" s="13" t="s">
        <v>213</v>
      </c>
      <c r="AX196" s="13" t="s">
        <v>86</v>
      </c>
      <c r="AY196" s="238" t="s">
        <v>200</v>
      </c>
    </row>
    <row r="197" s="2" customFormat="1" ht="24.15" customHeight="1">
      <c r="A197" s="40"/>
      <c r="B197" s="41"/>
      <c r="C197" s="209" t="s">
        <v>534</v>
      </c>
      <c r="D197" s="209" t="s">
        <v>202</v>
      </c>
      <c r="E197" s="210" t="s">
        <v>2289</v>
      </c>
      <c r="F197" s="211" t="s">
        <v>2290</v>
      </c>
      <c r="G197" s="212" t="s">
        <v>2291</v>
      </c>
      <c r="H197" s="287"/>
      <c r="I197" s="214"/>
      <c r="J197" s="215">
        <f>ROUND(I197*H197,1)</f>
        <v>0</v>
      </c>
      <c r="K197" s="211" t="s">
        <v>206</v>
      </c>
      <c r="L197" s="46"/>
      <c r="M197" s="216" t="s">
        <v>32</v>
      </c>
      <c r="N197" s="217" t="s">
        <v>49</v>
      </c>
      <c r="O197" s="86"/>
      <c r="P197" s="218">
        <f>O197*H197</f>
        <v>0</v>
      </c>
      <c r="Q197" s="218">
        <v>0</v>
      </c>
      <c r="R197" s="218">
        <f>Q197*H197</f>
        <v>0</v>
      </c>
      <c r="S197" s="218">
        <v>0</v>
      </c>
      <c r="T197" s="219">
        <f>S197*H197</f>
        <v>0</v>
      </c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0" t="s">
        <v>310</v>
      </c>
      <c r="AT197" s="220" t="s">
        <v>202</v>
      </c>
      <c r="AU197" s="220" t="s">
        <v>88</v>
      </c>
      <c r="AY197" s="18" t="s">
        <v>200</v>
      </c>
      <c r="BE197" s="221">
        <f>IF(N197="základní",J197,0)</f>
        <v>0</v>
      </c>
      <c r="BF197" s="221">
        <f>IF(N197="snížená",J197,0)</f>
        <v>0</v>
      </c>
      <c r="BG197" s="221">
        <f>IF(N197="zákl. přenesená",J197,0)</f>
        <v>0</v>
      </c>
      <c r="BH197" s="221">
        <f>IF(N197="sníž. přenesená",J197,0)</f>
        <v>0</v>
      </c>
      <c r="BI197" s="221">
        <f>IF(N197="nulová",J197,0)</f>
        <v>0</v>
      </c>
      <c r="BJ197" s="18" t="s">
        <v>86</v>
      </c>
      <c r="BK197" s="221">
        <f>ROUND(I197*H197,1)</f>
        <v>0</v>
      </c>
      <c r="BL197" s="18" t="s">
        <v>310</v>
      </c>
      <c r="BM197" s="220" t="s">
        <v>2292</v>
      </c>
    </row>
    <row r="198" s="2" customFormat="1">
      <c r="A198" s="40"/>
      <c r="B198" s="41"/>
      <c r="C198" s="42"/>
      <c r="D198" s="222" t="s">
        <v>209</v>
      </c>
      <c r="E198" s="42"/>
      <c r="F198" s="223" t="s">
        <v>2293</v>
      </c>
      <c r="G198" s="42"/>
      <c r="H198" s="42"/>
      <c r="I198" s="224"/>
      <c r="J198" s="42"/>
      <c r="K198" s="42"/>
      <c r="L198" s="46"/>
      <c r="M198" s="225"/>
      <c r="N198" s="226"/>
      <c r="O198" s="86"/>
      <c r="P198" s="86"/>
      <c r="Q198" s="86"/>
      <c r="R198" s="86"/>
      <c r="S198" s="86"/>
      <c r="T198" s="87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T198" s="18" t="s">
        <v>209</v>
      </c>
      <c r="AU198" s="18" t="s">
        <v>88</v>
      </c>
    </row>
    <row r="199" s="12" customFormat="1" ht="22.8" customHeight="1">
      <c r="A199" s="12"/>
      <c r="B199" s="193"/>
      <c r="C199" s="194"/>
      <c r="D199" s="195" t="s">
        <v>77</v>
      </c>
      <c r="E199" s="207" t="s">
        <v>1089</v>
      </c>
      <c r="F199" s="207" t="s">
        <v>1090</v>
      </c>
      <c r="G199" s="194"/>
      <c r="H199" s="194"/>
      <c r="I199" s="197"/>
      <c r="J199" s="208">
        <f>BK199</f>
        <v>0</v>
      </c>
      <c r="K199" s="194"/>
      <c r="L199" s="199"/>
      <c r="M199" s="200"/>
      <c r="N199" s="201"/>
      <c r="O199" s="201"/>
      <c r="P199" s="202">
        <f>SUM(P200:P250)</f>
        <v>0</v>
      </c>
      <c r="Q199" s="201"/>
      <c r="R199" s="202">
        <f>SUM(R200:R250)</f>
        <v>0.64370099999999997</v>
      </c>
      <c r="S199" s="201"/>
      <c r="T199" s="203">
        <f>SUM(T200:T250)</f>
        <v>0</v>
      </c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R199" s="204" t="s">
        <v>88</v>
      </c>
      <c r="AT199" s="205" t="s">
        <v>77</v>
      </c>
      <c r="AU199" s="205" t="s">
        <v>86</v>
      </c>
      <c r="AY199" s="204" t="s">
        <v>200</v>
      </c>
      <c r="BK199" s="206">
        <f>SUM(BK200:BK250)</f>
        <v>0</v>
      </c>
    </row>
    <row r="200" s="2" customFormat="1" ht="16.5" customHeight="1">
      <c r="A200" s="40"/>
      <c r="B200" s="41"/>
      <c r="C200" s="209" t="s">
        <v>542</v>
      </c>
      <c r="D200" s="209" t="s">
        <v>202</v>
      </c>
      <c r="E200" s="210" t="s">
        <v>2294</v>
      </c>
      <c r="F200" s="211" t="s">
        <v>2295</v>
      </c>
      <c r="G200" s="212" t="s">
        <v>280</v>
      </c>
      <c r="H200" s="213">
        <v>28.199999999999999</v>
      </c>
      <c r="I200" s="214"/>
      <c r="J200" s="215">
        <f>ROUND(I200*H200,1)</f>
        <v>0</v>
      </c>
      <c r="K200" s="211" t="s">
        <v>206</v>
      </c>
      <c r="L200" s="46"/>
      <c r="M200" s="216" t="s">
        <v>32</v>
      </c>
      <c r="N200" s="217" t="s">
        <v>49</v>
      </c>
      <c r="O200" s="86"/>
      <c r="P200" s="218">
        <f>O200*H200</f>
        <v>0</v>
      </c>
      <c r="Q200" s="218">
        <v>0.0045100000000000001</v>
      </c>
      <c r="R200" s="218">
        <f>Q200*H200</f>
        <v>0.12718199999999999</v>
      </c>
      <c r="S200" s="218">
        <v>0</v>
      </c>
      <c r="T200" s="219">
        <f>S200*H200</f>
        <v>0</v>
      </c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R200" s="220" t="s">
        <v>310</v>
      </c>
      <c r="AT200" s="220" t="s">
        <v>202</v>
      </c>
      <c r="AU200" s="220" t="s">
        <v>88</v>
      </c>
      <c r="AY200" s="18" t="s">
        <v>200</v>
      </c>
      <c r="BE200" s="221">
        <f>IF(N200="základní",J200,0)</f>
        <v>0</v>
      </c>
      <c r="BF200" s="221">
        <f>IF(N200="snížená",J200,0)</f>
        <v>0</v>
      </c>
      <c r="BG200" s="221">
        <f>IF(N200="zákl. přenesená",J200,0)</f>
        <v>0</v>
      </c>
      <c r="BH200" s="221">
        <f>IF(N200="sníž. přenesená",J200,0)</f>
        <v>0</v>
      </c>
      <c r="BI200" s="221">
        <f>IF(N200="nulová",J200,0)</f>
        <v>0</v>
      </c>
      <c r="BJ200" s="18" t="s">
        <v>86</v>
      </c>
      <c r="BK200" s="221">
        <f>ROUND(I200*H200,1)</f>
        <v>0</v>
      </c>
      <c r="BL200" s="18" t="s">
        <v>310</v>
      </c>
      <c r="BM200" s="220" t="s">
        <v>2296</v>
      </c>
    </row>
    <row r="201" s="2" customFormat="1">
      <c r="A201" s="40"/>
      <c r="B201" s="41"/>
      <c r="C201" s="42"/>
      <c r="D201" s="222" t="s">
        <v>209</v>
      </c>
      <c r="E201" s="42"/>
      <c r="F201" s="223" t="s">
        <v>2297</v>
      </c>
      <c r="G201" s="42"/>
      <c r="H201" s="42"/>
      <c r="I201" s="224"/>
      <c r="J201" s="42"/>
      <c r="K201" s="42"/>
      <c r="L201" s="46"/>
      <c r="M201" s="225"/>
      <c r="N201" s="226"/>
      <c r="O201" s="86"/>
      <c r="P201" s="86"/>
      <c r="Q201" s="86"/>
      <c r="R201" s="86"/>
      <c r="S201" s="86"/>
      <c r="T201" s="87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T201" s="18" t="s">
        <v>209</v>
      </c>
      <c r="AU201" s="18" t="s">
        <v>88</v>
      </c>
    </row>
    <row r="202" s="2" customFormat="1" ht="16.5" customHeight="1">
      <c r="A202" s="40"/>
      <c r="B202" s="41"/>
      <c r="C202" s="260" t="s">
        <v>549</v>
      </c>
      <c r="D202" s="260" t="s">
        <v>292</v>
      </c>
      <c r="E202" s="261" t="s">
        <v>2298</v>
      </c>
      <c r="F202" s="262" t="s">
        <v>2299</v>
      </c>
      <c r="G202" s="263" t="s">
        <v>449</v>
      </c>
      <c r="H202" s="264">
        <v>71</v>
      </c>
      <c r="I202" s="265"/>
      <c r="J202" s="266">
        <f>ROUND(I202*H202,1)</f>
        <v>0</v>
      </c>
      <c r="K202" s="262" t="s">
        <v>206</v>
      </c>
      <c r="L202" s="267"/>
      <c r="M202" s="268" t="s">
        <v>32</v>
      </c>
      <c r="N202" s="269" t="s">
        <v>49</v>
      </c>
      <c r="O202" s="86"/>
      <c r="P202" s="218">
        <f>O202*H202</f>
        <v>0</v>
      </c>
      <c r="Q202" s="218">
        <v>2.0000000000000002E-05</v>
      </c>
      <c r="R202" s="218">
        <f>Q202*H202</f>
        <v>0.00142</v>
      </c>
      <c r="S202" s="218">
        <v>0</v>
      </c>
      <c r="T202" s="219">
        <f>S202*H202</f>
        <v>0</v>
      </c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R202" s="220" t="s">
        <v>429</v>
      </c>
      <c r="AT202" s="220" t="s">
        <v>292</v>
      </c>
      <c r="AU202" s="220" t="s">
        <v>88</v>
      </c>
      <c r="AY202" s="18" t="s">
        <v>200</v>
      </c>
      <c r="BE202" s="221">
        <f>IF(N202="základní",J202,0)</f>
        <v>0</v>
      </c>
      <c r="BF202" s="221">
        <f>IF(N202="snížená",J202,0)</f>
        <v>0</v>
      </c>
      <c r="BG202" s="221">
        <f>IF(N202="zákl. přenesená",J202,0)</f>
        <v>0</v>
      </c>
      <c r="BH202" s="221">
        <f>IF(N202="sníž. přenesená",J202,0)</f>
        <v>0</v>
      </c>
      <c r="BI202" s="221">
        <f>IF(N202="nulová",J202,0)</f>
        <v>0</v>
      </c>
      <c r="BJ202" s="18" t="s">
        <v>86</v>
      </c>
      <c r="BK202" s="221">
        <f>ROUND(I202*H202,1)</f>
        <v>0</v>
      </c>
      <c r="BL202" s="18" t="s">
        <v>310</v>
      </c>
      <c r="BM202" s="220" t="s">
        <v>2300</v>
      </c>
    </row>
    <row r="203" s="2" customFormat="1" ht="16.5" customHeight="1">
      <c r="A203" s="40"/>
      <c r="B203" s="41"/>
      <c r="C203" s="260" t="s">
        <v>555</v>
      </c>
      <c r="D203" s="260" t="s">
        <v>292</v>
      </c>
      <c r="E203" s="261" t="s">
        <v>2301</v>
      </c>
      <c r="F203" s="262" t="s">
        <v>2302</v>
      </c>
      <c r="G203" s="263" t="s">
        <v>449</v>
      </c>
      <c r="H203" s="264">
        <v>16</v>
      </c>
      <c r="I203" s="265"/>
      <c r="J203" s="266">
        <f>ROUND(I203*H203,1)</f>
        <v>0</v>
      </c>
      <c r="K203" s="262" t="s">
        <v>206</v>
      </c>
      <c r="L203" s="267"/>
      <c r="M203" s="268" t="s">
        <v>32</v>
      </c>
      <c r="N203" s="269" t="s">
        <v>49</v>
      </c>
      <c r="O203" s="86"/>
      <c r="P203" s="218">
        <f>O203*H203</f>
        <v>0</v>
      </c>
      <c r="Q203" s="218">
        <v>3.0000000000000001E-05</v>
      </c>
      <c r="R203" s="218">
        <f>Q203*H203</f>
        <v>0.00048000000000000001</v>
      </c>
      <c r="S203" s="218">
        <v>0</v>
      </c>
      <c r="T203" s="219">
        <f>S203*H203</f>
        <v>0</v>
      </c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R203" s="220" t="s">
        <v>429</v>
      </c>
      <c r="AT203" s="220" t="s">
        <v>292</v>
      </c>
      <c r="AU203" s="220" t="s">
        <v>88</v>
      </c>
      <c r="AY203" s="18" t="s">
        <v>200</v>
      </c>
      <c r="BE203" s="221">
        <f>IF(N203="základní",J203,0)</f>
        <v>0</v>
      </c>
      <c r="BF203" s="221">
        <f>IF(N203="snížená",J203,0)</f>
        <v>0</v>
      </c>
      <c r="BG203" s="221">
        <f>IF(N203="zákl. přenesená",J203,0)</f>
        <v>0</v>
      </c>
      <c r="BH203" s="221">
        <f>IF(N203="sníž. přenesená",J203,0)</f>
        <v>0</v>
      </c>
      <c r="BI203" s="221">
        <f>IF(N203="nulová",J203,0)</f>
        <v>0</v>
      </c>
      <c r="BJ203" s="18" t="s">
        <v>86</v>
      </c>
      <c r="BK203" s="221">
        <f>ROUND(I203*H203,1)</f>
        <v>0</v>
      </c>
      <c r="BL203" s="18" t="s">
        <v>310</v>
      </c>
      <c r="BM203" s="220" t="s">
        <v>2303</v>
      </c>
    </row>
    <row r="204" s="2" customFormat="1" ht="16.5" customHeight="1">
      <c r="A204" s="40"/>
      <c r="B204" s="41"/>
      <c r="C204" s="260" t="s">
        <v>560</v>
      </c>
      <c r="D204" s="260" t="s">
        <v>292</v>
      </c>
      <c r="E204" s="261" t="s">
        <v>2304</v>
      </c>
      <c r="F204" s="262" t="s">
        <v>2305</v>
      </c>
      <c r="G204" s="263" t="s">
        <v>449</v>
      </c>
      <c r="H204" s="264">
        <v>1</v>
      </c>
      <c r="I204" s="265"/>
      <c r="J204" s="266">
        <f>ROUND(I204*H204,1)</f>
        <v>0</v>
      </c>
      <c r="K204" s="262" t="s">
        <v>206</v>
      </c>
      <c r="L204" s="267"/>
      <c r="M204" s="268" t="s">
        <v>32</v>
      </c>
      <c r="N204" s="269" t="s">
        <v>49</v>
      </c>
      <c r="O204" s="86"/>
      <c r="P204" s="218">
        <f>O204*H204</f>
        <v>0</v>
      </c>
      <c r="Q204" s="218">
        <v>0.00012</v>
      </c>
      <c r="R204" s="218">
        <f>Q204*H204</f>
        <v>0.00012</v>
      </c>
      <c r="S204" s="218">
        <v>0</v>
      </c>
      <c r="T204" s="219">
        <f>S204*H204</f>
        <v>0</v>
      </c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R204" s="220" t="s">
        <v>429</v>
      </c>
      <c r="AT204" s="220" t="s">
        <v>292</v>
      </c>
      <c r="AU204" s="220" t="s">
        <v>88</v>
      </c>
      <c r="AY204" s="18" t="s">
        <v>200</v>
      </c>
      <c r="BE204" s="221">
        <f>IF(N204="základní",J204,0)</f>
        <v>0</v>
      </c>
      <c r="BF204" s="221">
        <f>IF(N204="snížená",J204,0)</f>
        <v>0</v>
      </c>
      <c r="BG204" s="221">
        <f>IF(N204="zákl. přenesená",J204,0)</f>
        <v>0</v>
      </c>
      <c r="BH204" s="221">
        <f>IF(N204="sníž. přenesená",J204,0)</f>
        <v>0</v>
      </c>
      <c r="BI204" s="221">
        <f>IF(N204="nulová",J204,0)</f>
        <v>0</v>
      </c>
      <c r="BJ204" s="18" t="s">
        <v>86</v>
      </c>
      <c r="BK204" s="221">
        <f>ROUND(I204*H204,1)</f>
        <v>0</v>
      </c>
      <c r="BL204" s="18" t="s">
        <v>310</v>
      </c>
      <c r="BM204" s="220" t="s">
        <v>2306</v>
      </c>
    </row>
    <row r="205" s="2" customFormat="1" ht="16.5" customHeight="1">
      <c r="A205" s="40"/>
      <c r="B205" s="41"/>
      <c r="C205" s="260" t="s">
        <v>565</v>
      </c>
      <c r="D205" s="260" t="s">
        <v>292</v>
      </c>
      <c r="E205" s="261" t="s">
        <v>2307</v>
      </c>
      <c r="F205" s="262" t="s">
        <v>2308</v>
      </c>
      <c r="G205" s="263" t="s">
        <v>449</v>
      </c>
      <c r="H205" s="264">
        <v>2</v>
      </c>
      <c r="I205" s="265"/>
      <c r="J205" s="266">
        <f>ROUND(I205*H205,1)</f>
        <v>0</v>
      </c>
      <c r="K205" s="262" t="s">
        <v>206</v>
      </c>
      <c r="L205" s="267"/>
      <c r="M205" s="268" t="s">
        <v>32</v>
      </c>
      <c r="N205" s="269" t="s">
        <v>49</v>
      </c>
      <c r="O205" s="86"/>
      <c r="P205" s="218">
        <f>O205*H205</f>
        <v>0</v>
      </c>
      <c r="Q205" s="218">
        <v>0.00020000000000000001</v>
      </c>
      <c r="R205" s="218">
        <f>Q205*H205</f>
        <v>0.00040000000000000002</v>
      </c>
      <c r="S205" s="218">
        <v>0</v>
      </c>
      <c r="T205" s="219">
        <f>S205*H205</f>
        <v>0</v>
      </c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R205" s="220" t="s">
        <v>429</v>
      </c>
      <c r="AT205" s="220" t="s">
        <v>292</v>
      </c>
      <c r="AU205" s="220" t="s">
        <v>88</v>
      </c>
      <c r="AY205" s="18" t="s">
        <v>200</v>
      </c>
      <c r="BE205" s="221">
        <f>IF(N205="základní",J205,0)</f>
        <v>0</v>
      </c>
      <c r="BF205" s="221">
        <f>IF(N205="snížená",J205,0)</f>
        <v>0</v>
      </c>
      <c r="BG205" s="221">
        <f>IF(N205="zákl. přenesená",J205,0)</f>
        <v>0</v>
      </c>
      <c r="BH205" s="221">
        <f>IF(N205="sníž. přenesená",J205,0)</f>
        <v>0</v>
      </c>
      <c r="BI205" s="221">
        <f>IF(N205="nulová",J205,0)</f>
        <v>0</v>
      </c>
      <c r="BJ205" s="18" t="s">
        <v>86</v>
      </c>
      <c r="BK205" s="221">
        <f>ROUND(I205*H205,1)</f>
        <v>0</v>
      </c>
      <c r="BL205" s="18" t="s">
        <v>310</v>
      </c>
      <c r="BM205" s="220" t="s">
        <v>2309</v>
      </c>
    </row>
    <row r="206" s="2" customFormat="1" ht="16.5" customHeight="1">
      <c r="A206" s="40"/>
      <c r="B206" s="41"/>
      <c r="C206" s="260" t="s">
        <v>570</v>
      </c>
      <c r="D206" s="260" t="s">
        <v>292</v>
      </c>
      <c r="E206" s="261" t="s">
        <v>2310</v>
      </c>
      <c r="F206" s="262" t="s">
        <v>2311</v>
      </c>
      <c r="G206" s="263" t="s">
        <v>449</v>
      </c>
      <c r="H206" s="264">
        <v>5</v>
      </c>
      <c r="I206" s="265"/>
      <c r="J206" s="266">
        <f>ROUND(I206*H206,1)</f>
        <v>0</v>
      </c>
      <c r="K206" s="262" t="s">
        <v>206</v>
      </c>
      <c r="L206" s="267"/>
      <c r="M206" s="268" t="s">
        <v>32</v>
      </c>
      <c r="N206" s="269" t="s">
        <v>49</v>
      </c>
      <c r="O206" s="86"/>
      <c r="P206" s="218">
        <f>O206*H206</f>
        <v>0</v>
      </c>
      <c r="Q206" s="218">
        <v>3.0000000000000001E-05</v>
      </c>
      <c r="R206" s="218">
        <f>Q206*H206</f>
        <v>0.00015000000000000001</v>
      </c>
      <c r="S206" s="218">
        <v>0</v>
      </c>
      <c r="T206" s="219">
        <f>S206*H206</f>
        <v>0</v>
      </c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R206" s="220" t="s">
        <v>429</v>
      </c>
      <c r="AT206" s="220" t="s">
        <v>292</v>
      </c>
      <c r="AU206" s="220" t="s">
        <v>88</v>
      </c>
      <c r="AY206" s="18" t="s">
        <v>200</v>
      </c>
      <c r="BE206" s="221">
        <f>IF(N206="základní",J206,0)</f>
        <v>0</v>
      </c>
      <c r="BF206" s="221">
        <f>IF(N206="snížená",J206,0)</f>
        <v>0</v>
      </c>
      <c r="BG206" s="221">
        <f>IF(N206="zákl. přenesená",J206,0)</f>
        <v>0</v>
      </c>
      <c r="BH206" s="221">
        <f>IF(N206="sníž. přenesená",J206,0)</f>
        <v>0</v>
      </c>
      <c r="BI206" s="221">
        <f>IF(N206="nulová",J206,0)</f>
        <v>0</v>
      </c>
      <c r="BJ206" s="18" t="s">
        <v>86</v>
      </c>
      <c r="BK206" s="221">
        <f>ROUND(I206*H206,1)</f>
        <v>0</v>
      </c>
      <c r="BL206" s="18" t="s">
        <v>310</v>
      </c>
      <c r="BM206" s="220" t="s">
        <v>2312</v>
      </c>
    </row>
    <row r="207" s="2" customFormat="1" ht="16.5" customHeight="1">
      <c r="A207" s="40"/>
      <c r="B207" s="41"/>
      <c r="C207" s="260" t="s">
        <v>575</v>
      </c>
      <c r="D207" s="260" t="s">
        <v>292</v>
      </c>
      <c r="E207" s="261" t="s">
        <v>2313</v>
      </c>
      <c r="F207" s="262" t="s">
        <v>2314</v>
      </c>
      <c r="G207" s="263" t="s">
        <v>449</v>
      </c>
      <c r="H207" s="264">
        <v>2</v>
      </c>
      <c r="I207" s="265"/>
      <c r="J207" s="266">
        <f>ROUND(I207*H207,1)</f>
        <v>0</v>
      </c>
      <c r="K207" s="262" t="s">
        <v>206</v>
      </c>
      <c r="L207" s="267"/>
      <c r="M207" s="268" t="s">
        <v>32</v>
      </c>
      <c r="N207" s="269" t="s">
        <v>49</v>
      </c>
      <c r="O207" s="86"/>
      <c r="P207" s="218">
        <f>O207*H207</f>
        <v>0</v>
      </c>
      <c r="Q207" s="218">
        <v>6.0000000000000002E-05</v>
      </c>
      <c r="R207" s="218">
        <f>Q207*H207</f>
        <v>0.00012</v>
      </c>
      <c r="S207" s="218">
        <v>0</v>
      </c>
      <c r="T207" s="219">
        <f>S207*H207</f>
        <v>0</v>
      </c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R207" s="220" t="s">
        <v>429</v>
      </c>
      <c r="AT207" s="220" t="s">
        <v>292</v>
      </c>
      <c r="AU207" s="220" t="s">
        <v>88</v>
      </c>
      <c r="AY207" s="18" t="s">
        <v>200</v>
      </c>
      <c r="BE207" s="221">
        <f>IF(N207="základní",J207,0)</f>
        <v>0</v>
      </c>
      <c r="BF207" s="221">
        <f>IF(N207="snížená",J207,0)</f>
        <v>0</v>
      </c>
      <c r="BG207" s="221">
        <f>IF(N207="zákl. přenesená",J207,0)</f>
        <v>0</v>
      </c>
      <c r="BH207" s="221">
        <f>IF(N207="sníž. přenesená",J207,0)</f>
        <v>0</v>
      </c>
      <c r="BI207" s="221">
        <f>IF(N207="nulová",J207,0)</f>
        <v>0</v>
      </c>
      <c r="BJ207" s="18" t="s">
        <v>86</v>
      </c>
      <c r="BK207" s="221">
        <f>ROUND(I207*H207,1)</f>
        <v>0</v>
      </c>
      <c r="BL207" s="18" t="s">
        <v>310</v>
      </c>
      <c r="BM207" s="220" t="s">
        <v>2315</v>
      </c>
    </row>
    <row r="208" s="2" customFormat="1" ht="16.5" customHeight="1">
      <c r="A208" s="40"/>
      <c r="B208" s="41"/>
      <c r="C208" s="260" t="s">
        <v>581</v>
      </c>
      <c r="D208" s="260" t="s">
        <v>292</v>
      </c>
      <c r="E208" s="261" t="s">
        <v>2316</v>
      </c>
      <c r="F208" s="262" t="s">
        <v>2317</v>
      </c>
      <c r="G208" s="263" t="s">
        <v>449</v>
      </c>
      <c r="H208" s="264">
        <v>8</v>
      </c>
      <c r="I208" s="265"/>
      <c r="J208" s="266">
        <f>ROUND(I208*H208,1)</f>
        <v>0</v>
      </c>
      <c r="K208" s="262" t="s">
        <v>206</v>
      </c>
      <c r="L208" s="267"/>
      <c r="M208" s="268" t="s">
        <v>32</v>
      </c>
      <c r="N208" s="269" t="s">
        <v>49</v>
      </c>
      <c r="O208" s="86"/>
      <c r="P208" s="218">
        <f>O208*H208</f>
        <v>0</v>
      </c>
      <c r="Q208" s="218">
        <v>8.0000000000000007E-05</v>
      </c>
      <c r="R208" s="218">
        <f>Q208*H208</f>
        <v>0.00064000000000000005</v>
      </c>
      <c r="S208" s="218">
        <v>0</v>
      </c>
      <c r="T208" s="219">
        <f>S208*H208</f>
        <v>0</v>
      </c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R208" s="220" t="s">
        <v>429</v>
      </c>
      <c r="AT208" s="220" t="s">
        <v>292</v>
      </c>
      <c r="AU208" s="220" t="s">
        <v>88</v>
      </c>
      <c r="AY208" s="18" t="s">
        <v>200</v>
      </c>
      <c r="BE208" s="221">
        <f>IF(N208="základní",J208,0)</f>
        <v>0</v>
      </c>
      <c r="BF208" s="221">
        <f>IF(N208="snížená",J208,0)</f>
        <v>0</v>
      </c>
      <c r="BG208" s="221">
        <f>IF(N208="zákl. přenesená",J208,0)</f>
        <v>0</v>
      </c>
      <c r="BH208" s="221">
        <f>IF(N208="sníž. přenesená",J208,0)</f>
        <v>0</v>
      </c>
      <c r="BI208" s="221">
        <f>IF(N208="nulová",J208,0)</f>
        <v>0</v>
      </c>
      <c r="BJ208" s="18" t="s">
        <v>86</v>
      </c>
      <c r="BK208" s="221">
        <f>ROUND(I208*H208,1)</f>
        <v>0</v>
      </c>
      <c r="BL208" s="18" t="s">
        <v>310</v>
      </c>
      <c r="BM208" s="220" t="s">
        <v>2318</v>
      </c>
    </row>
    <row r="209" s="2" customFormat="1" ht="16.5" customHeight="1">
      <c r="A209" s="40"/>
      <c r="B209" s="41"/>
      <c r="C209" s="260" t="s">
        <v>587</v>
      </c>
      <c r="D209" s="260" t="s">
        <v>292</v>
      </c>
      <c r="E209" s="261" t="s">
        <v>2319</v>
      </c>
      <c r="F209" s="262" t="s">
        <v>2320</v>
      </c>
      <c r="G209" s="263" t="s">
        <v>449</v>
      </c>
      <c r="H209" s="264">
        <v>8</v>
      </c>
      <c r="I209" s="265"/>
      <c r="J209" s="266">
        <f>ROUND(I209*H209,1)</f>
        <v>0</v>
      </c>
      <c r="K209" s="262" t="s">
        <v>206</v>
      </c>
      <c r="L209" s="267"/>
      <c r="M209" s="268" t="s">
        <v>32</v>
      </c>
      <c r="N209" s="269" t="s">
        <v>49</v>
      </c>
      <c r="O209" s="86"/>
      <c r="P209" s="218">
        <f>O209*H209</f>
        <v>0</v>
      </c>
      <c r="Q209" s="218">
        <v>0.00018000000000000001</v>
      </c>
      <c r="R209" s="218">
        <f>Q209*H209</f>
        <v>0.0014400000000000001</v>
      </c>
      <c r="S209" s="218">
        <v>0</v>
      </c>
      <c r="T209" s="219">
        <f>S209*H209</f>
        <v>0</v>
      </c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R209" s="220" t="s">
        <v>429</v>
      </c>
      <c r="AT209" s="220" t="s">
        <v>292</v>
      </c>
      <c r="AU209" s="220" t="s">
        <v>88</v>
      </c>
      <c r="AY209" s="18" t="s">
        <v>200</v>
      </c>
      <c r="BE209" s="221">
        <f>IF(N209="základní",J209,0)</f>
        <v>0</v>
      </c>
      <c r="BF209" s="221">
        <f>IF(N209="snížená",J209,0)</f>
        <v>0</v>
      </c>
      <c r="BG209" s="221">
        <f>IF(N209="zákl. přenesená",J209,0)</f>
        <v>0</v>
      </c>
      <c r="BH209" s="221">
        <f>IF(N209="sníž. přenesená",J209,0)</f>
        <v>0</v>
      </c>
      <c r="BI209" s="221">
        <f>IF(N209="nulová",J209,0)</f>
        <v>0</v>
      </c>
      <c r="BJ209" s="18" t="s">
        <v>86</v>
      </c>
      <c r="BK209" s="221">
        <f>ROUND(I209*H209,1)</f>
        <v>0</v>
      </c>
      <c r="BL209" s="18" t="s">
        <v>310</v>
      </c>
      <c r="BM209" s="220" t="s">
        <v>2321</v>
      </c>
    </row>
    <row r="210" s="2" customFormat="1" ht="16.5" customHeight="1">
      <c r="A210" s="40"/>
      <c r="B210" s="41"/>
      <c r="C210" s="260" t="s">
        <v>593</v>
      </c>
      <c r="D210" s="260" t="s">
        <v>292</v>
      </c>
      <c r="E210" s="261" t="s">
        <v>2322</v>
      </c>
      <c r="F210" s="262" t="s">
        <v>2323</v>
      </c>
      <c r="G210" s="263" t="s">
        <v>449</v>
      </c>
      <c r="H210" s="264">
        <v>1</v>
      </c>
      <c r="I210" s="265"/>
      <c r="J210" s="266">
        <f>ROUND(I210*H210,1)</f>
        <v>0</v>
      </c>
      <c r="K210" s="262" t="s">
        <v>206</v>
      </c>
      <c r="L210" s="267"/>
      <c r="M210" s="268" t="s">
        <v>32</v>
      </c>
      <c r="N210" s="269" t="s">
        <v>49</v>
      </c>
      <c r="O210" s="86"/>
      <c r="P210" s="218">
        <f>O210*H210</f>
        <v>0</v>
      </c>
      <c r="Q210" s="218">
        <v>0.00020000000000000001</v>
      </c>
      <c r="R210" s="218">
        <f>Q210*H210</f>
        <v>0.00020000000000000001</v>
      </c>
      <c r="S210" s="218">
        <v>0</v>
      </c>
      <c r="T210" s="219">
        <f>S210*H210</f>
        <v>0</v>
      </c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R210" s="220" t="s">
        <v>429</v>
      </c>
      <c r="AT210" s="220" t="s">
        <v>292</v>
      </c>
      <c r="AU210" s="220" t="s">
        <v>88</v>
      </c>
      <c r="AY210" s="18" t="s">
        <v>200</v>
      </c>
      <c r="BE210" s="221">
        <f>IF(N210="základní",J210,0)</f>
        <v>0</v>
      </c>
      <c r="BF210" s="221">
        <f>IF(N210="snížená",J210,0)</f>
        <v>0</v>
      </c>
      <c r="BG210" s="221">
        <f>IF(N210="zákl. přenesená",J210,0)</f>
        <v>0</v>
      </c>
      <c r="BH210" s="221">
        <f>IF(N210="sníž. přenesená",J210,0)</f>
        <v>0</v>
      </c>
      <c r="BI210" s="221">
        <f>IF(N210="nulová",J210,0)</f>
        <v>0</v>
      </c>
      <c r="BJ210" s="18" t="s">
        <v>86</v>
      </c>
      <c r="BK210" s="221">
        <f>ROUND(I210*H210,1)</f>
        <v>0</v>
      </c>
      <c r="BL210" s="18" t="s">
        <v>310</v>
      </c>
      <c r="BM210" s="220" t="s">
        <v>2324</v>
      </c>
    </row>
    <row r="211" s="2" customFormat="1" ht="16.5" customHeight="1">
      <c r="A211" s="40"/>
      <c r="B211" s="41"/>
      <c r="C211" s="260" t="s">
        <v>599</v>
      </c>
      <c r="D211" s="260" t="s">
        <v>292</v>
      </c>
      <c r="E211" s="261" t="s">
        <v>2325</v>
      </c>
      <c r="F211" s="262" t="s">
        <v>2326</v>
      </c>
      <c r="G211" s="263" t="s">
        <v>449</v>
      </c>
      <c r="H211" s="264">
        <v>1</v>
      </c>
      <c r="I211" s="265"/>
      <c r="J211" s="266">
        <f>ROUND(I211*H211,1)</f>
        <v>0</v>
      </c>
      <c r="K211" s="262" t="s">
        <v>206</v>
      </c>
      <c r="L211" s="267"/>
      <c r="M211" s="268" t="s">
        <v>32</v>
      </c>
      <c r="N211" s="269" t="s">
        <v>49</v>
      </c>
      <c r="O211" s="86"/>
      <c r="P211" s="218">
        <f>O211*H211</f>
        <v>0</v>
      </c>
      <c r="Q211" s="218">
        <v>3.0000000000000001E-05</v>
      </c>
      <c r="R211" s="218">
        <f>Q211*H211</f>
        <v>3.0000000000000001E-05</v>
      </c>
      <c r="S211" s="218">
        <v>0</v>
      </c>
      <c r="T211" s="219">
        <f>S211*H211</f>
        <v>0</v>
      </c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R211" s="220" t="s">
        <v>429</v>
      </c>
      <c r="AT211" s="220" t="s">
        <v>292</v>
      </c>
      <c r="AU211" s="220" t="s">
        <v>88</v>
      </c>
      <c r="AY211" s="18" t="s">
        <v>200</v>
      </c>
      <c r="BE211" s="221">
        <f>IF(N211="základní",J211,0)</f>
        <v>0</v>
      </c>
      <c r="BF211" s="221">
        <f>IF(N211="snížená",J211,0)</f>
        <v>0</v>
      </c>
      <c r="BG211" s="221">
        <f>IF(N211="zákl. přenesená",J211,0)</f>
        <v>0</v>
      </c>
      <c r="BH211" s="221">
        <f>IF(N211="sníž. přenesená",J211,0)</f>
        <v>0</v>
      </c>
      <c r="BI211" s="221">
        <f>IF(N211="nulová",J211,0)</f>
        <v>0</v>
      </c>
      <c r="BJ211" s="18" t="s">
        <v>86</v>
      </c>
      <c r="BK211" s="221">
        <f>ROUND(I211*H211,1)</f>
        <v>0</v>
      </c>
      <c r="BL211" s="18" t="s">
        <v>310</v>
      </c>
      <c r="BM211" s="220" t="s">
        <v>2327</v>
      </c>
    </row>
    <row r="212" s="2" customFormat="1" ht="16.5" customHeight="1">
      <c r="A212" s="40"/>
      <c r="B212" s="41"/>
      <c r="C212" s="260" t="s">
        <v>604</v>
      </c>
      <c r="D212" s="260" t="s">
        <v>292</v>
      </c>
      <c r="E212" s="261" t="s">
        <v>2328</v>
      </c>
      <c r="F212" s="262" t="s">
        <v>2329</v>
      </c>
      <c r="G212" s="263" t="s">
        <v>449</v>
      </c>
      <c r="H212" s="264">
        <v>2</v>
      </c>
      <c r="I212" s="265"/>
      <c r="J212" s="266">
        <f>ROUND(I212*H212,1)</f>
        <v>0</v>
      </c>
      <c r="K212" s="262" t="s">
        <v>206</v>
      </c>
      <c r="L212" s="267"/>
      <c r="M212" s="268" t="s">
        <v>32</v>
      </c>
      <c r="N212" s="269" t="s">
        <v>49</v>
      </c>
      <c r="O212" s="86"/>
      <c r="P212" s="218">
        <f>O212*H212</f>
        <v>0</v>
      </c>
      <c r="Q212" s="218">
        <v>5.0000000000000002E-05</v>
      </c>
      <c r="R212" s="218">
        <f>Q212*H212</f>
        <v>0.00010000000000000001</v>
      </c>
      <c r="S212" s="218">
        <v>0</v>
      </c>
      <c r="T212" s="219">
        <f>S212*H212</f>
        <v>0</v>
      </c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R212" s="220" t="s">
        <v>429</v>
      </c>
      <c r="AT212" s="220" t="s">
        <v>292</v>
      </c>
      <c r="AU212" s="220" t="s">
        <v>88</v>
      </c>
      <c r="AY212" s="18" t="s">
        <v>200</v>
      </c>
      <c r="BE212" s="221">
        <f>IF(N212="základní",J212,0)</f>
        <v>0</v>
      </c>
      <c r="BF212" s="221">
        <f>IF(N212="snížená",J212,0)</f>
        <v>0</v>
      </c>
      <c r="BG212" s="221">
        <f>IF(N212="zákl. přenesená",J212,0)</f>
        <v>0</v>
      </c>
      <c r="BH212" s="221">
        <f>IF(N212="sníž. přenesená",J212,0)</f>
        <v>0</v>
      </c>
      <c r="BI212" s="221">
        <f>IF(N212="nulová",J212,0)</f>
        <v>0</v>
      </c>
      <c r="BJ212" s="18" t="s">
        <v>86</v>
      </c>
      <c r="BK212" s="221">
        <f>ROUND(I212*H212,1)</f>
        <v>0</v>
      </c>
      <c r="BL212" s="18" t="s">
        <v>310</v>
      </c>
      <c r="BM212" s="220" t="s">
        <v>2330</v>
      </c>
    </row>
    <row r="213" s="2" customFormat="1" ht="16.5" customHeight="1">
      <c r="A213" s="40"/>
      <c r="B213" s="41"/>
      <c r="C213" s="260" t="s">
        <v>609</v>
      </c>
      <c r="D213" s="260" t="s">
        <v>292</v>
      </c>
      <c r="E213" s="261" t="s">
        <v>2331</v>
      </c>
      <c r="F213" s="262" t="s">
        <v>2332</v>
      </c>
      <c r="G213" s="263" t="s">
        <v>449</v>
      </c>
      <c r="H213" s="264">
        <v>4</v>
      </c>
      <c r="I213" s="265"/>
      <c r="J213" s="266">
        <f>ROUND(I213*H213,1)</f>
        <v>0</v>
      </c>
      <c r="K213" s="262" t="s">
        <v>206</v>
      </c>
      <c r="L213" s="267"/>
      <c r="M213" s="268" t="s">
        <v>32</v>
      </c>
      <c r="N213" s="269" t="s">
        <v>49</v>
      </c>
      <c r="O213" s="86"/>
      <c r="P213" s="218">
        <f>O213*H213</f>
        <v>0</v>
      </c>
      <c r="Q213" s="218">
        <v>0.00010000000000000001</v>
      </c>
      <c r="R213" s="218">
        <f>Q213*H213</f>
        <v>0.00040000000000000002</v>
      </c>
      <c r="S213" s="218">
        <v>0</v>
      </c>
      <c r="T213" s="219">
        <f>S213*H213</f>
        <v>0</v>
      </c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R213" s="220" t="s">
        <v>429</v>
      </c>
      <c r="AT213" s="220" t="s">
        <v>292</v>
      </c>
      <c r="AU213" s="220" t="s">
        <v>88</v>
      </c>
      <c r="AY213" s="18" t="s">
        <v>200</v>
      </c>
      <c r="BE213" s="221">
        <f>IF(N213="základní",J213,0)</f>
        <v>0</v>
      </c>
      <c r="BF213" s="221">
        <f>IF(N213="snížená",J213,0)</f>
        <v>0</v>
      </c>
      <c r="BG213" s="221">
        <f>IF(N213="zákl. přenesená",J213,0)</f>
        <v>0</v>
      </c>
      <c r="BH213" s="221">
        <f>IF(N213="sníž. přenesená",J213,0)</f>
        <v>0</v>
      </c>
      <c r="BI213" s="221">
        <f>IF(N213="nulová",J213,0)</f>
        <v>0</v>
      </c>
      <c r="BJ213" s="18" t="s">
        <v>86</v>
      </c>
      <c r="BK213" s="221">
        <f>ROUND(I213*H213,1)</f>
        <v>0</v>
      </c>
      <c r="BL213" s="18" t="s">
        <v>310</v>
      </c>
      <c r="BM213" s="220" t="s">
        <v>2333</v>
      </c>
    </row>
    <row r="214" s="2" customFormat="1" ht="16.5" customHeight="1">
      <c r="A214" s="40"/>
      <c r="B214" s="41"/>
      <c r="C214" s="260" t="s">
        <v>632</v>
      </c>
      <c r="D214" s="260" t="s">
        <v>292</v>
      </c>
      <c r="E214" s="261" t="s">
        <v>2334</v>
      </c>
      <c r="F214" s="262" t="s">
        <v>2335</v>
      </c>
      <c r="G214" s="263" t="s">
        <v>449</v>
      </c>
      <c r="H214" s="264">
        <v>7</v>
      </c>
      <c r="I214" s="265"/>
      <c r="J214" s="266">
        <f>ROUND(I214*H214,1)</f>
        <v>0</v>
      </c>
      <c r="K214" s="262" t="s">
        <v>206</v>
      </c>
      <c r="L214" s="267"/>
      <c r="M214" s="268" t="s">
        <v>32</v>
      </c>
      <c r="N214" s="269" t="s">
        <v>49</v>
      </c>
      <c r="O214" s="86"/>
      <c r="P214" s="218">
        <f>O214*H214</f>
        <v>0</v>
      </c>
      <c r="Q214" s="218">
        <v>0.00017000000000000001</v>
      </c>
      <c r="R214" s="218">
        <f>Q214*H214</f>
        <v>0.0011900000000000001</v>
      </c>
      <c r="S214" s="218">
        <v>0</v>
      </c>
      <c r="T214" s="219">
        <f>S214*H214</f>
        <v>0</v>
      </c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R214" s="220" t="s">
        <v>429</v>
      </c>
      <c r="AT214" s="220" t="s">
        <v>292</v>
      </c>
      <c r="AU214" s="220" t="s">
        <v>88</v>
      </c>
      <c r="AY214" s="18" t="s">
        <v>200</v>
      </c>
      <c r="BE214" s="221">
        <f>IF(N214="základní",J214,0)</f>
        <v>0</v>
      </c>
      <c r="BF214" s="221">
        <f>IF(N214="snížená",J214,0)</f>
        <v>0</v>
      </c>
      <c r="BG214" s="221">
        <f>IF(N214="zákl. přenesená",J214,0)</f>
        <v>0</v>
      </c>
      <c r="BH214" s="221">
        <f>IF(N214="sníž. přenesená",J214,0)</f>
        <v>0</v>
      </c>
      <c r="BI214" s="221">
        <f>IF(N214="nulová",J214,0)</f>
        <v>0</v>
      </c>
      <c r="BJ214" s="18" t="s">
        <v>86</v>
      </c>
      <c r="BK214" s="221">
        <f>ROUND(I214*H214,1)</f>
        <v>0</v>
      </c>
      <c r="BL214" s="18" t="s">
        <v>310</v>
      </c>
      <c r="BM214" s="220" t="s">
        <v>2336</v>
      </c>
    </row>
    <row r="215" s="2" customFormat="1" ht="21.75" customHeight="1">
      <c r="A215" s="40"/>
      <c r="B215" s="41"/>
      <c r="C215" s="209" t="s">
        <v>638</v>
      </c>
      <c r="D215" s="209" t="s">
        <v>202</v>
      </c>
      <c r="E215" s="210" t="s">
        <v>2337</v>
      </c>
      <c r="F215" s="211" t="s">
        <v>2338</v>
      </c>
      <c r="G215" s="212" t="s">
        <v>280</v>
      </c>
      <c r="H215" s="213">
        <v>151.19999999999999</v>
      </c>
      <c r="I215" s="214"/>
      <c r="J215" s="215">
        <f>ROUND(I215*H215,1)</f>
        <v>0</v>
      </c>
      <c r="K215" s="211" t="s">
        <v>206</v>
      </c>
      <c r="L215" s="46"/>
      <c r="M215" s="216" t="s">
        <v>32</v>
      </c>
      <c r="N215" s="217" t="s">
        <v>49</v>
      </c>
      <c r="O215" s="86"/>
      <c r="P215" s="218">
        <f>O215*H215</f>
        <v>0</v>
      </c>
      <c r="Q215" s="218">
        <v>0.00084000000000000003</v>
      </c>
      <c r="R215" s="218">
        <f>Q215*H215</f>
        <v>0.12700799999999998</v>
      </c>
      <c r="S215" s="218">
        <v>0</v>
      </c>
      <c r="T215" s="219">
        <f>S215*H215</f>
        <v>0</v>
      </c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R215" s="220" t="s">
        <v>310</v>
      </c>
      <c r="AT215" s="220" t="s">
        <v>202</v>
      </c>
      <c r="AU215" s="220" t="s">
        <v>88</v>
      </c>
      <c r="AY215" s="18" t="s">
        <v>200</v>
      </c>
      <c r="BE215" s="221">
        <f>IF(N215="základní",J215,0)</f>
        <v>0</v>
      </c>
      <c r="BF215" s="221">
        <f>IF(N215="snížená",J215,0)</f>
        <v>0</v>
      </c>
      <c r="BG215" s="221">
        <f>IF(N215="zákl. přenesená",J215,0)</f>
        <v>0</v>
      </c>
      <c r="BH215" s="221">
        <f>IF(N215="sníž. přenesená",J215,0)</f>
        <v>0</v>
      </c>
      <c r="BI215" s="221">
        <f>IF(N215="nulová",J215,0)</f>
        <v>0</v>
      </c>
      <c r="BJ215" s="18" t="s">
        <v>86</v>
      </c>
      <c r="BK215" s="221">
        <f>ROUND(I215*H215,1)</f>
        <v>0</v>
      </c>
      <c r="BL215" s="18" t="s">
        <v>310</v>
      </c>
      <c r="BM215" s="220" t="s">
        <v>2339</v>
      </c>
    </row>
    <row r="216" s="2" customFormat="1">
      <c r="A216" s="40"/>
      <c r="B216" s="41"/>
      <c r="C216" s="42"/>
      <c r="D216" s="222" t="s">
        <v>209</v>
      </c>
      <c r="E216" s="42"/>
      <c r="F216" s="223" t="s">
        <v>2340</v>
      </c>
      <c r="G216" s="42"/>
      <c r="H216" s="42"/>
      <c r="I216" s="224"/>
      <c r="J216" s="42"/>
      <c r="K216" s="42"/>
      <c r="L216" s="46"/>
      <c r="M216" s="225"/>
      <c r="N216" s="226"/>
      <c r="O216" s="86"/>
      <c r="P216" s="86"/>
      <c r="Q216" s="86"/>
      <c r="R216" s="86"/>
      <c r="S216" s="86"/>
      <c r="T216" s="87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T216" s="18" t="s">
        <v>209</v>
      </c>
      <c r="AU216" s="18" t="s">
        <v>88</v>
      </c>
    </row>
    <row r="217" s="2" customFormat="1" ht="21.75" customHeight="1">
      <c r="A217" s="40"/>
      <c r="B217" s="41"/>
      <c r="C217" s="209" t="s">
        <v>644</v>
      </c>
      <c r="D217" s="209" t="s">
        <v>202</v>
      </c>
      <c r="E217" s="210" t="s">
        <v>2341</v>
      </c>
      <c r="F217" s="211" t="s">
        <v>2342</v>
      </c>
      <c r="G217" s="212" t="s">
        <v>280</v>
      </c>
      <c r="H217" s="213">
        <v>13.4</v>
      </c>
      <c r="I217" s="214"/>
      <c r="J217" s="215">
        <f>ROUND(I217*H217,1)</f>
        <v>0</v>
      </c>
      <c r="K217" s="211" t="s">
        <v>206</v>
      </c>
      <c r="L217" s="46"/>
      <c r="M217" s="216" t="s">
        <v>32</v>
      </c>
      <c r="N217" s="217" t="s">
        <v>49</v>
      </c>
      <c r="O217" s="86"/>
      <c r="P217" s="218">
        <f>O217*H217</f>
        <v>0</v>
      </c>
      <c r="Q217" s="218">
        <v>0.00116</v>
      </c>
      <c r="R217" s="218">
        <f>Q217*H217</f>
        <v>0.015544000000000001</v>
      </c>
      <c r="S217" s="218">
        <v>0</v>
      </c>
      <c r="T217" s="219">
        <f>S217*H217</f>
        <v>0</v>
      </c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R217" s="220" t="s">
        <v>310</v>
      </c>
      <c r="AT217" s="220" t="s">
        <v>202</v>
      </c>
      <c r="AU217" s="220" t="s">
        <v>88</v>
      </c>
      <c r="AY217" s="18" t="s">
        <v>200</v>
      </c>
      <c r="BE217" s="221">
        <f>IF(N217="základní",J217,0)</f>
        <v>0</v>
      </c>
      <c r="BF217" s="221">
        <f>IF(N217="snížená",J217,0)</f>
        <v>0</v>
      </c>
      <c r="BG217" s="221">
        <f>IF(N217="zákl. přenesená",J217,0)</f>
        <v>0</v>
      </c>
      <c r="BH217" s="221">
        <f>IF(N217="sníž. přenesená",J217,0)</f>
        <v>0</v>
      </c>
      <c r="BI217" s="221">
        <f>IF(N217="nulová",J217,0)</f>
        <v>0</v>
      </c>
      <c r="BJ217" s="18" t="s">
        <v>86</v>
      </c>
      <c r="BK217" s="221">
        <f>ROUND(I217*H217,1)</f>
        <v>0</v>
      </c>
      <c r="BL217" s="18" t="s">
        <v>310</v>
      </c>
      <c r="BM217" s="220" t="s">
        <v>2343</v>
      </c>
    </row>
    <row r="218" s="2" customFormat="1">
      <c r="A218" s="40"/>
      <c r="B218" s="41"/>
      <c r="C218" s="42"/>
      <c r="D218" s="222" t="s">
        <v>209</v>
      </c>
      <c r="E218" s="42"/>
      <c r="F218" s="223" t="s">
        <v>2344</v>
      </c>
      <c r="G218" s="42"/>
      <c r="H218" s="42"/>
      <c r="I218" s="224"/>
      <c r="J218" s="42"/>
      <c r="K218" s="42"/>
      <c r="L218" s="46"/>
      <c r="M218" s="225"/>
      <c r="N218" s="226"/>
      <c r="O218" s="86"/>
      <c r="P218" s="86"/>
      <c r="Q218" s="86"/>
      <c r="R218" s="86"/>
      <c r="S218" s="86"/>
      <c r="T218" s="87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T218" s="18" t="s">
        <v>209</v>
      </c>
      <c r="AU218" s="18" t="s">
        <v>88</v>
      </c>
    </row>
    <row r="219" s="2" customFormat="1" ht="16.5" customHeight="1">
      <c r="A219" s="40"/>
      <c r="B219" s="41"/>
      <c r="C219" s="260" t="s">
        <v>651</v>
      </c>
      <c r="D219" s="260" t="s">
        <v>292</v>
      </c>
      <c r="E219" s="261" t="s">
        <v>2345</v>
      </c>
      <c r="F219" s="262" t="s">
        <v>2346</v>
      </c>
      <c r="G219" s="263" t="s">
        <v>449</v>
      </c>
      <c r="H219" s="264">
        <v>4</v>
      </c>
      <c r="I219" s="265"/>
      <c r="J219" s="266">
        <f>ROUND(I219*H219,1)</f>
        <v>0</v>
      </c>
      <c r="K219" s="262" t="s">
        <v>206</v>
      </c>
      <c r="L219" s="267"/>
      <c r="M219" s="268" t="s">
        <v>32</v>
      </c>
      <c r="N219" s="269" t="s">
        <v>49</v>
      </c>
      <c r="O219" s="86"/>
      <c r="P219" s="218">
        <f>O219*H219</f>
        <v>0</v>
      </c>
      <c r="Q219" s="218">
        <v>0.00067000000000000002</v>
      </c>
      <c r="R219" s="218">
        <f>Q219*H219</f>
        <v>0.0026800000000000001</v>
      </c>
      <c r="S219" s="218">
        <v>0</v>
      </c>
      <c r="T219" s="219">
        <f>S219*H219</f>
        <v>0</v>
      </c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R219" s="220" t="s">
        <v>429</v>
      </c>
      <c r="AT219" s="220" t="s">
        <v>292</v>
      </c>
      <c r="AU219" s="220" t="s">
        <v>88</v>
      </c>
      <c r="AY219" s="18" t="s">
        <v>200</v>
      </c>
      <c r="BE219" s="221">
        <f>IF(N219="základní",J219,0)</f>
        <v>0</v>
      </c>
      <c r="BF219" s="221">
        <f>IF(N219="snížená",J219,0)</f>
        <v>0</v>
      </c>
      <c r="BG219" s="221">
        <f>IF(N219="zákl. přenesená",J219,0)</f>
        <v>0</v>
      </c>
      <c r="BH219" s="221">
        <f>IF(N219="sníž. přenesená",J219,0)</f>
        <v>0</v>
      </c>
      <c r="BI219" s="221">
        <f>IF(N219="nulová",J219,0)</f>
        <v>0</v>
      </c>
      <c r="BJ219" s="18" t="s">
        <v>86</v>
      </c>
      <c r="BK219" s="221">
        <f>ROUND(I219*H219,1)</f>
        <v>0</v>
      </c>
      <c r="BL219" s="18" t="s">
        <v>310</v>
      </c>
      <c r="BM219" s="220" t="s">
        <v>2347</v>
      </c>
    </row>
    <row r="220" s="2" customFormat="1" ht="16.5" customHeight="1">
      <c r="A220" s="40"/>
      <c r="B220" s="41"/>
      <c r="C220" s="260" t="s">
        <v>660</v>
      </c>
      <c r="D220" s="260" t="s">
        <v>292</v>
      </c>
      <c r="E220" s="261" t="s">
        <v>2348</v>
      </c>
      <c r="F220" s="262" t="s">
        <v>2349</v>
      </c>
      <c r="G220" s="263" t="s">
        <v>449</v>
      </c>
      <c r="H220" s="264">
        <v>1</v>
      </c>
      <c r="I220" s="265"/>
      <c r="J220" s="266">
        <f>ROUND(I220*H220,1)</f>
        <v>0</v>
      </c>
      <c r="K220" s="262" t="s">
        <v>206</v>
      </c>
      <c r="L220" s="267"/>
      <c r="M220" s="268" t="s">
        <v>32</v>
      </c>
      <c r="N220" s="269" t="s">
        <v>49</v>
      </c>
      <c r="O220" s="86"/>
      <c r="P220" s="218">
        <f>O220*H220</f>
        <v>0</v>
      </c>
      <c r="Q220" s="218">
        <v>0.00046000000000000001</v>
      </c>
      <c r="R220" s="218">
        <f>Q220*H220</f>
        <v>0.00046000000000000001</v>
      </c>
      <c r="S220" s="218">
        <v>0</v>
      </c>
      <c r="T220" s="219">
        <f>S220*H220</f>
        <v>0</v>
      </c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R220" s="220" t="s">
        <v>429</v>
      </c>
      <c r="AT220" s="220" t="s">
        <v>292</v>
      </c>
      <c r="AU220" s="220" t="s">
        <v>88</v>
      </c>
      <c r="AY220" s="18" t="s">
        <v>200</v>
      </c>
      <c r="BE220" s="221">
        <f>IF(N220="základní",J220,0)</f>
        <v>0</v>
      </c>
      <c r="BF220" s="221">
        <f>IF(N220="snížená",J220,0)</f>
        <v>0</v>
      </c>
      <c r="BG220" s="221">
        <f>IF(N220="zákl. přenesená",J220,0)</f>
        <v>0</v>
      </c>
      <c r="BH220" s="221">
        <f>IF(N220="sníž. přenesená",J220,0)</f>
        <v>0</v>
      </c>
      <c r="BI220" s="221">
        <f>IF(N220="nulová",J220,0)</f>
        <v>0</v>
      </c>
      <c r="BJ220" s="18" t="s">
        <v>86</v>
      </c>
      <c r="BK220" s="221">
        <f>ROUND(I220*H220,1)</f>
        <v>0</v>
      </c>
      <c r="BL220" s="18" t="s">
        <v>310</v>
      </c>
      <c r="BM220" s="220" t="s">
        <v>2350</v>
      </c>
    </row>
    <row r="221" s="2" customFormat="1" ht="21.75" customHeight="1">
      <c r="A221" s="40"/>
      <c r="B221" s="41"/>
      <c r="C221" s="209" t="s">
        <v>665</v>
      </c>
      <c r="D221" s="209" t="s">
        <v>202</v>
      </c>
      <c r="E221" s="210" t="s">
        <v>2351</v>
      </c>
      <c r="F221" s="211" t="s">
        <v>2352</v>
      </c>
      <c r="G221" s="212" t="s">
        <v>280</v>
      </c>
      <c r="H221" s="213">
        <v>10</v>
      </c>
      <c r="I221" s="214"/>
      <c r="J221" s="215">
        <f>ROUND(I221*H221,1)</f>
        <v>0</v>
      </c>
      <c r="K221" s="211" t="s">
        <v>206</v>
      </c>
      <c r="L221" s="46"/>
      <c r="M221" s="216" t="s">
        <v>32</v>
      </c>
      <c r="N221" s="217" t="s">
        <v>49</v>
      </c>
      <c r="O221" s="86"/>
      <c r="P221" s="218">
        <f>O221*H221</f>
        <v>0</v>
      </c>
      <c r="Q221" s="218">
        <v>0.0014400000000000001</v>
      </c>
      <c r="R221" s="218">
        <f>Q221*H221</f>
        <v>0.014400000000000001</v>
      </c>
      <c r="S221" s="218">
        <v>0</v>
      </c>
      <c r="T221" s="219">
        <f>S221*H221</f>
        <v>0</v>
      </c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R221" s="220" t="s">
        <v>310</v>
      </c>
      <c r="AT221" s="220" t="s">
        <v>202</v>
      </c>
      <c r="AU221" s="220" t="s">
        <v>88</v>
      </c>
      <c r="AY221" s="18" t="s">
        <v>200</v>
      </c>
      <c r="BE221" s="221">
        <f>IF(N221="základní",J221,0)</f>
        <v>0</v>
      </c>
      <c r="BF221" s="221">
        <f>IF(N221="snížená",J221,0)</f>
        <v>0</v>
      </c>
      <c r="BG221" s="221">
        <f>IF(N221="zákl. přenesená",J221,0)</f>
        <v>0</v>
      </c>
      <c r="BH221" s="221">
        <f>IF(N221="sníž. přenesená",J221,0)</f>
        <v>0</v>
      </c>
      <c r="BI221" s="221">
        <f>IF(N221="nulová",J221,0)</f>
        <v>0</v>
      </c>
      <c r="BJ221" s="18" t="s">
        <v>86</v>
      </c>
      <c r="BK221" s="221">
        <f>ROUND(I221*H221,1)</f>
        <v>0</v>
      </c>
      <c r="BL221" s="18" t="s">
        <v>310</v>
      </c>
      <c r="BM221" s="220" t="s">
        <v>2353</v>
      </c>
    </row>
    <row r="222" s="2" customFormat="1">
      <c r="A222" s="40"/>
      <c r="B222" s="41"/>
      <c r="C222" s="42"/>
      <c r="D222" s="222" t="s">
        <v>209</v>
      </c>
      <c r="E222" s="42"/>
      <c r="F222" s="223" t="s">
        <v>2354</v>
      </c>
      <c r="G222" s="42"/>
      <c r="H222" s="42"/>
      <c r="I222" s="224"/>
      <c r="J222" s="42"/>
      <c r="K222" s="42"/>
      <c r="L222" s="46"/>
      <c r="M222" s="225"/>
      <c r="N222" s="226"/>
      <c r="O222" s="86"/>
      <c r="P222" s="86"/>
      <c r="Q222" s="86"/>
      <c r="R222" s="86"/>
      <c r="S222" s="86"/>
      <c r="T222" s="87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T222" s="18" t="s">
        <v>209</v>
      </c>
      <c r="AU222" s="18" t="s">
        <v>88</v>
      </c>
    </row>
    <row r="223" s="2" customFormat="1" ht="21.75" customHeight="1">
      <c r="A223" s="40"/>
      <c r="B223" s="41"/>
      <c r="C223" s="209" t="s">
        <v>671</v>
      </c>
      <c r="D223" s="209" t="s">
        <v>202</v>
      </c>
      <c r="E223" s="210" t="s">
        <v>2355</v>
      </c>
      <c r="F223" s="211" t="s">
        <v>2356</v>
      </c>
      <c r="G223" s="212" t="s">
        <v>280</v>
      </c>
      <c r="H223" s="213">
        <v>38.200000000000003</v>
      </c>
      <c r="I223" s="214"/>
      <c r="J223" s="215">
        <f>ROUND(I223*H223,1)</f>
        <v>0</v>
      </c>
      <c r="K223" s="211" t="s">
        <v>206</v>
      </c>
      <c r="L223" s="46"/>
      <c r="M223" s="216" t="s">
        <v>32</v>
      </c>
      <c r="N223" s="217" t="s">
        <v>49</v>
      </c>
      <c r="O223" s="86"/>
      <c r="P223" s="218">
        <f>O223*H223</f>
        <v>0</v>
      </c>
      <c r="Q223" s="218">
        <v>0.00281</v>
      </c>
      <c r="R223" s="218">
        <f>Q223*H223</f>
        <v>0.10734200000000001</v>
      </c>
      <c r="S223" s="218">
        <v>0</v>
      </c>
      <c r="T223" s="219">
        <f>S223*H223</f>
        <v>0</v>
      </c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R223" s="220" t="s">
        <v>310</v>
      </c>
      <c r="AT223" s="220" t="s">
        <v>202</v>
      </c>
      <c r="AU223" s="220" t="s">
        <v>88</v>
      </c>
      <c r="AY223" s="18" t="s">
        <v>200</v>
      </c>
      <c r="BE223" s="221">
        <f>IF(N223="základní",J223,0)</f>
        <v>0</v>
      </c>
      <c r="BF223" s="221">
        <f>IF(N223="snížená",J223,0)</f>
        <v>0</v>
      </c>
      <c r="BG223" s="221">
        <f>IF(N223="zákl. přenesená",J223,0)</f>
        <v>0</v>
      </c>
      <c r="BH223" s="221">
        <f>IF(N223="sníž. přenesená",J223,0)</f>
        <v>0</v>
      </c>
      <c r="BI223" s="221">
        <f>IF(N223="nulová",J223,0)</f>
        <v>0</v>
      </c>
      <c r="BJ223" s="18" t="s">
        <v>86</v>
      </c>
      <c r="BK223" s="221">
        <f>ROUND(I223*H223,1)</f>
        <v>0</v>
      </c>
      <c r="BL223" s="18" t="s">
        <v>310</v>
      </c>
      <c r="BM223" s="220" t="s">
        <v>2357</v>
      </c>
    </row>
    <row r="224" s="2" customFormat="1">
      <c r="A224" s="40"/>
      <c r="B224" s="41"/>
      <c r="C224" s="42"/>
      <c r="D224" s="222" t="s">
        <v>209</v>
      </c>
      <c r="E224" s="42"/>
      <c r="F224" s="223" t="s">
        <v>2358</v>
      </c>
      <c r="G224" s="42"/>
      <c r="H224" s="42"/>
      <c r="I224" s="224"/>
      <c r="J224" s="42"/>
      <c r="K224" s="42"/>
      <c r="L224" s="46"/>
      <c r="M224" s="225"/>
      <c r="N224" s="226"/>
      <c r="O224" s="86"/>
      <c r="P224" s="86"/>
      <c r="Q224" s="86"/>
      <c r="R224" s="86"/>
      <c r="S224" s="86"/>
      <c r="T224" s="87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T224" s="18" t="s">
        <v>209</v>
      </c>
      <c r="AU224" s="18" t="s">
        <v>88</v>
      </c>
    </row>
    <row r="225" s="2" customFormat="1" ht="21.75" customHeight="1">
      <c r="A225" s="40"/>
      <c r="B225" s="41"/>
      <c r="C225" s="209" t="s">
        <v>676</v>
      </c>
      <c r="D225" s="209" t="s">
        <v>202</v>
      </c>
      <c r="E225" s="210" t="s">
        <v>2359</v>
      </c>
      <c r="F225" s="211" t="s">
        <v>2360</v>
      </c>
      <c r="G225" s="212" t="s">
        <v>280</v>
      </c>
      <c r="H225" s="213">
        <v>30.899999999999999</v>
      </c>
      <c r="I225" s="214"/>
      <c r="J225" s="215">
        <f>ROUND(I225*H225,1)</f>
        <v>0</v>
      </c>
      <c r="K225" s="211" t="s">
        <v>206</v>
      </c>
      <c r="L225" s="46"/>
      <c r="M225" s="216" t="s">
        <v>32</v>
      </c>
      <c r="N225" s="217" t="s">
        <v>49</v>
      </c>
      <c r="O225" s="86"/>
      <c r="P225" s="218">
        <f>O225*H225</f>
        <v>0</v>
      </c>
      <c r="Q225" s="218">
        <v>0.00362</v>
      </c>
      <c r="R225" s="218">
        <f>Q225*H225</f>
        <v>0.111858</v>
      </c>
      <c r="S225" s="218">
        <v>0</v>
      </c>
      <c r="T225" s="219">
        <f>S225*H225</f>
        <v>0</v>
      </c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R225" s="220" t="s">
        <v>310</v>
      </c>
      <c r="AT225" s="220" t="s">
        <v>202</v>
      </c>
      <c r="AU225" s="220" t="s">
        <v>88</v>
      </c>
      <c r="AY225" s="18" t="s">
        <v>200</v>
      </c>
      <c r="BE225" s="221">
        <f>IF(N225="základní",J225,0)</f>
        <v>0</v>
      </c>
      <c r="BF225" s="221">
        <f>IF(N225="snížená",J225,0)</f>
        <v>0</v>
      </c>
      <c r="BG225" s="221">
        <f>IF(N225="zákl. přenesená",J225,0)</f>
        <v>0</v>
      </c>
      <c r="BH225" s="221">
        <f>IF(N225="sníž. přenesená",J225,0)</f>
        <v>0</v>
      </c>
      <c r="BI225" s="221">
        <f>IF(N225="nulová",J225,0)</f>
        <v>0</v>
      </c>
      <c r="BJ225" s="18" t="s">
        <v>86</v>
      </c>
      <c r="BK225" s="221">
        <f>ROUND(I225*H225,1)</f>
        <v>0</v>
      </c>
      <c r="BL225" s="18" t="s">
        <v>310</v>
      </c>
      <c r="BM225" s="220" t="s">
        <v>2361</v>
      </c>
    </row>
    <row r="226" s="2" customFormat="1">
      <c r="A226" s="40"/>
      <c r="B226" s="41"/>
      <c r="C226" s="42"/>
      <c r="D226" s="222" t="s">
        <v>209</v>
      </c>
      <c r="E226" s="42"/>
      <c r="F226" s="223" t="s">
        <v>2362</v>
      </c>
      <c r="G226" s="42"/>
      <c r="H226" s="42"/>
      <c r="I226" s="224"/>
      <c r="J226" s="42"/>
      <c r="K226" s="42"/>
      <c r="L226" s="46"/>
      <c r="M226" s="225"/>
      <c r="N226" s="226"/>
      <c r="O226" s="86"/>
      <c r="P226" s="86"/>
      <c r="Q226" s="86"/>
      <c r="R226" s="86"/>
      <c r="S226" s="86"/>
      <c r="T226" s="87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T226" s="18" t="s">
        <v>209</v>
      </c>
      <c r="AU226" s="18" t="s">
        <v>88</v>
      </c>
    </row>
    <row r="227" s="2" customFormat="1" ht="24.15" customHeight="1">
      <c r="A227" s="40"/>
      <c r="B227" s="41"/>
      <c r="C227" s="209" t="s">
        <v>688</v>
      </c>
      <c r="D227" s="209" t="s">
        <v>202</v>
      </c>
      <c r="E227" s="210" t="s">
        <v>2363</v>
      </c>
      <c r="F227" s="211" t="s">
        <v>2364</v>
      </c>
      <c r="G227" s="212" t="s">
        <v>280</v>
      </c>
      <c r="H227" s="213">
        <v>151.19999999999999</v>
      </c>
      <c r="I227" s="214"/>
      <c r="J227" s="215">
        <f>ROUND(I227*H227,1)</f>
        <v>0</v>
      </c>
      <c r="K227" s="211" t="s">
        <v>206</v>
      </c>
      <c r="L227" s="46"/>
      <c r="M227" s="216" t="s">
        <v>32</v>
      </c>
      <c r="N227" s="217" t="s">
        <v>49</v>
      </c>
      <c r="O227" s="86"/>
      <c r="P227" s="218">
        <f>O227*H227</f>
        <v>0</v>
      </c>
      <c r="Q227" s="218">
        <v>5.0000000000000002E-05</v>
      </c>
      <c r="R227" s="218">
        <f>Q227*H227</f>
        <v>0.0075599999999999999</v>
      </c>
      <c r="S227" s="218">
        <v>0</v>
      </c>
      <c r="T227" s="219">
        <f>S227*H227</f>
        <v>0</v>
      </c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R227" s="220" t="s">
        <v>310</v>
      </c>
      <c r="AT227" s="220" t="s">
        <v>202</v>
      </c>
      <c r="AU227" s="220" t="s">
        <v>88</v>
      </c>
      <c r="AY227" s="18" t="s">
        <v>200</v>
      </c>
      <c r="BE227" s="221">
        <f>IF(N227="základní",J227,0)</f>
        <v>0</v>
      </c>
      <c r="BF227" s="221">
        <f>IF(N227="snížená",J227,0)</f>
        <v>0</v>
      </c>
      <c r="BG227" s="221">
        <f>IF(N227="zákl. přenesená",J227,0)</f>
        <v>0</v>
      </c>
      <c r="BH227" s="221">
        <f>IF(N227="sníž. přenesená",J227,0)</f>
        <v>0</v>
      </c>
      <c r="BI227" s="221">
        <f>IF(N227="nulová",J227,0)</f>
        <v>0</v>
      </c>
      <c r="BJ227" s="18" t="s">
        <v>86</v>
      </c>
      <c r="BK227" s="221">
        <f>ROUND(I227*H227,1)</f>
        <v>0</v>
      </c>
      <c r="BL227" s="18" t="s">
        <v>310</v>
      </c>
      <c r="BM227" s="220" t="s">
        <v>2365</v>
      </c>
    </row>
    <row r="228" s="2" customFormat="1">
      <c r="A228" s="40"/>
      <c r="B228" s="41"/>
      <c r="C228" s="42"/>
      <c r="D228" s="222" t="s">
        <v>209</v>
      </c>
      <c r="E228" s="42"/>
      <c r="F228" s="223" t="s">
        <v>2366</v>
      </c>
      <c r="G228" s="42"/>
      <c r="H228" s="42"/>
      <c r="I228" s="224"/>
      <c r="J228" s="42"/>
      <c r="K228" s="42"/>
      <c r="L228" s="46"/>
      <c r="M228" s="225"/>
      <c r="N228" s="226"/>
      <c r="O228" s="86"/>
      <c r="P228" s="86"/>
      <c r="Q228" s="86"/>
      <c r="R228" s="86"/>
      <c r="S228" s="86"/>
      <c r="T228" s="87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T228" s="18" t="s">
        <v>209</v>
      </c>
      <c r="AU228" s="18" t="s">
        <v>88</v>
      </c>
    </row>
    <row r="229" s="13" customFormat="1">
      <c r="A229" s="13"/>
      <c r="B229" s="227"/>
      <c r="C229" s="228"/>
      <c r="D229" s="229" t="s">
        <v>211</v>
      </c>
      <c r="E229" s="230" t="s">
        <v>32</v>
      </c>
      <c r="F229" s="231" t="s">
        <v>2367</v>
      </c>
      <c r="G229" s="228"/>
      <c r="H229" s="232">
        <v>151.19999999999999</v>
      </c>
      <c r="I229" s="233"/>
      <c r="J229" s="228"/>
      <c r="K229" s="228"/>
      <c r="L229" s="234"/>
      <c r="M229" s="235"/>
      <c r="N229" s="236"/>
      <c r="O229" s="236"/>
      <c r="P229" s="236"/>
      <c r="Q229" s="236"/>
      <c r="R229" s="236"/>
      <c r="S229" s="236"/>
      <c r="T229" s="237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T229" s="238" t="s">
        <v>211</v>
      </c>
      <c r="AU229" s="238" t="s">
        <v>88</v>
      </c>
      <c r="AV229" s="13" t="s">
        <v>88</v>
      </c>
      <c r="AW229" s="13" t="s">
        <v>213</v>
      </c>
      <c r="AX229" s="13" t="s">
        <v>86</v>
      </c>
      <c r="AY229" s="238" t="s">
        <v>200</v>
      </c>
    </row>
    <row r="230" s="2" customFormat="1" ht="33" customHeight="1">
      <c r="A230" s="40"/>
      <c r="B230" s="41"/>
      <c r="C230" s="209" t="s">
        <v>693</v>
      </c>
      <c r="D230" s="209" t="s">
        <v>202</v>
      </c>
      <c r="E230" s="210" t="s">
        <v>2368</v>
      </c>
      <c r="F230" s="211" t="s">
        <v>2369</v>
      </c>
      <c r="G230" s="212" t="s">
        <v>280</v>
      </c>
      <c r="H230" s="213">
        <v>61.5</v>
      </c>
      <c r="I230" s="214"/>
      <c r="J230" s="215">
        <f>ROUND(I230*H230,1)</f>
        <v>0</v>
      </c>
      <c r="K230" s="211" t="s">
        <v>206</v>
      </c>
      <c r="L230" s="46"/>
      <c r="M230" s="216" t="s">
        <v>32</v>
      </c>
      <c r="N230" s="217" t="s">
        <v>49</v>
      </c>
      <c r="O230" s="86"/>
      <c r="P230" s="218">
        <f>O230*H230</f>
        <v>0</v>
      </c>
      <c r="Q230" s="218">
        <v>6.9999999999999994E-05</v>
      </c>
      <c r="R230" s="218">
        <f>Q230*H230</f>
        <v>0.0043049999999999998</v>
      </c>
      <c r="S230" s="218">
        <v>0</v>
      </c>
      <c r="T230" s="219">
        <f>S230*H230</f>
        <v>0</v>
      </c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R230" s="220" t="s">
        <v>310</v>
      </c>
      <c r="AT230" s="220" t="s">
        <v>202</v>
      </c>
      <c r="AU230" s="220" t="s">
        <v>88</v>
      </c>
      <c r="AY230" s="18" t="s">
        <v>200</v>
      </c>
      <c r="BE230" s="221">
        <f>IF(N230="základní",J230,0)</f>
        <v>0</v>
      </c>
      <c r="BF230" s="221">
        <f>IF(N230="snížená",J230,0)</f>
        <v>0</v>
      </c>
      <c r="BG230" s="221">
        <f>IF(N230="zákl. přenesená",J230,0)</f>
        <v>0</v>
      </c>
      <c r="BH230" s="221">
        <f>IF(N230="sníž. přenesená",J230,0)</f>
        <v>0</v>
      </c>
      <c r="BI230" s="221">
        <f>IF(N230="nulová",J230,0)</f>
        <v>0</v>
      </c>
      <c r="BJ230" s="18" t="s">
        <v>86</v>
      </c>
      <c r="BK230" s="221">
        <f>ROUND(I230*H230,1)</f>
        <v>0</v>
      </c>
      <c r="BL230" s="18" t="s">
        <v>310</v>
      </c>
      <c r="BM230" s="220" t="s">
        <v>2370</v>
      </c>
    </row>
    <row r="231" s="2" customFormat="1">
      <c r="A231" s="40"/>
      <c r="B231" s="41"/>
      <c r="C231" s="42"/>
      <c r="D231" s="222" t="s">
        <v>209</v>
      </c>
      <c r="E231" s="42"/>
      <c r="F231" s="223" t="s">
        <v>2371</v>
      </c>
      <c r="G231" s="42"/>
      <c r="H231" s="42"/>
      <c r="I231" s="224"/>
      <c r="J231" s="42"/>
      <c r="K231" s="42"/>
      <c r="L231" s="46"/>
      <c r="M231" s="225"/>
      <c r="N231" s="226"/>
      <c r="O231" s="86"/>
      <c r="P231" s="86"/>
      <c r="Q231" s="86"/>
      <c r="R231" s="86"/>
      <c r="S231" s="86"/>
      <c r="T231" s="87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T231" s="18" t="s">
        <v>209</v>
      </c>
      <c r="AU231" s="18" t="s">
        <v>88</v>
      </c>
    </row>
    <row r="232" s="13" customFormat="1">
      <c r="A232" s="13"/>
      <c r="B232" s="227"/>
      <c r="C232" s="228"/>
      <c r="D232" s="229" t="s">
        <v>211</v>
      </c>
      <c r="E232" s="230" t="s">
        <v>32</v>
      </c>
      <c r="F232" s="231" t="s">
        <v>2372</v>
      </c>
      <c r="G232" s="228"/>
      <c r="H232" s="232">
        <v>61.5</v>
      </c>
      <c r="I232" s="233"/>
      <c r="J232" s="228"/>
      <c r="K232" s="228"/>
      <c r="L232" s="234"/>
      <c r="M232" s="235"/>
      <c r="N232" s="236"/>
      <c r="O232" s="236"/>
      <c r="P232" s="236"/>
      <c r="Q232" s="236"/>
      <c r="R232" s="236"/>
      <c r="S232" s="236"/>
      <c r="T232" s="237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T232" s="238" t="s">
        <v>211</v>
      </c>
      <c r="AU232" s="238" t="s">
        <v>88</v>
      </c>
      <c r="AV232" s="13" t="s">
        <v>88</v>
      </c>
      <c r="AW232" s="13" t="s">
        <v>213</v>
      </c>
      <c r="AX232" s="13" t="s">
        <v>86</v>
      </c>
      <c r="AY232" s="238" t="s">
        <v>200</v>
      </c>
    </row>
    <row r="233" s="2" customFormat="1" ht="33" customHeight="1">
      <c r="A233" s="40"/>
      <c r="B233" s="41"/>
      <c r="C233" s="209" t="s">
        <v>698</v>
      </c>
      <c r="D233" s="209" t="s">
        <v>202</v>
      </c>
      <c r="E233" s="210" t="s">
        <v>2373</v>
      </c>
      <c r="F233" s="211" t="s">
        <v>2374</v>
      </c>
      <c r="G233" s="212" t="s">
        <v>280</v>
      </c>
      <c r="H233" s="213">
        <v>30.899999999999999</v>
      </c>
      <c r="I233" s="214"/>
      <c r="J233" s="215">
        <f>ROUND(I233*H233,1)</f>
        <v>0</v>
      </c>
      <c r="K233" s="211" t="s">
        <v>206</v>
      </c>
      <c r="L233" s="46"/>
      <c r="M233" s="216" t="s">
        <v>32</v>
      </c>
      <c r="N233" s="217" t="s">
        <v>49</v>
      </c>
      <c r="O233" s="86"/>
      <c r="P233" s="218">
        <f>O233*H233</f>
        <v>0</v>
      </c>
      <c r="Q233" s="218">
        <v>8.0000000000000007E-05</v>
      </c>
      <c r="R233" s="218">
        <f>Q233*H233</f>
        <v>0.0024720000000000002</v>
      </c>
      <c r="S233" s="218">
        <v>0</v>
      </c>
      <c r="T233" s="219">
        <f>S233*H233</f>
        <v>0</v>
      </c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R233" s="220" t="s">
        <v>310</v>
      </c>
      <c r="AT233" s="220" t="s">
        <v>202</v>
      </c>
      <c r="AU233" s="220" t="s">
        <v>88</v>
      </c>
      <c r="AY233" s="18" t="s">
        <v>200</v>
      </c>
      <c r="BE233" s="221">
        <f>IF(N233="základní",J233,0)</f>
        <v>0</v>
      </c>
      <c r="BF233" s="221">
        <f>IF(N233="snížená",J233,0)</f>
        <v>0</v>
      </c>
      <c r="BG233" s="221">
        <f>IF(N233="zákl. přenesená",J233,0)</f>
        <v>0</v>
      </c>
      <c r="BH233" s="221">
        <f>IF(N233="sníž. přenesená",J233,0)</f>
        <v>0</v>
      </c>
      <c r="BI233" s="221">
        <f>IF(N233="nulová",J233,0)</f>
        <v>0</v>
      </c>
      <c r="BJ233" s="18" t="s">
        <v>86</v>
      </c>
      <c r="BK233" s="221">
        <f>ROUND(I233*H233,1)</f>
        <v>0</v>
      </c>
      <c r="BL233" s="18" t="s">
        <v>310</v>
      </c>
      <c r="BM233" s="220" t="s">
        <v>2375</v>
      </c>
    </row>
    <row r="234" s="2" customFormat="1">
      <c r="A234" s="40"/>
      <c r="B234" s="41"/>
      <c r="C234" s="42"/>
      <c r="D234" s="222" t="s">
        <v>209</v>
      </c>
      <c r="E234" s="42"/>
      <c r="F234" s="223" t="s">
        <v>2376</v>
      </c>
      <c r="G234" s="42"/>
      <c r="H234" s="42"/>
      <c r="I234" s="224"/>
      <c r="J234" s="42"/>
      <c r="K234" s="42"/>
      <c r="L234" s="46"/>
      <c r="M234" s="225"/>
      <c r="N234" s="226"/>
      <c r="O234" s="86"/>
      <c r="P234" s="86"/>
      <c r="Q234" s="86"/>
      <c r="R234" s="86"/>
      <c r="S234" s="86"/>
      <c r="T234" s="87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T234" s="18" t="s">
        <v>209</v>
      </c>
      <c r="AU234" s="18" t="s">
        <v>88</v>
      </c>
    </row>
    <row r="235" s="13" customFormat="1">
      <c r="A235" s="13"/>
      <c r="B235" s="227"/>
      <c r="C235" s="228"/>
      <c r="D235" s="229" t="s">
        <v>211</v>
      </c>
      <c r="E235" s="230" t="s">
        <v>32</v>
      </c>
      <c r="F235" s="231" t="s">
        <v>2377</v>
      </c>
      <c r="G235" s="228"/>
      <c r="H235" s="232">
        <v>30.899999999999999</v>
      </c>
      <c r="I235" s="233"/>
      <c r="J235" s="228"/>
      <c r="K235" s="228"/>
      <c r="L235" s="234"/>
      <c r="M235" s="235"/>
      <c r="N235" s="236"/>
      <c r="O235" s="236"/>
      <c r="P235" s="236"/>
      <c r="Q235" s="236"/>
      <c r="R235" s="236"/>
      <c r="S235" s="236"/>
      <c r="T235" s="237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T235" s="238" t="s">
        <v>211</v>
      </c>
      <c r="AU235" s="238" t="s">
        <v>88</v>
      </c>
      <c r="AV235" s="13" t="s">
        <v>88</v>
      </c>
      <c r="AW235" s="13" t="s">
        <v>213</v>
      </c>
      <c r="AX235" s="13" t="s">
        <v>86</v>
      </c>
      <c r="AY235" s="238" t="s">
        <v>200</v>
      </c>
    </row>
    <row r="236" s="2" customFormat="1" ht="16.5" customHeight="1">
      <c r="A236" s="40"/>
      <c r="B236" s="41"/>
      <c r="C236" s="209" t="s">
        <v>703</v>
      </c>
      <c r="D236" s="209" t="s">
        <v>202</v>
      </c>
      <c r="E236" s="210" t="s">
        <v>2378</v>
      </c>
      <c r="F236" s="211" t="s">
        <v>2379</v>
      </c>
      <c r="G236" s="212" t="s">
        <v>449</v>
      </c>
      <c r="H236" s="213">
        <v>55</v>
      </c>
      <c r="I236" s="214"/>
      <c r="J236" s="215">
        <f>ROUND(I236*H236,1)</f>
        <v>0</v>
      </c>
      <c r="K236" s="211" t="s">
        <v>206</v>
      </c>
      <c r="L236" s="46"/>
      <c r="M236" s="216" t="s">
        <v>32</v>
      </c>
      <c r="N236" s="217" t="s">
        <v>49</v>
      </c>
      <c r="O236" s="86"/>
      <c r="P236" s="218">
        <f>O236*H236</f>
        <v>0</v>
      </c>
      <c r="Q236" s="218">
        <v>0</v>
      </c>
      <c r="R236" s="218">
        <f>Q236*H236</f>
        <v>0</v>
      </c>
      <c r="S236" s="218">
        <v>0</v>
      </c>
      <c r="T236" s="219">
        <f>S236*H236</f>
        <v>0</v>
      </c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R236" s="220" t="s">
        <v>310</v>
      </c>
      <c r="AT236" s="220" t="s">
        <v>202</v>
      </c>
      <c r="AU236" s="220" t="s">
        <v>88</v>
      </c>
      <c r="AY236" s="18" t="s">
        <v>200</v>
      </c>
      <c r="BE236" s="221">
        <f>IF(N236="základní",J236,0)</f>
        <v>0</v>
      </c>
      <c r="BF236" s="221">
        <f>IF(N236="snížená",J236,0)</f>
        <v>0</v>
      </c>
      <c r="BG236" s="221">
        <f>IF(N236="zákl. přenesená",J236,0)</f>
        <v>0</v>
      </c>
      <c r="BH236" s="221">
        <f>IF(N236="sníž. přenesená",J236,0)</f>
        <v>0</v>
      </c>
      <c r="BI236" s="221">
        <f>IF(N236="nulová",J236,0)</f>
        <v>0</v>
      </c>
      <c r="BJ236" s="18" t="s">
        <v>86</v>
      </c>
      <c r="BK236" s="221">
        <f>ROUND(I236*H236,1)</f>
        <v>0</v>
      </c>
      <c r="BL236" s="18" t="s">
        <v>310</v>
      </c>
      <c r="BM236" s="220" t="s">
        <v>2380</v>
      </c>
    </row>
    <row r="237" s="2" customFormat="1">
      <c r="A237" s="40"/>
      <c r="B237" s="41"/>
      <c r="C237" s="42"/>
      <c r="D237" s="222" t="s">
        <v>209</v>
      </c>
      <c r="E237" s="42"/>
      <c r="F237" s="223" t="s">
        <v>2381</v>
      </c>
      <c r="G237" s="42"/>
      <c r="H237" s="42"/>
      <c r="I237" s="224"/>
      <c r="J237" s="42"/>
      <c r="K237" s="42"/>
      <c r="L237" s="46"/>
      <c r="M237" s="225"/>
      <c r="N237" s="226"/>
      <c r="O237" s="86"/>
      <c r="P237" s="86"/>
      <c r="Q237" s="86"/>
      <c r="R237" s="86"/>
      <c r="S237" s="86"/>
      <c r="T237" s="87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T237" s="18" t="s">
        <v>209</v>
      </c>
      <c r="AU237" s="18" t="s">
        <v>88</v>
      </c>
    </row>
    <row r="238" s="13" customFormat="1">
      <c r="A238" s="13"/>
      <c r="B238" s="227"/>
      <c r="C238" s="228"/>
      <c r="D238" s="229" t="s">
        <v>211</v>
      </c>
      <c r="E238" s="230" t="s">
        <v>32</v>
      </c>
      <c r="F238" s="231" t="s">
        <v>2382</v>
      </c>
      <c r="G238" s="228"/>
      <c r="H238" s="232">
        <v>55</v>
      </c>
      <c r="I238" s="233"/>
      <c r="J238" s="228"/>
      <c r="K238" s="228"/>
      <c r="L238" s="234"/>
      <c r="M238" s="235"/>
      <c r="N238" s="236"/>
      <c r="O238" s="236"/>
      <c r="P238" s="236"/>
      <c r="Q238" s="236"/>
      <c r="R238" s="236"/>
      <c r="S238" s="236"/>
      <c r="T238" s="237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T238" s="238" t="s">
        <v>211</v>
      </c>
      <c r="AU238" s="238" t="s">
        <v>88</v>
      </c>
      <c r="AV238" s="13" t="s">
        <v>88</v>
      </c>
      <c r="AW238" s="13" t="s">
        <v>213</v>
      </c>
      <c r="AX238" s="13" t="s">
        <v>86</v>
      </c>
      <c r="AY238" s="238" t="s">
        <v>200</v>
      </c>
    </row>
    <row r="239" s="2" customFormat="1" ht="21.75" customHeight="1">
      <c r="A239" s="40"/>
      <c r="B239" s="41"/>
      <c r="C239" s="209" t="s">
        <v>708</v>
      </c>
      <c r="D239" s="209" t="s">
        <v>202</v>
      </c>
      <c r="E239" s="210" t="s">
        <v>2383</v>
      </c>
      <c r="F239" s="211" t="s">
        <v>2384</v>
      </c>
      <c r="G239" s="212" t="s">
        <v>1094</v>
      </c>
      <c r="H239" s="213">
        <v>2</v>
      </c>
      <c r="I239" s="214"/>
      <c r="J239" s="215">
        <f>ROUND(I239*H239,1)</f>
        <v>0</v>
      </c>
      <c r="K239" s="211" t="s">
        <v>206</v>
      </c>
      <c r="L239" s="46"/>
      <c r="M239" s="216" t="s">
        <v>32</v>
      </c>
      <c r="N239" s="217" t="s">
        <v>49</v>
      </c>
      <c r="O239" s="86"/>
      <c r="P239" s="218">
        <f>O239*H239</f>
        <v>0</v>
      </c>
      <c r="Q239" s="218">
        <v>0.0292</v>
      </c>
      <c r="R239" s="218">
        <f>Q239*H239</f>
        <v>0.058400000000000001</v>
      </c>
      <c r="S239" s="218">
        <v>0</v>
      </c>
      <c r="T239" s="219">
        <f>S239*H239</f>
        <v>0</v>
      </c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R239" s="220" t="s">
        <v>310</v>
      </c>
      <c r="AT239" s="220" t="s">
        <v>202</v>
      </c>
      <c r="AU239" s="220" t="s">
        <v>88</v>
      </c>
      <c r="AY239" s="18" t="s">
        <v>200</v>
      </c>
      <c r="BE239" s="221">
        <f>IF(N239="základní",J239,0)</f>
        <v>0</v>
      </c>
      <c r="BF239" s="221">
        <f>IF(N239="snížená",J239,0)</f>
        <v>0</v>
      </c>
      <c r="BG239" s="221">
        <f>IF(N239="zákl. přenesená",J239,0)</f>
        <v>0</v>
      </c>
      <c r="BH239" s="221">
        <f>IF(N239="sníž. přenesená",J239,0)</f>
        <v>0</v>
      </c>
      <c r="BI239" s="221">
        <f>IF(N239="nulová",J239,0)</f>
        <v>0</v>
      </c>
      <c r="BJ239" s="18" t="s">
        <v>86</v>
      </c>
      <c r="BK239" s="221">
        <f>ROUND(I239*H239,1)</f>
        <v>0</v>
      </c>
      <c r="BL239" s="18" t="s">
        <v>310</v>
      </c>
      <c r="BM239" s="220" t="s">
        <v>2385</v>
      </c>
    </row>
    <row r="240" s="2" customFormat="1">
      <c r="A240" s="40"/>
      <c r="B240" s="41"/>
      <c r="C240" s="42"/>
      <c r="D240" s="222" t="s">
        <v>209</v>
      </c>
      <c r="E240" s="42"/>
      <c r="F240" s="223" t="s">
        <v>2386</v>
      </c>
      <c r="G240" s="42"/>
      <c r="H240" s="42"/>
      <c r="I240" s="224"/>
      <c r="J240" s="42"/>
      <c r="K240" s="42"/>
      <c r="L240" s="46"/>
      <c r="M240" s="225"/>
      <c r="N240" s="226"/>
      <c r="O240" s="86"/>
      <c r="P240" s="86"/>
      <c r="Q240" s="86"/>
      <c r="R240" s="86"/>
      <c r="S240" s="86"/>
      <c r="T240" s="87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T240" s="18" t="s">
        <v>209</v>
      </c>
      <c r="AU240" s="18" t="s">
        <v>88</v>
      </c>
    </row>
    <row r="241" s="2" customFormat="1" ht="24.15" customHeight="1">
      <c r="A241" s="40"/>
      <c r="B241" s="41"/>
      <c r="C241" s="209" t="s">
        <v>717</v>
      </c>
      <c r="D241" s="209" t="s">
        <v>202</v>
      </c>
      <c r="E241" s="210" t="s">
        <v>2387</v>
      </c>
      <c r="F241" s="211" t="s">
        <v>2388</v>
      </c>
      <c r="G241" s="212" t="s">
        <v>280</v>
      </c>
      <c r="H241" s="213">
        <v>271.89999999999998</v>
      </c>
      <c r="I241" s="214"/>
      <c r="J241" s="215">
        <f>ROUND(I241*H241,1)</f>
        <v>0</v>
      </c>
      <c r="K241" s="211" t="s">
        <v>206</v>
      </c>
      <c r="L241" s="46"/>
      <c r="M241" s="216" t="s">
        <v>32</v>
      </c>
      <c r="N241" s="217" t="s">
        <v>49</v>
      </c>
      <c r="O241" s="86"/>
      <c r="P241" s="218">
        <f>O241*H241</f>
        <v>0</v>
      </c>
      <c r="Q241" s="218">
        <v>0.00019000000000000001</v>
      </c>
      <c r="R241" s="218">
        <f>Q241*H241</f>
        <v>0.051660999999999999</v>
      </c>
      <c r="S241" s="218">
        <v>0</v>
      </c>
      <c r="T241" s="219">
        <f>S241*H241</f>
        <v>0</v>
      </c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R241" s="220" t="s">
        <v>310</v>
      </c>
      <c r="AT241" s="220" t="s">
        <v>202</v>
      </c>
      <c r="AU241" s="220" t="s">
        <v>88</v>
      </c>
      <c r="AY241" s="18" t="s">
        <v>200</v>
      </c>
      <c r="BE241" s="221">
        <f>IF(N241="základní",J241,0)</f>
        <v>0</v>
      </c>
      <c r="BF241" s="221">
        <f>IF(N241="snížená",J241,0)</f>
        <v>0</v>
      </c>
      <c r="BG241" s="221">
        <f>IF(N241="zákl. přenesená",J241,0)</f>
        <v>0</v>
      </c>
      <c r="BH241" s="221">
        <f>IF(N241="sníž. přenesená",J241,0)</f>
        <v>0</v>
      </c>
      <c r="BI241" s="221">
        <f>IF(N241="nulová",J241,0)</f>
        <v>0</v>
      </c>
      <c r="BJ241" s="18" t="s">
        <v>86</v>
      </c>
      <c r="BK241" s="221">
        <f>ROUND(I241*H241,1)</f>
        <v>0</v>
      </c>
      <c r="BL241" s="18" t="s">
        <v>310</v>
      </c>
      <c r="BM241" s="220" t="s">
        <v>2389</v>
      </c>
    </row>
    <row r="242" s="2" customFormat="1">
      <c r="A242" s="40"/>
      <c r="B242" s="41"/>
      <c r="C242" s="42"/>
      <c r="D242" s="222" t="s">
        <v>209</v>
      </c>
      <c r="E242" s="42"/>
      <c r="F242" s="223" t="s">
        <v>2390</v>
      </c>
      <c r="G242" s="42"/>
      <c r="H242" s="42"/>
      <c r="I242" s="224"/>
      <c r="J242" s="42"/>
      <c r="K242" s="42"/>
      <c r="L242" s="46"/>
      <c r="M242" s="225"/>
      <c r="N242" s="226"/>
      <c r="O242" s="86"/>
      <c r="P242" s="86"/>
      <c r="Q242" s="86"/>
      <c r="R242" s="86"/>
      <c r="S242" s="86"/>
      <c r="T242" s="87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T242" s="18" t="s">
        <v>209</v>
      </c>
      <c r="AU242" s="18" t="s">
        <v>88</v>
      </c>
    </row>
    <row r="243" s="13" customFormat="1">
      <c r="A243" s="13"/>
      <c r="B243" s="227"/>
      <c r="C243" s="228"/>
      <c r="D243" s="229" t="s">
        <v>211</v>
      </c>
      <c r="E243" s="230" t="s">
        <v>32</v>
      </c>
      <c r="F243" s="231" t="s">
        <v>2391</v>
      </c>
      <c r="G243" s="228"/>
      <c r="H243" s="232">
        <v>271.89999999999998</v>
      </c>
      <c r="I243" s="233"/>
      <c r="J243" s="228"/>
      <c r="K243" s="228"/>
      <c r="L243" s="234"/>
      <c r="M243" s="235"/>
      <c r="N243" s="236"/>
      <c r="O243" s="236"/>
      <c r="P243" s="236"/>
      <c r="Q243" s="236"/>
      <c r="R243" s="236"/>
      <c r="S243" s="236"/>
      <c r="T243" s="237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T243" s="238" t="s">
        <v>211</v>
      </c>
      <c r="AU243" s="238" t="s">
        <v>88</v>
      </c>
      <c r="AV243" s="13" t="s">
        <v>88</v>
      </c>
      <c r="AW243" s="13" t="s">
        <v>213</v>
      </c>
      <c r="AX243" s="13" t="s">
        <v>86</v>
      </c>
      <c r="AY243" s="238" t="s">
        <v>200</v>
      </c>
    </row>
    <row r="244" s="2" customFormat="1" ht="21.75" customHeight="1">
      <c r="A244" s="40"/>
      <c r="B244" s="41"/>
      <c r="C244" s="209" t="s">
        <v>726</v>
      </c>
      <c r="D244" s="209" t="s">
        <v>202</v>
      </c>
      <c r="E244" s="210" t="s">
        <v>2392</v>
      </c>
      <c r="F244" s="211" t="s">
        <v>2393</v>
      </c>
      <c r="G244" s="212" t="s">
        <v>280</v>
      </c>
      <c r="H244" s="213">
        <v>271.89999999999998</v>
      </c>
      <c r="I244" s="214"/>
      <c r="J244" s="215">
        <f>ROUND(I244*H244,1)</f>
        <v>0</v>
      </c>
      <c r="K244" s="211" t="s">
        <v>206</v>
      </c>
      <c r="L244" s="46"/>
      <c r="M244" s="216" t="s">
        <v>32</v>
      </c>
      <c r="N244" s="217" t="s">
        <v>49</v>
      </c>
      <c r="O244" s="86"/>
      <c r="P244" s="218">
        <f>O244*H244</f>
        <v>0</v>
      </c>
      <c r="Q244" s="218">
        <v>1.0000000000000001E-05</v>
      </c>
      <c r="R244" s="218">
        <f>Q244*H244</f>
        <v>0.0027190000000000001</v>
      </c>
      <c r="S244" s="218">
        <v>0</v>
      </c>
      <c r="T244" s="219">
        <f>S244*H244</f>
        <v>0</v>
      </c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R244" s="220" t="s">
        <v>310</v>
      </c>
      <c r="AT244" s="220" t="s">
        <v>202</v>
      </c>
      <c r="AU244" s="220" t="s">
        <v>88</v>
      </c>
      <c r="AY244" s="18" t="s">
        <v>200</v>
      </c>
      <c r="BE244" s="221">
        <f>IF(N244="základní",J244,0)</f>
        <v>0</v>
      </c>
      <c r="BF244" s="221">
        <f>IF(N244="snížená",J244,0)</f>
        <v>0</v>
      </c>
      <c r="BG244" s="221">
        <f>IF(N244="zákl. přenesená",J244,0)</f>
        <v>0</v>
      </c>
      <c r="BH244" s="221">
        <f>IF(N244="sníž. přenesená",J244,0)</f>
        <v>0</v>
      </c>
      <c r="BI244" s="221">
        <f>IF(N244="nulová",J244,0)</f>
        <v>0</v>
      </c>
      <c r="BJ244" s="18" t="s">
        <v>86</v>
      </c>
      <c r="BK244" s="221">
        <f>ROUND(I244*H244,1)</f>
        <v>0</v>
      </c>
      <c r="BL244" s="18" t="s">
        <v>310</v>
      </c>
      <c r="BM244" s="220" t="s">
        <v>2394</v>
      </c>
    </row>
    <row r="245" s="2" customFormat="1">
      <c r="A245" s="40"/>
      <c r="B245" s="41"/>
      <c r="C245" s="42"/>
      <c r="D245" s="222" t="s">
        <v>209</v>
      </c>
      <c r="E245" s="42"/>
      <c r="F245" s="223" t="s">
        <v>2395</v>
      </c>
      <c r="G245" s="42"/>
      <c r="H245" s="42"/>
      <c r="I245" s="224"/>
      <c r="J245" s="42"/>
      <c r="K245" s="42"/>
      <c r="L245" s="46"/>
      <c r="M245" s="225"/>
      <c r="N245" s="226"/>
      <c r="O245" s="86"/>
      <c r="P245" s="86"/>
      <c r="Q245" s="86"/>
      <c r="R245" s="86"/>
      <c r="S245" s="86"/>
      <c r="T245" s="87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T245" s="18" t="s">
        <v>209</v>
      </c>
      <c r="AU245" s="18" t="s">
        <v>88</v>
      </c>
    </row>
    <row r="246" s="2" customFormat="1" ht="24.15" customHeight="1">
      <c r="A246" s="40"/>
      <c r="B246" s="41"/>
      <c r="C246" s="209" t="s">
        <v>732</v>
      </c>
      <c r="D246" s="209" t="s">
        <v>202</v>
      </c>
      <c r="E246" s="210" t="s">
        <v>2396</v>
      </c>
      <c r="F246" s="211" t="s">
        <v>2397</v>
      </c>
      <c r="G246" s="212" t="s">
        <v>2291</v>
      </c>
      <c r="H246" s="287"/>
      <c r="I246" s="214"/>
      <c r="J246" s="215">
        <f>ROUND(I246*H246,1)</f>
        <v>0</v>
      </c>
      <c r="K246" s="211" t="s">
        <v>206</v>
      </c>
      <c r="L246" s="46"/>
      <c r="M246" s="216" t="s">
        <v>32</v>
      </c>
      <c r="N246" s="217" t="s">
        <v>49</v>
      </c>
      <c r="O246" s="86"/>
      <c r="P246" s="218">
        <f>O246*H246</f>
        <v>0</v>
      </c>
      <c r="Q246" s="218">
        <v>0</v>
      </c>
      <c r="R246" s="218">
        <f>Q246*H246</f>
        <v>0</v>
      </c>
      <c r="S246" s="218">
        <v>0</v>
      </c>
      <c r="T246" s="219">
        <f>S246*H246</f>
        <v>0</v>
      </c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R246" s="220" t="s">
        <v>310</v>
      </c>
      <c r="AT246" s="220" t="s">
        <v>202</v>
      </c>
      <c r="AU246" s="220" t="s">
        <v>88</v>
      </c>
      <c r="AY246" s="18" t="s">
        <v>200</v>
      </c>
      <c r="BE246" s="221">
        <f>IF(N246="základní",J246,0)</f>
        <v>0</v>
      </c>
      <c r="BF246" s="221">
        <f>IF(N246="snížená",J246,0)</f>
        <v>0</v>
      </c>
      <c r="BG246" s="221">
        <f>IF(N246="zákl. přenesená",J246,0)</f>
        <v>0</v>
      </c>
      <c r="BH246" s="221">
        <f>IF(N246="sníž. přenesená",J246,0)</f>
        <v>0</v>
      </c>
      <c r="BI246" s="221">
        <f>IF(N246="nulová",J246,0)</f>
        <v>0</v>
      </c>
      <c r="BJ246" s="18" t="s">
        <v>86</v>
      </c>
      <c r="BK246" s="221">
        <f>ROUND(I246*H246,1)</f>
        <v>0</v>
      </c>
      <c r="BL246" s="18" t="s">
        <v>310</v>
      </c>
      <c r="BM246" s="220" t="s">
        <v>2398</v>
      </c>
    </row>
    <row r="247" s="2" customFormat="1">
      <c r="A247" s="40"/>
      <c r="B247" s="41"/>
      <c r="C247" s="42"/>
      <c r="D247" s="222" t="s">
        <v>209</v>
      </c>
      <c r="E247" s="42"/>
      <c r="F247" s="223" t="s">
        <v>2399</v>
      </c>
      <c r="G247" s="42"/>
      <c r="H247" s="42"/>
      <c r="I247" s="224"/>
      <c r="J247" s="42"/>
      <c r="K247" s="42"/>
      <c r="L247" s="46"/>
      <c r="M247" s="225"/>
      <c r="N247" s="226"/>
      <c r="O247" s="86"/>
      <c r="P247" s="86"/>
      <c r="Q247" s="86"/>
      <c r="R247" s="86"/>
      <c r="S247" s="86"/>
      <c r="T247" s="87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T247" s="18" t="s">
        <v>209</v>
      </c>
      <c r="AU247" s="18" t="s">
        <v>88</v>
      </c>
    </row>
    <row r="248" s="2" customFormat="1" ht="16.5" customHeight="1">
      <c r="A248" s="40"/>
      <c r="B248" s="41"/>
      <c r="C248" s="260" t="s">
        <v>738</v>
      </c>
      <c r="D248" s="260" t="s">
        <v>292</v>
      </c>
      <c r="E248" s="261" t="s">
        <v>2400</v>
      </c>
      <c r="F248" s="262" t="s">
        <v>2401</v>
      </c>
      <c r="G248" s="263" t="s">
        <v>449</v>
      </c>
      <c r="H248" s="264">
        <v>11</v>
      </c>
      <c r="I248" s="265"/>
      <c r="J248" s="266">
        <f>ROUND(I248*H248,1)</f>
        <v>0</v>
      </c>
      <c r="K248" s="262" t="s">
        <v>206</v>
      </c>
      <c r="L248" s="267"/>
      <c r="M248" s="268" t="s">
        <v>32</v>
      </c>
      <c r="N248" s="269" t="s">
        <v>49</v>
      </c>
      <c r="O248" s="86"/>
      <c r="P248" s="218">
        <f>O248*H248</f>
        <v>0</v>
      </c>
      <c r="Q248" s="218">
        <v>0.00012</v>
      </c>
      <c r="R248" s="218">
        <f>Q248*H248</f>
        <v>0.00132</v>
      </c>
      <c r="S248" s="218">
        <v>0</v>
      </c>
      <c r="T248" s="219">
        <f>S248*H248</f>
        <v>0</v>
      </c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R248" s="220" t="s">
        <v>429</v>
      </c>
      <c r="AT248" s="220" t="s">
        <v>292</v>
      </c>
      <c r="AU248" s="220" t="s">
        <v>88</v>
      </c>
      <c r="AY248" s="18" t="s">
        <v>200</v>
      </c>
      <c r="BE248" s="221">
        <f>IF(N248="základní",J248,0)</f>
        <v>0</v>
      </c>
      <c r="BF248" s="221">
        <f>IF(N248="snížená",J248,0)</f>
        <v>0</v>
      </c>
      <c r="BG248" s="221">
        <f>IF(N248="zákl. přenesená",J248,0)</f>
        <v>0</v>
      </c>
      <c r="BH248" s="221">
        <f>IF(N248="sníž. přenesená",J248,0)</f>
        <v>0</v>
      </c>
      <c r="BI248" s="221">
        <f>IF(N248="nulová",J248,0)</f>
        <v>0</v>
      </c>
      <c r="BJ248" s="18" t="s">
        <v>86</v>
      </c>
      <c r="BK248" s="221">
        <f>ROUND(I248*H248,1)</f>
        <v>0</v>
      </c>
      <c r="BL248" s="18" t="s">
        <v>310</v>
      </c>
      <c r="BM248" s="220" t="s">
        <v>2402</v>
      </c>
    </row>
    <row r="249" s="2" customFormat="1" ht="16.5" customHeight="1">
      <c r="A249" s="40"/>
      <c r="B249" s="41"/>
      <c r="C249" s="260" t="s">
        <v>743</v>
      </c>
      <c r="D249" s="260" t="s">
        <v>292</v>
      </c>
      <c r="E249" s="261" t="s">
        <v>2403</v>
      </c>
      <c r="F249" s="262" t="s">
        <v>2404</v>
      </c>
      <c r="G249" s="263" t="s">
        <v>449</v>
      </c>
      <c r="H249" s="264">
        <v>4</v>
      </c>
      <c r="I249" s="265"/>
      <c r="J249" s="266">
        <f>ROUND(I249*H249,1)</f>
        <v>0</v>
      </c>
      <c r="K249" s="262" t="s">
        <v>206</v>
      </c>
      <c r="L249" s="267"/>
      <c r="M249" s="268" t="s">
        <v>32</v>
      </c>
      <c r="N249" s="269" t="s">
        <v>49</v>
      </c>
      <c r="O249" s="86"/>
      <c r="P249" s="218">
        <f>O249*H249</f>
        <v>0</v>
      </c>
      <c r="Q249" s="218">
        <v>0.00044000000000000002</v>
      </c>
      <c r="R249" s="218">
        <f>Q249*H249</f>
        <v>0.0017600000000000001</v>
      </c>
      <c r="S249" s="218">
        <v>0</v>
      </c>
      <c r="T249" s="219">
        <f>S249*H249</f>
        <v>0</v>
      </c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R249" s="220" t="s">
        <v>429</v>
      </c>
      <c r="AT249" s="220" t="s">
        <v>292</v>
      </c>
      <c r="AU249" s="220" t="s">
        <v>88</v>
      </c>
      <c r="AY249" s="18" t="s">
        <v>200</v>
      </c>
      <c r="BE249" s="221">
        <f>IF(N249="základní",J249,0)</f>
        <v>0</v>
      </c>
      <c r="BF249" s="221">
        <f>IF(N249="snížená",J249,0)</f>
        <v>0</v>
      </c>
      <c r="BG249" s="221">
        <f>IF(N249="zákl. přenesená",J249,0)</f>
        <v>0</v>
      </c>
      <c r="BH249" s="221">
        <f>IF(N249="sníž. přenesená",J249,0)</f>
        <v>0</v>
      </c>
      <c r="BI249" s="221">
        <f>IF(N249="nulová",J249,0)</f>
        <v>0</v>
      </c>
      <c r="BJ249" s="18" t="s">
        <v>86</v>
      </c>
      <c r="BK249" s="221">
        <f>ROUND(I249*H249,1)</f>
        <v>0</v>
      </c>
      <c r="BL249" s="18" t="s">
        <v>310</v>
      </c>
      <c r="BM249" s="220" t="s">
        <v>2405</v>
      </c>
    </row>
    <row r="250" s="2" customFormat="1" ht="16.5" customHeight="1">
      <c r="A250" s="40"/>
      <c r="B250" s="41"/>
      <c r="C250" s="260" t="s">
        <v>749</v>
      </c>
      <c r="D250" s="260" t="s">
        <v>292</v>
      </c>
      <c r="E250" s="261" t="s">
        <v>2406</v>
      </c>
      <c r="F250" s="262" t="s">
        <v>2407</v>
      </c>
      <c r="G250" s="263" t="s">
        <v>449</v>
      </c>
      <c r="H250" s="264">
        <v>1</v>
      </c>
      <c r="I250" s="265"/>
      <c r="J250" s="266">
        <f>ROUND(I250*H250,1)</f>
        <v>0</v>
      </c>
      <c r="K250" s="262" t="s">
        <v>206</v>
      </c>
      <c r="L250" s="267"/>
      <c r="M250" s="268" t="s">
        <v>32</v>
      </c>
      <c r="N250" s="269" t="s">
        <v>49</v>
      </c>
      <c r="O250" s="86"/>
      <c r="P250" s="218">
        <f>O250*H250</f>
        <v>0</v>
      </c>
      <c r="Q250" s="218">
        <v>0.00034000000000000002</v>
      </c>
      <c r="R250" s="218">
        <f>Q250*H250</f>
        <v>0.00034000000000000002</v>
      </c>
      <c r="S250" s="218">
        <v>0</v>
      </c>
      <c r="T250" s="219">
        <f>S250*H250</f>
        <v>0</v>
      </c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R250" s="220" t="s">
        <v>429</v>
      </c>
      <c r="AT250" s="220" t="s">
        <v>292</v>
      </c>
      <c r="AU250" s="220" t="s">
        <v>88</v>
      </c>
      <c r="AY250" s="18" t="s">
        <v>200</v>
      </c>
      <c r="BE250" s="221">
        <f>IF(N250="základní",J250,0)</f>
        <v>0</v>
      </c>
      <c r="BF250" s="221">
        <f>IF(N250="snížená",J250,0)</f>
        <v>0</v>
      </c>
      <c r="BG250" s="221">
        <f>IF(N250="zákl. přenesená",J250,0)</f>
        <v>0</v>
      </c>
      <c r="BH250" s="221">
        <f>IF(N250="sníž. přenesená",J250,0)</f>
        <v>0</v>
      </c>
      <c r="BI250" s="221">
        <f>IF(N250="nulová",J250,0)</f>
        <v>0</v>
      </c>
      <c r="BJ250" s="18" t="s">
        <v>86</v>
      </c>
      <c r="BK250" s="221">
        <f>ROUND(I250*H250,1)</f>
        <v>0</v>
      </c>
      <c r="BL250" s="18" t="s">
        <v>310</v>
      </c>
      <c r="BM250" s="220" t="s">
        <v>2408</v>
      </c>
    </row>
    <row r="251" s="12" customFormat="1" ht="22.8" customHeight="1">
      <c r="A251" s="12"/>
      <c r="B251" s="193"/>
      <c r="C251" s="194"/>
      <c r="D251" s="195" t="s">
        <v>77</v>
      </c>
      <c r="E251" s="207" t="s">
        <v>1099</v>
      </c>
      <c r="F251" s="207" t="s">
        <v>1100</v>
      </c>
      <c r="G251" s="194"/>
      <c r="H251" s="194"/>
      <c r="I251" s="197"/>
      <c r="J251" s="208">
        <f>BK251</f>
        <v>0</v>
      </c>
      <c r="K251" s="194"/>
      <c r="L251" s="199"/>
      <c r="M251" s="200"/>
      <c r="N251" s="201"/>
      <c r="O251" s="201"/>
      <c r="P251" s="202">
        <f>SUM(P252:P289)</f>
        <v>0</v>
      </c>
      <c r="Q251" s="201"/>
      <c r="R251" s="202">
        <f>SUM(R252:R289)</f>
        <v>0.51595000000000002</v>
      </c>
      <c r="S251" s="201"/>
      <c r="T251" s="203">
        <f>SUM(T252:T289)</f>
        <v>0</v>
      </c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R251" s="204" t="s">
        <v>88</v>
      </c>
      <c r="AT251" s="205" t="s">
        <v>77</v>
      </c>
      <c r="AU251" s="205" t="s">
        <v>86</v>
      </c>
      <c r="AY251" s="204" t="s">
        <v>200</v>
      </c>
      <c r="BK251" s="206">
        <f>SUM(BK252:BK289)</f>
        <v>0</v>
      </c>
    </row>
    <row r="252" s="2" customFormat="1" ht="21.75" customHeight="1">
      <c r="A252" s="40"/>
      <c r="B252" s="41"/>
      <c r="C252" s="209" t="s">
        <v>755</v>
      </c>
      <c r="D252" s="209" t="s">
        <v>202</v>
      </c>
      <c r="E252" s="210" t="s">
        <v>2409</v>
      </c>
      <c r="F252" s="211" t="s">
        <v>2410</v>
      </c>
      <c r="G252" s="212" t="s">
        <v>1094</v>
      </c>
      <c r="H252" s="213">
        <v>7</v>
      </c>
      <c r="I252" s="214"/>
      <c r="J252" s="215">
        <f>ROUND(I252*H252,1)</f>
        <v>0</v>
      </c>
      <c r="K252" s="211" t="s">
        <v>206</v>
      </c>
      <c r="L252" s="46"/>
      <c r="M252" s="216" t="s">
        <v>32</v>
      </c>
      <c r="N252" s="217" t="s">
        <v>49</v>
      </c>
      <c r="O252" s="86"/>
      <c r="P252" s="218">
        <f>O252*H252</f>
        <v>0</v>
      </c>
      <c r="Q252" s="218">
        <v>0.016969999999999999</v>
      </c>
      <c r="R252" s="218">
        <f>Q252*H252</f>
        <v>0.11878999999999999</v>
      </c>
      <c r="S252" s="218">
        <v>0</v>
      </c>
      <c r="T252" s="219">
        <f>S252*H252</f>
        <v>0</v>
      </c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R252" s="220" t="s">
        <v>310</v>
      </c>
      <c r="AT252" s="220" t="s">
        <v>202</v>
      </c>
      <c r="AU252" s="220" t="s">
        <v>88</v>
      </c>
      <c r="AY252" s="18" t="s">
        <v>200</v>
      </c>
      <c r="BE252" s="221">
        <f>IF(N252="základní",J252,0)</f>
        <v>0</v>
      </c>
      <c r="BF252" s="221">
        <f>IF(N252="snížená",J252,0)</f>
        <v>0</v>
      </c>
      <c r="BG252" s="221">
        <f>IF(N252="zákl. přenesená",J252,0)</f>
        <v>0</v>
      </c>
      <c r="BH252" s="221">
        <f>IF(N252="sníž. přenesená",J252,0)</f>
        <v>0</v>
      </c>
      <c r="BI252" s="221">
        <f>IF(N252="nulová",J252,0)</f>
        <v>0</v>
      </c>
      <c r="BJ252" s="18" t="s">
        <v>86</v>
      </c>
      <c r="BK252" s="221">
        <f>ROUND(I252*H252,1)</f>
        <v>0</v>
      </c>
      <c r="BL252" s="18" t="s">
        <v>310</v>
      </c>
      <c r="BM252" s="220" t="s">
        <v>2411</v>
      </c>
    </row>
    <row r="253" s="2" customFormat="1">
      <c r="A253" s="40"/>
      <c r="B253" s="41"/>
      <c r="C253" s="42"/>
      <c r="D253" s="222" t="s">
        <v>209</v>
      </c>
      <c r="E253" s="42"/>
      <c r="F253" s="223" t="s">
        <v>2412</v>
      </c>
      <c r="G253" s="42"/>
      <c r="H253" s="42"/>
      <c r="I253" s="224"/>
      <c r="J253" s="42"/>
      <c r="K253" s="42"/>
      <c r="L253" s="46"/>
      <c r="M253" s="225"/>
      <c r="N253" s="226"/>
      <c r="O253" s="86"/>
      <c r="P253" s="86"/>
      <c r="Q253" s="86"/>
      <c r="R253" s="86"/>
      <c r="S253" s="86"/>
      <c r="T253" s="87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T253" s="18" t="s">
        <v>209</v>
      </c>
      <c r="AU253" s="18" t="s">
        <v>88</v>
      </c>
    </row>
    <row r="254" s="2" customFormat="1" ht="16.5" customHeight="1">
      <c r="A254" s="40"/>
      <c r="B254" s="41"/>
      <c r="C254" s="209" t="s">
        <v>761</v>
      </c>
      <c r="D254" s="209" t="s">
        <v>202</v>
      </c>
      <c r="E254" s="210" t="s">
        <v>2413</v>
      </c>
      <c r="F254" s="211" t="s">
        <v>2414</v>
      </c>
      <c r="G254" s="212" t="s">
        <v>1094</v>
      </c>
      <c r="H254" s="213">
        <v>3</v>
      </c>
      <c r="I254" s="214"/>
      <c r="J254" s="215">
        <f>ROUND(I254*H254,1)</f>
        <v>0</v>
      </c>
      <c r="K254" s="211" t="s">
        <v>206</v>
      </c>
      <c r="L254" s="46"/>
      <c r="M254" s="216" t="s">
        <v>32</v>
      </c>
      <c r="N254" s="217" t="s">
        <v>49</v>
      </c>
      <c r="O254" s="86"/>
      <c r="P254" s="218">
        <f>O254*H254</f>
        <v>0</v>
      </c>
      <c r="Q254" s="218">
        <v>0.0025799999999999998</v>
      </c>
      <c r="R254" s="218">
        <f>Q254*H254</f>
        <v>0.0077399999999999995</v>
      </c>
      <c r="S254" s="218">
        <v>0</v>
      </c>
      <c r="T254" s="219">
        <f>S254*H254</f>
        <v>0</v>
      </c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R254" s="220" t="s">
        <v>310</v>
      </c>
      <c r="AT254" s="220" t="s">
        <v>202</v>
      </c>
      <c r="AU254" s="220" t="s">
        <v>88</v>
      </c>
      <c r="AY254" s="18" t="s">
        <v>200</v>
      </c>
      <c r="BE254" s="221">
        <f>IF(N254="základní",J254,0)</f>
        <v>0</v>
      </c>
      <c r="BF254" s="221">
        <f>IF(N254="snížená",J254,0)</f>
        <v>0</v>
      </c>
      <c r="BG254" s="221">
        <f>IF(N254="zákl. přenesená",J254,0)</f>
        <v>0</v>
      </c>
      <c r="BH254" s="221">
        <f>IF(N254="sníž. přenesená",J254,0)</f>
        <v>0</v>
      </c>
      <c r="BI254" s="221">
        <f>IF(N254="nulová",J254,0)</f>
        <v>0</v>
      </c>
      <c r="BJ254" s="18" t="s">
        <v>86</v>
      </c>
      <c r="BK254" s="221">
        <f>ROUND(I254*H254,1)</f>
        <v>0</v>
      </c>
      <c r="BL254" s="18" t="s">
        <v>310</v>
      </c>
      <c r="BM254" s="220" t="s">
        <v>2415</v>
      </c>
    </row>
    <row r="255" s="2" customFormat="1">
      <c r="A255" s="40"/>
      <c r="B255" s="41"/>
      <c r="C255" s="42"/>
      <c r="D255" s="222" t="s">
        <v>209</v>
      </c>
      <c r="E255" s="42"/>
      <c r="F255" s="223" t="s">
        <v>2416</v>
      </c>
      <c r="G255" s="42"/>
      <c r="H255" s="42"/>
      <c r="I255" s="224"/>
      <c r="J255" s="42"/>
      <c r="K255" s="42"/>
      <c r="L255" s="46"/>
      <c r="M255" s="225"/>
      <c r="N255" s="226"/>
      <c r="O255" s="86"/>
      <c r="P255" s="86"/>
      <c r="Q255" s="86"/>
      <c r="R255" s="86"/>
      <c r="S255" s="86"/>
      <c r="T255" s="87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T255" s="18" t="s">
        <v>209</v>
      </c>
      <c r="AU255" s="18" t="s">
        <v>88</v>
      </c>
    </row>
    <row r="256" s="2" customFormat="1" ht="24.15" customHeight="1">
      <c r="A256" s="40"/>
      <c r="B256" s="41"/>
      <c r="C256" s="209" t="s">
        <v>766</v>
      </c>
      <c r="D256" s="209" t="s">
        <v>202</v>
      </c>
      <c r="E256" s="210" t="s">
        <v>2417</v>
      </c>
      <c r="F256" s="211" t="s">
        <v>2418</v>
      </c>
      <c r="G256" s="212" t="s">
        <v>1094</v>
      </c>
      <c r="H256" s="213">
        <v>4</v>
      </c>
      <c r="I256" s="214"/>
      <c r="J256" s="215">
        <f>ROUND(I256*H256,1)</f>
        <v>0</v>
      </c>
      <c r="K256" s="211" t="s">
        <v>206</v>
      </c>
      <c r="L256" s="46"/>
      <c r="M256" s="216" t="s">
        <v>32</v>
      </c>
      <c r="N256" s="217" t="s">
        <v>49</v>
      </c>
      <c r="O256" s="86"/>
      <c r="P256" s="218">
        <f>O256*H256</f>
        <v>0</v>
      </c>
      <c r="Q256" s="218">
        <v>0.01197</v>
      </c>
      <c r="R256" s="218">
        <f>Q256*H256</f>
        <v>0.047879999999999999</v>
      </c>
      <c r="S256" s="218">
        <v>0</v>
      </c>
      <c r="T256" s="219">
        <f>S256*H256</f>
        <v>0</v>
      </c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R256" s="220" t="s">
        <v>310</v>
      </c>
      <c r="AT256" s="220" t="s">
        <v>202</v>
      </c>
      <c r="AU256" s="220" t="s">
        <v>88</v>
      </c>
      <c r="AY256" s="18" t="s">
        <v>200</v>
      </c>
      <c r="BE256" s="221">
        <f>IF(N256="základní",J256,0)</f>
        <v>0</v>
      </c>
      <c r="BF256" s="221">
        <f>IF(N256="snížená",J256,0)</f>
        <v>0</v>
      </c>
      <c r="BG256" s="221">
        <f>IF(N256="zákl. přenesená",J256,0)</f>
        <v>0</v>
      </c>
      <c r="BH256" s="221">
        <f>IF(N256="sníž. přenesená",J256,0)</f>
        <v>0</v>
      </c>
      <c r="BI256" s="221">
        <f>IF(N256="nulová",J256,0)</f>
        <v>0</v>
      </c>
      <c r="BJ256" s="18" t="s">
        <v>86</v>
      </c>
      <c r="BK256" s="221">
        <f>ROUND(I256*H256,1)</f>
        <v>0</v>
      </c>
      <c r="BL256" s="18" t="s">
        <v>310</v>
      </c>
      <c r="BM256" s="220" t="s">
        <v>2419</v>
      </c>
    </row>
    <row r="257" s="2" customFormat="1">
      <c r="A257" s="40"/>
      <c r="B257" s="41"/>
      <c r="C257" s="42"/>
      <c r="D257" s="222" t="s">
        <v>209</v>
      </c>
      <c r="E257" s="42"/>
      <c r="F257" s="223" t="s">
        <v>2420</v>
      </c>
      <c r="G257" s="42"/>
      <c r="H257" s="42"/>
      <c r="I257" s="224"/>
      <c r="J257" s="42"/>
      <c r="K257" s="42"/>
      <c r="L257" s="46"/>
      <c r="M257" s="225"/>
      <c r="N257" s="226"/>
      <c r="O257" s="86"/>
      <c r="P257" s="86"/>
      <c r="Q257" s="86"/>
      <c r="R257" s="86"/>
      <c r="S257" s="86"/>
      <c r="T257" s="87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T257" s="18" t="s">
        <v>209</v>
      </c>
      <c r="AU257" s="18" t="s">
        <v>88</v>
      </c>
    </row>
    <row r="258" s="2" customFormat="1" ht="24.15" customHeight="1">
      <c r="A258" s="40"/>
      <c r="B258" s="41"/>
      <c r="C258" s="209" t="s">
        <v>773</v>
      </c>
      <c r="D258" s="209" t="s">
        <v>202</v>
      </c>
      <c r="E258" s="210" t="s">
        <v>2421</v>
      </c>
      <c r="F258" s="211" t="s">
        <v>2422</v>
      </c>
      <c r="G258" s="212" t="s">
        <v>1094</v>
      </c>
      <c r="H258" s="213">
        <v>6</v>
      </c>
      <c r="I258" s="214"/>
      <c r="J258" s="215">
        <f>ROUND(I258*H258,1)</f>
        <v>0</v>
      </c>
      <c r="K258" s="211" t="s">
        <v>206</v>
      </c>
      <c r="L258" s="46"/>
      <c r="M258" s="216" t="s">
        <v>32</v>
      </c>
      <c r="N258" s="217" t="s">
        <v>49</v>
      </c>
      <c r="O258" s="86"/>
      <c r="P258" s="218">
        <f>O258*H258</f>
        <v>0</v>
      </c>
      <c r="Q258" s="218">
        <v>0.016070000000000001</v>
      </c>
      <c r="R258" s="218">
        <f>Q258*H258</f>
        <v>0.096420000000000006</v>
      </c>
      <c r="S258" s="218">
        <v>0</v>
      </c>
      <c r="T258" s="219">
        <f>S258*H258</f>
        <v>0</v>
      </c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R258" s="220" t="s">
        <v>310</v>
      </c>
      <c r="AT258" s="220" t="s">
        <v>202</v>
      </c>
      <c r="AU258" s="220" t="s">
        <v>88</v>
      </c>
      <c r="AY258" s="18" t="s">
        <v>200</v>
      </c>
      <c r="BE258" s="221">
        <f>IF(N258="základní",J258,0)</f>
        <v>0</v>
      </c>
      <c r="BF258" s="221">
        <f>IF(N258="snížená",J258,0)</f>
        <v>0</v>
      </c>
      <c r="BG258" s="221">
        <f>IF(N258="zákl. přenesená",J258,0)</f>
        <v>0</v>
      </c>
      <c r="BH258" s="221">
        <f>IF(N258="sníž. přenesená",J258,0)</f>
        <v>0</v>
      </c>
      <c r="BI258" s="221">
        <f>IF(N258="nulová",J258,0)</f>
        <v>0</v>
      </c>
      <c r="BJ258" s="18" t="s">
        <v>86</v>
      </c>
      <c r="BK258" s="221">
        <f>ROUND(I258*H258,1)</f>
        <v>0</v>
      </c>
      <c r="BL258" s="18" t="s">
        <v>310</v>
      </c>
      <c r="BM258" s="220" t="s">
        <v>2423</v>
      </c>
    </row>
    <row r="259" s="2" customFormat="1">
      <c r="A259" s="40"/>
      <c r="B259" s="41"/>
      <c r="C259" s="42"/>
      <c r="D259" s="222" t="s">
        <v>209</v>
      </c>
      <c r="E259" s="42"/>
      <c r="F259" s="223" t="s">
        <v>2424</v>
      </c>
      <c r="G259" s="42"/>
      <c r="H259" s="42"/>
      <c r="I259" s="224"/>
      <c r="J259" s="42"/>
      <c r="K259" s="42"/>
      <c r="L259" s="46"/>
      <c r="M259" s="225"/>
      <c r="N259" s="226"/>
      <c r="O259" s="86"/>
      <c r="P259" s="86"/>
      <c r="Q259" s="86"/>
      <c r="R259" s="86"/>
      <c r="S259" s="86"/>
      <c r="T259" s="87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T259" s="18" t="s">
        <v>209</v>
      </c>
      <c r="AU259" s="18" t="s">
        <v>88</v>
      </c>
    </row>
    <row r="260" s="2" customFormat="1" ht="24.15" customHeight="1">
      <c r="A260" s="40"/>
      <c r="B260" s="41"/>
      <c r="C260" s="209" t="s">
        <v>779</v>
      </c>
      <c r="D260" s="209" t="s">
        <v>202</v>
      </c>
      <c r="E260" s="210" t="s">
        <v>2425</v>
      </c>
      <c r="F260" s="211" t="s">
        <v>2426</v>
      </c>
      <c r="G260" s="212" t="s">
        <v>1094</v>
      </c>
      <c r="H260" s="213">
        <v>3</v>
      </c>
      <c r="I260" s="214"/>
      <c r="J260" s="215">
        <f>ROUND(I260*H260,1)</f>
        <v>0</v>
      </c>
      <c r="K260" s="211" t="s">
        <v>206</v>
      </c>
      <c r="L260" s="46"/>
      <c r="M260" s="216" t="s">
        <v>32</v>
      </c>
      <c r="N260" s="217" t="s">
        <v>49</v>
      </c>
      <c r="O260" s="86"/>
      <c r="P260" s="218">
        <f>O260*H260</f>
        <v>0</v>
      </c>
      <c r="Q260" s="218">
        <v>0.019210000000000001</v>
      </c>
      <c r="R260" s="218">
        <f>Q260*H260</f>
        <v>0.057630000000000001</v>
      </c>
      <c r="S260" s="218">
        <v>0</v>
      </c>
      <c r="T260" s="219">
        <f>S260*H260</f>
        <v>0</v>
      </c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R260" s="220" t="s">
        <v>310</v>
      </c>
      <c r="AT260" s="220" t="s">
        <v>202</v>
      </c>
      <c r="AU260" s="220" t="s">
        <v>88</v>
      </c>
      <c r="AY260" s="18" t="s">
        <v>200</v>
      </c>
      <c r="BE260" s="221">
        <f>IF(N260="základní",J260,0)</f>
        <v>0</v>
      </c>
      <c r="BF260" s="221">
        <f>IF(N260="snížená",J260,0)</f>
        <v>0</v>
      </c>
      <c r="BG260" s="221">
        <f>IF(N260="zákl. přenesená",J260,0)</f>
        <v>0</v>
      </c>
      <c r="BH260" s="221">
        <f>IF(N260="sníž. přenesená",J260,0)</f>
        <v>0</v>
      </c>
      <c r="BI260" s="221">
        <f>IF(N260="nulová",J260,0)</f>
        <v>0</v>
      </c>
      <c r="BJ260" s="18" t="s">
        <v>86</v>
      </c>
      <c r="BK260" s="221">
        <f>ROUND(I260*H260,1)</f>
        <v>0</v>
      </c>
      <c r="BL260" s="18" t="s">
        <v>310</v>
      </c>
      <c r="BM260" s="220" t="s">
        <v>2427</v>
      </c>
    </row>
    <row r="261" s="2" customFormat="1">
      <c r="A261" s="40"/>
      <c r="B261" s="41"/>
      <c r="C261" s="42"/>
      <c r="D261" s="222" t="s">
        <v>209</v>
      </c>
      <c r="E261" s="42"/>
      <c r="F261" s="223" t="s">
        <v>2428</v>
      </c>
      <c r="G261" s="42"/>
      <c r="H261" s="42"/>
      <c r="I261" s="224"/>
      <c r="J261" s="42"/>
      <c r="K261" s="42"/>
      <c r="L261" s="46"/>
      <c r="M261" s="225"/>
      <c r="N261" s="226"/>
      <c r="O261" s="86"/>
      <c r="P261" s="86"/>
      <c r="Q261" s="86"/>
      <c r="R261" s="86"/>
      <c r="S261" s="86"/>
      <c r="T261" s="87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T261" s="18" t="s">
        <v>209</v>
      </c>
      <c r="AU261" s="18" t="s">
        <v>88</v>
      </c>
    </row>
    <row r="262" s="2" customFormat="1" ht="16.5" customHeight="1">
      <c r="A262" s="40"/>
      <c r="B262" s="41"/>
      <c r="C262" s="209" t="s">
        <v>784</v>
      </c>
      <c r="D262" s="209" t="s">
        <v>202</v>
      </c>
      <c r="E262" s="210" t="s">
        <v>2429</v>
      </c>
      <c r="F262" s="211" t="s">
        <v>2430</v>
      </c>
      <c r="G262" s="212" t="s">
        <v>1094</v>
      </c>
      <c r="H262" s="213">
        <v>1</v>
      </c>
      <c r="I262" s="214"/>
      <c r="J262" s="215">
        <f>ROUND(I262*H262,1)</f>
        <v>0</v>
      </c>
      <c r="K262" s="211" t="s">
        <v>206</v>
      </c>
      <c r="L262" s="46"/>
      <c r="M262" s="216" t="s">
        <v>32</v>
      </c>
      <c r="N262" s="217" t="s">
        <v>49</v>
      </c>
      <c r="O262" s="86"/>
      <c r="P262" s="218">
        <f>O262*H262</f>
        <v>0</v>
      </c>
      <c r="Q262" s="218">
        <v>0.014489999999999999</v>
      </c>
      <c r="R262" s="218">
        <f>Q262*H262</f>
        <v>0.014489999999999999</v>
      </c>
      <c r="S262" s="218">
        <v>0</v>
      </c>
      <c r="T262" s="219">
        <f>S262*H262</f>
        <v>0</v>
      </c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R262" s="220" t="s">
        <v>310</v>
      </c>
      <c r="AT262" s="220" t="s">
        <v>202</v>
      </c>
      <c r="AU262" s="220" t="s">
        <v>88</v>
      </c>
      <c r="AY262" s="18" t="s">
        <v>200</v>
      </c>
      <c r="BE262" s="221">
        <f>IF(N262="základní",J262,0)</f>
        <v>0</v>
      </c>
      <c r="BF262" s="221">
        <f>IF(N262="snížená",J262,0)</f>
        <v>0</v>
      </c>
      <c r="BG262" s="221">
        <f>IF(N262="zákl. přenesená",J262,0)</f>
        <v>0</v>
      </c>
      <c r="BH262" s="221">
        <f>IF(N262="sníž. přenesená",J262,0)</f>
        <v>0</v>
      </c>
      <c r="BI262" s="221">
        <f>IF(N262="nulová",J262,0)</f>
        <v>0</v>
      </c>
      <c r="BJ262" s="18" t="s">
        <v>86</v>
      </c>
      <c r="BK262" s="221">
        <f>ROUND(I262*H262,1)</f>
        <v>0</v>
      </c>
      <c r="BL262" s="18" t="s">
        <v>310</v>
      </c>
      <c r="BM262" s="220" t="s">
        <v>2431</v>
      </c>
    </row>
    <row r="263" s="2" customFormat="1">
      <c r="A263" s="40"/>
      <c r="B263" s="41"/>
      <c r="C263" s="42"/>
      <c r="D263" s="222" t="s">
        <v>209</v>
      </c>
      <c r="E263" s="42"/>
      <c r="F263" s="223" t="s">
        <v>2432</v>
      </c>
      <c r="G263" s="42"/>
      <c r="H263" s="42"/>
      <c r="I263" s="224"/>
      <c r="J263" s="42"/>
      <c r="K263" s="42"/>
      <c r="L263" s="46"/>
      <c r="M263" s="225"/>
      <c r="N263" s="226"/>
      <c r="O263" s="86"/>
      <c r="P263" s="86"/>
      <c r="Q263" s="86"/>
      <c r="R263" s="86"/>
      <c r="S263" s="86"/>
      <c r="T263" s="87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T263" s="18" t="s">
        <v>209</v>
      </c>
      <c r="AU263" s="18" t="s">
        <v>88</v>
      </c>
    </row>
    <row r="264" s="2" customFormat="1" ht="16.5" customHeight="1">
      <c r="A264" s="40"/>
      <c r="B264" s="41"/>
      <c r="C264" s="209" t="s">
        <v>791</v>
      </c>
      <c r="D264" s="209" t="s">
        <v>202</v>
      </c>
      <c r="E264" s="210" t="s">
        <v>2433</v>
      </c>
      <c r="F264" s="211" t="s">
        <v>2434</v>
      </c>
      <c r="G264" s="212" t="s">
        <v>1094</v>
      </c>
      <c r="H264" s="213">
        <v>2</v>
      </c>
      <c r="I264" s="214"/>
      <c r="J264" s="215">
        <f>ROUND(I264*H264,1)</f>
        <v>0</v>
      </c>
      <c r="K264" s="211" t="s">
        <v>206</v>
      </c>
      <c r="L264" s="46"/>
      <c r="M264" s="216" t="s">
        <v>32</v>
      </c>
      <c r="N264" s="217" t="s">
        <v>49</v>
      </c>
      <c r="O264" s="86"/>
      <c r="P264" s="218">
        <f>O264*H264</f>
        <v>0</v>
      </c>
      <c r="Q264" s="218">
        <v>0.01452</v>
      </c>
      <c r="R264" s="218">
        <f>Q264*H264</f>
        <v>0.02904</v>
      </c>
      <c r="S264" s="218">
        <v>0</v>
      </c>
      <c r="T264" s="219">
        <f>S264*H264</f>
        <v>0</v>
      </c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R264" s="220" t="s">
        <v>310</v>
      </c>
      <c r="AT264" s="220" t="s">
        <v>202</v>
      </c>
      <c r="AU264" s="220" t="s">
        <v>88</v>
      </c>
      <c r="AY264" s="18" t="s">
        <v>200</v>
      </c>
      <c r="BE264" s="221">
        <f>IF(N264="základní",J264,0)</f>
        <v>0</v>
      </c>
      <c r="BF264" s="221">
        <f>IF(N264="snížená",J264,0)</f>
        <v>0</v>
      </c>
      <c r="BG264" s="221">
        <f>IF(N264="zákl. přenesená",J264,0)</f>
        <v>0</v>
      </c>
      <c r="BH264" s="221">
        <f>IF(N264="sníž. přenesená",J264,0)</f>
        <v>0</v>
      </c>
      <c r="BI264" s="221">
        <f>IF(N264="nulová",J264,0)</f>
        <v>0</v>
      </c>
      <c r="BJ264" s="18" t="s">
        <v>86</v>
      </c>
      <c r="BK264" s="221">
        <f>ROUND(I264*H264,1)</f>
        <v>0</v>
      </c>
      <c r="BL264" s="18" t="s">
        <v>310</v>
      </c>
      <c r="BM264" s="220" t="s">
        <v>2435</v>
      </c>
    </row>
    <row r="265" s="2" customFormat="1">
      <c r="A265" s="40"/>
      <c r="B265" s="41"/>
      <c r="C265" s="42"/>
      <c r="D265" s="222" t="s">
        <v>209</v>
      </c>
      <c r="E265" s="42"/>
      <c r="F265" s="223" t="s">
        <v>2436</v>
      </c>
      <c r="G265" s="42"/>
      <c r="H265" s="42"/>
      <c r="I265" s="224"/>
      <c r="J265" s="42"/>
      <c r="K265" s="42"/>
      <c r="L265" s="46"/>
      <c r="M265" s="225"/>
      <c r="N265" s="226"/>
      <c r="O265" s="86"/>
      <c r="P265" s="86"/>
      <c r="Q265" s="86"/>
      <c r="R265" s="86"/>
      <c r="S265" s="86"/>
      <c r="T265" s="87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T265" s="18" t="s">
        <v>209</v>
      </c>
      <c r="AU265" s="18" t="s">
        <v>88</v>
      </c>
    </row>
    <row r="266" s="2" customFormat="1" ht="24.15" customHeight="1">
      <c r="A266" s="40"/>
      <c r="B266" s="41"/>
      <c r="C266" s="209" t="s">
        <v>797</v>
      </c>
      <c r="D266" s="209" t="s">
        <v>202</v>
      </c>
      <c r="E266" s="210" t="s">
        <v>2437</v>
      </c>
      <c r="F266" s="211" t="s">
        <v>2438</v>
      </c>
      <c r="G266" s="212" t="s">
        <v>1094</v>
      </c>
      <c r="H266" s="213">
        <v>2</v>
      </c>
      <c r="I266" s="214"/>
      <c r="J266" s="215">
        <f>ROUND(I266*H266,1)</f>
        <v>0</v>
      </c>
      <c r="K266" s="211" t="s">
        <v>206</v>
      </c>
      <c r="L266" s="46"/>
      <c r="M266" s="216" t="s">
        <v>32</v>
      </c>
      <c r="N266" s="217" t="s">
        <v>49</v>
      </c>
      <c r="O266" s="86"/>
      <c r="P266" s="218">
        <f>O266*H266</f>
        <v>0</v>
      </c>
      <c r="Q266" s="218">
        <v>0.020369999999999999</v>
      </c>
      <c r="R266" s="218">
        <f>Q266*H266</f>
        <v>0.040739999999999998</v>
      </c>
      <c r="S266" s="218">
        <v>0</v>
      </c>
      <c r="T266" s="219">
        <f>S266*H266</f>
        <v>0</v>
      </c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R266" s="220" t="s">
        <v>310</v>
      </c>
      <c r="AT266" s="220" t="s">
        <v>202</v>
      </c>
      <c r="AU266" s="220" t="s">
        <v>88</v>
      </c>
      <c r="AY266" s="18" t="s">
        <v>200</v>
      </c>
      <c r="BE266" s="221">
        <f>IF(N266="základní",J266,0)</f>
        <v>0</v>
      </c>
      <c r="BF266" s="221">
        <f>IF(N266="snížená",J266,0)</f>
        <v>0</v>
      </c>
      <c r="BG266" s="221">
        <f>IF(N266="zákl. přenesená",J266,0)</f>
        <v>0</v>
      </c>
      <c r="BH266" s="221">
        <f>IF(N266="sníž. přenesená",J266,0)</f>
        <v>0</v>
      </c>
      <c r="BI266" s="221">
        <f>IF(N266="nulová",J266,0)</f>
        <v>0</v>
      </c>
      <c r="BJ266" s="18" t="s">
        <v>86</v>
      </c>
      <c r="BK266" s="221">
        <f>ROUND(I266*H266,1)</f>
        <v>0</v>
      </c>
      <c r="BL266" s="18" t="s">
        <v>310</v>
      </c>
      <c r="BM266" s="220" t="s">
        <v>2439</v>
      </c>
    </row>
    <row r="267" s="2" customFormat="1">
      <c r="A267" s="40"/>
      <c r="B267" s="41"/>
      <c r="C267" s="42"/>
      <c r="D267" s="222" t="s">
        <v>209</v>
      </c>
      <c r="E267" s="42"/>
      <c r="F267" s="223" t="s">
        <v>2440</v>
      </c>
      <c r="G267" s="42"/>
      <c r="H267" s="42"/>
      <c r="I267" s="224"/>
      <c r="J267" s="42"/>
      <c r="K267" s="42"/>
      <c r="L267" s="46"/>
      <c r="M267" s="225"/>
      <c r="N267" s="226"/>
      <c r="O267" s="86"/>
      <c r="P267" s="86"/>
      <c r="Q267" s="86"/>
      <c r="R267" s="86"/>
      <c r="S267" s="86"/>
      <c r="T267" s="87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T267" s="18" t="s">
        <v>209</v>
      </c>
      <c r="AU267" s="18" t="s">
        <v>88</v>
      </c>
    </row>
    <row r="268" s="2" customFormat="1" ht="16.5" customHeight="1">
      <c r="A268" s="40"/>
      <c r="B268" s="41"/>
      <c r="C268" s="209" t="s">
        <v>803</v>
      </c>
      <c r="D268" s="209" t="s">
        <v>202</v>
      </c>
      <c r="E268" s="210" t="s">
        <v>2441</v>
      </c>
      <c r="F268" s="211" t="s">
        <v>2442</v>
      </c>
      <c r="G268" s="212" t="s">
        <v>1094</v>
      </c>
      <c r="H268" s="213">
        <v>3</v>
      </c>
      <c r="I268" s="214"/>
      <c r="J268" s="215">
        <f>ROUND(I268*H268,1)</f>
        <v>0</v>
      </c>
      <c r="K268" s="211" t="s">
        <v>206</v>
      </c>
      <c r="L268" s="46"/>
      <c r="M268" s="216" t="s">
        <v>32</v>
      </c>
      <c r="N268" s="217" t="s">
        <v>49</v>
      </c>
      <c r="O268" s="86"/>
      <c r="P268" s="218">
        <f>O268*H268</f>
        <v>0</v>
      </c>
      <c r="Q268" s="218">
        <v>0.00042999999999999999</v>
      </c>
      <c r="R268" s="218">
        <f>Q268*H268</f>
        <v>0.0012899999999999999</v>
      </c>
      <c r="S268" s="218">
        <v>0</v>
      </c>
      <c r="T268" s="219">
        <f>S268*H268</f>
        <v>0</v>
      </c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R268" s="220" t="s">
        <v>310</v>
      </c>
      <c r="AT268" s="220" t="s">
        <v>202</v>
      </c>
      <c r="AU268" s="220" t="s">
        <v>88</v>
      </c>
      <c r="AY268" s="18" t="s">
        <v>200</v>
      </c>
      <c r="BE268" s="221">
        <f>IF(N268="základní",J268,0)</f>
        <v>0</v>
      </c>
      <c r="BF268" s="221">
        <f>IF(N268="snížená",J268,0)</f>
        <v>0</v>
      </c>
      <c r="BG268" s="221">
        <f>IF(N268="zákl. přenesená",J268,0)</f>
        <v>0</v>
      </c>
      <c r="BH268" s="221">
        <f>IF(N268="sníž. přenesená",J268,0)</f>
        <v>0</v>
      </c>
      <c r="BI268" s="221">
        <f>IF(N268="nulová",J268,0)</f>
        <v>0</v>
      </c>
      <c r="BJ268" s="18" t="s">
        <v>86</v>
      </c>
      <c r="BK268" s="221">
        <f>ROUND(I268*H268,1)</f>
        <v>0</v>
      </c>
      <c r="BL268" s="18" t="s">
        <v>310</v>
      </c>
      <c r="BM268" s="220" t="s">
        <v>2443</v>
      </c>
    </row>
    <row r="269" s="2" customFormat="1">
      <c r="A269" s="40"/>
      <c r="B269" s="41"/>
      <c r="C269" s="42"/>
      <c r="D269" s="222" t="s">
        <v>209</v>
      </c>
      <c r="E269" s="42"/>
      <c r="F269" s="223" t="s">
        <v>2444</v>
      </c>
      <c r="G269" s="42"/>
      <c r="H269" s="42"/>
      <c r="I269" s="224"/>
      <c r="J269" s="42"/>
      <c r="K269" s="42"/>
      <c r="L269" s="46"/>
      <c r="M269" s="225"/>
      <c r="N269" s="226"/>
      <c r="O269" s="86"/>
      <c r="P269" s="86"/>
      <c r="Q269" s="86"/>
      <c r="R269" s="86"/>
      <c r="S269" s="86"/>
      <c r="T269" s="87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T269" s="18" t="s">
        <v>209</v>
      </c>
      <c r="AU269" s="18" t="s">
        <v>88</v>
      </c>
    </row>
    <row r="270" s="2" customFormat="1" ht="21.75" customHeight="1">
      <c r="A270" s="40"/>
      <c r="B270" s="41"/>
      <c r="C270" s="209" t="s">
        <v>813</v>
      </c>
      <c r="D270" s="209" t="s">
        <v>202</v>
      </c>
      <c r="E270" s="210" t="s">
        <v>2445</v>
      </c>
      <c r="F270" s="211" t="s">
        <v>2446</v>
      </c>
      <c r="G270" s="212" t="s">
        <v>1094</v>
      </c>
      <c r="H270" s="213">
        <v>4</v>
      </c>
      <c r="I270" s="214"/>
      <c r="J270" s="215">
        <f>ROUND(I270*H270,1)</f>
        <v>0</v>
      </c>
      <c r="K270" s="211" t="s">
        <v>206</v>
      </c>
      <c r="L270" s="46"/>
      <c r="M270" s="216" t="s">
        <v>32</v>
      </c>
      <c r="N270" s="217" t="s">
        <v>49</v>
      </c>
      <c r="O270" s="86"/>
      <c r="P270" s="218">
        <f>O270*H270</f>
        <v>0</v>
      </c>
      <c r="Q270" s="218">
        <v>0.014749999999999999</v>
      </c>
      <c r="R270" s="218">
        <f>Q270*H270</f>
        <v>0.058999999999999997</v>
      </c>
      <c r="S270" s="218">
        <v>0</v>
      </c>
      <c r="T270" s="219">
        <f>S270*H270</f>
        <v>0</v>
      </c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R270" s="220" t="s">
        <v>310</v>
      </c>
      <c r="AT270" s="220" t="s">
        <v>202</v>
      </c>
      <c r="AU270" s="220" t="s">
        <v>88</v>
      </c>
      <c r="AY270" s="18" t="s">
        <v>200</v>
      </c>
      <c r="BE270" s="221">
        <f>IF(N270="základní",J270,0)</f>
        <v>0</v>
      </c>
      <c r="BF270" s="221">
        <f>IF(N270="snížená",J270,0)</f>
        <v>0</v>
      </c>
      <c r="BG270" s="221">
        <f>IF(N270="zákl. přenesená",J270,0)</f>
        <v>0</v>
      </c>
      <c r="BH270" s="221">
        <f>IF(N270="sníž. přenesená",J270,0)</f>
        <v>0</v>
      </c>
      <c r="BI270" s="221">
        <f>IF(N270="nulová",J270,0)</f>
        <v>0</v>
      </c>
      <c r="BJ270" s="18" t="s">
        <v>86</v>
      </c>
      <c r="BK270" s="221">
        <f>ROUND(I270*H270,1)</f>
        <v>0</v>
      </c>
      <c r="BL270" s="18" t="s">
        <v>310</v>
      </c>
      <c r="BM270" s="220" t="s">
        <v>2447</v>
      </c>
    </row>
    <row r="271" s="2" customFormat="1">
      <c r="A271" s="40"/>
      <c r="B271" s="41"/>
      <c r="C271" s="42"/>
      <c r="D271" s="222" t="s">
        <v>209</v>
      </c>
      <c r="E271" s="42"/>
      <c r="F271" s="223" t="s">
        <v>2448</v>
      </c>
      <c r="G271" s="42"/>
      <c r="H271" s="42"/>
      <c r="I271" s="224"/>
      <c r="J271" s="42"/>
      <c r="K271" s="42"/>
      <c r="L271" s="46"/>
      <c r="M271" s="225"/>
      <c r="N271" s="226"/>
      <c r="O271" s="86"/>
      <c r="P271" s="86"/>
      <c r="Q271" s="86"/>
      <c r="R271" s="86"/>
      <c r="S271" s="86"/>
      <c r="T271" s="87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T271" s="18" t="s">
        <v>209</v>
      </c>
      <c r="AU271" s="18" t="s">
        <v>88</v>
      </c>
    </row>
    <row r="272" s="2" customFormat="1" ht="16.5" customHeight="1">
      <c r="A272" s="40"/>
      <c r="B272" s="41"/>
      <c r="C272" s="209" t="s">
        <v>835</v>
      </c>
      <c r="D272" s="209" t="s">
        <v>202</v>
      </c>
      <c r="E272" s="210" t="s">
        <v>2449</v>
      </c>
      <c r="F272" s="211" t="s">
        <v>2450</v>
      </c>
      <c r="G272" s="212" t="s">
        <v>1094</v>
      </c>
      <c r="H272" s="213">
        <v>35</v>
      </c>
      <c r="I272" s="214"/>
      <c r="J272" s="215">
        <f>ROUND(I272*H272,1)</f>
        <v>0</v>
      </c>
      <c r="K272" s="211" t="s">
        <v>206</v>
      </c>
      <c r="L272" s="46"/>
      <c r="M272" s="216" t="s">
        <v>32</v>
      </c>
      <c r="N272" s="217" t="s">
        <v>49</v>
      </c>
      <c r="O272" s="86"/>
      <c r="P272" s="218">
        <f>O272*H272</f>
        <v>0</v>
      </c>
      <c r="Q272" s="218">
        <v>0.00024000000000000001</v>
      </c>
      <c r="R272" s="218">
        <f>Q272*H272</f>
        <v>0.0083999999999999995</v>
      </c>
      <c r="S272" s="218">
        <v>0</v>
      </c>
      <c r="T272" s="219">
        <f>S272*H272</f>
        <v>0</v>
      </c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R272" s="220" t="s">
        <v>310</v>
      </c>
      <c r="AT272" s="220" t="s">
        <v>202</v>
      </c>
      <c r="AU272" s="220" t="s">
        <v>88</v>
      </c>
      <c r="AY272" s="18" t="s">
        <v>200</v>
      </c>
      <c r="BE272" s="221">
        <f>IF(N272="základní",J272,0)</f>
        <v>0</v>
      </c>
      <c r="BF272" s="221">
        <f>IF(N272="snížená",J272,0)</f>
        <v>0</v>
      </c>
      <c r="BG272" s="221">
        <f>IF(N272="zákl. přenesená",J272,0)</f>
        <v>0</v>
      </c>
      <c r="BH272" s="221">
        <f>IF(N272="sníž. přenesená",J272,0)</f>
        <v>0</v>
      </c>
      <c r="BI272" s="221">
        <f>IF(N272="nulová",J272,0)</f>
        <v>0</v>
      </c>
      <c r="BJ272" s="18" t="s">
        <v>86</v>
      </c>
      <c r="BK272" s="221">
        <f>ROUND(I272*H272,1)</f>
        <v>0</v>
      </c>
      <c r="BL272" s="18" t="s">
        <v>310</v>
      </c>
      <c r="BM272" s="220" t="s">
        <v>2451</v>
      </c>
    </row>
    <row r="273" s="2" customFormat="1">
      <c r="A273" s="40"/>
      <c r="B273" s="41"/>
      <c r="C273" s="42"/>
      <c r="D273" s="222" t="s">
        <v>209</v>
      </c>
      <c r="E273" s="42"/>
      <c r="F273" s="223" t="s">
        <v>2452</v>
      </c>
      <c r="G273" s="42"/>
      <c r="H273" s="42"/>
      <c r="I273" s="224"/>
      <c r="J273" s="42"/>
      <c r="K273" s="42"/>
      <c r="L273" s="46"/>
      <c r="M273" s="225"/>
      <c r="N273" s="226"/>
      <c r="O273" s="86"/>
      <c r="P273" s="86"/>
      <c r="Q273" s="86"/>
      <c r="R273" s="86"/>
      <c r="S273" s="86"/>
      <c r="T273" s="87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T273" s="18" t="s">
        <v>209</v>
      </c>
      <c r="AU273" s="18" t="s">
        <v>88</v>
      </c>
    </row>
    <row r="274" s="13" customFormat="1">
      <c r="A274" s="13"/>
      <c r="B274" s="227"/>
      <c r="C274" s="228"/>
      <c r="D274" s="229" t="s">
        <v>211</v>
      </c>
      <c r="E274" s="230" t="s">
        <v>32</v>
      </c>
      <c r="F274" s="231" t="s">
        <v>2453</v>
      </c>
      <c r="G274" s="228"/>
      <c r="H274" s="232">
        <v>35</v>
      </c>
      <c r="I274" s="233"/>
      <c r="J274" s="228"/>
      <c r="K274" s="228"/>
      <c r="L274" s="234"/>
      <c r="M274" s="235"/>
      <c r="N274" s="236"/>
      <c r="O274" s="236"/>
      <c r="P274" s="236"/>
      <c r="Q274" s="236"/>
      <c r="R274" s="236"/>
      <c r="S274" s="236"/>
      <c r="T274" s="237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T274" s="238" t="s">
        <v>211</v>
      </c>
      <c r="AU274" s="238" t="s">
        <v>88</v>
      </c>
      <c r="AV274" s="13" t="s">
        <v>88</v>
      </c>
      <c r="AW274" s="13" t="s">
        <v>213</v>
      </c>
      <c r="AX274" s="13" t="s">
        <v>86</v>
      </c>
      <c r="AY274" s="238" t="s">
        <v>200</v>
      </c>
    </row>
    <row r="275" s="2" customFormat="1" ht="16.5" customHeight="1">
      <c r="A275" s="40"/>
      <c r="B275" s="41"/>
      <c r="C275" s="209" t="s">
        <v>840</v>
      </c>
      <c r="D275" s="209" t="s">
        <v>202</v>
      </c>
      <c r="E275" s="210" t="s">
        <v>2454</v>
      </c>
      <c r="F275" s="211" t="s">
        <v>2455</v>
      </c>
      <c r="G275" s="212" t="s">
        <v>449</v>
      </c>
      <c r="H275" s="213">
        <v>1</v>
      </c>
      <c r="I275" s="214"/>
      <c r="J275" s="215">
        <f>ROUND(I275*H275,1)</f>
        <v>0</v>
      </c>
      <c r="K275" s="211" t="s">
        <v>206</v>
      </c>
      <c r="L275" s="46"/>
      <c r="M275" s="216" t="s">
        <v>32</v>
      </c>
      <c r="N275" s="217" t="s">
        <v>49</v>
      </c>
      <c r="O275" s="86"/>
      <c r="P275" s="218">
        <f>O275*H275</f>
        <v>0</v>
      </c>
      <c r="Q275" s="218">
        <v>0.00109</v>
      </c>
      <c r="R275" s="218">
        <f>Q275*H275</f>
        <v>0.00109</v>
      </c>
      <c r="S275" s="218">
        <v>0</v>
      </c>
      <c r="T275" s="219">
        <f>S275*H275</f>
        <v>0</v>
      </c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R275" s="220" t="s">
        <v>310</v>
      </c>
      <c r="AT275" s="220" t="s">
        <v>202</v>
      </c>
      <c r="AU275" s="220" t="s">
        <v>88</v>
      </c>
      <c r="AY275" s="18" t="s">
        <v>200</v>
      </c>
      <c r="BE275" s="221">
        <f>IF(N275="základní",J275,0)</f>
        <v>0</v>
      </c>
      <c r="BF275" s="221">
        <f>IF(N275="snížená",J275,0)</f>
        <v>0</v>
      </c>
      <c r="BG275" s="221">
        <f>IF(N275="zákl. přenesená",J275,0)</f>
        <v>0</v>
      </c>
      <c r="BH275" s="221">
        <f>IF(N275="sníž. přenesená",J275,0)</f>
        <v>0</v>
      </c>
      <c r="BI275" s="221">
        <f>IF(N275="nulová",J275,0)</f>
        <v>0</v>
      </c>
      <c r="BJ275" s="18" t="s">
        <v>86</v>
      </c>
      <c r="BK275" s="221">
        <f>ROUND(I275*H275,1)</f>
        <v>0</v>
      </c>
      <c r="BL275" s="18" t="s">
        <v>310</v>
      </c>
      <c r="BM275" s="220" t="s">
        <v>2456</v>
      </c>
    </row>
    <row r="276" s="2" customFormat="1">
      <c r="A276" s="40"/>
      <c r="B276" s="41"/>
      <c r="C276" s="42"/>
      <c r="D276" s="222" t="s">
        <v>209</v>
      </c>
      <c r="E276" s="42"/>
      <c r="F276" s="223" t="s">
        <v>2457</v>
      </c>
      <c r="G276" s="42"/>
      <c r="H276" s="42"/>
      <c r="I276" s="224"/>
      <c r="J276" s="42"/>
      <c r="K276" s="42"/>
      <c r="L276" s="46"/>
      <c r="M276" s="225"/>
      <c r="N276" s="226"/>
      <c r="O276" s="86"/>
      <c r="P276" s="86"/>
      <c r="Q276" s="86"/>
      <c r="R276" s="86"/>
      <c r="S276" s="86"/>
      <c r="T276" s="87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T276" s="18" t="s">
        <v>209</v>
      </c>
      <c r="AU276" s="18" t="s">
        <v>88</v>
      </c>
    </row>
    <row r="277" s="2" customFormat="1" ht="16.5" customHeight="1">
      <c r="A277" s="40"/>
      <c r="B277" s="41"/>
      <c r="C277" s="209" t="s">
        <v>844</v>
      </c>
      <c r="D277" s="209" t="s">
        <v>202</v>
      </c>
      <c r="E277" s="210" t="s">
        <v>2458</v>
      </c>
      <c r="F277" s="211" t="s">
        <v>2459</v>
      </c>
      <c r="G277" s="212" t="s">
        <v>1094</v>
      </c>
      <c r="H277" s="213">
        <v>2</v>
      </c>
      <c r="I277" s="214"/>
      <c r="J277" s="215">
        <f>ROUND(I277*H277,1)</f>
        <v>0</v>
      </c>
      <c r="K277" s="211" t="s">
        <v>206</v>
      </c>
      <c r="L277" s="46"/>
      <c r="M277" s="216" t="s">
        <v>32</v>
      </c>
      <c r="N277" s="217" t="s">
        <v>49</v>
      </c>
      <c r="O277" s="86"/>
      <c r="P277" s="218">
        <f>O277*H277</f>
        <v>0</v>
      </c>
      <c r="Q277" s="218">
        <v>0.00172</v>
      </c>
      <c r="R277" s="218">
        <f>Q277*H277</f>
        <v>0.0034399999999999999</v>
      </c>
      <c r="S277" s="218">
        <v>0</v>
      </c>
      <c r="T277" s="219">
        <f>S277*H277</f>
        <v>0</v>
      </c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R277" s="220" t="s">
        <v>310</v>
      </c>
      <c r="AT277" s="220" t="s">
        <v>202</v>
      </c>
      <c r="AU277" s="220" t="s">
        <v>88</v>
      </c>
      <c r="AY277" s="18" t="s">
        <v>200</v>
      </c>
      <c r="BE277" s="221">
        <f>IF(N277="základní",J277,0)</f>
        <v>0</v>
      </c>
      <c r="BF277" s="221">
        <f>IF(N277="snížená",J277,0)</f>
        <v>0</v>
      </c>
      <c r="BG277" s="221">
        <f>IF(N277="zákl. přenesená",J277,0)</f>
        <v>0</v>
      </c>
      <c r="BH277" s="221">
        <f>IF(N277="sníž. přenesená",J277,0)</f>
        <v>0</v>
      </c>
      <c r="BI277" s="221">
        <f>IF(N277="nulová",J277,0)</f>
        <v>0</v>
      </c>
      <c r="BJ277" s="18" t="s">
        <v>86</v>
      </c>
      <c r="BK277" s="221">
        <f>ROUND(I277*H277,1)</f>
        <v>0</v>
      </c>
      <c r="BL277" s="18" t="s">
        <v>310</v>
      </c>
      <c r="BM277" s="220" t="s">
        <v>2460</v>
      </c>
    </row>
    <row r="278" s="2" customFormat="1">
      <c r="A278" s="40"/>
      <c r="B278" s="41"/>
      <c r="C278" s="42"/>
      <c r="D278" s="222" t="s">
        <v>209</v>
      </c>
      <c r="E278" s="42"/>
      <c r="F278" s="223" t="s">
        <v>2461</v>
      </c>
      <c r="G278" s="42"/>
      <c r="H278" s="42"/>
      <c r="I278" s="224"/>
      <c r="J278" s="42"/>
      <c r="K278" s="42"/>
      <c r="L278" s="46"/>
      <c r="M278" s="225"/>
      <c r="N278" s="226"/>
      <c r="O278" s="86"/>
      <c r="P278" s="86"/>
      <c r="Q278" s="86"/>
      <c r="R278" s="86"/>
      <c r="S278" s="86"/>
      <c r="T278" s="87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T278" s="18" t="s">
        <v>209</v>
      </c>
      <c r="AU278" s="18" t="s">
        <v>88</v>
      </c>
    </row>
    <row r="279" s="2" customFormat="1" ht="16.5" customHeight="1">
      <c r="A279" s="40"/>
      <c r="B279" s="41"/>
      <c r="C279" s="209" t="s">
        <v>851</v>
      </c>
      <c r="D279" s="209" t="s">
        <v>202</v>
      </c>
      <c r="E279" s="210" t="s">
        <v>2462</v>
      </c>
      <c r="F279" s="211" t="s">
        <v>2463</v>
      </c>
      <c r="G279" s="212" t="s">
        <v>1094</v>
      </c>
      <c r="H279" s="213">
        <v>10</v>
      </c>
      <c r="I279" s="214"/>
      <c r="J279" s="215">
        <f>ROUND(I279*H279,1)</f>
        <v>0</v>
      </c>
      <c r="K279" s="211" t="s">
        <v>206</v>
      </c>
      <c r="L279" s="46"/>
      <c r="M279" s="216" t="s">
        <v>32</v>
      </c>
      <c r="N279" s="217" t="s">
        <v>49</v>
      </c>
      <c r="O279" s="86"/>
      <c r="P279" s="218">
        <f>O279*H279</f>
        <v>0</v>
      </c>
      <c r="Q279" s="218">
        <v>0.0018</v>
      </c>
      <c r="R279" s="218">
        <f>Q279*H279</f>
        <v>0.017999999999999999</v>
      </c>
      <c r="S279" s="218">
        <v>0</v>
      </c>
      <c r="T279" s="219">
        <f>S279*H279</f>
        <v>0</v>
      </c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R279" s="220" t="s">
        <v>310</v>
      </c>
      <c r="AT279" s="220" t="s">
        <v>202</v>
      </c>
      <c r="AU279" s="220" t="s">
        <v>88</v>
      </c>
      <c r="AY279" s="18" t="s">
        <v>200</v>
      </c>
      <c r="BE279" s="221">
        <f>IF(N279="základní",J279,0)</f>
        <v>0</v>
      </c>
      <c r="BF279" s="221">
        <f>IF(N279="snížená",J279,0)</f>
        <v>0</v>
      </c>
      <c r="BG279" s="221">
        <f>IF(N279="zákl. přenesená",J279,0)</f>
        <v>0</v>
      </c>
      <c r="BH279" s="221">
        <f>IF(N279="sníž. přenesená",J279,0)</f>
        <v>0</v>
      </c>
      <c r="BI279" s="221">
        <f>IF(N279="nulová",J279,0)</f>
        <v>0</v>
      </c>
      <c r="BJ279" s="18" t="s">
        <v>86</v>
      </c>
      <c r="BK279" s="221">
        <f>ROUND(I279*H279,1)</f>
        <v>0</v>
      </c>
      <c r="BL279" s="18" t="s">
        <v>310</v>
      </c>
      <c r="BM279" s="220" t="s">
        <v>2464</v>
      </c>
    </row>
    <row r="280" s="2" customFormat="1">
      <c r="A280" s="40"/>
      <c r="B280" s="41"/>
      <c r="C280" s="42"/>
      <c r="D280" s="222" t="s">
        <v>209</v>
      </c>
      <c r="E280" s="42"/>
      <c r="F280" s="223" t="s">
        <v>2465</v>
      </c>
      <c r="G280" s="42"/>
      <c r="H280" s="42"/>
      <c r="I280" s="224"/>
      <c r="J280" s="42"/>
      <c r="K280" s="42"/>
      <c r="L280" s="46"/>
      <c r="M280" s="225"/>
      <c r="N280" s="226"/>
      <c r="O280" s="86"/>
      <c r="P280" s="86"/>
      <c r="Q280" s="86"/>
      <c r="R280" s="86"/>
      <c r="S280" s="86"/>
      <c r="T280" s="87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T280" s="18" t="s">
        <v>209</v>
      </c>
      <c r="AU280" s="18" t="s">
        <v>88</v>
      </c>
    </row>
    <row r="281" s="2" customFormat="1" ht="16.5" customHeight="1">
      <c r="A281" s="40"/>
      <c r="B281" s="41"/>
      <c r="C281" s="209" t="s">
        <v>856</v>
      </c>
      <c r="D281" s="209" t="s">
        <v>202</v>
      </c>
      <c r="E281" s="210" t="s">
        <v>2466</v>
      </c>
      <c r="F281" s="211" t="s">
        <v>2467</v>
      </c>
      <c r="G281" s="212" t="s">
        <v>1094</v>
      </c>
      <c r="H281" s="213">
        <v>1</v>
      </c>
      <c r="I281" s="214"/>
      <c r="J281" s="215">
        <f>ROUND(I281*H281,1)</f>
        <v>0</v>
      </c>
      <c r="K281" s="211" t="s">
        <v>206</v>
      </c>
      <c r="L281" s="46"/>
      <c r="M281" s="216" t="s">
        <v>32</v>
      </c>
      <c r="N281" s="217" t="s">
        <v>49</v>
      </c>
      <c r="O281" s="86"/>
      <c r="P281" s="218">
        <f>O281*H281</f>
        <v>0</v>
      </c>
      <c r="Q281" s="218">
        <v>0.0018400000000000001</v>
      </c>
      <c r="R281" s="218">
        <f>Q281*H281</f>
        <v>0.0018400000000000001</v>
      </c>
      <c r="S281" s="218">
        <v>0</v>
      </c>
      <c r="T281" s="219">
        <f>S281*H281</f>
        <v>0</v>
      </c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R281" s="220" t="s">
        <v>310</v>
      </c>
      <c r="AT281" s="220" t="s">
        <v>202</v>
      </c>
      <c r="AU281" s="220" t="s">
        <v>88</v>
      </c>
      <c r="AY281" s="18" t="s">
        <v>200</v>
      </c>
      <c r="BE281" s="221">
        <f>IF(N281="základní",J281,0)</f>
        <v>0</v>
      </c>
      <c r="BF281" s="221">
        <f>IF(N281="snížená",J281,0)</f>
        <v>0</v>
      </c>
      <c r="BG281" s="221">
        <f>IF(N281="zákl. přenesená",J281,0)</f>
        <v>0</v>
      </c>
      <c r="BH281" s="221">
        <f>IF(N281="sníž. přenesená",J281,0)</f>
        <v>0</v>
      </c>
      <c r="BI281" s="221">
        <f>IF(N281="nulová",J281,0)</f>
        <v>0</v>
      </c>
      <c r="BJ281" s="18" t="s">
        <v>86</v>
      </c>
      <c r="BK281" s="221">
        <f>ROUND(I281*H281,1)</f>
        <v>0</v>
      </c>
      <c r="BL281" s="18" t="s">
        <v>310</v>
      </c>
      <c r="BM281" s="220" t="s">
        <v>2468</v>
      </c>
    </row>
    <row r="282" s="2" customFormat="1">
      <c r="A282" s="40"/>
      <c r="B282" s="41"/>
      <c r="C282" s="42"/>
      <c r="D282" s="222" t="s">
        <v>209</v>
      </c>
      <c r="E282" s="42"/>
      <c r="F282" s="223" t="s">
        <v>2469</v>
      </c>
      <c r="G282" s="42"/>
      <c r="H282" s="42"/>
      <c r="I282" s="224"/>
      <c r="J282" s="42"/>
      <c r="K282" s="42"/>
      <c r="L282" s="46"/>
      <c r="M282" s="225"/>
      <c r="N282" s="226"/>
      <c r="O282" s="86"/>
      <c r="P282" s="86"/>
      <c r="Q282" s="86"/>
      <c r="R282" s="86"/>
      <c r="S282" s="86"/>
      <c r="T282" s="87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T282" s="18" t="s">
        <v>209</v>
      </c>
      <c r="AU282" s="18" t="s">
        <v>88</v>
      </c>
    </row>
    <row r="283" s="2" customFormat="1" ht="16.5" customHeight="1">
      <c r="A283" s="40"/>
      <c r="B283" s="41"/>
      <c r="C283" s="209" t="s">
        <v>867</v>
      </c>
      <c r="D283" s="209" t="s">
        <v>202</v>
      </c>
      <c r="E283" s="210" t="s">
        <v>2470</v>
      </c>
      <c r="F283" s="211" t="s">
        <v>2471</v>
      </c>
      <c r="G283" s="212" t="s">
        <v>449</v>
      </c>
      <c r="H283" s="213">
        <v>3</v>
      </c>
      <c r="I283" s="214"/>
      <c r="J283" s="215">
        <f>ROUND(I283*H283,1)</f>
        <v>0</v>
      </c>
      <c r="K283" s="211" t="s">
        <v>206</v>
      </c>
      <c r="L283" s="46"/>
      <c r="M283" s="216" t="s">
        <v>32</v>
      </c>
      <c r="N283" s="217" t="s">
        <v>49</v>
      </c>
      <c r="O283" s="86"/>
      <c r="P283" s="218">
        <f>O283*H283</f>
        <v>0</v>
      </c>
      <c r="Q283" s="218">
        <v>0.00016000000000000001</v>
      </c>
      <c r="R283" s="218">
        <f>Q283*H283</f>
        <v>0.00048000000000000007</v>
      </c>
      <c r="S283" s="218">
        <v>0</v>
      </c>
      <c r="T283" s="219">
        <f>S283*H283</f>
        <v>0</v>
      </c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R283" s="220" t="s">
        <v>310</v>
      </c>
      <c r="AT283" s="220" t="s">
        <v>202</v>
      </c>
      <c r="AU283" s="220" t="s">
        <v>88</v>
      </c>
      <c r="AY283" s="18" t="s">
        <v>200</v>
      </c>
      <c r="BE283" s="221">
        <f>IF(N283="základní",J283,0)</f>
        <v>0</v>
      </c>
      <c r="BF283" s="221">
        <f>IF(N283="snížená",J283,0)</f>
        <v>0</v>
      </c>
      <c r="BG283" s="221">
        <f>IF(N283="zákl. přenesená",J283,0)</f>
        <v>0</v>
      </c>
      <c r="BH283" s="221">
        <f>IF(N283="sníž. přenesená",J283,0)</f>
        <v>0</v>
      </c>
      <c r="BI283" s="221">
        <f>IF(N283="nulová",J283,0)</f>
        <v>0</v>
      </c>
      <c r="BJ283" s="18" t="s">
        <v>86</v>
      </c>
      <c r="BK283" s="221">
        <f>ROUND(I283*H283,1)</f>
        <v>0</v>
      </c>
      <c r="BL283" s="18" t="s">
        <v>310</v>
      </c>
      <c r="BM283" s="220" t="s">
        <v>2472</v>
      </c>
    </row>
    <row r="284" s="2" customFormat="1">
      <c r="A284" s="40"/>
      <c r="B284" s="41"/>
      <c r="C284" s="42"/>
      <c r="D284" s="222" t="s">
        <v>209</v>
      </c>
      <c r="E284" s="42"/>
      <c r="F284" s="223" t="s">
        <v>2473</v>
      </c>
      <c r="G284" s="42"/>
      <c r="H284" s="42"/>
      <c r="I284" s="224"/>
      <c r="J284" s="42"/>
      <c r="K284" s="42"/>
      <c r="L284" s="46"/>
      <c r="M284" s="225"/>
      <c r="N284" s="226"/>
      <c r="O284" s="86"/>
      <c r="P284" s="86"/>
      <c r="Q284" s="86"/>
      <c r="R284" s="86"/>
      <c r="S284" s="86"/>
      <c r="T284" s="87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T284" s="18" t="s">
        <v>209</v>
      </c>
      <c r="AU284" s="18" t="s">
        <v>88</v>
      </c>
    </row>
    <row r="285" s="2" customFormat="1" ht="16.5" customHeight="1">
      <c r="A285" s="40"/>
      <c r="B285" s="41"/>
      <c r="C285" s="260" t="s">
        <v>872</v>
      </c>
      <c r="D285" s="260" t="s">
        <v>292</v>
      </c>
      <c r="E285" s="261" t="s">
        <v>2474</v>
      </c>
      <c r="F285" s="262" t="s">
        <v>2475</v>
      </c>
      <c r="G285" s="263" t="s">
        <v>449</v>
      </c>
      <c r="H285" s="264">
        <v>3</v>
      </c>
      <c r="I285" s="265"/>
      <c r="J285" s="266">
        <f>ROUND(I285*H285,1)</f>
        <v>0</v>
      </c>
      <c r="K285" s="262" t="s">
        <v>206</v>
      </c>
      <c r="L285" s="267"/>
      <c r="M285" s="268" t="s">
        <v>32</v>
      </c>
      <c r="N285" s="269" t="s">
        <v>49</v>
      </c>
      <c r="O285" s="86"/>
      <c r="P285" s="218">
        <f>O285*H285</f>
        <v>0</v>
      </c>
      <c r="Q285" s="218">
        <v>0.002</v>
      </c>
      <c r="R285" s="218">
        <f>Q285*H285</f>
        <v>0.0060000000000000001</v>
      </c>
      <c r="S285" s="218">
        <v>0</v>
      </c>
      <c r="T285" s="219">
        <f>S285*H285</f>
        <v>0</v>
      </c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R285" s="220" t="s">
        <v>429</v>
      </c>
      <c r="AT285" s="220" t="s">
        <v>292</v>
      </c>
      <c r="AU285" s="220" t="s">
        <v>88</v>
      </c>
      <c r="AY285" s="18" t="s">
        <v>200</v>
      </c>
      <c r="BE285" s="221">
        <f>IF(N285="základní",J285,0)</f>
        <v>0</v>
      </c>
      <c r="BF285" s="221">
        <f>IF(N285="snížená",J285,0)</f>
        <v>0</v>
      </c>
      <c r="BG285" s="221">
        <f>IF(N285="zákl. přenesená",J285,0)</f>
        <v>0</v>
      </c>
      <c r="BH285" s="221">
        <f>IF(N285="sníž. přenesená",J285,0)</f>
        <v>0</v>
      </c>
      <c r="BI285" s="221">
        <f>IF(N285="nulová",J285,0)</f>
        <v>0</v>
      </c>
      <c r="BJ285" s="18" t="s">
        <v>86</v>
      </c>
      <c r="BK285" s="221">
        <f>ROUND(I285*H285,1)</f>
        <v>0</v>
      </c>
      <c r="BL285" s="18" t="s">
        <v>310</v>
      </c>
      <c r="BM285" s="220" t="s">
        <v>2476</v>
      </c>
    </row>
    <row r="286" s="2" customFormat="1" ht="16.5" customHeight="1">
      <c r="A286" s="40"/>
      <c r="B286" s="41"/>
      <c r="C286" s="209" t="s">
        <v>884</v>
      </c>
      <c r="D286" s="209" t="s">
        <v>202</v>
      </c>
      <c r="E286" s="210" t="s">
        <v>2477</v>
      </c>
      <c r="F286" s="211" t="s">
        <v>2478</v>
      </c>
      <c r="G286" s="212" t="s">
        <v>1094</v>
      </c>
      <c r="H286" s="213">
        <v>2</v>
      </c>
      <c r="I286" s="214"/>
      <c r="J286" s="215">
        <f>ROUND(I286*H286,1)</f>
        <v>0</v>
      </c>
      <c r="K286" s="211" t="s">
        <v>206</v>
      </c>
      <c r="L286" s="46"/>
      <c r="M286" s="216" t="s">
        <v>32</v>
      </c>
      <c r="N286" s="217" t="s">
        <v>49</v>
      </c>
      <c r="O286" s="86"/>
      <c r="P286" s="218">
        <f>O286*H286</f>
        <v>0</v>
      </c>
      <c r="Q286" s="218">
        <v>0.0018400000000000001</v>
      </c>
      <c r="R286" s="218">
        <f>Q286*H286</f>
        <v>0.0036800000000000001</v>
      </c>
      <c r="S286" s="218">
        <v>0</v>
      </c>
      <c r="T286" s="219">
        <f>S286*H286</f>
        <v>0</v>
      </c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R286" s="220" t="s">
        <v>310</v>
      </c>
      <c r="AT286" s="220" t="s">
        <v>202</v>
      </c>
      <c r="AU286" s="220" t="s">
        <v>88</v>
      </c>
      <c r="AY286" s="18" t="s">
        <v>200</v>
      </c>
      <c r="BE286" s="221">
        <f>IF(N286="základní",J286,0)</f>
        <v>0</v>
      </c>
      <c r="BF286" s="221">
        <f>IF(N286="snížená",J286,0)</f>
        <v>0</v>
      </c>
      <c r="BG286" s="221">
        <f>IF(N286="zákl. přenesená",J286,0)</f>
        <v>0</v>
      </c>
      <c r="BH286" s="221">
        <f>IF(N286="sníž. přenesená",J286,0)</f>
        <v>0</v>
      </c>
      <c r="BI286" s="221">
        <f>IF(N286="nulová",J286,0)</f>
        <v>0</v>
      </c>
      <c r="BJ286" s="18" t="s">
        <v>86</v>
      </c>
      <c r="BK286" s="221">
        <f>ROUND(I286*H286,1)</f>
        <v>0</v>
      </c>
      <c r="BL286" s="18" t="s">
        <v>310</v>
      </c>
      <c r="BM286" s="220" t="s">
        <v>2479</v>
      </c>
    </row>
    <row r="287" s="2" customFormat="1">
      <c r="A287" s="40"/>
      <c r="B287" s="41"/>
      <c r="C287" s="42"/>
      <c r="D287" s="222" t="s">
        <v>209</v>
      </c>
      <c r="E287" s="42"/>
      <c r="F287" s="223" t="s">
        <v>2480</v>
      </c>
      <c r="G287" s="42"/>
      <c r="H287" s="42"/>
      <c r="I287" s="224"/>
      <c r="J287" s="42"/>
      <c r="K287" s="42"/>
      <c r="L287" s="46"/>
      <c r="M287" s="225"/>
      <c r="N287" s="226"/>
      <c r="O287" s="86"/>
      <c r="P287" s="86"/>
      <c r="Q287" s="86"/>
      <c r="R287" s="86"/>
      <c r="S287" s="86"/>
      <c r="T287" s="87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T287" s="18" t="s">
        <v>209</v>
      </c>
      <c r="AU287" s="18" t="s">
        <v>88</v>
      </c>
    </row>
    <row r="288" s="2" customFormat="1" ht="24.15" customHeight="1">
      <c r="A288" s="40"/>
      <c r="B288" s="41"/>
      <c r="C288" s="209" t="s">
        <v>889</v>
      </c>
      <c r="D288" s="209" t="s">
        <v>202</v>
      </c>
      <c r="E288" s="210" t="s">
        <v>2481</v>
      </c>
      <c r="F288" s="211" t="s">
        <v>2482</v>
      </c>
      <c r="G288" s="212" t="s">
        <v>2291</v>
      </c>
      <c r="H288" s="287"/>
      <c r="I288" s="214"/>
      <c r="J288" s="215">
        <f>ROUND(I288*H288,1)</f>
        <v>0</v>
      </c>
      <c r="K288" s="211" t="s">
        <v>206</v>
      </c>
      <c r="L288" s="46"/>
      <c r="M288" s="216" t="s">
        <v>32</v>
      </c>
      <c r="N288" s="217" t="s">
        <v>49</v>
      </c>
      <c r="O288" s="86"/>
      <c r="P288" s="218">
        <f>O288*H288</f>
        <v>0</v>
      </c>
      <c r="Q288" s="218">
        <v>0</v>
      </c>
      <c r="R288" s="218">
        <f>Q288*H288</f>
        <v>0</v>
      </c>
      <c r="S288" s="218">
        <v>0</v>
      </c>
      <c r="T288" s="219">
        <f>S288*H288</f>
        <v>0</v>
      </c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R288" s="220" t="s">
        <v>310</v>
      </c>
      <c r="AT288" s="220" t="s">
        <v>202</v>
      </c>
      <c r="AU288" s="220" t="s">
        <v>88</v>
      </c>
      <c r="AY288" s="18" t="s">
        <v>200</v>
      </c>
      <c r="BE288" s="221">
        <f>IF(N288="základní",J288,0)</f>
        <v>0</v>
      </c>
      <c r="BF288" s="221">
        <f>IF(N288="snížená",J288,0)</f>
        <v>0</v>
      </c>
      <c r="BG288" s="221">
        <f>IF(N288="zákl. přenesená",J288,0)</f>
        <v>0</v>
      </c>
      <c r="BH288" s="221">
        <f>IF(N288="sníž. přenesená",J288,0)</f>
        <v>0</v>
      </c>
      <c r="BI288" s="221">
        <f>IF(N288="nulová",J288,0)</f>
        <v>0</v>
      </c>
      <c r="BJ288" s="18" t="s">
        <v>86</v>
      </c>
      <c r="BK288" s="221">
        <f>ROUND(I288*H288,1)</f>
        <v>0</v>
      </c>
      <c r="BL288" s="18" t="s">
        <v>310</v>
      </c>
      <c r="BM288" s="220" t="s">
        <v>2483</v>
      </c>
    </row>
    <row r="289" s="2" customFormat="1">
      <c r="A289" s="40"/>
      <c r="B289" s="41"/>
      <c r="C289" s="42"/>
      <c r="D289" s="222" t="s">
        <v>209</v>
      </c>
      <c r="E289" s="42"/>
      <c r="F289" s="223" t="s">
        <v>2484</v>
      </c>
      <c r="G289" s="42"/>
      <c r="H289" s="42"/>
      <c r="I289" s="224"/>
      <c r="J289" s="42"/>
      <c r="K289" s="42"/>
      <c r="L289" s="46"/>
      <c r="M289" s="225"/>
      <c r="N289" s="226"/>
      <c r="O289" s="86"/>
      <c r="P289" s="86"/>
      <c r="Q289" s="86"/>
      <c r="R289" s="86"/>
      <c r="S289" s="86"/>
      <c r="T289" s="87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T289" s="18" t="s">
        <v>209</v>
      </c>
      <c r="AU289" s="18" t="s">
        <v>88</v>
      </c>
    </row>
    <row r="290" s="12" customFormat="1" ht="22.8" customHeight="1">
      <c r="A290" s="12"/>
      <c r="B290" s="193"/>
      <c r="C290" s="194"/>
      <c r="D290" s="195" t="s">
        <v>77</v>
      </c>
      <c r="E290" s="207" t="s">
        <v>2485</v>
      </c>
      <c r="F290" s="207" t="s">
        <v>2486</v>
      </c>
      <c r="G290" s="194"/>
      <c r="H290" s="194"/>
      <c r="I290" s="197"/>
      <c r="J290" s="208">
        <f>BK290</f>
        <v>0</v>
      </c>
      <c r="K290" s="194"/>
      <c r="L290" s="199"/>
      <c r="M290" s="200"/>
      <c r="N290" s="201"/>
      <c r="O290" s="201"/>
      <c r="P290" s="202">
        <f>SUM(P291:P296)</f>
        <v>0</v>
      </c>
      <c r="Q290" s="201"/>
      <c r="R290" s="202">
        <f>SUM(R291:R296)</f>
        <v>0.0683</v>
      </c>
      <c r="S290" s="201"/>
      <c r="T290" s="203">
        <f>SUM(T291:T296)</f>
        <v>0</v>
      </c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R290" s="204" t="s">
        <v>88</v>
      </c>
      <c r="AT290" s="205" t="s">
        <v>77</v>
      </c>
      <c r="AU290" s="205" t="s">
        <v>86</v>
      </c>
      <c r="AY290" s="204" t="s">
        <v>200</v>
      </c>
      <c r="BK290" s="206">
        <f>SUM(BK291:BK296)</f>
        <v>0</v>
      </c>
    </row>
    <row r="291" s="2" customFormat="1" ht="24.15" customHeight="1">
      <c r="A291" s="40"/>
      <c r="B291" s="41"/>
      <c r="C291" s="209" t="s">
        <v>899</v>
      </c>
      <c r="D291" s="209" t="s">
        <v>202</v>
      </c>
      <c r="E291" s="210" t="s">
        <v>2487</v>
      </c>
      <c r="F291" s="211" t="s">
        <v>2488</v>
      </c>
      <c r="G291" s="212" t="s">
        <v>1094</v>
      </c>
      <c r="H291" s="213">
        <v>1</v>
      </c>
      <c r="I291" s="214"/>
      <c r="J291" s="215">
        <f>ROUND(I291*H291,1)</f>
        <v>0</v>
      </c>
      <c r="K291" s="211" t="s">
        <v>206</v>
      </c>
      <c r="L291" s="46"/>
      <c r="M291" s="216" t="s">
        <v>32</v>
      </c>
      <c r="N291" s="217" t="s">
        <v>49</v>
      </c>
      <c r="O291" s="86"/>
      <c r="P291" s="218">
        <f>O291*H291</f>
        <v>0</v>
      </c>
      <c r="Q291" s="218">
        <v>0.0038999999999999998</v>
      </c>
      <c r="R291" s="218">
        <f>Q291*H291</f>
        <v>0.0038999999999999998</v>
      </c>
      <c r="S291" s="218">
        <v>0</v>
      </c>
      <c r="T291" s="219">
        <f>S291*H291</f>
        <v>0</v>
      </c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R291" s="220" t="s">
        <v>310</v>
      </c>
      <c r="AT291" s="220" t="s">
        <v>202</v>
      </c>
      <c r="AU291" s="220" t="s">
        <v>88</v>
      </c>
      <c r="AY291" s="18" t="s">
        <v>200</v>
      </c>
      <c r="BE291" s="221">
        <f>IF(N291="základní",J291,0)</f>
        <v>0</v>
      </c>
      <c r="BF291" s="221">
        <f>IF(N291="snížená",J291,0)</f>
        <v>0</v>
      </c>
      <c r="BG291" s="221">
        <f>IF(N291="zákl. přenesená",J291,0)</f>
        <v>0</v>
      </c>
      <c r="BH291" s="221">
        <f>IF(N291="sníž. přenesená",J291,0)</f>
        <v>0</v>
      </c>
      <c r="BI291" s="221">
        <f>IF(N291="nulová",J291,0)</f>
        <v>0</v>
      </c>
      <c r="BJ291" s="18" t="s">
        <v>86</v>
      </c>
      <c r="BK291" s="221">
        <f>ROUND(I291*H291,1)</f>
        <v>0</v>
      </c>
      <c r="BL291" s="18" t="s">
        <v>310</v>
      </c>
      <c r="BM291" s="220" t="s">
        <v>2489</v>
      </c>
    </row>
    <row r="292" s="2" customFormat="1">
      <c r="A292" s="40"/>
      <c r="B292" s="41"/>
      <c r="C292" s="42"/>
      <c r="D292" s="222" t="s">
        <v>209</v>
      </c>
      <c r="E292" s="42"/>
      <c r="F292" s="223" t="s">
        <v>2490</v>
      </c>
      <c r="G292" s="42"/>
      <c r="H292" s="42"/>
      <c r="I292" s="224"/>
      <c r="J292" s="42"/>
      <c r="K292" s="42"/>
      <c r="L292" s="46"/>
      <c r="M292" s="225"/>
      <c r="N292" s="226"/>
      <c r="O292" s="86"/>
      <c r="P292" s="86"/>
      <c r="Q292" s="86"/>
      <c r="R292" s="86"/>
      <c r="S292" s="86"/>
      <c r="T292" s="87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T292" s="18" t="s">
        <v>209</v>
      </c>
      <c r="AU292" s="18" t="s">
        <v>88</v>
      </c>
    </row>
    <row r="293" s="2" customFormat="1" ht="24.15" customHeight="1">
      <c r="A293" s="40"/>
      <c r="B293" s="41"/>
      <c r="C293" s="209" t="s">
        <v>904</v>
      </c>
      <c r="D293" s="209" t="s">
        <v>202</v>
      </c>
      <c r="E293" s="210" t="s">
        <v>2491</v>
      </c>
      <c r="F293" s="211" t="s">
        <v>2492</v>
      </c>
      <c r="G293" s="212" t="s">
        <v>1094</v>
      </c>
      <c r="H293" s="213">
        <v>7</v>
      </c>
      <c r="I293" s="214"/>
      <c r="J293" s="215">
        <f>ROUND(I293*H293,1)</f>
        <v>0</v>
      </c>
      <c r="K293" s="211" t="s">
        <v>206</v>
      </c>
      <c r="L293" s="46"/>
      <c r="M293" s="216" t="s">
        <v>32</v>
      </c>
      <c r="N293" s="217" t="s">
        <v>49</v>
      </c>
      <c r="O293" s="86"/>
      <c r="P293" s="218">
        <f>O293*H293</f>
        <v>0</v>
      </c>
      <c r="Q293" s="218">
        <v>0.0091999999999999998</v>
      </c>
      <c r="R293" s="218">
        <f>Q293*H293</f>
        <v>0.064399999999999999</v>
      </c>
      <c r="S293" s="218">
        <v>0</v>
      </c>
      <c r="T293" s="219">
        <f>S293*H293</f>
        <v>0</v>
      </c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R293" s="220" t="s">
        <v>310</v>
      </c>
      <c r="AT293" s="220" t="s">
        <v>202</v>
      </c>
      <c r="AU293" s="220" t="s">
        <v>88</v>
      </c>
      <c r="AY293" s="18" t="s">
        <v>200</v>
      </c>
      <c r="BE293" s="221">
        <f>IF(N293="základní",J293,0)</f>
        <v>0</v>
      </c>
      <c r="BF293" s="221">
        <f>IF(N293="snížená",J293,0)</f>
        <v>0</v>
      </c>
      <c r="BG293" s="221">
        <f>IF(N293="zákl. přenesená",J293,0)</f>
        <v>0</v>
      </c>
      <c r="BH293" s="221">
        <f>IF(N293="sníž. přenesená",J293,0)</f>
        <v>0</v>
      </c>
      <c r="BI293" s="221">
        <f>IF(N293="nulová",J293,0)</f>
        <v>0</v>
      </c>
      <c r="BJ293" s="18" t="s">
        <v>86</v>
      </c>
      <c r="BK293" s="221">
        <f>ROUND(I293*H293,1)</f>
        <v>0</v>
      </c>
      <c r="BL293" s="18" t="s">
        <v>310</v>
      </c>
      <c r="BM293" s="220" t="s">
        <v>2493</v>
      </c>
    </row>
    <row r="294" s="2" customFormat="1">
      <c r="A294" s="40"/>
      <c r="B294" s="41"/>
      <c r="C294" s="42"/>
      <c r="D294" s="222" t="s">
        <v>209</v>
      </c>
      <c r="E294" s="42"/>
      <c r="F294" s="223" t="s">
        <v>2494</v>
      </c>
      <c r="G294" s="42"/>
      <c r="H294" s="42"/>
      <c r="I294" s="224"/>
      <c r="J294" s="42"/>
      <c r="K294" s="42"/>
      <c r="L294" s="46"/>
      <c r="M294" s="225"/>
      <c r="N294" s="226"/>
      <c r="O294" s="86"/>
      <c r="P294" s="86"/>
      <c r="Q294" s="86"/>
      <c r="R294" s="86"/>
      <c r="S294" s="86"/>
      <c r="T294" s="87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T294" s="18" t="s">
        <v>209</v>
      </c>
      <c r="AU294" s="18" t="s">
        <v>88</v>
      </c>
    </row>
    <row r="295" s="2" customFormat="1" ht="24.15" customHeight="1">
      <c r="A295" s="40"/>
      <c r="B295" s="41"/>
      <c r="C295" s="209" t="s">
        <v>909</v>
      </c>
      <c r="D295" s="209" t="s">
        <v>202</v>
      </c>
      <c r="E295" s="210" t="s">
        <v>2495</v>
      </c>
      <c r="F295" s="211" t="s">
        <v>2496</v>
      </c>
      <c r="G295" s="212" t="s">
        <v>2291</v>
      </c>
      <c r="H295" s="287"/>
      <c r="I295" s="214"/>
      <c r="J295" s="215">
        <f>ROUND(I295*H295,1)</f>
        <v>0</v>
      </c>
      <c r="K295" s="211" t="s">
        <v>206</v>
      </c>
      <c r="L295" s="46"/>
      <c r="M295" s="216" t="s">
        <v>32</v>
      </c>
      <c r="N295" s="217" t="s">
        <v>49</v>
      </c>
      <c r="O295" s="86"/>
      <c r="P295" s="218">
        <f>O295*H295</f>
        <v>0</v>
      </c>
      <c r="Q295" s="218">
        <v>0</v>
      </c>
      <c r="R295" s="218">
        <f>Q295*H295</f>
        <v>0</v>
      </c>
      <c r="S295" s="218">
        <v>0</v>
      </c>
      <c r="T295" s="219">
        <f>S295*H295</f>
        <v>0</v>
      </c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R295" s="220" t="s">
        <v>310</v>
      </c>
      <c r="AT295" s="220" t="s">
        <v>202</v>
      </c>
      <c r="AU295" s="220" t="s">
        <v>88</v>
      </c>
      <c r="AY295" s="18" t="s">
        <v>200</v>
      </c>
      <c r="BE295" s="221">
        <f>IF(N295="základní",J295,0)</f>
        <v>0</v>
      </c>
      <c r="BF295" s="221">
        <f>IF(N295="snížená",J295,0)</f>
        <v>0</v>
      </c>
      <c r="BG295" s="221">
        <f>IF(N295="zákl. přenesená",J295,0)</f>
        <v>0</v>
      </c>
      <c r="BH295" s="221">
        <f>IF(N295="sníž. přenesená",J295,0)</f>
        <v>0</v>
      </c>
      <c r="BI295" s="221">
        <f>IF(N295="nulová",J295,0)</f>
        <v>0</v>
      </c>
      <c r="BJ295" s="18" t="s">
        <v>86</v>
      </c>
      <c r="BK295" s="221">
        <f>ROUND(I295*H295,1)</f>
        <v>0</v>
      </c>
      <c r="BL295" s="18" t="s">
        <v>310</v>
      </c>
      <c r="BM295" s="220" t="s">
        <v>2497</v>
      </c>
    </row>
    <row r="296" s="2" customFormat="1">
      <c r="A296" s="40"/>
      <c r="B296" s="41"/>
      <c r="C296" s="42"/>
      <c r="D296" s="222" t="s">
        <v>209</v>
      </c>
      <c r="E296" s="42"/>
      <c r="F296" s="223" t="s">
        <v>2498</v>
      </c>
      <c r="G296" s="42"/>
      <c r="H296" s="42"/>
      <c r="I296" s="224"/>
      <c r="J296" s="42"/>
      <c r="K296" s="42"/>
      <c r="L296" s="46"/>
      <c r="M296" s="225"/>
      <c r="N296" s="226"/>
      <c r="O296" s="86"/>
      <c r="P296" s="86"/>
      <c r="Q296" s="86"/>
      <c r="R296" s="86"/>
      <c r="S296" s="86"/>
      <c r="T296" s="87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T296" s="18" t="s">
        <v>209</v>
      </c>
      <c r="AU296" s="18" t="s">
        <v>88</v>
      </c>
    </row>
    <row r="297" s="12" customFormat="1" ht="25.92" customHeight="1">
      <c r="A297" s="12"/>
      <c r="B297" s="193"/>
      <c r="C297" s="194"/>
      <c r="D297" s="195" t="s">
        <v>77</v>
      </c>
      <c r="E297" s="196" t="s">
        <v>2499</v>
      </c>
      <c r="F297" s="196" t="s">
        <v>2500</v>
      </c>
      <c r="G297" s="194"/>
      <c r="H297" s="194"/>
      <c r="I297" s="197"/>
      <c r="J297" s="198">
        <f>BK297</f>
        <v>0</v>
      </c>
      <c r="K297" s="194"/>
      <c r="L297" s="199"/>
      <c r="M297" s="200"/>
      <c r="N297" s="201"/>
      <c r="O297" s="201"/>
      <c r="P297" s="202">
        <f>SUM(P298:P300)</f>
        <v>0</v>
      </c>
      <c r="Q297" s="201"/>
      <c r="R297" s="202">
        <f>SUM(R298:R300)</f>
        <v>0</v>
      </c>
      <c r="S297" s="201"/>
      <c r="T297" s="203">
        <f>SUM(T298:T300)</f>
        <v>0</v>
      </c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R297" s="204" t="s">
        <v>207</v>
      </c>
      <c r="AT297" s="205" t="s">
        <v>77</v>
      </c>
      <c r="AU297" s="205" t="s">
        <v>78</v>
      </c>
      <c r="AY297" s="204" t="s">
        <v>200</v>
      </c>
      <c r="BK297" s="206">
        <f>SUM(BK298:BK300)</f>
        <v>0</v>
      </c>
    </row>
    <row r="298" s="2" customFormat="1" ht="21.75" customHeight="1">
      <c r="A298" s="40"/>
      <c r="B298" s="41"/>
      <c r="C298" s="209" t="s">
        <v>916</v>
      </c>
      <c r="D298" s="209" t="s">
        <v>202</v>
      </c>
      <c r="E298" s="210" t="s">
        <v>2501</v>
      </c>
      <c r="F298" s="211" t="s">
        <v>2502</v>
      </c>
      <c r="G298" s="212" t="s">
        <v>2503</v>
      </c>
      <c r="H298" s="213">
        <v>110</v>
      </c>
      <c r="I298" s="214"/>
      <c r="J298" s="215">
        <f>ROUND(I298*H298,1)</f>
        <v>0</v>
      </c>
      <c r="K298" s="211" t="s">
        <v>206</v>
      </c>
      <c r="L298" s="46"/>
      <c r="M298" s="216" t="s">
        <v>32</v>
      </c>
      <c r="N298" s="217" t="s">
        <v>49</v>
      </c>
      <c r="O298" s="86"/>
      <c r="P298" s="218">
        <f>O298*H298</f>
        <v>0</v>
      </c>
      <c r="Q298" s="218">
        <v>0</v>
      </c>
      <c r="R298" s="218">
        <f>Q298*H298</f>
        <v>0</v>
      </c>
      <c r="S298" s="218">
        <v>0</v>
      </c>
      <c r="T298" s="219">
        <f>S298*H298</f>
        <v>0</v>
      </c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R298" s="220" t="s">
        <v>2102</v>
      </c>
      <c r="AT298" s="220" t="s">
        <v>202</v>
      </c>
      <c r="AU298" s="220" t="s">
        <v>86</v>
      </c>
      <c r="AY298" s="18" t="s">
        <v>200</v>
      </c>
      <c r="BE298" s="221">
        <f>IF(N298="základní",J298,0)</f>
        <v>0</v>
      </c>
      <c r="BF298" s="221">
        <f>IF(N298="snížená",J298,0)</f>
        <v>0</v>
      </c>
      <c r="BG298" s="221">
        <f>IF(N298="zákl. přenesená",J298,0)</f>
        <v>0</v>
      </c>
      <c r="BH298" s="221">
        <f>IF(N298="sníž. přenesená",J298,0)</f>
        <v>0</v>
      </c>
      <c r="BI298" s="221">
        <f>IF(N298="nulová",J298,0)</f>
        <v>0</v>
      </c>
      <c r="BJ298" s="18" t="s">
        <v>86</v>
      </c>
      <c r="BK298" s="221">
        <f>ROUND(I298*H298,1)</f>
        <v>0</v>
      </c>
      <c r="BL298" s="18" t="s">
        <v>2102</v>
      </c>
      <c r="BM298" s="220" t="s">
        <v>2504</v>
      </c>
    </row>
    <row r="299" s="2" customFormat="1">
      <c r="A299" s="40"/>
      <c r="B299" s="41"/>
      <c r="C299" s="42"/>
      <c r="D299" s="222" t="s">
        <v>209</v>
      </c>
      <c r="E299" s="42"/>
      <c r="F299" s="223" t="s">
        <v>2505</v>
      </c>
      <c r="G299" s="42"/>
      <c r="H299" s="42"/>
      <c r="I299" s="224"/>
      <c r="J299" s="42"/>
      <c r="K299" s="42"/>
      <c r="L299" s="46"/>
      <c r="M299" s="225"/>
      <c r="N299" s="226"/>
      <c r="O299" s="86"/>
      <c r="P299" s="86"/>
      <c r="Q299" s="86"/>
      <c r="R299" s="86"/>
      <c r="S299" s="86"/>
      <c r="T299" s="87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T299" s="18" t="s">
        <v>209</v>
      </c>
      <c r="AU299" s="18" t="s">
        <v>86</v>
      </c>
    </row>
    <row r="300" s="13" customFormat="1">
      <c r="A300" s="13"/>
      <c r="B300" s="227"/>
      <c r="C300" s="228"/>
      <c r="D300" s="229" t="s">
        <v>211</v>
      </c>
      <c r="E300" s="230" t="s">
        <v>32</v>
      </c>
      <c r="F300" s="231" t="s">
        <v>2506</v>
      </c>
      <c r="G300" s="228"/>
      <c r="H300" s="232">
        <v>110</v>
      </c>
      <c r="I300" s="233"/>
      <c r="J300" s="228"/>
      <c r="K300" s="228"/>
      <c r="L300" s="234"/>
      <c r="M300" s="288"/>
      <c r="N300" s="289"/>
      <c r="O300" s="289"/>
      <c r="P300" s="289"/>
      <c r="Q300" s="289"/>
      <c r="R300" s="289"/>
      <c r="S300" s="289"/>
      <c r="T300" s="290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T300" s="238" t="s">
        <v>211</v>
      </c>
      <c r="AU300" s="238" t="s">
        <v>86</v>
      </c>
      <c r="AV300" s="13" t="s">
        <v>88</v>
      </c>
      <c r="AW300" s="13" t="s">
        <v>213</v>
      </c>
      <c r="AX300" s="13" t="s">
        <v>86</v>
      </c>
      <c r="AY300" s="238" t="s">
        <v>200</v>
      </c>
    </row>
    <row r="301" s="2" customFormat="1" ht="6.96" customHeight="1">
      <c r="A301" s="40"/>
      <c r="B301" s="61"/>
      <c r="C301" s="62"/>
      <c r="D301" s="62"/>
      <c r="E301" s="62"/>
      <c r="F301" s="62"/>
      <c r="G301" s="62"/>
      <c r="H301" s="62"/>
      <c r="I301" s="62"/>
      <c r="J301" s="62"/>
      <c r="K301" s="62"/>
      <c r="L301" s="46"/>
      <c r="M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</row>
  </sheetData>
  <sheetProtection sheet="1" autoFilter="0" formatColumns="0" formatRows="0" objects="1" scenarios="1" spinCount="100000" saltValue="5KerNdMJUV6D8oDOZyIUCclqKjYd4JL+kcbps+4ojXOeseuIWKQJ/ZrtXOxgrm9G06MQmeEjQi+WtTBVVe4JwQ==" hashValue="rwp4DMKxIPEyzRLJfc+6Xk3V6MY6dx6OWuLe4a5MIYLx1QhzDJVqO1IqM9O+RFFa/ucO88zp7rTnwBZRZYhg0w==" algorithmName="SHA-512" password="CC35"/>
  <autoFilter ref="C88:K300"/>
  <mergeCells count="9">
    <mergeCell ref="E7:H7"/>
    <mergeCell ref="E9:H9"/>
    <mergeCell ref="E18:H18"/>
    <mergeCell ref="E27:H27"/>
    <mergeCell ref="E48:H48"/>
    <mergeCell ref="E50:H50"/>
    <mergeCell ref="E79:H79"/>
    <mergeCell ref="E81:H81"/>
    <mergeCell ref="L2:V2"/>
  </mergeCells>
  <hyperlinks>
    <hyperlink ref="F93" r:id="rId1" display="https://podminky.urs.cz/item/CS_URS_2023_02/132251102"/>
    <hyperlink ref="F102" r:id="rId2" display="https://podminky.urs.cz/item/CS_URS_2023_02/162251102"/>
    <hyperlink ref="F107" r:id="rId3" display="https://podminky.urs.cz/item/CS_URS_2023_02/167151101"/>
    <hyperlink ref="F110" r:id="rId4" display="https://podminky.urs.cz/item/CS_URS_2023_02/174151101"/>
    <hyperlink ref="F116" r:id="rId5" display="https://podminky.urs.cz/item/CS_URS_2023_02/175151101"/>
    <hyperlink ref="F128" r:id="rId6" display="https://podminky.urs.cz/item/CS_URS_2023_02/451572111"/>
    <hyperlink ref="F138" r:id="rId7" display="https://podminky.urs.cz/item/CS_URS_2023_02/998011002"/>
    <hyperlink ref="F142" r:id="rId8" display="https://podminky.urs.cz/item/CS_URS_2023_02/721173402"/>
    <hyperlink ref="F144" r:id="rId9" display="https://podminky.urs.cz/item/CS_URS_2023_02/721173403"/>
    <hyperlink ref="F146" r:id="rId10" display="https://podminky.urs.cz/item/CS_URS_2023_02/721173404"/>
    <hyperlink ref="F148" r:id="rId11" display="https://podminky.urs.cz/item/CS_URS_2023_02/721174004"/>
    <hyperlink ref="F150" r:id="rId12" display="https://podminky.urs.cz/item/CS_URS_2023_02/721174005"/>
    <hyperlink ref="F152" r:id="rId13" display="https://podminky.urs.cz/item/CS_URS_2023_02/721174042"/>
    <hyperlink ref="F155" r:id="rId14" display="https://podminky.urs.cz/item/CS_URS_2023_02/721174043"/>
    <hyperlink ref="F178" r:id="rId15" display="https://podminky.urs.cz/item/CS_URS_2023_02/721194105"/>
    <hyperlink ref="F181" r:id="rId16" display="https://podminky.urs.cz/item/CS_URS_2023_02/721194109"/>
    <hyperlink ref="F184" r:id="rId17" display="https://podminky.urs.cz/item/CS_URS_2023_02/721211403"/>
    <hyperlink ref="F186" r:id="rId18" display="https://podminky.urs.cz/item/CS_URS_2023_02/721226521"/>
    <hyperlink ref="F188" r:id="rId19" display="https://podminky.urs.cz/item/CS_URS_2023_02/721273153"/>
    <hyperlink ref="F190" r:id="rId20" display="https://podminky.urs.cz/item/CS_URS_2023_02/721274126"/>
    <hyperlink ref="F192" r:id="rId21" display="https://podminky.urs.cz/item/CS_URS_2023_02/721290111"/>
    <hyperlink ref="F195" r:id="rId22" display="https://podminky.urs.cz/item/CS_URS_2023_02/721290112"/>
    <hyperlink ref="F198" r:id="rId23" display="https://podminky.urs.cz/item/CS_URS_2023_02/998721202"/>
    <hyperlink ref="F201" r:id="rId24" display="https://podminky.urs.cz/item/CS_URS_2023_02/722130234"/>
    <hyperlink ref="F216" r:id="rId25" display="https://podminky.urs.cz/item/CS_URS_2023_02/722174002"/>
    <hyperlink ref="F218" r:id="rId26" display="https://podminky.urs.cz/item/CS_URS_2023_02/722174003"/>
    <hyperlink ref="F222" r:id="rId27" display="https://podminky.urs.cz/item/CS_URS_2023_02/722174004"/>
    <hyperlink ref="F224" r:id="rId28" display="https://podminky.urs.cz/item/CS_URS_2023_02/722174005"/>
    <hyperlink ref="F226" r:id="rId29" display="https://podminky.urs.cz/item/CS_URS_2023_02/722174006"/>
    <hyperlink ref="F228" r:id="rId30" display="https://podminky.urs.cz/item/CS_URS_2023_02/722181221"/>
    <hyperlink ref="F231" r:id="rId31" display="https://podminky.urs.cz/item/CS_URS_2023_02/722181222"/>
    <hyperlink ref="F234" r:id="rId32" display="https://podminky.urs.cz/item/CS_URS_2023_02/722181223"/>
    <hyperlink ref="F237" r:id="rId33" display="https://podminky.urs.cz/item/CS_URS_2023_02/722190401"/>
    <hyperlink ref="F240" r:id="rId34" display="https://podminky.urs.cz/item/CS_URS_2023_02/722250133"/>
    <hyperlink ref="F242" r:id="rId35" display="https://podminky.urs.cz/item/CS_URS_2023_02/722290226"/>
    <hyperlink ref="F245" r:id="rId36" display="https://podminky.urs.cz/item/CS_URS_2023_02/722290234"/>
    <hyperlink ref="F247" r:id="rId37" display="https://podminky.urs.cz/item/CS_URS_2023_02/998722202"/>
    <hyperlink ref="F253" r:id="rId38" display="https://podminky.urs.cz/item/CS_URS_2023_02/725112022"/>
    <hyperlink ref="F255" r:id="rId39" display="https://podminky.urs.cz/item/CS_URS_2023_02/725121023"/>
    <hyperlink ref="F257" r:id="rId40" display="https://podminky.urs.cz/item/CS_URS_2023_02/725211601"/>
    <hyperlink ref="F259" r:id="rId41" display="https://podminky.urs.cz/item/CS_URS_2023_02/725211641"/>
    <hyperlink ref="F261" r:id="rId42" display="https://podminky.urs.cz/item/CS_URS_2023_02/725211681"/>
    <hyperlink ref="F263" r:id="rId43" display="https://podminky.urs.cz/item/CS_URS_2023_02/725231201"/>
    <hyperlink ref="F265" r:id="rId44" display="https://podminky.urs.cz/item/CS_URS_2023_02/725241112"/>
    <hyperlink ref="F267" r:id="rId45" display="https://podminky.urs.cz/item/CS_URS_2023_02/725244123"/>
    <hyperlink ref="F269" r:id="rId46" display="https://podminky.urs.cz/item/CS_URS_2023_02/725319111"/>
    <hyperlink ref="F271" r:id="rId47" display="https://podminky.urs.cz/item/CS_URS_2023_02/725331111"/>
    <hyperlink ref="F273" r:id="rId48" display="https://podminky.urs.cz/item/CS_URS_2023_02/725813111"/>
    <hyperlink ref="F276" r:id="rId49" display="https://podminky.urs.cz/item/CS_URS_2023_02/725813112"/>
    <hyperlink ref="F278" r:id="rId50" display="https://podminky.urs.cz/item/CS_URS_2023_02/725821312"/>
    <hyperlink ref="F280" r:id="rId51" display="https://podminky.urs.cz/item/CS_URS_2023_02/725822611"/>
    <hyperlink ref="F282" r:id="rId52" display="https://podminky.urs.cz/item/CS_URS_2023_02/725823121"/>
    <hyperlink ref="F284" r:id="rId53" display="https://podminky.urs.cz/item/CS_URS_2023_02/725829121"/>
    <hyperlink ref="F287" r:id="rId54" display="https://podminky.urs.cz/item/CS_URS_2023_02/725841332"/>
    <hyperlink ref="F289" r:id="rId55" display="https://podminky.urs.cz/item/CS_URS_2023_02/998725201"/>
    <hyperlink ref="F292" r:id="rId56" display="https://podminky.urs.cz/item/CS_URS_2023_02/726111011"/>
    <hyperlink ref="F294" r:id="rId57" display="https://podminky.urs.cz/item/CS_URS_2023_02/726111031"/>
    <hyperlink ref="F296" r:id="rId58" display="https://podminky.urs.cz/item/CS_URS_2023_02/998726212"/>
    <hyperlink ref="F299" r:id="rId59" display="https://podminky.urs.cz/item/CS_URS_2023_02/HZS2491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60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8" t="s">
        <v>94</v>
      </c>
    </row>
    <row r="3" hidden="1" s="1" customFormat="1" ht="6.96" customHeight="1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21"/>
      <c r="AT3" s="18" t="s">
        <v>88</v>
      </c>
    </row>
    <row r="4" hidden="1" s="1" customFormat="1" ht="24.96" customHeight="1">
      <c r="B4" s="21"/>
      <c r="D4" s="133" t="s">
        <v>121</v>
      </c>
      <c r="L4" s="21"/>
      <c r="M4" s="134" t="s">
        <v>10</v>
      </c>
      <c r="AT4" s="18" t="s">
        <v>4</v>
      </c>
    </row>
    <row r="5" hidden="1" s="1" customFormat="1" ht="6.96" customHeight="1">
      <c r="B5" s="21"/>
      <c r="L5" s="21"/>
    </row>
    <row r="6" hidden="1" s="1" customFormat="1" ht="12" customHeight="1">
      <c r="B6" s="21"/>
      <c r="D6" s="135" t="s">
        <v>16</v>
      </c>
      <c r="L6" s="21"/>
    </row>
    <row r="7" hidden="1" s="1" customFormat="1" ht="16.5" customHeight="1">
      <c r="B7" s="21"/>
      <c r="E7" s="136" t="str">
        <f>'Rekapitulace stavby'!K6</f>
        <v>Kulturní dům ČP 1, Třemošná- rev 03</v>
      </c>
      <c r="F7" s="135"/>
      <c r="G7" s="135"/>
      <c r="H7" s="135"/>
      <c r="L7" s="21"/>
    </row>
    <row r="8" hidden="1" s="2" customFormat="1" ht="12" customHeight="1">
      <c r="A8" s="40"/>
      <c r="B8" s="46"/>
      <c r="C8" s="40"/>
      <c r="D8" s="135" t="s">
        <v>134</v>
      </c>
      <c r="E8" s="40"/>
      <c r="F8" s="40"/>
      <c r="G8" s="40"/>
      <c r="H8" s="40"/>
      <c r="I8" s="40"/>
      <c r="J8" s="40"/>
      <c r="K8" s="40"/>
      <c r="L8" s="137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hidden="1" s="2" customFormat="1" ht="16.5" customHeight="1">
      <c r="A9" s="40"/>
      <c r="B9" s="46"/>
      <c r="C9" s="40"/>
      <c r="D9" s="40"/>
      <c r="E9" s="138" t="s">
        <v>2507</v>
      </c>
      <c r="F9" s="40"/>
      <c r="G9" s="40"/>
      <c r="H9" s="40"/>
      <c r="I9" s="40"/>
      <c r="J9" s="40"/>
      <c r="K9" s="40"/>
      <c r="L9" s="13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hidden="1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3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hidden="1" s="2" customFormat="1" ht="12" customHeight="1">
      <c r="A11" s="40"/>
      <c r="B11" s="46"/>
      <c r="C11" s="40"/>
      <c r="D11" s="135" t="s">
        <v>18</v>
      </c>
      <c r="E11" s="40"/>
      <c r="F11" s="139" t="s">
        <v>32</v>
      </c>
      <c r="G11" s="40"/>
      <c r="H11" s="40"/>
      <c r="I11" s="135" t="s">
        <v>20</v>
      </c>
      <c r="J11" s="139" t="s">
        <v>32</v>
      </c>
      <c r="K11" s="40"/>
      <c r="L11" s="13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hidden="1" s="2" customFormat="1" ht="12" customHeight="1">
      <c r="A12" s="40"/>
      <c r="B12" s="46"/>
      <c r="C12" s="40"/>
      <c r="D12" s="135" t="s">
        <v>22</v>
      </c>
      <c r="E12" s="40"/>
      <c r="F12" s="139" t="s">
        <v>41</v>
      </c>
      <c r="G12" s="40"/>
      <c r="H12" s="40"/>
      <c r="I12" s="135" t="s">
        <v>24</v>
      </c>
      <c r="J12" s="140" t="str">
        <f>'Rekapitulace stavby'!AN8</f>
        <v>20. 12. 2023</v>
      </c>
      <c r="K12" s="40"/>
      <c r="L12" s="13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hidden="1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3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hidden="1" s="2" customFormat="1" ht="12" customHeight="1">
      <c r="A14" s="40"/>
      <c r="B14" s="46"/>
      <c r="C14" s="40"/>
      <c r="D14" s="135" t="s">
        <v>30</v>
      </c>
      <c r="E14" s="40"/>
      <c r="F14" s="40"/>
      <c r="G14" s="40"/>
      <c r="H14" s="40"/>
      <c r="I14" s="135" t="s">
        <v>31</v>
      </c>
      <c r="J14" s="139" t="str">
        <f>IF('Rekapitulace stavby'!AN10="","",'Rekapitulace stavby'!AN10)</f>
        <v/>
      </c>
      <c r="K14" s="40"/>
      <c r="L14" s="13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hidden="1" s="2" customFormat="1" ht="18" customHeight="1">
      <c r="A15" s="40"/>
      <c r="B15" s="46"/>
      <c r="C15" s="40"/>
      <c r="D15" s="40"/>
      <c r="E15" s="139" t="str">
        <f>IF('Rekapitulace stavby'!E11="","",'Rekapitulace stavby'!E11)</f>
        <v>Město Třemošná, Sídliště 992, 330 01 Třemošná</v>
      </c>
      <c r="F15" s="40"/>
      <c r="G15" s="40"/>
      <c r="H15" s="40"/>
      <c r="I15" s="135" t="s">
        <v>34</v>
      </c>
      <c r="J15" s="139" t="str">
        <f>IF('Rekapitulace stavby'!AN11="","",'Rekapitulace stavby'!AN11)</f>
        <v/>
      </c>
      <c r="K15" s="40"/>
      <c r="L15" s="13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hidden="1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3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hidden="1" s="2" customFormat="1" ht="12" customHeight="1">
      <c r="A17" s="40"/>
      <c r="B17" s="46"/>
      <c r="C17" s="40"/>
      <c r="D17" s="135" t="s">
        <v>35</v>
      </c>
      <c r="E17" s="40"/>
      <c r="F17" s="40"/>
      <c r="G17" s="40"/>
      <c r="H17" s="40"/>
      <c r="I17" s="135" t="s">
        <v>31</v>
      </c>
      <c r="J17" s="34" t="str">
        <f>'Rekapitulace stavby'!AN13</f>
        <v>Vyplň údaj</v>
      </c>
      <c r="K17" s="40"/>
      <c r="L17" s="13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hidden="1" s="2" customFormat="1" ht="18" customHeight="1">
      <c r="A18" s="40"/>
      <c r="B18" s="46"/>
      <c r="C18" s="40"/>
      <c r="D18" s="40"/>
      <c r="E18" s="34" t="str">
        <f>'Rekapitulace stavby'!E14</f>
        <v>Vyplň údaj</v>
      </c>
      <c r="F18" s="139"/>
      <c r="G18" s="139"/>
      <c r="H18" s="139"/>
      <c r="I18" s="135" t="s">
        <v>34</v>
      </c>
      <c r="J18" s="34" t="str">
        <f>'Rekapitulace stavby'!AN14</f>
        <v>Vyplň údaj</v>
      </c>
      <c r="K18" s="40"/>
      <c r="L18" s="13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hidden="1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3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hidden="1" s="2" customFormat="1" ht="12" customHeight="1">
      <c r="A20" s="40"/>
      <c r="B20" s="46"/>
      <c r="C20" s="40"/>
      <c r="D20" s="135" t="s">
        <v>37</v>
      </c>
      <c r="E20" s="40"/>
      <c r="F20" s="40"/>
      <c r="G20" s="40"/>
      <c r="H20" s="40"/>
      <c r="I20" s="135" t="s">
        <v>31</v>
      </c>
      <c r="J20" s="139" t="str">
        <f>IF('Rekapitulace stavby'!AN16="","",'Rekapitulace stavby'!AN16)</f>
        <v>49194852</v>
      </c>
      <c r="K20" s="40"/>
      <c r="L20" s="13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hidden="1" s="2" customFormat="1" ht="18" customHeight="1">
      <c r="A21" s="40"/>
      <c r="B21" s="46"/>
      <c r="C21" s="40"/>
      <c r="D21" s="40"/>
      <c r="E21" s="139" t="str">
        <f>IF('Rekapitulace stavby'!E17="","",'Rekapitulace stavby'!E17)</f>
        <v>RAVAL projekt v. o. s.</v>
      </c>
      <c r="F21" s="40"/>
      <c r="G21" s="40"/>
      <c r="H21" s="40"/>
      <c r="I21" s="135" t="s">
        <v>34</v>
      </c>
      <c r="J21" s="139" t="str">
        <f>IF('Rekapitulace stavby'!AN17="","",'Rekapitulace stavby'!AN17)</f>
        <v/>
      </c>
      <c r="K21" s="40"/>
      <c r="L21" s="13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hidden="1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3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hidden="1" s="2" customFormat="1" ht="12" customHeight="1">
      <c r="A23" s="40"/>
      <c r="B23" s="46"/>
      <c r="C23" s="40"/>
      <c r="D23" s="135" t="s">
        <v>40</v>
      </c>
      <c r="E23" s="40"/>
      <c r="F23" s="40"/>
      <c r="G23" s="40"/>
      <c r="H23" s="40"/>
      <c r="I23" s="135" t="s">
        <v>31</v>
      </c>
      <c r="J23" s="139" t="str">
        <f>IF('Rekapitulace stavby'!AN19="","",'Rekapitulace stavby'!AN19)</f>
        <v/>
      </c>
      <c r="K23" s="40"/>
      <c r="L23" s="13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hidden="1" s="2" customFormat="1" ht="18" customHeight="1">
      <c r="A24" s="40"/>
      <c r="B24" s="46"/>
      <c r="C24" s="40"/>
      <c r="D24" s="40"/>
      <c r="E24" s="139" t="str">
        <f>IF('Rekapitulace stavby'!E20="","",'Rekapitulace stavby'!E20)</f>
        <v xml:space="preserve"> </v>
      </c>
      <c r="F24" s="40"/>
      <c r="G24" s="40"/>
      <c r="H24" s="40"/>
      <c r="I24" s="135" t="s">
        <v>34</v>
      </c>
      <c r="J24" s="139" t="str">
        <f>IF('Rekapitulace stavby'!AN20="","",'Rekapitulace stavby'!AN20)</f>
        <v/>
      </c>
      <c r="K24" s="40"/>
      <c r="L24" s="13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hidden="1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3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hidden="1" s="2" customFormat="1" ht="12" customHeight="1">
      <c r="A26" s="40"/>
      <c r="B26" s="46"/>
      <c r="C26" s="40"/>
      <c r="D26" s="135" t="s">
        <v>42</v>
      </c>
      <c r="E26" s="40"/>
      <c r="F26" s="40"/>
      <c r="G26" s="40"/>
      <c r="H26" s="40"/>
      <c r="I26" s="40"/>
      <c r="J26" s="40"/>
      <c r="K26" s="40"/>
      <c r="L26" s="13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hidden="1" s="8" customFormat="1" ht="16.5" customHeight="1">
      <c r="A27" s="143"/>
      <c r="B27" s="144"/>
      <c r="C27" s="143"/>
      <c r="D27" s="143"/>
      <c r="E27" s="145" t="s">
        <v>32</v>
      </c>
      <c r="F27" s="145"/>
      <c r="G27" s="145"/>
      <c r="H27" s="145"/>
      <c r="I27" s="143"/>
      <c r="J27" s="143"/>
      <c r="K27" s="143"/>
      <c r="L27" s="146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</row>
    <row r="28" hidden="1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3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hidden="1" s="2" customFormat="1" ht="6.96" customHeight="1">
      <c r="A29" s="40"/>
      <c r="B29" s="46"/>
      <c r="C29" s="40"/>
      <c r="D29" s="147"/>
      <c r="E29" s="147"/>
      <c r="F29" s="147"/>
      <c r="G29" s="147"/>
      <c r="H29" s="147"/>
      <c r="I29" s="147"/>
      <c r="J29" s="147"/>
      <c r="K29" s="147"/>
      <c r="L29" s="13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hidden="1" s="2" customFormat="1" ht="25.44" customHeight="1">
      <c r="A30" s="40"/>
      <c r="B30" s="46"/>
      <c r="C30" s="40"/>
      <c r="D30" s="148" t="s">
        <v>44</v>
      </c>
      <c r="E30" s="40"/>
      <c r="F30" s="40"/>
      <c r="G30" s="40"/>
      <c r="H30" s="40"/>
      <c r="I30" s="40"/>
      <c r="J30" s="149">
        <f>ROUND(J79, 1)</f>
        <v>0</v>
      </c>
      <c r="K30" s="40"/>
      <c r="L30" s="13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hidden="1" s="2" customFormat="1" ht="6.96" customHeight="1">
      <c r="A31" s="40"/>
      <c r="B31" s="46"/>
      <c r="C31" s="40"/>
      <c r="D31" s="147"/>
      <c r="E31" s="147"/>
      <c r="F31" s="147"/>
      <c r="G31" s="147"/>
      <c r="H31" s="147"/>
      <c r="I31" s="147"/>
      <c r="J31" s="147"/>
      <c r="K31" s="147"/>
      <c r="L31" s="13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hidden="1" s="2" customFormat="1" ht="14.4" customHeight="1">
      <c r="A32" s="40"/>
      <c r="B32" s="46"/>
      <c r="C32" s="40"/>
      <c r="D32" s="40"/>
      <c r="E32" s="40"/>
      <c r="F32" s="150" t="s">
        <v>46</v>
      </c>
      <c r="G32" s="40"/>
      <c r="H32" s="40"/>
      <c r="I32" s="150" t="s">
        <v>45</v>
      </c>
      <c r="J32" s="150" t="s">
        <v>47</v>
      </c>
      <c r="K32" s="40"/>
      <c r="L32" s="13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hidden="1" s="2" customFormat="1" ht="14.4" customHeight="1">
      <c r="A33" s="40"/>
      <c r="B33" s="46"/>
      <c r="C33" s="40"/>
      <c r="D33" s="151" t="s">
        <v>48</v>
      </c>
      <c r="E33" s="135" t="s">
        <v>49</v>
      </c>
      <c r="F33" s="152">
        <f>ROUND((SUM(BE79:BE139)),  1)</f>
        <v>0</v>
      </c>
      <c r="G33" s="40"/>
      <c r="H33" s="40"/>
      <c r="I33" s="153">
        <v>0.20999999999999999</v>
      </c>
      <c r="J33" s="152">
        <f>ROUND(((SUM(BE79:BE139))*I33),  1)</f>
        <v>0</v>
      </c>
      <c r="K33" s="40"/>
      <c r="L33" s="13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hidden="1" s="2" customFormat="1" ht="14.4" customHeight="1">
      <c r="A34" s="40"/>
      <c r="B34" s="46"/>
      <c r="C34" s="40"/>
      <c r="D34" s="40"/>
      <c r="E34" s="135" t="s">
        <v>50</v>
      </c>
      <c r="F34" s="152">
        <f>ROUND((SUM(BF79:BF139)),  1)</f>
        <v>0</v>
      </c>
      <c r="G34" s="40"/>
      <c r="H34" s="40"/>
      <c r="I34" s="153">
        <v>0.14999999999999999</v>
      </c>
      <c r="J34" s="152">
        <f>ROUND(((SUM(BF79:BF139))*I34),  1)</f>
        <v>0</v>
      </c>
      <c r="K34" s="40"/>
      <c r="L34" s="13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35" t="s">
        <v>51</v>
      </c>
      <c r="F35" s="152">
        <f>ROUND((SUM(BG79:BG139)),  1)</f>
        <v>0</v>
      </c>
      <c r="G35" s="40"/>
      <c r="H35" s="40"/>
      <c r="I35" s="153">
        <v>0.20999999999999999</v>
      </c>
      <c r="J35" s="152">
        <f>0</f>
        <v>0</v>
      </c>
      <c r="K35" s="40"/>
      <c r="L35" s="13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35" t="s">
        <v>52</v>
      </c>
      <c r="F36" s="152">
        <f>ROUND((SUM(BH79:BH139)),  1)</f>
        <v>0</v>
      </c>
      <c r="G36" s="40"/>
      <c r="H36" s="40"/>
      <c r="I36" s="153">
        <v>0.14999999999999999</v>
      </c>
      <c r="J36" s="152">
        <f>0</f>
        <v>0</v>
      </c>
      <c r="K36" s="40"/>
      <c r="L36" s="13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35" t="s">
        <v>53</v>
      </c>
      <c r="F37" s="152">
        <f>ROUND((SUM(BI79:BI139)),  1)</f>
        <v>0</v>
      </c>
      <c r="G37" s="40"/>
      <c r="H37" s="40"/>
      <c r="I37" s="153">
        <v>0</v>
      </c>
      <c r="J37" s="152">
        <f>0</f>
        <v>0</v>
      </c>
      <c r="K37" s="40"/>
      <c r="L37" s="13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3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25.44" customHeight="1">
      <c r="A39" s="40"/>
      <c r="B39" s="46"/>
      <c r="C39" s="154"/>
      <c r="D39" s="155" t="s">
        <v>54</v>
      </c>
      <c r="E39" s="156"/>
      <c r="F39" s="156"/>
      <c r="G39" s="157" t="s">
        <v>55</v>
      </c>
      <c r="H39" s="158" t="s">
        <v>56</v>
      </c>
      <c r="I39" s="156"/>
      <c r="J39" s="159">
        <f>SUM(J30:J37)</f>
        <v>0</v>
      </c>
      <c r="K39" s="160"/>
      <c r="L39" s="13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161"/>
      <c r="C40" s="162"/>
      <c r="D40" s="162"/>
      <c r="E40" s="162"/>
      <c r="F40" s="162"/>
      <c r="G40" s="162"/>
      <c r="H40" s="162"/>
      <c r="I40" s="162"/>
      <c r="J40" s="162"/>
      <c r="K40" s="162"/>
      <c r="L40" s="13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/>
    <row r="42" hidden="1"/>
    <row r="43" hidden="1"/>
    <row r="44" hidden="1" s="2" customFormat="1" ht="6.96" customHeight="1">
      <c r="A44" s="4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3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hidden="1" s="2" customFormat="1" ht="24.96" customHeight="1">
      <c r="A45" s="40"/>
      <c r="B45" s="41"/>
      <c r="C45" s="24" t="s">
        <v>155</v>
      </c>
      <c r="D45" s="42"/>
      <c r="E45" s="42"/>
      <c r="F45" s="42"/>
      <c r="G45" s="42"/>
      <c r="H45" s="42"/>
      <c r="I45" s="42"/>
      <c r="J45" s="42"/>
      <c r="K45" s="42"/>
      <c r="L45" s="137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hidden="1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3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hidden="1" s="2" customFormat="1" ht="12" customHeight="1">
      <c r="A47" s="40"/>
      <c r="B47" s="41"/>
      <c r="C47" s="33" t="s">
        <v>16</v>
      </c>
      <c r="D47" s="42"/>
      <c r="E47" s="42"/>
      <c r="F47" s="42"/>
      <c r="G47" s="42"/>
      <c r="H47" s="42"/>
      <c r="I47" s="42"/>
      <c r="J47" s="42"/>
      <c r="K47" s="42"/>
      <c r="L47" s="13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hidden="1" s="2" customFormat="1" ht="16.5" customHeight="1">
      <c r="A48" s="40"/>
      <c r="B48" s="41"/>
      <c r="C48" s="42"/>
      <c r="D48" s="42"/>
      <c r="E48" s="165" t="str">
        <f>E7</f>
        <v>Kulturní dům ČP 1, Třemošná- rev 03</v>
      </c>
      <c r="F48" s="33"/>
      <c r="G48" s="33"/>
      <c r="H48" s="33"/>
      <c r="I48" s="42"/>
      <c r="J48" s="42"/>
      <c r="K48" s="42"/>
      <c r="L48" s="13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hidden="1" s="2" customFormat="1" ht="12" customHeight="1">
      <c r="A49" s="40"/>
      <c r="B49" s="41"/>
      <c r="C49" s="33" t="s">
        <v>134</v>
      </c>
      <c r="D49" s="42"/>
      <c r="E49" s="42"/>
      <c r="F49" s="42"/>
      <c r="G49" s="42"/>
      <c r="H49" s="42"/>
      <c r="I49" s="42"/>
      <c r="J49" s="42"/>
      <c r="K49" s="42"/>
      <c r="L49" s="13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hidden="1" s="2" customFormat="1" ht="16.5" customHeight="1">
      <c r="A50" s="40"/>
      <c r="B50" s="41"/>
      <c r="C50" s="42"/>
      <c r="D50" s="42"/>
      <c r="E50" s="71" t="str">
        <f>E9</f>
        <v>03 - Vytápění</v>
      </c>
      <c r="F50" s="42"/>
      <c r="G50" s="42"/>
      <c r="H50" s="42"/>
      <c r="I50" s="42"/>
      <c r="J50" s="42"/>
      <c r="K50" s="42"/>
      <c r="L50" s="13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hidden="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3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hidden="1" s="2" customFormat="1" ht="12" customHeight="1">
      <c r="A52" s="40"/>
      <c r="B52" s="41"/>
      <c r="C52" s="33" t="s">
        <v>22</v>
      </c>
      <c r="D52" s="42"/>
      <c r="E52" s="42"/>
      <c r="F52" s="28" t="str">
        <f>F12</f>
        <v xml:space="preserve"> </v>
      </c>
      <c r="G52" s="42"/>
      <c r="H52" s="42"/>
      <c r="I52" s="33" t="s">
        <v>24</v>
      </c>
      <c r="J52" s="74" t="str">
        <f>IF(J12="","",J12)</f>
        <v>20. 12. 2023</v>
      </c>
      <c r="K52" s="42"/>
      <c r="L52" s="13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hidden="1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3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hidden="1" s="2" customFormat="1" ht="25.65" customHeight="1">
      <c r="A54" s="40"/>
      <c r="B54" s="41"/>
      <c r="C54" s="33" t="s">
        <v>30</v>
      </c>
      <c r="D54" s="42"/>
      <c r="E54" s="42"/>
      <c r="F54" s="28" t="str">
        <f>E15</f>
        <v>Město Třemošná, Sídliště 992, 330 01 Třemošná</v>
      </c>
      <c r="G54" s="42"/>
      <c r="H54" s="42"/>
      <c r="I54" s="33" t="s">
        <v>37</v>
      </c>
      <c r="J54" s="38" t="str">
        <f>E21</f>
        <v>RAVAL projekt v. o. s.</v>
      </c>
      <c r="K54" s="42"/>
      <c r="L54" s="13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hidden="1" s="2" customFormat="1" ht="15.15" customHeight="1">
      <c r="A55" s="40"/>
      <c r="B55" s="41"/>
      <c r="C55" s="33" t="s">
        <v>35</v>
      </c>
      <c r="D55" s="42"/>
      <c r="E55" s="42"/>
      <c r="F55" s="28" t="str">
        <f>IF(E18="","",E18)</f>
        <v>Vyplň údaj</v>
      </c>
      <c r="G55" s="42"/>
      <c r="H55" s="42"/>
      <c r="I55" s="33" t="s">
        <v>40</v>
      </c>
      <c r="J55" s="38" t="str">
        <f>E24</f>
        <v xml:space="preserve"> </v>
      </c>
      <c r="K55" s="42"/>
      <c r="L55" s="13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hidden="1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3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hidden="1" s="2" customFormat="1" ht="29.28" customHeight="1">
      <c r="A57" s="40"/>
      <c r="B57" s="41"/>
      <c r="C57" s="166" t="s">
        <v>156</v>
      </c>
      <c r="D57" s="167"/>
      <c r="E57" s="167"/>
      <c r="F57" s="167"/>
      <c r="G57" s="167"/>
      <c r="H57" s="167"/>
      <c r="I57" s="167"/>
      <c r="J57" s="168" t="s">
        <v>157</v>
      </c>
      <c r="K57" s="167"/>
      <c r="L57" s="13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hidden="1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3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hidden="1" s="2" customFormat="1" ht="22.8" customHeight="1">
      <c r="A59" s="40"/>
      <c r="B59" s="41"/>
      <c r="C59" s="169" t="s">
        <v>76</v>
      </c>
      <c r="D59" s="42"/>
      <c r="E59" s="42"/>
      <c r="F59" s="42"/>
      <c r="G59" s="42"/>
      <c r="H59" s="42"/>
      <c r="I59" s="42"/>
      <c r="J59" s="104">
        <f>J79</f>
        <v>0</v>
      </c>
      <c r="K59" s="42"/>
      <c r="L59" s="13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8" t="s">
        <v>158</v>
      </c>
    </row>
    <row r="60" hidden="1" s="2" customFormat="1" ht="21.84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137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 hidden="1" s="2" customFormat="1" ht="6.96" customHeight="1">
      <c r="A61" s="40"/>
      <c r="B61" s="61"/>
      <c r="C61" s="62"/>
      <c r="D61" s="62"/>
      <c r="E61" s="62"/>
      <c r="F61" s="62"/>
      <c r="G61" s="62"/>
      <c r="H61" s="62"/>
      <c r="I61" s="62"/>
      <c r="J61" s="62"/>
      <c r="K61" s="62"/>
      <c r="L61" s="137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 hidden="1"/>
    <row r="63" hidden="1"/>
    <row r="64" hidden="1"/>
    <row r="65" s="2" customFormat="1" ht="6.96" customHeight="1">
      <c r="A65" s="40"/>
      <c r="B65" s="63"/>
      <c r="C65" s="64"/>
      <c r="D65" s="64"/>
      <c r="E65" s="64"/>
      <c r="F65" s="64"/>
      <c r="G65" s="64"/>
      <c r="H65" s="64"/>
      <c r="I65" s="64"/>
      <c r="J65" s="64"/>
      <c r="K65" s="64"/>
      <c r="L65" s="137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s="2" customFormat="1" ht="24.96" customHeight="1">
      <c r="A66" s="40"/>
      <c r="B66" s="41"/>
      <c r="C66" s="24" t="s">
        <v>185</v>
      </c>
      <c r="D66" s="42"/>
      <c r="E66" s="42"/>
      <c r="F66" s="42"/>
      <c r="G66" s="42"/>
      <c r="H66" s="42"/>
      <c r="I66" s="42"/>
      <c r="J66" s="42"/>
      <c r="K66" s="42"/>
      <c r="L66" s="137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s="2" customFormat="1" ht="6.96" customHeight="1">
      <c r="A67" s="40"/>
      <c r="B67" s="41"/>
      <c r="C67" s="42"/>
      <c r="D67" s="42"/>
      <c r="E67" s="42"/>
      <c r="F67" s="42"/>
      <c r="G67" s="42"/>
      <c r="H67" s="42"/>
      <c r="I67" s="42"/>
      <c r="J67" s="42"/>
      <c r="K67" s="42"/>
      <c r="L67" s="137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 s="2" customFormat="1" ht="12" customHeight="1">
      <c r="A68" s="40"/>
      <c r="B68" s="41"/>
      <c r="C68" s="33" t="s">
        <v>16</v>
      </c>
      <c r="D68" s="42"/>
      <c r="E68" s="42"/>
      <c r="F68" s="42"/>
      <c r="G68" s="42"/>
      <c r="H68" s="42"/>
      <c r="I68" s="42"/>
      <c r="J68" s="42"/>
      <c r="K68" s="42"/>
      <c r="L68" s="137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 s="2" customFormat="1" ht="16.5" customHeight="1">
      <c r="A69" s="40"/>
      <c r="B69" s="41"/>
      <c r="C69" s="42"/>
      <c r="D69" s="42"/>
      <c r="E69" s="165" t="str">
        <f>E7</f>
        <v>Kulturní dům ČP 1, Třemošná- rev 03</v>
      </c>
      <c r="F69" s="33"/>
      <c r="G69" s="33"/>
      <c r="H69" s="33"/>
      <c r="I69" s="42"/>
      <c r="J69" s="42"/>
      <c r="K69" s="42"/>
      <c r="L69" s="137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 s="2" customFormat="1" ht="12" customHeight="1">
      <c r="A70" s="40"/>
      <c r="B70" s="41"/>
      <c r="C70" s="33" t="s">
        <v>134</v>
      </c>
      <c r="D70" s="42"/>
      <c r="E70" s="42"/>
      <c r="F70" s="42"/>
      <c r="G70" s="42"/>
      <c r="H70" s="42"/>
      <c r="I70" s="42"/>
      <c r="J70" s="42"/>
      <c r="K70" s="42"/>
      <c r="L70" s="137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 s="2" customFormat="1" ht="16.5" customHeight="1">
      <c r="A71" s="40"/>
      <c r="B71" s="41"/>
      <c r="C71" s="42"/>
      <c r="D71" s="42"/>
      <c r="E71" s="71" t="str">
        <f>E9</f>
        <v>03 - Vytápění</v>
      </c>
      <c r="F71" s="42"/>
      <c r="G71" s="42"/>
      <c r="H71" s="42"/>
      <c r="I71" s="42"/>
      <c r="J71" s="42"/>
      <c r="K71" s="42"/>
      <c r="L71" s="137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 s="2" customFormat="1" ht="6.96" customHeight="1">
      <c r="A72" s="40"/>
      <c r="B72" s="41"/>
      <c r="C72" s="42"/>
      <c r="D72" s="42"/>
      <c r="E72" s="42"/>
      <c r="F72" s="42"/>
      <c r="G72" s="42"/>
      <c r="H72" s="42"/>
      <c r="I72" s="42"/>
      <c r="J72" s="42"/>
      <c r="K72" s="42"/>
      <c r="L72" s="137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s="2" customFormat="1" ht="12" customHeight="1">
      <c r="A73" s="40"/>
      <c r="B73" s="41"/>
      <c r="C73" s="33" t="s">
        <v>22</v>
      </c>
      <c r="D73" s="42"/>
      <c r="E73" s="42"/>
      <c r="F73" s="28" t="str">
        <f>F12</f>
        <v xml:space="preserve"> </v>
      </c>
      <c r="G73" s="42"/>
      <c r="H73" s="42"/>
      <c r="I73" s="33" t="s">
        <v>24</v>
      </c>
      <c r="J73" s="74" t="str">
        <f>IF(J12="","",J12)</f>
        <v>20. 12. 2023</v>
      </c>
      <c r="K73" s="42"/>
      <c r="L73" s="137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6.96" customHeight="1">
      <c r="A74" s="40"/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137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25.65" customHeight="1">
      <c r="A75" s="40"/>
      <c r="B75" s="41"/>
      <c r="C75" s="33" t="s">
        <v>30</v>
      </c>
      <c r="D75" s="42"/>
      <c r="E75" s="42"/>
      <c r="F75" s="28" t="str">
        <f>E15</f>
        <v>Město Třemošná, Sídliště 992, 330 01 Třemošná</v>
      </c>
      <c r="G75" s="42"/>
      <c r="H75" s="42"/>
      <c r="I75" s="33" t="s">
        <v>37</v>
      </c>
      <c r="J75" s="38" t="str">
        <f>E21</f>
        <v>RAVAL projekt v. o. s.</v>
      </c>
      <c r="K75" s="42"/>
      <c r="L75" s="137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15.15" customHeight="1">
      <c r="A76" s="40"/>
      <c r="B76" s="41"/>
      <c r="C76" s="33" t="s">
        <v>35</v>
      </c>
      <c r="D76" s="42"/>
      <c r="E76" s="42"/>
      <c r="F76" s="28" t="str">
        <f>IF(E18="","",E18)</f>
        <v>Vyplň údaj</v>
      </c>
      <c r="G76" s="42"/>
      <c r="H76" s="42"/>
      <c r="I76" s="33" t="s">
        <v>40</v>
      </c>
      <c r="J76" s="38" t="str">
        <f>E24</f>
        <v xml:space="preserve"> </v>
      </c>
      <c r="K76" s="42"/>
      <c r="L76" s="137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10.32" customHeight="1">
      <c r="A77" s="40"/>
      <c r="B77" s="41"/>
      <c r="C77" s="42"/>
      <c r="D77" s="42"/>
      <c r="E77" s="42"/>
      <c r="F77" s="42"/>
      <c r="G77" s="42"/>
      <c r="H77" s="42"/>
      <c r="I77" s="42"/>
      <c r="J77" s="42"/>
      <c r="K77" s="42"/>
      <c r="L77" s="137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11" customFormat="1" ht="29.28" customHeight="1">
      <c r="A78" s="182"/>
      <c r="B78" s="183"/>
      <c r="C78" s="184" t="s">
        <v>186</v>
      </c>
      <c r="D78" s="185" t="s">
        <v>63</v>
      </c>
      <c r="E78" s="185" t="s">
        <v>59</v>
      </c>
      <c r="F78" s="185" t="s">
        <v>60</v>
      </c>
      <c r="G78" s="185" t="s">
        <v>187</v>
      </c>
      <c r="H78" s="185" t="s">
        <v>188</v>
      </c>
      <c r="I78" s="185" t="s">
        <v>189</v>
      </c>
      <c r="J78" s="185" t="s">
        <v>157</v>
      </c>
      <c r="K78" s="186" t="s">
        <v>190</v>
      </c>
      <c r="L78" s="187"/>
      <c r="M78" s="94" t="s">
        <v>32</v>
      </c>
      <c r="N78" s="95" t="s">
        <v>48</v>
      </c>
      <c r="O78" s="95" t="s">
        <v>191</v>
      </c>
      <c r="P78" s="95" t="s">
        <v>192</v>
      </c>
      <c r="Q78" s="95" t="s">
        <v>193</v>
      </c>
      <c r="R78" s="95" t="s">
        <v>194</v>
      </c>
      <c r="S78" s="95" t="s">
        <v>195</v>
      </c>
      <c r="T78" s="96" t="s">
        <v>196</v>
      </c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</row>
    <row r="79" s="2" customFormat="1" ht="22.8" customHeight="1">
      <c r="A79" s="40"/>
      <c r="B79" s="41"/>
      <c r="C79" s="101" t="s">
        <v>197</v>
      </c>
      <c r="D79" s="42"/>
      <c r="E79" s="42"/>
      <c r="F79" s="42"/>
      <c r="G79" s="42"/>
      <c r="H79" s="42"/>
      <c r="I79" s="42"/>
      <c r="J79" s="188">
        <f>BK79</f>
        <v>0</v>
      </c>
      <c r="K79" s="42"/>
      <c r="L79" s="46"/>
      <c r="M79" s="97"/>
      <c r="N79" s="189"/>
      <c r="O79" s="98"/>
      <c r="P79" s="190">
        <f>SUM(P80:P139)</f>
        <v>0</v>
      </c>
      <c r="Q79" s="98"/>
      <c r="R79" s="190">
        <f>SUM(R80:R139)</f>
        <v>0</v>
      </c>
      <c r="S79" s="98"/>
      <c r="T79" s="191">
        <f>SUM(T80:T139)</f>
        <v>0</v>
      </c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T79" s="18" t="s">
        <v>77</v>
      </c>
      <c r="AU79" s="18" t="s">
        <v>158</v>
      </c>
      <c r="BK79" s="192">
        <f>SUM(BK80:BK139)</f>
        <v>0</v>
      </c>
    </row>
    <row r="80" s="2" customFormat="1" ht="24.15" customHeight="1">
      <c r="A80" s="40"/>
      <c r="B80" s="41"/>
      <c r="C80" s="209" t="s">
        <v>86</v>
      </c>
      <c r="D80" s="209" t="s">
        <v>202</v>
      </c>
      <c r="E80" s="210" t="s">
        <v>2508</v>
      </c>
      <c r="F80" s="211" t="s">
        <v>2509</v>
      </c>
      <c r="G80" s="212" t="s">
        <v>1436</v>
      </c>
      <c r="H80" s="213">
        <v>1</v>
      </c>
      <c r="I80" s="214"/>
      <c r="J80" s="215">
        <f>ROUND(I80*H80,1)</f>
        <v>0</v>
      </c>
      <c r="K80" s="211" t="s">
        <v>32</v>
      </c>
      <c r="L80" s="46"/>
      <c r="M80" s="216" t="s">
        <v>32</v>
      </c>
      <c r="N80" s="217" t="s">
        <v>49</v>
      </c>
      <c r="O80" s="86"/>
      <c r="P80" s="218">
        <f>O80*H80</f>
        <v>0</v>
      </c>
      <c r="Q80" s="218">
        <v>0</v>
      </c>
      <c r="R80" s="218">
        <f>Q80*H80</f>
        <v>0</v>
      </c>
      <c r="S80" s="218">
        <v>0</v>
      </c>
      <c r="T80" s="219">
        <f>S80*H80</f>
        <v>0</v>
      </c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R80" s="220" t="s">
        <v>207</v>
      </c>
      <c r="AT80" s="220" t="s">
        <v>202</v>
      </c>
      <c r="AU80" s="220" t="s">
        <v>78</v>
      </c>
      <c r="AY80" s="18" t="s">
        <v>200</v>
      </c>
      <c r="BE80" s="221">
        <f>IF(N80="základní",J80,0)</f>
        <v>0</v>
      </c>
      <c r="BF80" s="221">
        <f>IF(N80="snížená",J80,0)</f>
        <v>0</v>
      </c>
      <c r="BG80" s="221">
        <f>IF(N80="zákl. přenesená",J80,0)</f>
        <v>0</v>
      </c>
      <c r="BH80" s="221">
        <f>IF(N80="sníž. přenesená",J80,0)</f>
        <v>0</v>
      </c>
      <c r="BI80" s="221">
        <f>IF(N80="nulová",J80,0)</f>
        <v>0</v>
      </c>
      <c r="BJ80" s="18" t="s">
        <v>86</v>
      </c>
      <c r="BK80" s="221">
        <f>ROUND(I80*H80,1)</f>
        <v>0</v>
      </c>
      <c r="BL80" s="18" t="s">
        <v>207</v>
      </c>
      <c r="BM80" s="220" t="s">
        <v>88</v>
      </c>
    </row>
    <row r="81" s="2" customFormat="1" ht="16.5" customHeight="1">
      <c r="A81" s="40"/>
      <c r="B81" s="41"/>
      <c r="C81" s="209" t="s">
        <v>88</v>
      </c>
      <c r="D81" s="209" t="s">
        <v>202</v>
      </c>
      <c r="E81" s="210" t="s">
        <v>2510</v>
      </c>
      <c r="F81" s="211" t="s">
        <v>2511</v>
      </c>
      <c r="G81" s="212" t="s">
        <v>1436</v>
      </c>
      <c r="H81" s="213">
        <v>2</v>
      </c>
      <c r="I81" s="214"/>
      <c r="J81" s="215">
        <f>ROUND(I81*H81,1)</f>
        <v>0</v>
      </c>
      <c r="K81" s="211" t="s">
        <v>32</v>
      </c>
      <c r="L81" s="46"/>
      <c r="M81" s="216" t="s">
        <v>32</v>
      </c>
      <c r="N81" s="217" t="s">
        <v>49</v>
      </c>
      <c r="O81" s="86"/>
      <c r="P81" s="218">
        <f>O81*H81</f>
        <v>0</v>
      </c>
      <c r="Q81" s="218">
        <v>0</v>
      </c>
      <c r="R81" s="218">
        <f>Q81*H81</f>
        <v>0</v>
      </c>
      <c r="S81" s="218">
        <v>0</v>
      </c>
      <c r="T81" s="219">
        <f>S81*H81</f>
        <v>0</v>
      </c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R81" s="220" t="s">
        <v>207</v>
      </c>
      <c r="AT81" s="220" t="s">
        <v>202</v>
      </c>
      <c r="AU81" s="220" t="s">
        <v>78</v>
      </c>
      <c r="AY81" s="18" t="s">
        <v>200</v>
      </c>
      <c r="BE81" s="221">
        <f>IF(N81="základní",J81,0)</f>
        <v>0</v>
      </c>
      <c r="BF81" s="221">
        <f>IF(N81="snížená",J81,0)</f>
        <v>0</v>
      </c>
      <c r="BG81" s="221">
        <f>IF(N81="zákl. přenesená",J81,0)</f>
        <v>0</v>
      </c>
      <c r="BH81" s="221">
        <f>IF(N81="sníž. přenesená",J81,0)</f>
        <v>0</v>
      </c>
      <c r="BI81" s="221">
        <f>IF(N81="nulová",J81,0)</f>
        <v>0</v>
      </c>
      <c r="BJ81" s="18" t="s">
        <v>86</v>
      </c>
      <c r="BK81" s="221">
        <f>ROUND(I81*H81,1)</f>
        <v>0</v>
      </c>
      <c r="BL81" s="18" t="s">
        <v>207</v>
      </c>
      <c r="BM81" s="220" t="s">
        <v>207</v>
      </c>
    </row>
    <row r="82" s="2" customFormat="1" ht="16.5" customHeight="1">
      <c r="A82" s="40"/>
      <c r="B82" s="41"/>
      <c r="C82" s="209" t="s">
        <v>148</v>
      </c>
      <c r="D82" s="209" t="s">
        <v>202</v>
      </c>
      <c r="E82" s="210" t="s">
        <v>2512</v>
      </c>
      <c r="F82" s="211" t="s">
        <v>2513</v>
      </c>
      <c r="G82" s="212" t="s">
        <v>1436</v>
      </c>
      <c r="H82" s="213">
        <v>1</v>
      </c>
      <c r="I82" s="214"/>
      <c r="J82" s="215">
        <f>ROUND(I82*H82,1)</f>
        <v>0</v>
      </c>
      <c r="K82" s="211" t="s">
        <v>32</v>
      </c>
      <c r="L82" s="46"/>
      <c r="M82" s="216" t="s">
        <v>32</v>
      </c>
      <c r="N82" s="217" t="s">
        <v>49</v>
      </c>
      <c r="O82" s="86"/>
      <c r="P82" s="218">
        <f>O82*H82</f>
        <v>0</v>
      </c>
      <c r="Q82" s="218">
        <v>0</v>
      </c>
      <c r="R82" s="218">
        <f>Q82*H82</f>
        <v>0</v>
      </c>
      <c r="S82" s="218">
        <v>0</v>
      </c>
      <c r="T82" s="219">
        <f>S82*H82</f>
        <v>0</v>
      </c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R82" s="220" t="s">
        <v>207</v>
      </c>
      <c r="AT82" s="220" t="s">
        <v>202</v>
      </c>
      <c r="AU82" s="220" t="s">
        <v>78</v>
      </c>
      <c r="AY82" s="18" t="s">
        <v>200</v>
      </c>
      <c r="BE82" s="221">
        <f>IF(N82="základní",J82,0)</f>
        <v>0</v>
      </c>
      <c r="BF82" s="221">
        <f>IF(N82="snížená",J82,0)</f>
        <v>0</v>
      </c>
      <c r="BG82" s="221">
        <f>IF(N82="zákl. přenesená",J82,0)</f>
        <v>0</v>
      </c>
      <c r="BH82" s="221">
        <f>IF(N82="sníž. přenesená",J82,0)</f>
        <v>0</v>
      </c>
      <c r="BI82" s="221">
        <f>IF(N82="nulová",J82,0)</f>
        <v>0</v>
      </c>
      <c r="BJ82" s="18" t="s">
        <v>86</v>
      </c>
      <c r="BK82" s="221">
        <f>ROUND(I82*H82,1)</f>
        <v>0</v>
      </c>
      <c r="BL82" s="18" t="s">
        <v>207</v>
      </c>
      <c r="BM82" s="220" t="s">
        <v>241</v>
      </c>
    </row>
    <row r="83" s="2" customFormat="1" ht="16.5" customHeight="1">
      <c r="A83" s="40"/>
      <c r="B83" s="41"/>
      <c r="C83" s="209" t="s">
        <v>207</v>
      </c>
      <c r="D83" s="209" t="s">
        <v>202</v>
      </c>
      <c r="E83" s="210" t="s">
        <v>2514</v>
      </c>
      <c r="F83" s="211" t="s">
        <v>2515</v>
      </c>
      <c r="G83" s="212" t="s">
        <v>1436</v>
      </c>
      <c r="H83" s="213">
        <v>1</v>
      </c>
      <c r="I83" s="214"/>
      <c r="J83" s="215">
        <f>ROUND(I83*H83,1)</f>
        <v>0</v>
      </c>
      <c r="K83" s="211" t="s">
        <v>32</v>
      </c>
      <c r="L83" s="46"/>
      <c r="M83" s="216" t="s">
        <v>32</v>
      </c>
      <c r="N83" s="217" t="s">
        <v>49</v>
      </c>
      <c r="O83" s="86"/>
      <c r="P83" s="218">
        <f>O83*H83</f>
        <v>0</v>
      </c>
      <c r="Q83" s="218">
        <v>0</v>
      </c>
      <c r="R83" s="218">
        <f>Q83*H83</f>
        <v>0</v>
      </c>
      <c r="S83" s="218">
        <v>0</v>
      </c>
      <c r="T83" s="219">
        <f>S83*H83</f>
        <v>0</v>
      </c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R83" s="220" t="s">
        <v>207</v>
      </c>
      <c r="AT83" s="220" t="s">
        <v>202</v>
      </c>
      <c r="AU83" s="220" t="s">
        <v>78</v>
      </c>
      <c r="AY83" s="18" t="s">
        <v>200</v>
      </c>
      <c r="BE83" s="221">
        <f>IF(N83="základní",J83,0)</f>
        <v>0</v>
      </c>
      <c r="BF83" s="221">
        <f>IF(N83="snížená",J83,0)</f>
        <v>0</v>
      </c>
      <c r="BG83" s="221">
        <f>IF(N83="zákl. přenesená",J83,0)</f>
        <v>0</v>
      </c>
      <c r="BH83" s="221">
        <f>IF(N83="sníž. přenesená",J83,0)</f>
        <v>0</v>
      </c>
      <c r="BI83" s="221">
        <f>IF(N83="nulová",J83,0)</f>
        <v>0</v>
      </c>
      <c r="BJ83" s="18" t="s">
        <v>86</v>
      </c>
      <c r="BK83" s="221">
        <f>ROUND(I83*H83,1)</f>
        <v>0</v>
      </c>
      <c r="BL83" s="18" t="s">
        <v>207</v>
      </c>
      <c r="BM83" s="220" t="s">
        <v>254</v>
      </c>
    </row>
    <row r="84" s="2" customFormat="1" ht="16.5" customHeight="1">
      <c r="A84" s="40"/>
      <c r="B84" s="41"/>
      <c r="C84" s="209" t="s">
        <v>234</v>
      </c>
      <c r="D84" s="209" t="s">
        <v>202</v>
      </c>
      <c r="E84" s="210" t="s">
        <v>2516</v>
      </c>
      <c r="F84" s="211" t="s">
        <v>2517</v>
      </c>
      <c r="G84" s="212" t="s">
        <v>1436</v>
      </c>
      <c r="H84" s="213">
        <v>1</v>
      </c>
      <c r="I84" s="214"/>
      <c r="J84" s="215">
        <f>ROUND(I84*H84,1)</f>
        <v>0</v>
      </c>
      <c r="K84" s="211" t="s">
        <v>32</v>
      </c>
      <c r="L84" s="46"/>
      <c r="M84" s="216" t="s">
        <v>32</v>
      </c>
      <c r="N84" s="217" t="s">
        <v>49</v>
      </c>
      <c r="O84" s="86"/>
      <c r="P84" s="218">
        <f>O84*H84</f>
        <v>0</v>
      </c>
      <c r="Q84" s="218">
        <v>0</v>
      </c>
      <c r="R84" s="218">
        <f>Q84*H84</f>
        <v>0</v>
      </c>
      <c r="S84" s="218">
        <v>0</v>
      </c>
      <c r="T84" s="219">
        <f>S84*H84</f>
        <v>0</v>
      </c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R84" s="220" t="s">
        <v>207</v>
      </c>
      <c r="AT84" s="220" t="s">
        <v>202</v>
      </c>
      <c r="AU84" s="220" t="s">
        <v>78</v>
      </c>
      <c r="AY84" s="18" t="s">
        <v>200</v>
      </c>
      <c r="BE84" s="221">
        <f>IF(N84="základní",J84,0)</f>
        <v>0</v>
      </c>
      <c r="BF84" s="221">
        <f>IF(N84="snížená",J84,0)</f>
        <v>0</v>
      </c>
      <c r="BG84" s="221">
        <f>IF(N84="zákl. přenesená",J84,0)</f>
        <v>0</v>
      </c>
      <c r="BH84" s="221">
        <f>IF(N84="sníž. přenesená",J84,0)</f>
        <v>0</v>
      </c>
      <c r="BI84" s="221">
        <f>IF(N84="nulová",J84,0)</f>
        <v>0</v>
      </c>
      <c r="BJ84" s="18" t="s">
        <v>86</v>
      </c>
      <c r="BK84" s="221">
        <f>ROUND(I84*H84,1)</f>
        <v>0</v>
      </c>
      <c r="BL84" s="18" t="s">
        <v>207</v>
      </c>
      <c r="BM84" s="220" t="s">
        <v>269</v>
      </c>
    </row>
    <row r="85" s="2" customFormat="1" ht="16.5" customHeight="1">
      <c r="A85" s="40"/>
      <c r="B85" s="41"/>
      <c r="C85" s="209" t="s">
        <v>241</v>
      </c>
      <c r="D85" s="209" t="s">
        <v>202</v>
      </c>
      <c r="E85" s="210" t="s">
        <v>2518</v>
      </c>
      <c r="F85" s="211" t="s">
        <v>2519</v>
      </c>
      <c r="G85" s="212" t="s">
        <v>1436</v>
      </c>
      <c r="H85" s="213">
        <v>1</v>
      </c>
      <c r="I85" s="214"/>
      <c r="J85" s="215">
        <f>ROUND(I85*H85,1)</f>
        <v>0</v>
      </c>
      <c r="K85" s="211" t="s">
        <v>32</v>
      </c>
      <c r="L85" s="46"/>
      <c r="M85" s="216" t="s">
        <v>32</v>
      </c>
      <c r="N85" s="217" t="s">
        <v>49</v>
      </c>
      <c r="O85" s="86"/>
      <c r="P85" s="218">
        <f>O85*H85</f>
        <v>0</v>
      </c>
      <c r="Q85" s="218">
        <v>0</v>
      </c>
      <c r="R85" s="218">
        <f>Q85*H85</f>
        <v>0</v>
      </c>
      <c r="S85" s="218">
        <v>0</v>
      </c>
      <c r="T85" s="219">
        <f>S85*H85</f>
        <v>0</v>
      </c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R85" s="220" t="s">
        <v>207</v>
      </c>
      <c r="AT85" s="220" t="s">
        <v>202</v>
      </c>
      <c r="AU85" s="220" t="s">
        <v>78</v>
      </c>
      <c r="AY85" s="18" t="s">
        <v>200</v>
      </c>
      <c r="BE85" s="221">
        <f>IF(N85="základní",J85,0)</f>
        <v>0</v>
      </c>
      <c r="BF85" s="221">
        <f>IF(N85="snížená",J85,0)</f>
        <v>0</v>
      </c>
      <c r="BG85" s="221">
        <f>IF(N85="zákl. přenesená",J85,0)</f>
        <v>0</v>
      </c>
      <c r="BH85" s="221">
        <f>IF(N85="sníž. přenesená",J85,0)</f>
        <v>0</v>
      </c>
      <c r="BI85" s="221">
        <f>IF(N85="nulová",J85,0)</f>
        <v>0</v>
      </c>
      <c r="BJ85" s="18" t="s">
        <v>86</v>
      </c>
      <c r="BK85" s="221">
        <f>ROUND(I85*H85,1)</f>
        <v>0</v>
      </c>
      <c r="BL85" s="18" t="s">
        <v>207</v>
      </c>
      <c r="BM85" s="220" t="s">
        <v>285</v>
      </c>
    </row>
    <row r="86" s="2" customFormat="1" ht="16.5" customHeight="1">
      <c r="A86" s="40"/>
      <c r="B86" s="41"/>
      <c r="C86" s="209" t="s">
        <v>247</v>
      </c>
      <c r="D86" s="209" t="s">
        <v>202</v>
      </c>
      <c r="E86" s="210" t="s">
        <v>2520</v>
      </c>
      <c r="F86" s="211" t="s">
        <v>2521</v>
      </c>
      <c r="G86" s="212" t="s">
        <v>1436</v>
      </c>
      <c r="H86" s="213">
        <v>1</v>
      </c>
      <c r="I86" s="214"/>
      <c r="J86" s="215">
        <f>ROUND(I86*H86,1)</f>
        <v>0</v>
      </c>
      <c r="K86" s="211" t="s">
        <v>32</v>
      </c>
      <c r="L86" s="46"/>
      <c r="M86" s="216" t="s">
        <v>32</v>
      </c>
      <c r="N86" s="217" t="s">
        <v>49</v>
      </c>
      <c r="O86" s="86"/>
      <c r="P86" s="218">
        <f>O86*H86</f>
        <v>0</v>
      </c>
      <c r="Q86" s="218">
        <v>0</v>
      </c>
      <c r="R86" s="218">
        <f>Q86*H86</f>
        <v>0</v>
      </c>
      <c r="S86" s="218">
        <v>0</v>
      </c>
      <c r="T86" s="219">
        <f>S86*H86</f>
        <v>0</v>
      </c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R86" s="220" t="s">
        <v>207</v>
      </c>
      <c r="AT86" s="220" t="s">
        <v>202</v>
      </c>
      <c r="AU86" s="220" t="s">
        <v>78</v>
      </c>
      <c r="AY86" s="18" t="s">
        <v>200</v>
      </c>
      <c r="BE86" s="221">
        <f>IF(N86="základní",J86,0)</f>
        <v>0</v>
      </c>
      <c r="BF86" s="221">
        <f>IF(N86="snížená",J86,0)</f>
        <v>0</v>
      </c>
      <c r="BG86" s="221">
        <f>IF(N86="zákl. přenesená",J86,0)</f>
        <v>0</v>
      </c>
      <c r="BH86" s="221">
        <f>IF(N86="sníž. přenesená",J86,0)</f>
        <v>0</v>
      </c>
      <c r="BI86" s="221">
        <f>IF(N86="nulová",J86,0)</f>
        <v>0</v>
      </c>
      <c r="BJ86" s="18" t="s">
        <v>86</v>
      </c>
      <c r="BK86" s="221">
        <f>ROUND(I86*H86,1)</f>
        <v>0</v>
      </c>
      <c r="BL86" s="18" t="s">
        <v>207</v>
      </c>
      <c r="BM86" s="220" t="s">
        <v>297</v>
      </c>
    </row>
    <row r="87" s="2" customFormat="1" ht="16.5" customHeight="1">
      <c r="A87" s="40"/>
      <c r="B87" s="41"/>
      <c r="C87" s="209" t="s">
        <v>254</v>
      </c>
      <c r="D87" s="209" t="s">
        <v>202</v>
      </c>
      <c r="E87" s="210" t="s">
        <v>2522</v>
      </c>
      <c r="F87" s="211" t="s">
        <v>2523</v>
      </c>
      <c r="G87" s="212" t="s">
        <v>1436</v>
      </c>
      <c r="H87" s="213">
        <v>1</v>
      </c>
      <c r="I87" s="214"/>
      <c r="J87" s="215">
        <f>ROUND(I87*H87,1)</f>
        <v>0</v>
      </c>
      <c r="K87" s="211" t="s">
        <v>32</v>
      </c>
      <c r="L87" s="46"/>
      <c r="M87" s="216" t="s">
        <v>32</v>
      </c>
      <c r="N87" s="217" t="s">
        <v>49</v>
      </c>
      <c r="O87" s="86"/>
      <c r="P87" s="218">
        <f>O87*H87</f>
        <v>0</v>
      </c>
      <c r="Q87" s="218">
        <v>0</v>
      </c>
      <c r="R87" s="218">
        <f>Q87*H87</f>
        <v>0</v>
      </c>
      <c r="S87" s="218">
        <v>0</v>
      </c>
      <c r="T87" s="219">
        <f>S87*H87</f>
        <v>0</v>
      </c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R87" s="220" t="s">
        <v>207</v>
      </c>
      <c r="AT87" s="220" t="s">
        <v>202</v>
      </c>
      <c r="AU87" s="220" t="s">
        <v>78</v>
      </c>
      <c r="AY87" s="18" t="s">
        <v>200</v>
      </c>
      <c r="BE87" s="221">
        <f>IF(N87="základní",J87,0)</f>
        <v>0</v>
      </c>
      <c r="BF87" s="221">
        <f>IF(N87="snížená",J87,0)</f>
        <v>0</v>
      </c>
      <c r="BG87" s="221">
        <f>IF(N87="zákl. přenesená",J87,0)</f>
        <v>0</v>
      </c>
      <c r="BH87" s="221">
        <f>IF(N87="sníž. přenesená",J87,0)</f>
        <v>0</v>
      </c>
      <c r="BI87" s="221">
        <f>IF(N87="nulová",J87,0)</f>
        <v>0</v>
      </c>
      <c r="BJ87" s="18" t="s">
        <v>86</v>
      </c>
      <c r="BK87" s="221">
        <f>ROUND(I87*H87,1)</f>
        <v>0</v>
      </c>
      <c r="BL87" s="18" t="s">
        <v>207</v>
      </c>
      <c r="BM87" s="220" t="s">
        <v>310</v>
      </c>
    </row>
    <row r="88" s="2" customFormat="1" ht="16.5" customHeight="1">
      <c r="A88" s="40"/>
      <c r="B88" s="41"/>
      <c r="C88" s="209" t="s">
        <v>261</v>
      </c>
      <c r="D88" s="209" t="s">
        <v>202</v>
      </c>
      <c r="E88" s="210" t="s">
        <v>2524</v>
      </c>
      <c r="F88" s="211" t="s">
        <v>2525</v>
      </c>
      <c r="G88" s="212" t="s">
        <v>1436</v>
      </c>
      <c r="H88" s="213">
        <v>1</v>
      </c>
      <c r="I88" s="214"/>
      <c r="J88" s="215">
        <f>ROUND(I88*H88,1)</f>
        <v>0</v>
      </c>
      <c r="K88" s="211" t="s">
        <v>32</v>
      </c>
      <c r="L88" s="46"/>
      <c r="M88" s="216" t="s">
        <v>32</v>
      </c>
      <c r="N88" s="217" t="s">
        <v>49</v>
      </c>
      <c r="O88" s="86"/>
      <c r="P88" s="218">
        <f>O88*H88</f>
        <v>0</v>
      </c>
      <c r="Q88" s="218">
        <v>0</v>
      </c>
      <c r="R88" s="218">
        <f>Q88*H88</f>
        <v>0</v>
      </c>
      <c r="S88" s="218">
        <v>0</v>
      </c>
      <c r="T88" s="219">
        <f>S88*H88</f>
        <v>0</v>
      </c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R88" s="220" t="s">
        <v>207</v>
      </c>
      <c r="AT88" s="220" t="s">
        <v>202</v>
      </c>
      <c r="AU88" s="220" t="s">
        <v>78</v>
      </c>
      <c r="AY88" s="18" t="s">
        <v>200</v>
      </c>
      <c r="BE88" s="221">
        <f>IF(N88="základní",J88,0)</f>
        <v>0</v>
      </c>
      <c r="BF88" s="221">
        <f>IF(N88="snížená",J88,0)</f>
        <v>0</v>
      </c>
      <c r="BG88" s="221">
        <f>IF(N88="zákl. přenesená",J88,0)</f>
        <v>0</v>
      </c>
      <c r="BH88" s="221">
        <f>IF(N88="sníž. přenesená",J88,0)</f>
        <v>0</v>
      </c>
      <c r="BI88" s="221">
        <f>IF(N88="nulová",J88,0)</f>
        <v>0</v>
      </c>
      <c r="BJ88" s="18" t="s">
        <v>86</v>
      </c>
      <c r="BK88" s="221">
        <f>ROUND(I88*H88,1)</f>
        <v>0</v>
      </c>
      <c r="BL88" s="18" t="s">
        <v>207</v>
      </c>
      <c r="BM88" s="220" t="s">
        <v>326</v>
      </c>
    </row>
    <row r="89" s="2" customFormat="1" ht="16.5" customHeight="1">
      <c r="A89" s="40"/>
      <c r="B89" s="41"/>
      <c r="C89" s="209" t="s">
        <v>269</v>
      </c>
      <c r="D89" s="209" t="s">
        <v>202</v>
      </c>
      <c r="E89" s="210" t="s">
        <v>2526</v>
      </c>
      <c r="F89" s="211" t="s">
        <v>2527</v>
      </c>
      <c r="G89" s="212" t="s">
        <v>1436</v>
      </c>
      <c r="H89" s="213">
        <v>1</v>
      </c>
      <c r="I89" s="214"/>
      <c r="J89" s="215">
        <f>ROUND(I89*H89,1)</f>
        <v>0</v>
      </c>
      <c r="K89" s="211" t="s">
        <v>32</v>
      </c>
      <c r="L89" s="46"/>
      <c r="M89" s="216" t="s">
        <v>32</v>
      </c>
      <c r="N89" s="217" t="s">
        <v>49</v>
      </c>
      <c r="O89" s="86"/>
      <c r="P89" s="218">
        <f>O89*H89</f>
        <v>0</v>
      </c>
      <c r="Q89" s="218">
        <v>0</v>
      </c>
      <c r="R89" s="218">
        <f>Q89*H89</f>
        <v>0</v>
      </c>
      <c r="S89" s="218">
        <v>0</v>
      </c>
      <c r="T89" s="219">
        <f>S89*H89</f>
        <v>0</v>
      </c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R89" s="220" t="s">
        <v>207</v>
      </c>
      <c r="AT89" s="220" t="s">
        <v>202</v>
      </c>
      <c r="AU89" s="220" t="s">
        <v>78</v>
      </c>
      <c r="AY89" s="18" t="s">
        <v>200</v>
      </c>
      <c r="BE89" s="221">
        <f>IF(N89="základní",J89,0)</f>
        <v>0</v>
      </c>
      <c r="BF89" s="221">
        <f>IF(N89="snížená",J89,0)</f>
        <v>0</v>
      </c>
      <c r="BG89" s="221">
        <f>IF(N89="zákl. přenesená",J89,0)</f>
        <v>0</v>
      </c>
      <c r="BH89" s="221">
        <f>IF(N89="sníž. přenesená",J89,0)</f>
        <v>0</v>
      </c>
      <c r="BI89" s="221">
        <f>IF(N89="nulová",J89,0)</f>
        <v>0</v>
      </c>
      <c r="BJ89" s="18" t="s">
        <v>86</v>
      </c>
      <c r="BK89" s="221">
        <f>ROUND(I89*H89,1)</f>
        <v>0</v>
      </c>
      <c r="BL89" s="18" t="s">
        <v>207</v>
      </c>
      <c r="BM89" s="220" t="s">
        <v>342</v>
      </c>
    </row>
    <row r="90" s="2" customFormat="1" ht="16.5" customHeight="1">
      <c r="A90" s="40"/>
      <c r="B90" s="41"/>
      <c r="C90" s="209" t="s">
        <v>277</v>
      </c>
      <c r="D90" s="209" t="s">
        <v>202</v>
      </c>
      <c r="E90" s="210" t="s">
        <v>2528</v>
      </c>
      <c r="F90" s="211" t="s">
        <v>2529</v>
      </c>
      <c r="G90" s="212" t="s">
        <v>1436</v>
      </c>
      <c r="H90" s="213">
        <v>1</v>
      </c>
      <c r="I90" s="214"/>
      <c r="J90" s="215">
        <f>ROUND(I90*H90,1)</f>
        <v>0</v>
      </c>
      <c r="K90" s="211" t="s">
        <v>32</v>
      </c>
      <c r="L90" s="46"/>
      <c r="M90" s="216" t="s">
        <v>32</v>
      </c>
      <c r="N90" s="217" t="s">
        <v>49</v>
      </c>
      <c r="O90" s="86"/>
      <c r="P90" s="218">
        <f>O90*H90</f>
        <v>0</v>
      </c>
      <c r="Q90" s="218">
        <v>0</v>
      </c>
      <c r="R90" s="218">
        <f>Q90*H90</f>
        <v>0</v>
      </c>
      <c r="S90" s="218">
        <v>0</v>
      </c>
      <c r="T90" s="219">
        <f>S90*H90</f>
        <v>0</v>
      </c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R90" s="220" t="s">
        <v>207</v>
      </c>
      <c r="AT90" s="220" t="s">
        <v>202</v>
      </c>
      <c r="AU90" s="220" t="s">
        <v>78</v>
      </c>
      <c r="AY90" s="18" t="s">
        <v>200</v>
      </c>
      <c r="BE90" s="221">
        <f>IF(N90="základní",J90,0)</f>
        <v>0</v>
      </c>
      <c r="BF90" s="221">
        <f>IF(N90="snížená",J90,0)</f>
        <v>0</v>
      </c>
      <c r="BG90" s="221">
        <f>IF(N90="zákl. přenesená",J90,0)</f>
        <v>0</v>
      </c>
      <c r="BH90" s="221">
        <f>IF(N90="sníž. přenesená",J90,0)</f>
        <v>0</v>
      </c>
      <c r="BI90" s="221">
        <f>IF(N90="nulová",J90,0)</f>
        <v>0</v>
      </c>
      <c r="BJ90" s="18" t="s">
        <v>86</v>
      </c>
      <c r="BK90" s="221">
        <f>ROUND(I90*H90,1)</f>
        <v>0</v>
      </c>
      <c r="BL90" s="18" t="s">
        <v>207</v>
      </c>
      <c r="BM90" s="220" t="s">
        <v>363</v>
      </c>
    </row>
    <row r="91" s="2" customFormat="1" ht="16.5" customHeight="1">
      <c r="A91" s="40"/>
      <c r="B91" s="41"/>
      <c r="C91" s="209" t="s">
        <v>285</v>
      </c>
      <c r="D91" s="209" t="s">
        <v>202</v>
      </c>
      <c r="E91" s="210" t="s">
        <v>2530</v>
      </c>
      <c r="F91" s="211" t="s">
        <v>2531</v>
      </c>
      <c r="G91" s="212" t="s">
        <v>1436</v>
      </c>
      <c r="H91" s="213">
        <v>1</v>
      </c>
      <c r="I91" s="214"/>
      <c r="J91" s="215">
        <f>ROUND(I91*H91,1)</f>
        <v>0</v>
      </c>
      <c r="K91" s="211" t="s">
        <v>32</v>
      </c>
      <c r="L91" s="46"/>
      <c r="M91" s="216" t="s">
        <v>32</v>
      </c>
      <c r="N91" s="217" t="s">
        <v>49</v>
      </c>
      <c r="O91" s="86"/>
      <c r="P91" s="218">
        <f>O91*H91</f>
        <v>0</v>
      </c>
      <c r="Q91" s="218">
        <v>0</v>
      </c>
      <c r="R91" s="218">
        <f>Q91*H91</f>
        <v>0</v>
      </c>
      <c r="S91" s="218">
        <v>0</v>
      </c>
      <c r="T91" s="219">
        <f>S91*H91</f>
        <v>0</v>
      </c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R91" s="220" t="s">
        <v>207</v>
      </c>
      <c r="AT91" s="220" t="s">
        <v>202</v>
      </c>
      <c r="AU91" s="220" t="s">
        <v>78</v>
      </c>
      <c r="AY91" s="18" t="s">
        <v>200</v>
      </c>
      <c r="BE91" s="221">
        <f>IF(N91="základní",J91,0)</f>
        <v>0</v>
      </c>
      <c r="BF91" s="221">
        <f>IF(N91="snížená",J91,0)</f>
        <v>0</v>
      </c>
      <c r="BG91" s="221">
        <f>IF(N91="zákl. přenesená",J91,0)</f>
        <v>0</v>
      </c>
      <c r="BH91" s="221">
        <f>IF(N91="sníž. přenesená",J91,0)</f>
        <v>0</v>
      </c>
      <c r="BI91" s="221">
        <f>IF(N91="nulová",J91,0)</f>
        <v>0</v>
      </c>
      <c r="BJ91" s="18" t="s">
        <v>86</v>
      </c>
      <c r="BK91" s="221">
        <f>ROUND(I91*H91,1)</f>
        <v>0</v>
      </c>
      <c r="BL91" s="18" t="s">
        <v>207</v>
      </c>
      <c r="BM91" s="220" t="s">
        <v>379</v>
      </c>
    </row>
    <row r="92" s="2" customFormat="1" ht="16.5" customHeight="1">
      <c r="A92" s="40"/>
      <c r="B92" s="41"/>
      <c r="C92" s="209" t="s">
        <v>291</v>
      </c>
      <c r="D92" s="209" t="s">
        <v>202</v>
      </c>
      <c r="E92" s="210" t="s">
        <v>2532</v>
      </c>
      <c r="F92" s="211" t="s">
        <v>2533</v>
      </c>
      <c r="G92" s="212" t="s">
        <v>1436</v>
      </c>
      <c r="H92" s="213">
        <v>1</v>
      </c>
      <c r="I92" s="214"/>
      <c r="J92" s="215">
        <f>ROUND(I92*H92,1)</f>
        <v>0</v>
      </c>
      <c r="K92" s="211" t="s">
        <v>32</v>
      </c>
      <c r="L92" s="46"/>
      <c r="M92" s="216" t="s">
        <v>32</v>
      </c>
      <c r="N92" s="217" t="s">
        <v>49</v>
      </c>
      <c r="O92" s="86"/>
      <c r="P92" s="218">
        <f>O92*H92</f>
        <v>0</v>
      </c>
      <c r="Q92" s="218">
        <v>0</v>
      </c>
      <c r="R92" s="218">
        <f>Q92*H92</f>
        <v>0</v>
      </c>
      <c r="S92" s="218">
        <v>0</v>
      </c>
      <c r="T92" s="219">
        <f>S92*H92</f>
        <v>0</v>
      </c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R92" s="220" t="s">
        <v>207</v>
      </c>
      <c r="AT92" s="220" t="s">
        <v>202</v>
      </c>
      <c r="AU92" s="220" t="s">
        <v>78</v>
      </c>
      <c r="AY92" s="18" t="s">
        <v>200</v>
      </c>
      <c r="BE92" s="221">
        <f>IF(N92="základní",J92,0)</f>
        <v>0</v>
      </c>
      <c r="BF92" s="221">
        <f>IF(N92="snížená",J92,0)</f>
        <v>0</v>
      </c>
      <c r="BG92" s="221">
        <f>IF(N92="zákl. přenesená",J92,0)</f>
        <v>0</v>
      </c>
      <c r="BH92" s="221">
        <f>IF(N92="sníž. přenesená",J92,0)</f>
        <v>0</v>
      </c>
      <c r="BI92" s="221">
        <f>IF(N92="nulová",J92,0)</f>
        <v>0</v>
      </c>
      <c r="BJ92" s="18" t="s">
        <v>86</v>
      </c>
      <c r="BK92" s="221">
        <f>ROUND(I92*H92,1)</f>
        <v>0</v>
      </c>
      <c r="BL92" s="18" t="s">
        <v>207</v>
      </c>
      <c r="BM92" s="220" t="s">
        <v>391</v>
      </c>
    </row>
    <row r="93" s="2" customFormat="1" ht="16.5" customHeight="1">
      <c r="A93" s="40"/>
      <c r="B93" s="41"/>
      <c r="C93" s="209" t="s">
        <v>297</v>
      </c>
      <c r="D93" s="209" t="s">
        <v>202</v>
      </c>
      <c r="E93" s="210" t="s">
        <v>2534</v>
      </c>
      <c r="F93" s="211" t="s">
        <v>2535</v>
      </c>
      <c r="G93" s="212" t="s">
        <v>1436</v>
      </c>
      <c r="H93" s="213">
        <v>6</v>
      </c>
      <c r="I93" s="214"/>
      <c r="J93" s="215">
        <f>ROUND(I93*H93,1)</f>
        <v>0</v>
      </c>
      <c r="K93" s="211" t="s">
        <v>32</v>
      </c>
      <c r="L93" s="46"/>
      <c r="M93" s="216" t="s">
        <v>32</v>
      </c>
      <c r="N93" s="217" t="s">
        <v>49</v>
      </c>
      <c r="O93" s="86"/>
      <c r="P93" s="218">
        <f>O93*H93</f>
        <v>0</v>
      </c>
      <c r="Q93" s="218">
        <v>0</v>
      </c>
      <c r="R93" s="218">
        <f>Q93*H93</f>
        <v>0</v>
      </c>
      <c r="S93" s="218">
        <v>0</v>
      </c>
      <c r="T93" s="219">
        <f>S93*H93</f>
        <v>0</v>
      </c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R93" s="220" t="s">
        <v>207</v>
      </c>
      <c r="AT93" s="220" t="s">
        <v>202</v>
      </c>
      <c r="AU93" s="220" t="s">
        <v>78</v>
      </c>
      <c r="AY93" s="18" t="s">
        <v>200</v>
      </c>
      <c r="BE93" s="221">
        <f>IF(N93="základní",J93,0)</f>
        <v>0</v>
      </c>
      <c r="BF93" s="221">
        <f>IF(N93="snížená",J93,0)</f>
        <v>0</v>
      </c>
      <c r="BG93" s="221">
        <f>IF(N93="zákl. přenesená",J93,0)</f>
        <v>0</v>
      </c>
      <c r="BH93" s="221">
        <f>IF(N93="sníž. přenesená",J93,0)</f>
        <v>0</v>
      </c>
      <c r="BI93" s="221">
        <f>IF(N93="nulová",J93,0)</f>
        <v>0</v>
      </c>
      <c r="BJ93" s="18" t="s">
        <v>86</v>
      </c>
      <c r="BK93" s="221">
        <f>ROUND(I93*H93,1)</f>
        <v>0</v>
      </c>
      <c r="BL93" s="18" t="s">
        <v>207</v>
      </c>
      <c r="BM93" s="220" t="s">
        <v>402</v>
      </c>
    </row>
    <row r="94" s="2" customFormat="1" ht="16.5" customHeight="1">
      <c r="A94" s="40"/>
      <c r="B94" s="41"/>
      <c r="C94" s="209" t="s">
        <v>8</v>
      </c>
      <c r="D94" s="209" t="s">
        <v>202</v>
      </c>
      <c r="E94" s="210" t="s">
        <v>2536</v>
      </c>
      <c r="F94" s="211" t="s">
        <v>2537</v>
      </c>
      <c r="G94" s="212" t="s">
        <v>1436</v>
      </c>
      <c r="H94" s="213">
        <v>4</v>
      </c>
      <c r="I94" s="214"/>
      <c r="J94" s="215">
        <f>ROUND(I94*H94,1)</f>
        <v>0</v>
      </c>
      <c r="K94" s="211" t="s">
        <v>32</v>
      </c>
      <c r="L94" s="46"/>
      <c r="M94" s="216" t="s">
        <v>32</v>
      </c>
      <c r="N94" s="217" t="s">
        <v>49</v>
      </c>
      <c r="O94" s="86"/>
      <c r="P94" s="218">
        <f>O94*H94</f>
        <v>0</v>
      </c>
      <c r="Q94" s="218">
        <v>0</v>
      </c>
      <c r="R94" s="218">
        <f>Q94*H94</f>
        <v>0</v>
      </c>
      <c r="S94" s="218">
        <v>0</v>
      </c>
      <c r="T94" s="219">
        <f>S94*H94</f>
        <v>0</v>
      </c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R94" s="220" t="s">
        <v>207</v>
      </c>
      <c r="AT94" s="220" t="s">
        <v>202</v>
      </c>
      <c r="AU94" s="220" t="s">
        <v>78</v>
      </c>
      <c r="AY94" s="18" t="s">
        <v>200</v>
      </c>
      <c r="BE94" s="221">
        <f>IF(N94="základní",J94,0)</f>
        <v>0</v>
      </c>
      <c r="BF94" s="221">
        <f>IF(N94="snížená",J94,0)</f>
        <v>0</v>
      </c>
      <c r="BG94" s="221">
        <f>IF(N94="zákl. přenesená",J94,0)</f>
        <v>0</v>
      </c>
      <c r="BH94" s="221">
        <f>IF(N94="sníž. přenesená",J94,0)</f>
        <v>0</v>
      </c>
      <c r="BI94" s="221">
        <f>IF(N94="nulová",J94,0)</f>
        <v>0</v>
      </c>
      <c r="BJ94" s="18" t="s">
        <v>86</v>
      </c>
      <c r="BK94" s="221">
        <f>ROUND(I94*H94,1)</f>
        <v>0</v>
      </c>
      <c r="BL94" s="18" t="s">
        <v>207</v>
      </c>
      <c r="BM94" s="220" t="s">
        <v>416</v>
      </c>
    </row>
    <row r="95" s="2" customFormat="1" ht="16.5" customHeight="1">
      <c r="A95" s="40"/>
      <c r="B95" s="41"/>
      <c r="C95" s="209" t="s">
        <v>310</v>
      </c>
      <c r="D95" s="209" t="s">
        <v>202</v>
      </c>
      <c r="E95" s="210" t="s">
        <v>2538</v>
      </c>
      <c r="F95" s="211" t="s">
        <v>2539</v>
      </c>
      <c r="G95" s="212" t="s">
        <v>1436</v>
      </c>
      <c r="H95" s="213">
        <v>4</v>
      </c>
      <c r="I95" s="214"/>
      <c r="J95" s="215">
        <f>ROUND(I95*H95,1)</f>
        <v>0</v>
      </c>
      <c r="K95" s="211" t="s">
        <v>32</v>
      </c>
      <c r="L95" s="46"/>
      <c r="M95" s="216" t="s">
        <v>32</v>
      </c>
      <c r="N95" s="217" t="s">
        <v>49</v>
      </c>
      <c r="O95" s="86"/>
      <c r="P95" s="218">
        <f>O95*H95</f>
        <v>0</v>
      </c>
      <c r="Q95" s="218">
        <v>0</v>
      </c>
      <c r="R95" s="218">
        <f>Q95*H95</f>
        <v>0</v>
      </c>
      <c r="S95" s="218">
        <v>0</v>
      </c>
      <c r="T95" s="219">
        <f>S95*H95</f>
        <v>0</v>
      </c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R95" s="220" t="s">
        <v>207</v>
      </c>
      <c r="AT95" s="220" t="s">
        <v>202</v>
      </c>
      <c r="AU95" s="220" t="s">
        <v>78</v>
      </c>
      <c r="AY95" s="18" t="s">
        <v>200</v>
      </c>
      <c r="BE95" s="221">
        <f>IF(N95="základní",J95,0)</f>
        <v>0</v>
      </c>
      <c r="BF95" s="221">
        <f>IF(N95="snížená",J95,0)</f>
        <v>0</v>
      </c>
      <c r="BG95" s="221">
        <f>IF(N95="zákl. přenesená",J95,0)</f>
        <v>0</v>
      </c>
      <c r="BH95" s="221">
        <f>IF(N95="sníž. přenesená",J95,0)</f>
        <v>0</v>
      </c>
      <c r="BI95" s="221">
        <f>IF(N95="nulová",J95,0)</f>
        <v>0</v>
      </c>
      <c r="BJ95" s="18" t="s">
        <v>86</v>
      </c>
      <c r="BK95" s="221">
        <f>ROUND(I95*H95,1)</f>
        <v>0</v>
      </c>
      <c r="BL95" s="18" t="s">
        <v>207</v>
      </c>
      <c r="BM95" s="220" t="s">
        <v>429</v>
      </c>
    </row>
    <row r="96" s="2" customFormat="1" ht="16.5" customHeight="1">
      <c r="A96" s="40"/>
      <c r="B96" s="41"/>
      <c r="C96" s="209" t="s">
        <v>320</v>
      </c>
      <c r="D96" s="209" t="s">
        <v>202</v>
      </c>
      <c r="E96" s="210" t="s">
        <v>2540</v>
      </c>
      <c r="F96" s="211" t="s">
        <v>2541</v>
      </c>
      <c r="G96" s="212" t="s">
        <v>1436</v>
      </c>
      <c r="H96" s="213">
        <v>3</v>
      </c>
      <c r="I96" s="214"/>
      <c r="J96" s="215">
        <f>ROUND(I96*H96,1)</f>
        <v>0</v>
      </c>
      <c r="K96" s="211" t="s">
        <v>32</v>
      </c>
      <c r="L96" s="46"/>
      <c r="M96" s="216" t="s">
        <v>32</v>
      </c>
      <c r="N96" s="217" t="s">
        <v>49</v>
      </c>
      <c r="O96" s="86"/>
      <c r="P96" s="218">
        <f>O96*H96</f>
        <v>0</v>
      </c>
      <c r="Q96" s="218">
        <v>0</v>
      </c>
      <c r="R96" s="218">
        <f>Q96*H96</f>
        <v>0</v>
      </c>
      <c r="S96" s="218">
        <v>0</v>
      </c>
      <c r="T96" s="219">
        <f>S96*H96</f>
        <v>0</v>
      </c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R96" s="220" t="s">
        <v>207</v>
      </c>
      <c r="AT96" s="220" t="s">
        <v>202</v>
      </c>
      <c r="AU96" s="220" t="s">
        <v>78</v>
      </c>
      <c r="AY96" s="18" t="s">
        <v>200</v>
      </c>
      <c r="BE96" s="221">
        <f>IF(N96="základní",J96,0)</f>
        <v>0</v>
      </c>
      <c r="BF96" s="221">
        <f>IF(N96="snížená",J96,0)</f>
        <v>0</v>
      </c>
      <c r="BG96" s="221">
        <f>IF(N96="zákl. přenesená",J96,0)</f>
        <v>0</v>
      </c>
      <c r="BH96" s="221">
        <f>IF(N96="sníž. přenesená",J96,0)</f>
        <v>0</v>
      </c>
      <c r="BI96" s="221">
        <f>IF(N96="nulová",J96,0)</f>
        <v>0</v>
      </c>
      <c r="BJ96" s="18" t="s">
        <v>86</v>
      </c>
      <c r="BK96" s="221">
        <f>ROUND(I96*H96,1)</f>
        <v>0</v>
      </c>
      <c r="BL96" s="18" t="s">
        <v>207</v>
      </c>
      <c r="BM96" s="220" t="s">
        <v>440</v>
      </c>
    </row>
    <row r="97" s="2" customFormat="1" ht="16.5" customHeight="1">
      <c r="A97" s="40"/>
      <c r="B97" s="41"/>
      <c r="C97" s="209" t="s">
        <v>326</v>
      </c>
      <c r="D97" s="209" t="s">
        <v>202</v>
      </c>
      <c r="E97" s="210" t="s">
        <v>2542</v>
      </c>
      <c r="F97" s="211" t="s">
        <v>2543</v>
      </c>
      <c r="G97" s="212" t="s">
        <v>1436</v>
      </c>
      <c r="H97" s="213">
        <v>1</v>
      </c>
      <c r="I97" s="214"/>
      <c r="J97" s="215">
        <f>ROUND(I97*H97,1)</f>
        <v>0</v>
      </c>
      <c r="K97" s="211" t="s">
        <v>32</v>
      </c>
      <c r="L97" s="46"/>
      <c r="M97" s="216" t="s">
        <v>32</v>
      </c>
      <c r="N97" s="217" t="s">
        <v>49</v>
      </c>
      <c r="O97" s="86"/>
      <c r="P97" s="218">
        <f>O97*H97</f>
        <v>0</v>
      </c>
      <c r="Q97" s="218">
        <v>0</v>
      </c>
      <c r="R97" s="218">
        <f>Q97*H97</f>
        <v>0</v>
      </c>
      <c r="S97" s="218">
        <v>0</v>
      </c>
      <c r="T97" s="219">
        <f>S97*H97</f>
        <v>0</v>
      </c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R97" s="220" t="s">
        <v>207</v>
      </c>
      <c r="AT97" s="220" t="s">
        <v>202</v>
      </c>
      <c r="AU97" s="220" t="s">
        <v>78</v>
      </c>
      <c r="AY97" s="18" t="s">
        <v>200</v>
      </c>
      <c r="BE97" s="221">
        <f>IF(N97="základní",J97,0)</f>
        <v>0</v>
      </c>
      <c r="BF97" s="221">
        <f>IF(N97="snížená",J97,0)</f>
        <v>0</v>
      </c>
      <c r="BG97" s="221">
        <f>IF(N97="zákl. přenesená",J97,0)</f>
        <v>0</v>
      </c>
      <c r="BH97" s="221">
        <f>IF(N97="sníž. přenesená",J97,0)</f>
        <v>0</v>
      </c>
      <c r="BI97" s="221">
        <f>IF(N97="nulová",J97,0)</f>
        <v>0</v>
      </c>
      <c r="BJ97" s="18" t="s">
        <v>86</v>
      </c>
      <c r="BK97" s="221">
        <f>ROUND(I97*H97,1)</f>
        <v>0</v>
      </c>
      <c r="BL97" s="18" t="s">
        <v>207</v>
      </c>
      <c r="BM97" s="220" t="s">
        <v>453</v>
      </c>
    </row>
    <row r="98" s="2" customFormat="1" ht="16.5" customHeight="1">
      <c r="A98" s="40"/>
      <c r="B98" s="41"/>
      <c r="C98" s="209" t="s">
        <v>337</v>
      </c>
      <c r="D98" s="209" t="s">
        <v>202</v>
      </c>
      <c r="E98" s="210" t="s">
        <v>2544</v>
      </c>
      <c r="F98" s="211" t="s">
        <v>2545</v>
      </c>
      <c r="G98" s="212" t="s">
        <v>1436</v>
      </c>
      <c r="H98" s="213">
        <v>1</v>
      </c>
      <c r="I98" s="214"/>
      <c r="J98" s="215">
        <f>ROUND(I98*H98,1)</f>
        <v>0</v>
      </c>
      <c r="K98" s="211" t="s">
        <v>32</v>
      </c>
      <c r="L98" s="46"/>
      <c r="M98" s="216" t="s">
        <v>32</v>
      </c>
      <c r="N98" s="217" t="s">
        <v>49</v>
      </c>
      <c r="O98" s="86"/>
      <c r="P98" s="218">
        <f>O98*H98</f>
        <v>0</v>
      </c>
      <c r="Q98" s="218">
        <v>0</v>
      </c>
      <c r="R98" s="218">
        <f>Q98*H98</f>
        <v>0</v>
      </c>
      <c r="S98" s="218">
        <v>0</v>
      </c>
      <c r="T98" s="219">
        <f>S98*H98</f>
        <v>0</v>
      </c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R98" s="220" t="s">
        <v>207</v>
      </c>
      <c r="AT98" s="220" t="s">
        <v>202</v>
      </c>
      <c r="AU98" s="220" t="s">
        <v>78</v>
      </c>
      <c r="AY98" s="18" t="s">
        <v>200</v>
      </c>
      <c r="BE98" s="221">
        <f>IF(N98="základní",J98,0)</f>
        <v>0</v>
      </c>
      <c r="BF98" s="221">
        <f>IF(N98="snížená",J98,0)</f>
        <v>0</v>
      </c>
      <c r="BG98" s="221">
        <f>IF(N98="zákl. přenesená",J98,0)</f>
        <v>0</v>
      </c>
      <c r="BH98" s="221">
        <f>IF(N98="sníž. přenesená",J98,0)</f>
        <v>0</v>
      </c>
      <c r="BI98" s="221">
        <f>IF(N98="nulová",J98,0)</f>
        <v>0</v>
      </c>
      <c r="BJ98" s="18" t="s">
        <v>86</v>
      </c>
      <c r="BK98" s="221">
        <f>ROUND(I98*H98,1)</f>
        <v>0</v>
      </c>
      <c r="BL98" s="18" t="s">
        <v>207</v>
      </c>
      <c r="BM98" s="220" t="s">
        <v>465</v>
      </c>
    </row>
    <row r="99" s="2" customFormat="1" ht="16.5" customHeight="1">
      <c r="A99" s="40"/>
      <c r="B99" s="41"/>
      <c r="C99" s="209" t="s">
        <v>342</v>
      </c>
      <c r="D99" s="209" t="s">
        <v>202</v>
      </c>
      <c r="E99" s="210" t="s">
        <v>2546</v>
      </c>
      <c r="F99" s="211" t="s">
        <v>2547</v>
      </c>
      <c r="G99" s="212" t="s">
        <v>1436</v>
      </c>
      <c r="H99" s="213">
        <v>1</v>
      </c>
      <c r="I99" s="214"/>
      <c r="J99" s="215">
        <f>ROUND(I99*H99,1)</f>
        <v>0</v>
      </c>
      <c r="K99" s="211" t="s">
        <v>32</v>
      </c>
      <c r="L99" s="46"/>
      <c r="M99" s="216" t="s">
        <v>32</v>
      </c>
      <c r="N99" s="217" t="s">
        <v>49</v>
      </c>
      <c r="O99" s="86"/>
      <c r="P99" s="218">
        <f>O99*H99</f>
        <v>0</v>
      </c>
      <c r="Q99" s="218">
        <v>0</v>
      </c>
      <c r="R99" s="218">
        <f>Q99*H99</f>
        <v>0</v>
      </c>
      <c r="S99" s="218">
        <v>0</v>
      </c>
      <c r="T99" s="219">
        <f>S99*H99</f>
        <v>0</v>
      </c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R99" s="220" t="s">
        <v>207</v>
      </c>
      <c r="AT99" s="220" t="s">
        <v>202</v>
      </c>
      <c r="AU99" s="220" t="s">
        <v>78</v>
      </c>
      <c r="AY99" s="18" t="s">
        <v>200</v>
      </c>
      <c r="BE99" s="221">
        <f>IF(N99="základní",J99,0)</f>
        <v>0</v>
      </c>
      <c r="BF99" s="221">
        <f>IF(N99="snížená",J99,0)</f>
        <v>0</v>
      </c>
      <c r="BG99" s="221">
        <f>IF(N99="zákl. přenesená",J99,0)</f>
        <v>0</v>
      </c>
      <c r="BH99" s="221">
        <f>IF(N99="sníž. přenesená",J99,0)</f>
        <v>0</v>
      </c>
      <c r="BI99" s="221">
        <f>IF(N99="nulová",J99,0)</f>
        <v>0</v>
      </c>
      <c r="BJ99" s="18" t="s">
        <v>86</v>
      </c>
      <c r="BK99" s="221">
        <f>ROUND(I99*H99,1)</f>
        <v>0</v>
      </c>
      <c r="BL99" s="18" t="s">
        <v>207</v>
      </c>
      <c r="BM99" s="220" t="s">
        <v>476</v>
      </c>
    </row>
    <row r="100" s="2" customFormat="1" ht="16.5" customHeight="1">
      <c r="A100" s="40"/>
      <c r="B100" s="41"/>
      <c r="C100" s="209" t="s">
        <v>7</v>
      </c>
      <c r="D100" s="209" t="s">
        <v>202</v>
      </c>
      <c r="E100" s="210" t="s">
        <v>2548</v>
      </c>
      <c r="F100" s="211" t="s">
        <v>2549</v>
      </c>
      <c r="G100" s="212" t="s">
        <v>1436</v>
      </c>
      <c r="H100" s="213">
        <v>1</v>
      </c>
      <c r="I100" s="214"/>
      <c r="J100" s="215">
        <f>ROUND(I100*H100,1)</f>
        <v>0</v>
      </c>
      <c r="K100" s="211" t="s">
        <v>32</v>
      </c>
      <c r="L100" s="46"/>
      <c r="M100" s="216" t="s">
        <v>32</v>
      </c>
      <c r="N100" s="217" t="s">
        <v>49</v>
      </c>
      <c r="O100" s="86"/>
      <c r="P100" s="218">
        <f>O100*H100</f>
        <v>0</v>
      </c>
      <c r="Q100" s="218">
        <v>0</v>
      </c>
      <c r="R100" s="218">
        <f>Q100*H100</f>
        <v>0</v>
      </c>
      <c r="S100" s="218">
        <v>0</v>
      </c>
      <c r="T100" s="219">
        <f>S100*H100</f>
        <v>0</v>
      </c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0" t="s">
        <v>207</v>
      </c>
      <c r="AT100" s="220" t="s">
        <v>202</v>
      </c>
      <c r="AU100" s="220" t="s">
        <v>78</v>
      </c>
      <c r="AY100" s="18" t="s">
        <v>200</v>
      </c>
      <c r="BE100" s="221">
        <f>IF(N100="základní",J100,0)</f>
        <v>0</v>
      </c>
      <c r="BF100" s="221">
        <f>IF(N100="snížená",J100,0)</f>
        <v>0</v>
      </c>
      <c r="BG100" s="221">
        <f>IF(N100="zákl. přenesená",J100,0)</f>
        <v>0</v>
      </c>
      <c r="BH100" s="221">
        <f>IF(N100="sníž. přenesená",J100,0)</f>
        <v>0</v>
      </c>
      <c r="BI100" s="221">
        <f>IF(N100="nulová",J100,0)</f>
        <v>0</v>
      </c>
      <c r="BJ100" s="18" t="s">
        <v>86</v>
      </c>
      <c r="BK100" s="221">
        <f>ROUND(I100*H100,1)</f>
        <v>0</v>
      </c>
      <c r="BL100" s="18" t="s">
        <v>207</v>
      </c>
      <c r="BM100" s="220" t="s">
        <v>511</v>
      </c>
    </row>
    <row r="101" s="2" customFormat="1" ht="16.5" customHeight="1">
      <c r="A101" s="40"/>
      <c r="B101" s="41"/>
      <c r="C101" s="209" t="s">
        <v>363</v>
      </c>
      <c r="D101" s="209" t="s">
        <v>202</v>
      </c>
      <c r="E101" s="210" t="s">
        <v>2550</v>
      </c>
      <c r="F101" s="211" t="s">
        <v>2551</v>
      </c>
      <c r="G101" s="212" t="s">
        <v>1436</v>
      </c>
      <c r="H101" s="213">
        <v>1</v>
      </c>
      <c r="I101" s="214"/>
      <c r="J101" s="215">
        <f>ROUND(I101*H101,1)</f>
        <v>0</v>
      </c>
      <c r="K101" s="211" t="s">
        <v>32</v>
      </c>
      <c r="L101" s="46"/>
      <c r="M101" s="216" t="s">
        <v>32</v>
      </c>
      <c r="N101" s="217" t="s">
        <v>49</v>
      </c>
      <c r="O101" s="86"/>
      <c r="P101" s="218">
        <f>O101*H101</f>
        <v>0</v>
      </c>
      <c r="Q101" s="218">
        <v>0</v>
      </c>
      <c r="R101" s="218">
        <f>Q101*H101</f>
        <v>0</v>
      </c>
      <c r="S101" s="218">
        <v>0</v>
      </c>
      <c r="T101" s="219">
        <f>S101*H101</f>
        <v>0</v>
      </c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R101" s="220" t="s">
        <v>207</v>
      </c>
      <c r="AT101" s="220" t="s">
        <v>202</v>
      </c>
      <c r="AU101" s="220" t="s">
        <v>78</v>
      </c>
      <c r="AY101" s="18" t="s">
        <v>200</v>
      </c>
      <c r="BE101" s="221">
        <f>IF(N101="základní",J101,0)</f>
        <v>0</v>
      </c>
      <c r="BF101" s="221">
        <f>IF(N101="snížená",J101,0)</f>
        <v>0</v>
      </c>
      <c r="BG101" s="221">
        <f>IF(N101="zákl. přenesená",J101,0)</f>
        <v>0</v>
      </c>
      <c r="BH101" s="221">
        <f>IF(N101="sníž. přenesená",J101,0)</f>
        <v>0</v>
      </c>
      <c r="BI101" s="221">
        <f>IF(N101="nulová",J101,0)</f>
        <v>0</v>
      </c>
      <c r="BJ101" s="18" t="s">
        <v>86</v>
      </c>
      <c r="BK101" s="221">
        <f>ROUND(I101*H101,1)</f>
        <v>0</v>
      </c>
      <c r="BL101" s="18" t="s">
        <v>207</v>
      </c>
      <c r="BM101" s="220" t="s">
        <v>528</v>
      </c>
    </row>
    <row r="102" s="2" customFormat="1" ht="16.5" customHeight="1">
      <c r="A102" s="40"/>
      <c r="B102" s="41"/>
      <c r="C102" s="209" t="s">
        <v>374</v>
      </c>
      <c r="D102" s="209" t="s">
        <v>202</v>
      </c>
      <c r="E102" s="210" t="s">
        <v>2552</v>
      </c>
      <c r="F102" s="211" t="s">
        <v>2553</v>
      </c>
      <c r="G102" s="212" t="s">
        <v>1436</v>
      </c>
      <c r="H102" s="213">
        <v>1</v>
      </c>
      <c r="I102" s="214"/>
      <c r="J102" s="215">
        <f>ROUND(I102*H102,1)</f>
        <v>0</v>
      </c>
      <c r="K102" s="211" t="s">
        <v>32</v>
      </c>
      <c r="L102" s="46"/>
      <c r="M102" s="216" t="s">
        <v>32</v>
      </c>
      <c r="N102" s="217" t="s">
        <v>49</v>
      </c>
      <c r="O102" s="86"/>
      <c r="P102" s="218">
        <f>O102*H102</f>
        <v>0</v>
      </c>
      <c r="Q102" s="218">
        <v>0</v>
      </c>
      <c r="R102" s="218">
        <f>Q102*H102</f>
        <v>0</v>
      </c>
      <c r="S102" s="218">
        <v>0</v>
      </c>
      <c r="T102" s="219">
        <f>S102*H102</f>
        <v>0</v>
      </c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R102" s="220" t="s">
        <v>207</v>
      </c>
      <c r="AT102" s="220" t="s">
        <v>202</v>
      </c>
      <c r="AU102" s="220" t="s">
        <v>78</v>
      </c>
      <c r="AY102" s="18" t="s">
        <v>200</v>
      </c>
      <c r="BE102" s="221">
        <f>IF(N102="základní",J102,0)</f>
        <v>0</v>
      </c>
      <c r="BF102" s="221">
        <f>IF(N102="snížená",J102,0)</f>
        <v>0</v>
      </c>
      <c r="BG102" s="221">
        <f>IF(N102="zákl. přenesená",J102,0)</f>
        <v>0</v>
      </c>
      <c r="BH102" s="221">
        <f>IF(N102="sníž. přenesená",J102,0)</f>
        <v>0</v>
      </c>
      <c r="BI102" s="221">
        <f>IF(N102="nulová",J102,0)</f>
        <v>0</v>
      </c>
      <c r="BJ102" s="18" t="s">
        <v>86</v>
      </c>
      <c r="BK102" s="221">
        <f>ROUND(I102*H102,1)</f>
        <v>0</v>
      </c>
      <c r="BL102" s="18" t="s">
        <v>207</v>
      </c>
      <c r="BM102" s="220" t="s">
        <v>542</v>
      </c>
    </row>
    <row r="103" s="2" customFormat="1" ht="16.5" customHeight="1">
      <c r="A103" s="40"/>
      <c r="B103" s="41"/>
      <c r="C103" s="209" t="s">
        <v>379</v>
      </c>
      <c r="D103" s="209" t="s">
        <v>202</v>
      </c>
      <c r="E103" s="210" t="s">
        <v>2554</v>
      </c>
      <c r="F103" s="211" t="s">
        <v>2555</v>
      </c>
      <c r="G103" s="212" t="s">
        <v>1436</v>
      </c>
      <c r="H103" s="213">
        <v>1</v>
      </c>
      <c r="I103" s="214"/>
      <c r="J103" s="215">
        <f>ROUND(I103*H103,1)</f>
        <v>0</v>
      </c>
      <c r="K103" s="211" t="s">
        <v>32</v>
      </c>
      <c r="L103" s="46"/>
      <c r="M103" s="216" t="s">
        <v>32</v>
      </c>
      <c r="N103" s="217" t="s">
        <v>49</v>
      </c>
      <c r="O103" s="86"/>
      <c r="P103" s="218">
        <f>O103*H103</f>
        <v>0</v>
      </c>
      <c r="Q103" s="218">
        <v>0</v>
      </c>
      <c r="R103" s="218">
        <f>Q103*H103</f>
        <v>0</v>
      </c>
      <c r="S103" s="218">
        <v>0</v>
      </c>
      <c r="T103" s="219">
        <f>S103*H103</f>
        <v>0</v>
      </c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0" t="s">
        <v>207</v>
      </c>
      <c r="AT103" s="220" t="s">
        <v>202</v>
      </c>
      <c r="AU103" s="220" t="s">
        <v>78</v>
      </c>
      <c r="AY103" s="18" t="s">
        <v>200</v>
      </c>
      <c r="BE103" s="221">
        <f>IF(N103="základní",J103,0)</f>
        <v>0</v>
      </c>
      <c r="BF103" s="221">
        <f>IF(N103="snížená",J103,0)</f>
        <v>0</v>
      </c>
      <c r="BG103" s="221">
        <f>IF(N103="zákl. přenesená",J103,0)</f>
        <v>0</v>
      </c>
      <c r="BH103" s="221">
        <f>IF(N103="sníž. přenesená",J103,0)</f>
        <v>0</v>
      </c>
      <c r="BI103" s="221">
        <f>IF(N103="nulová",J103,0)</f>
        <v>0</v>
      </c>
      <c r="BJ103" s="18" t="s">
        <v>86</v>
      </c>
      <c r="BK103" s="221">
        <f>ROUND(I103*H103,1)</f>
        <v>0</v>
      </c>
      <c r="BL103" s="18" t="s">
        <v>207</v>
      </c>
      <c r="BM103" s="220" t="s">
        <v>555</v>
      </c>
    </row>
    <row r="104" s="2" customFormat="1" ht="16.5" customHeight="1">
      <c r="A104" s="40"/>
      <c r="B104" s="41"/>
      <c r="C104" s="209" t="s">
        <v>385</v>
      </c>
      <c r="D104" s="209" t="s">
        <v>202</v>
      </c>
      <c r="E104" s="210" t="s">
        <v>2556</v>
      </c>
      <c r="F104" s="211" t="s">
        <v>2557</v>
      </c>
      <c r="G104" s="212" t="s">
        <v>1436</v>
      </c>
      <c r="H104" s="213">
        <v>8</v>
      </c>
      <c r="I104" s="214"/>
      <c r="J104" s="215">
        <f>ROUND(I104*H104,1)</f>
        <v>0</v>
      </c>
      <c r="K104" s="211" t="s">
        <v>32</v>
      </c>
      <c r="L104" s="46"/>
      <c r="M104" s="216" t="s">
        <v>32</v>
      </c>
      <c r="N104" s="217" t="s">
        <v>49</v>
      </c>
      <c r="O104" s="86"/>
      <c r="P104" s="218">
        <f>O104*H104</f>
        <v>0</v>
      </c>
      <c r="Q104" s="218">
        <v>0</v>
      </c>
      <c r="R104" s="218">
        <f>Q104*H104</f>
        <v>0</v>
      </c>
      <c r="S104" s="218">
        <v>0</v>
      </c>
      <c r="T104" s="219">
        <f>S104*H104</f>
        <v>0</v>
      </c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0" t="s">
        <v>207</v>
      </c>
      <c r="AT104" s="220" t="s">
        <v>202</v>
      </c>
      <c r="AU104" s="220" t="s">
        <v>78</v>
      </c>
      <c r="AY104" s="18" t="s">
        <v>200</v>
      </c>
      <c r="BE104" s="221">
        <f>IF(N104="základní",J104,0)</f>
        <v>0</v>
      </c>
      <c r="BF104" s="221">
        <f>IF(N104="snížená",J104,0)</f>
        <v>0</v>
      </c>
      <c r="BG104" s="221">
        <f>IF(N104="zákl. přenesená",J104,0)</f>
        <v>0</v>
      </c>
      <c r="BH104" s="221">
        <f>IF(N104="sníž. přenesená",J104,0)</f>
        <v>0</v>
      </c>
      <c r="BI104" s="221">
        <f>IF(N104="nulová",J104,0)</f>
        <v>0</v>
      </c>
      <c r="BJ104" s="18" t="s">
        <v>86</v>
      </c>
      <c r="BK104" s="221">
        <f>ROUND(I104*H104,1)</f>
        <v>0</v>
      </c>
      <c r="BL104" s="18" t="s">
        <v>207</v>
      </c>
      <c r="BM104" s="220" t="s">
        <v>565</v>
      </c>
    </row>
    <row r="105" s="2" customFormat="1" ht="16.5" customHeight="1">
      <c r="A105" s="40"/>
      <c r="B105" s="41"/>
      <c r="C105" s="209" t="s">
        <v>391</v>
      </c>
      <c r="D105" s="209" t="s">
        <v>202</v>
      </c>
      <c r="E105" s="210" t="s">
        <v>2558</v>
      </c>
      <c r="F105" s="211" t="s">
        <v>2559</v>
      </c>
      <c r="G105" s="212" t="s">
        <v>1436</v>
      </c>
      <c r="H105" s="213">
        <v>15</v>
      </c>
      <c r="I105" s="214"/>
      <c r="J105" s="215">
        <f>ROUND(I105*H105,1)</f>
        <v>0</v>
      </c>
      <c r="K105" s="211" t="s">
        <v>32</v>
      </c>
      <c r="L105" s="46"/>
      <c r="M105" s="216" t="s">
        <v>32</v>
      </c>
      <c r="N105" s="217" t="s">
        <v>49</v>
      </c>
      <c r="O105" s="86"/>
      <c r="P105" s="218">
        <f>O105*H105</f>
        <v>0</v>
      </c>
      <c r="Q105" s="218">
        <v>0</v>
      </c>
      <c r="R105" s="218">
        <f>Q105*H105</f>
        <v>0</v>
      </c>
      <c r="S105" s="218">
        <v>0</v>
      </c>
      <c r="T105" s="219">
        <f>S105*H105</f>
        <v>0</v>
      </c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R105" s="220" t="s">
        <v>207</v>
      </c>
      <c r="AT105" s="220" t="s">
        <v>202</v>
      </c>
      <c r="AU105" s="220" t="s">
        <v>78</v>
      </c>
      <c r="AY105" s="18" t="s">
        <v>200</v>
      </c>
      <c r="BE105" s="221">
        <f>IF(N105="základní",J105,0)</f>
        <v>0</v>
      </c>
      <c r="BF105" s="221">
        <f>IF(N105="snížená",J105,0)</f>
        <v>0</v>
      </c>
      <c r="BG105" s="221">
        <f>IF(N105="zákl. přenesená",J105,0)</f>
        <v>0</v>
      </c>
      <c r="BH105" s="221">
        <f>IF(N105="sníž. přenesená",J105,0)</f>
        <v>0</v>
      </c>
      <c r="BI105" s="221">
        <f>IF(N105="nulová",J105,0)</f>
        <v>0</v>
      </c>
      <c r="BJ105" s="18" t="s">
        <v>86</v>
      </c>
      <c r="BK105" s="221">
        <f>ROUND(I105*H105,1)</f>
        <v>0</v>
      </c>
      <c r="BL105" s="18" t="s">
        <v>207</v>
      </c>
      <c r="BM105" s="220" t="s">
        <v>575</v>
      </c>
    </row>
    <row r="106" s="2" customFormat="1" ht="16.5" customHeight="1">
      <c r="A106" s="40"/>
      <c r="B106" s="41"/>
      <c r="C106" s="209" t="s">
        <v>397</v>
      </c>
      <c r="D106" s="209" t="s">
        <v>202</v>
      </c>
      <c r="E106" s="210" t="s">
        <v>2560</v>
      </c>
      <c r="F106" s="211" t="s">
        <v>2561</v>
      </c>
      <c r="G106" s="212" t="s">
        <v>1436</v>
      </c>
      <c r="H106" s="213">
        <v>7</v>
      </c>
      <c r="I106" s="214"/>
      <c r="J106" s="215">
        <f>ROUND(I106*H106,1)</f>
        <v>0</v>
      </c>
      <c r="K106" s="211" t="s">
        <v>32</v>
      </c>
      <c r="L106" s="46"/>
      <c r="M106" s="216" t="s">
        <v>32</v>
      </c>
      <c r="N106" s="217" t="s">
        <v>49</v>
      </c>
      <c r="O106" s="86"/>
      <c r="P106" s="218">
        <f>O106*H106</f>
        <v>0</v>
      </c>
      <c r="Q106" s="218">
        <v>0</v>
      </c>
      <c r="R106" s="218">
        <f>Q106*H106</f>
        <v>0</v>
      </c>
      <c r="S106" s="218">
        <v>0</v>
      </c>
      <c r="T106" s="219">
        <f>S106*H106</f>
        <v>0</v>
      </c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0" t="s">
        <v>207</v>
      </c>
      <c r="AT106" s="220" t="s">
        <v>202</v>
      </c>
      <c r="AU106" s="220" t="s">
        <v>78</v>
      </c>
      <c r="AY106" s="18" t="s">
        <v>200</v>
      </c>
      <c r="BE106" s="221">
        <f>IF(N106="základní",J106,0)</f>
        <v>0</v>
      </c>
      <c r="BF106" s="221">
        <f>IF(N106="snížená",J106,0)</f>
        <v>0</v>
      </c>
      <c r="BG106" s="221">
        <f>IF(N106="zákl. přenesená",J106,0)</f>
        <v>0</v>
      </c>
      <c r="BH106" s="221">
        <f>IF(N106="sníž. přenesená",J106,0)</f>
        <v>0</v>
      </c>
      <c r="BI106" s="221">
        <f>IF(N106="nulová",J106,0)</f>
        <v>0</v>
      </c>
      <c r="BJ106" s="18" t="s">
        <v>86</v>
      </c>
      <c r="BK106" s="221">
        <f>ROUND(I106*H106,1)</f>
        <v>0</v>
      </c>
      <c r="BL106" s="18" t="s">
        <v>207</v>
      </c>
      <c r="BM106" s="220" t="s">
        <v>587</v>
      </c>
    </row>
    <row r="107" s="2" customFormat="1" ht="16.5" customHeight="1">
      <c r="A107" s="40"/>
      <c r="B107" s="41"/>
      <c r="C107" s="209" t="s">
        <v>402</v>
      </c>
      <c r="D107" s="209" t="s">
        <v>202</v>
      </c>
      <c r="E107" s="210" t="s">
        <v>2562</v>
      </c>
      <c r="F107" s="211" t="s">
        <v>2563</v>
      </c>
      <c r="G107" s="212" t="s">
        <v>1436</v>
      </c>
      <c r="H107" s="213">
        <v>8</v>
      </c>
      <c r="I107" s="214"/>
      <c r="J107" s="215">
        <f>ROUND(I107*H107,1)</f>
        <v>0</v>
      </c>
      <c r="K107" s="211" t="s">
        <v>32</v>
      </c>
      <c r="L107" s="46"/>
      <c r="M107" s="216" t="s">
        <v>32</v>
      </c>
      <c r="N107" s="217" t="s">
        <v>49</v>
      </c>
      <c r="O107" s="86"/>
      <c r="P107" s="218">
        <f>O107*H107</f>
        <v>0</v>
      </c>
      <c r="Q107" s="218">
        <v>0</v>
      </c>
      <c r="R107" s="218">
        <f>Q107*H107</f>
        <v>0</v>
      </c>
      <c r="S107" s="218">
        <v>0</v>
      </c>
      <c r="T107" s="219">
        <f>S107*H107</f>
        <v>0</v>
      </c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0" t="s">
        <v>207</v>
      </c>
      <c r="AT107" s="220" t="s">
        <v>202</v>
      </c>
      <c r="AU107" s="220" t="s">
        <v>78</v>
      </c>
      <c r="AY107" s="18" t="s">
        <v>200</v>
      </c>
      <c r="BE107" s="221">
        <f>IF(N107="základní",J107,0)</f>
        <v>0</v>
      </c>
      <c r="BF107" s="221">
        <f>IF(N107="snížená",J107,0)</f>
        <v>0</v>
      </c>
      <c r="BG107" s="221">
        <f>IF(N107="zákl. přenesená",J107,0)</f>
        <v>0</v>
      </c>
      <c r="BH107" s="221">
        <f>IF(N107="sníž. přenesená",J107,0)</f>
        <v>0</v>
      </c>
      <c r="BI107" s="221">
        <f>IF(N107="nulová",J107,0)</f>
        <v>0</v>
      </c>
      <c r="BJ107" s="18" t="s">
        <v>86</v>
      </c>
      <c r="BK107" s="221">
        <f>ROUND(I107*H107,1)</f>
        <v>0</v>
      </c>
      <c r="BL107" s="18" t="s">
        <v>207</v>
      </c>
      <c r="BM107" s="220" t="s">
        <v>599</v>
      </c>
    </row>
    <row r="108" s="2" customFormat="1" ht="16.5" customHeight="1">
      <c r="A108" s="40"/>
      <c r="B108" s="41"/>
      <c r="C108" s="209" t="s">
        <v>409</v>
      </c>
      <c r="D108" s="209" t="s">
        <v>202</v>
      </c>
      <c r="E108" s="210" t="s">
        <v>2564</v>
      </c>
      <c r="F108" s="211" t="s">
        <v>2565</v>
      </c>
      <c r="G108" s="212" t="s">
        <v>1436</v>
      </c>
      <c r="H108" s="213">
        <v>6</v>
      </c>
      <c r="I108" s="214"/>
      <c r="J108" s="215">
        <f>ROUND(I108*H108,1)</f>
        <v>0</v>
      </c>
      <c r="K108" s="211" t="s">
        <v>32</v>
      </c>
      <c r="L108" s="46"/>
      <c r="M108" s="216" t="s">
        <v>32</v>
      </c>
      <c r="N108" s="217" t="s">
        <v>49</v>
      </c>
      <c r="O108" s="86"/>
      <c r="P108" s="218">
        <f>O108*H108</f>
        <v>0</v>
      </c>
      <c r="Q108" s="218">
        <v>0</v>
      </c>
      <c r="R108" s="218">
        <f>Q108*H108</f>
        <v>0</v>
      </c>
      <c r="S108" s="218">
        <v>0</v>
      </c>
      <c r="T108" s="219">
        <f>S108*H108</f>
        <v>0</v>
      </c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0" t="s">
        <v>207</v>
      </c>
      <c r="AT108" s="220" t="s">
        <v>202</v>
      </c>
      <c r="AU108" s="220" t="s">
        <v>78</v>
      </c>
      <c r="AY108" s="18" t="s">
        <v>200</v>
      </c>
      <c r="BE108" s="221">
        <f>IF(N108="základní",J108,0)</f>
        <v>0</v>
      </c>
      <c r="BF108" s="221">
        <f>IF(N108="snížená",J108,0)</f>
        <v>0</v>
      </c>
      <c r="BG108" s="221">
        <f>IF(N108="zákl. přenesená",J108,0)</f>
        <v>0</v>
      </c>
      <c r="BH108" s="221">
        <f>IF(N108="sníž. přenesená",J108,0)</f>
        <v>0</v>
      </c>
      <c r="BI108" s="221">
        <f>IF(N108="nulová",J108,0)</f>
        <v>0</v>
      </c>
      <c r="BJ108" s="18" t="s">
        <v>86</v>
      </c>
      <c r="BK108" s="221">
        <f>ROUND(I108*H108,1)</f>
        <v>0</v>
      </c>
      <c r="BL108" s="18" t="s">
        <v>207</v>
      </c>
      <c r="BM108" s="220" t="s">
        <v>609</v>
      </c>
    </row>
    <row r="109" s="2" customFormat="1" ht="16.5" customHeight="1">
      <c r="A109" s="40"/>
      <c r="B109" s="41"/>
      <c r="C109" s="209" t="s">
        <v>416</v>
      </c>
      <c r="D109" s="209" t="s">
        <v>202</v>
      </c>
      <c r="E109" s="210" t="s">
        <v>2566</v>
      </c>
      <c r="F109" s="211" t="s">
        <v>2567</v>
      </c>
      <c r="G109" s="212" t="s">
        <v>280</v>
      </c>
      <c r="H109" s="213">
        <v>90</v>
      </c>
      <c r="I109" s="214"/>
      <c r="J109" s="215">
        <f>ROUND(I109*H109,1)</f>
        <v>0</v>
      </c>
      <c r="K109" s="211" t="s">
        <v>32</v>
      </c>
      <c r="L109" s="46"/>
      <c r="M109" s="216" t="s">
        <v>32</v>
      </c>
      <c r="N109" s="217" t="s">
        <v>49</v>
      </c>
      <c r="O109" s="86"/>
      <c r="P109" s="218">
        <f>O109*H109</f>
        <v>0</v>
      </c>
      <c r="Q109" s="218">
        <v>0</v>
      </c>
      <c r="R109" s="218">
        <f>Q109*H109</f>
        <v>0</v>
      </c>
      <c r="S109" s="218">
        <v>0</v>
      </c>
      <c r="T109" s="219">
        <f>S109*H109</f>
        <v>0</v>
      </c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0" t="s">
        <v>207</v>
      </c>
      <c r="AT109" s="220" t="s">
        <v>202</v>
      </c>
      <c r="AU109" s="220" t="s">
        <v>78</v>
      </c>
      <c r="AY109" s="18" t="s">
        <v>200</v>
      </c>
      <c r="BE109" s="221">
        <f>IF(N109="základní",J109,0)</f>
        <v>0</v>
      </c>
      <c r="BF109" s="221">
        <f>IF(N109="snížená",J109,0)</f>
        <v>0</v>
      </c>
      <c r="BG109" s="221">
        <f>IF(N109="zákl. přenesená",J109,0)</f>
        <v>0</v>
      </c>
      <c r="BH109" s="221">
        <f>IF(N109="sníž. přenesená",J109,0)</f>
        <v>0</v>
      </c>
      <c r="BI109" s="221">
        <f>IF(N109="nulová",J109,0)</f>
        <v>0</v>
      </c>
      <c r="BJ109" s="18" t="s">
        <v>86</v>
      </c>
      <c r="BK109" s="221">
        <f>ROUND(I109*H109,1)</f>
        <v>0</v>
      </c>
      <c r="BL109" s="18" t="s">
        <v>207</v>
      </c>
      <c r="BM109" s="220" t="s">
        <v>638</v>
      </c>
    </row>
    <row r="110" s="2" customFormat="1" ht="16.5" customHeight="1">
      <c r="A110" s="40"/>
      <c r="B110" s="41"/>
      <c r="C110" s="209" t="s">
        <v>422</v>
      </c>
      <c r="D110" s="209" t="s">
        <v>202</v>
      </c>
      <c r="E110" s="210" t="s">
        <v>2568</v>
      </c>
      <c r="F110" s="211" t="s">
        <v>2569</v>
      </c>
      <c r="G110" s="212" t="s">
        <v>280</v>
      </c>
      <c r="H110" s="213">
        <v>80</v>
      </c>
      <c r="I110" s="214"/>
      <c r="J110" s="215">
        <f>ROUND(I110*H110,1)</f>
        <v>0</v>
      </c>
      <c r="K110" s="211" t="s">
        <v>32</v>
      </c>
      <c r="L110" s="46"/>
      <c r="M110" s="216" t="s">
        <v>32</v>
      </c>
      <c r="N110" s="217" t="s">
        <v>49</v>
      </c>
      <c r="O110" s="86"/>
      <c r="P110" s="218">
        <f>O110*H110</f>
        <v>0</v>
      </c>
      <c r="Q110" s="218">
        <v>0</v>
      </c>
      <c r="R110" s="218">
        <f>Q110*H110</f>
        <v>0</v>
      </c>
      <c r="S110" s="218">
        <v>0</v>
      </c>
      <c r="T110" s="219">
        <f>S110*H110</f>
        <v>0</v>
      </c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R110" s="220" t="s">
        <v>207</v>
      </c>
      <c r="AT110" s="220" t="s">
        <v>202</v>
      </c>
      <c r="AU110" s="220" t="s">
        <v>78</v>
      </c>
      <c r="AY110" s="18" t="s">
        <v>200</v>
      </c>
      <c r="BE110" s="221">
        <f>IF(N110="základní",J110,0)</f>
        <v>0</v>
      </c>
      <c r="BF110" s="221">
        <f>IF(N110="snížená",J110,0)</f>
        <v>0</v>
      </c>
      <c r="BG110" s="221">
        <f>IF(N110="zákl. přenesená",J110,0)</f>
        <v>0</v>
      </c>
      <c r="BH110" s="221">
        <f>IF(N110="sníž. přenesená",J110,0)</f>
        <v>0</v>
      </c>
      <c r="BI110" s="221">
        <f>IF(N110="nulová",J110,0)</f>
        <v>0</v>
      </c>
      <c r="BJ110" s="18" t="s">
        <v>86</v>
      </c>
      <c r="BK110" s="221">
        <f>ROUND(I110*H110,1)</f>
        <v>0</v>
      </c>
      <c r="BL110" s="18" t="s">
        <v>207</v>
      </c>
      <c r="BM110" s="220" t="s">
        <v>651</v>
      </c>
    </row>
    <row r="111" s="2" customFormat="1" ht="16.5" customHeight="1">
      <c r="A111" s="40"/>
      <c r="B111" s="41"/>
      <c r="C111" s="209" t="s">
        <v>429</v>
      </c>
      <c r="D111" s="209" t="s">
        <v>202</v>
      </c>
      <c r="E111" s="210" t="s">
        <v>2570</v>
      </c>
      <c r="F111" s="211" t="s">
        <v>2571</v>
      </c>
      <c r="G111" s="212" t="s">
        <v>280</v>
      </c>
      <c r="H111" s="213">
        <v>35</v>
      </c>
      <c r="I111" s="214"/>
      <c r="J111" s="215">
        <f>ROUND(I111*H111,1)</f>
        <v>0</v>
      </c>
      <c r="K111" s="211" t="s">
        <v>32</v>
      </c>
      <c r="L111" s="46"/>
      <c r="M111" s="216" t="s">
        <v>32</v>
      </c>
      <c r="N111" s="217" t="s">
        <v>49</v>
      </c>
      <c r="O111" s="86"/>
      <c r="P111" s="218">
        <f>O111*H111</f>
        <v>0</v>
      </c>
      <c r="Q111" s="218">
        <v>0</v>
      </c>
      <c r="R111" s="218">
        <f>Q111*H111</f>
        <v>0</v>
      </c>
      <c r="S111" s="218">
        <v>0</v>
      </c>
      <c r="T111" s="219">
        <f>S111*H111</f>
        <v>0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0" t="s">
        <v>207</v>
      </c>
      <c r="AT111" s="220" t="s">
        <v>202</v>
      </c>
      <c r="AU111" s="220" t="s">
        <v>78</v>
      </c>
      <c r="AY111" s="18" t="s">
        <v>200</v>
      </c>
      <c r="BE111" s="221">
        <f>IF(N111="základní",J111,0)</f>
        <v>0</v>
      </c>
      <c r="BF111" s="221">
        <f>IF(N111="snížená",J111,0)</f>
        <v>0</v>
      </c>
      <c r="BG111" s="221">
        <f>IF(N111="zákl. přenesená",J111,0)</f>
        <v>0</v>
      </c>
      <c r="BH111" s="221">
        <f>IF(N111="sníž. přenesená",J111,0)</f>
        <v>0</v>
      </c>
      <c r="BI111" s="221">
        <f>IF(N111="nulová",J111,0)</f>
        <v>0</v>
      </c>
      <c r="BJ111" s="18" t="s">
        <v>86</v>
      </c>
      <c r="BK111" s="221">
        <f>ROUND(I111*H111,1)</f>
        <v>0</v>
      </c>
      <c r="BL111" s="18" t="s">
        <v>207</v>
      </c>
      <c r="BM111" s="220" t="s">
        <v>665</v>
      </c>
    </row>
    <row r="112" s="2" customFormat="1" ht="16.5" customHeight="1">
      <c r="A112" s="40"/>
      <c r="B112" s="41"/>
      <c r="C112" s="209" t="s">
        <v>434</v>
      </c>
      <c r="D112" s="209" t="s">
        <v>202</v>
      </c>
      <c r="E112" s="210" t="s">
        <v>2572</v>
      </c>
      <c r="F112" s="211" t="s">
        <v>2573</v>
      </c>
      <c r="G112" s="212" t="s">
        <v>280</v>
      </c>
      <c r="H112" s="213">
        <v>45</v>
      </c>
      <c r="I112" s="214"/>
      <c r="J112" s="215">
        <f>ROUND(I112*H112,1)</f>
        <v>0</v>
      </c>
      <c r="K112" s="211" t="s">
        <v>32</v>
      </c>
      <c r="L112" s="46"/>
      <c r="M112" s="216" t="s">
        <v>32</v>
      </c>
      <c r="N112" s="217" t="s">
        <v>49</v>
      </c>
      <c r="O112" s="86"/>
      <c r="P112" s="218">
        <f>O112*H112</f>
        <v>0</v>
      </c>
      <c r="Q112" s="218">
        <v>0</v>
      </c>
      <c r="R112" s="218">
        <f>Q112*H112</f>
        <v>0</v>
      </c>
      <c r="S112" s="218">
        <v>0</v>
      </c>
      <c r="T112" s="219">
        <f>S112*H112</f>
        <v>0</v>
      </c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R112" s="220" t="s">
        <v>207</v>
      </c>
      <c r="AT112" s="220" t="s">
        <v>202</v>
      </c>
      <c r="AU112" s="220" t="s">
        <v>78</v>
      </c>
      <c r="AY112" s="18" t="s">
        <v>200</v>
      </c>
      <c r="BE112" s="221">
        <f>IF(N112="základní",J112,0)</f>
        <v>0</v>
      </c>
      <c r="BF112" s="221">
        <f>IF(N112="snížená",J112,0)</f>
        <v>0</v>
      </c>
      <c r="BG112" s="221">
        <f>IF(N112="zákl. přenesená",J112,0)</f>
        <v>0</v>
      </c>
      <c r="BH112" s="221">
        <f>IF(N112="sníž. přenesená",J112,0)</f>
        <v>0</v>
      </c>
      <c r="BI112" s="221">
        <f>IF(N112="nulová",J112,0)</f>
        <v>0</v>
      </c>
      <c r="BJ112" s="18" t="s">
        <v>86</v>
      </c>
      <c r="BK112" s="221">
        <f>ROUND(I112*H112,1)</f>
        <v>0</v>
      </c>
      <c r="BL112" s="18" t="s">
        <v>207</v>
      </c>
      <c r="BM112" s="220" t="s">
        <v>676</v>
      </c>
    </row>
    <row r="113" s="2" customFormat="1" ht="16.5" customHeight="1">
      <c r="A113" s="40"/>
      <c r="B113" s="41"/>
      <c r="C113" s="209" t="s">
        <v>440</v>
      </c>
      <c r="D113" s="209" t="s">
        <v>202</v>
      </c>
      <c r="E113" s="210" t="s">
        <v>2574</v>
      </c>
      <c r="F113" s="211" t="s">
        <v>2575</v>
      </c>
      <c r="G113" s="212" t="s">
        <v>280</v>
      </c>
      <c r="H113" s="213">
        <v>35</v>
      </c>
      <c r="I113" s="214"/>
      <c r="J113" s="215">
        <f>ROUND(I113*H113,1)</f>
        <v>0</v>
      </c>
      <c r="K113" s="211" t="s">
        <v>32</v>
      </c>
      <c r="L113" s="46"/>
      <c r="M113" s="216" t="s">
        <v>32</v>
      </c>
      <c r="N113" s="217" t="s">
        <v>49</v>
      </c>
      <c r="O113" s="86"/>
      <c r="P113" s="218">
        <f>O113*H113</f>
        <v>0</v>
      </c>
      <c r="Q113" s="218">
        <v>0</v>
      </c>
      <c r="R113" s="218">
        <f>Q113*H113</f>
        <v>0</v>
      </c>
      <c r="S113" s="218">
        <v>0</v>
      </c>
      <c r="T113" s="219">
        <f>S113*H113</f>
        <v>0</v>
      </c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R113" s="220" t="s">
        <v>207</v>
      </c>
      <c r="AT113" s="220" t="s">
        <v>202</v>
      </c>
      <c r="AU113" s="220" t="s">
        <v>78</v>
      </c>
      <c r="AY113" s="18" t="s">
        <v>200</v>
      </c>
      <c r="BE113" s="221">
        <f>IF(N113="základní",J113,0)</f>
        <v>0</v>
      </c>
      <c r="BF113" s="221">
        <f>IF(N113="snížená",J113,0)</f>
        <v>0</v>
      </c>
      <c r="BG113" s="221">
        <f>IF(N113="zákl. přenesená",J113,0)</f>
        <v>0</v>
      </c>
      <c r="BH113" s="221">
        <f>IF(N113="sníž. přenesená",J113,0)</f>
        <v>0</v>
      </c>
      <c r="BI113" s="221">
        <f>IF(N113="nulová",J113,0)</f>
        <v>0</v>
      </c>
      <c r="BJ113" s="18" t="s">
        <v>86</v>
      </c>
      <c r="BK113" s="221">
        <f>ROUND(I113*H113,1)</f>
        <v>0</v>
      </c>
      <c r="BL113" s="18" t="s">
        <v>207</v>
      </c>
      <c r="BM113" s="220" t="s">
        <v>693</v>
      </c>
    </row>
    <row r="114" s="2" customFormat="1" ht="16.5" customHeight="1">
      <c r="A114" s="40"/>
      <c r="B114" s="41"/>
      <c r="C114" s="209" t="s">
        <v>446</v>
      </c>
      <c r="D114" s="209" t="s">
        <v>202</v>
      </c>
      <c r="E114" s="210" t="s">
        <v>2576</v>
      </c>
      <c r="F114" s="211" t="s">
        <v>2577</v>
      </c>
      <c r="G114" s="212" t="s">
        <v>280</v>
      </c>
      <c r="H114" s="213">
        <v>5</v>
      </c>
      <c r="I114" s="214"/>
      <c r="J114" s="215">
        <f>ROUND(I114*H114,1)</f>
        <v>0</v>
      </c>
      <c r="K114" s="211" t="s">
        <v>32</v>
      </c>
      <c r="L114" s="46"/>
      <c r="M114" s="216" t="s">
        <v>32</v>
      </c>
      <c r="N114" s="217" t="s">
        <v>49</v>
      </c>
      <c r="O114" s="86"/>
      <c r="P114" s="218">
        <f>O114*H114</f>
        <v>0</v>
      </c>
      <c r="Q114" s="218">
        <v>0</v>
      </c>
      <c r="R114" s="218">
        <f>Q114*H114</f>
        <v>0</v>
      </c>
      <c r="S114" s="218">
        <v>0</v>
      </c>
      <c r="T114" s="219">
        <f>S114*H114</f>
        <v>0</v>
      </c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0" t="s">
        <v>207</v>
      </c>
      <c r="AT114" s="220" t="s">
        <v>202</v>
      </c>
      <c r="AU114" s="220" t="s">
        <v>78</v>
      </c>
      <c r="AY114" s="18" t="s">
        <v>200</v>
      </c>
      <c r="BE114" s="221">
        <f>IF(N114="základní",J114,0)</f>
        <v>0</v>
      </c>
      <c r="BF114" s="221">
        <f>IF(N114="snížená",J114,0)</f>
        <v>0</v>
      </c>
      <c r="BG114" s="221">
        <f>IF(N114="zákl. přenesená",J114,0)</f>
        <v>0</v>
      </c>
      <c r="BH114" s="221">
        <f>IF(N114="sníž. přenesená",J114,0)</f>
        <v>0</v>
      </c>
      <c r="BI114" s="221">
        <f>IF(N114="nulová",J114,0)</f>
        <v>0</v>
      </c>
      <c r="BJ114" s="18" t="s">
        <v>86</v>
      </c>
      <c r="BK114" s="221">
        <f>ROUND(I114*H114,1)</f>
        <v>0</v>
      </c>
      <c r="BL114" s="18" t="s">
        <v>207</v>
      </c>
      <c r="BM114" s="220" t="s">
        <v>703</v>
      </c>
    </row>
    <row r="115" s="2" customFormat="1" ht="16.5" customHeight="1">
      <c r="A115" s="40"/>
      <c r="B115" s="41"/>
      <c r="C115" s="209" t="s">
        <v>453</v>
      </c>
      <c r="D115" s="209" t="s">
        <v>202</v>
      </c>
      <c r="E115" s="210" t="s">
        <v>2578</v>
      </c>
      <c r="F115" s="211" t="s">
        <v>2579</v>
      </c>
      <c r="G115" s="212" t="s">
        <v>280</v>
      </c>
      <c r="H115" s="213">
        <v>290</v>
      </c>
      <c r="I115" s="214"/>
      <c r="J115" s="215">
        <f>ROUND(I115*H115,1)</f>
        <v>0</v>
      </c>
      <c r="K115" s="211" t="s">
        <v>32</v>
      </c>
      <c r="L115" s="46"/>
      <c r="M115" s="216" t="s">
        <v>32</v>
      </c>
      <c r="N115" s="217" t="s">
        <v>49</v>
      </c>
      <c r="O115" s="86"/>
      <c r="P115" s="218">
        <f>O115*H115</f>
        <v>0</v>
      </c>
      <c r="Q115" s="218">
        <v>0</v>
      </c>
      <c r="R115" s="218">
        <f>Q115*H115</f>
        <v>0</v>
      </c>
      <c r="S115" s="218">
        <v>0</v>
      </c>
      <c r="T115" s="219">
        <f>S115*H115</f>
        <v>0</v>
      </c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0" t="s">
        <v>207</v>
      </c>
      <c r="AT115" s="220" t="s">
        <v>202</v>
      </c>
      <c r="AU115" s="220" t="s">
        <v>78</v>
      </c>
      <c r="AY115" s="18" t="s">
        <v>200</v>
      </c>
      <c r="BE115" s="221">
        <f>IF(N115="základní",J115,0)</f>
        <v>0</v>
      </c>
      <c r="BF115" s="221">
        <f>IF(N115="snížená",J115,0)</f>
        <v>0</v>
      </c>
      <c r="BG115" s="221">
        <f>IF(N115="zákl. přenesená",J115,0)</f>
        <v>0</v>
      </c>
      <c r="BH115" s="221">
        <f>IF(N115="sníž. přenesená",J115,0)</f>
        <v>0</v>
      </c>
      <c r="BI115" s="221">
        <f>IF(N115="nulová",J115,0)</f>
        <v>0</v>
      </c>
      <c r="BJ115" s="18" t="s">
        <v>86</v>
      </c>
      <c r="BK115" s="221">
        <f>ROUND(I115*H115,1)</f>
        <v>0</v>
      </c>
      <c r="BL115" s="18" t="s">
        <v>207</v>
      </c>
      <c r="BM115" s="220" t="s">
        <v>717</v>
      </c>
    </row>
    <row r="116" s="2" customFormat="1" ht="16.5" customHeight="1">
      <c r="A116" s="40"/>
      <c r="B116" s="41"/>
      <c r="C116" s="209" t="s">
        <v>459</v>
      </c>
      <c r="D116" s="209" t="s">
        <v>202</v>
      </c>
      <c r="E116" s="210" t="s">
        <v>2580</v>
      </c>
      <c r="F116" s="211" t="s">
        <v>2581</v>
      </c>
      <c r="G116" s="212" t="s">
        <v>280</v>
      </c>
      <c r="H116" s="213">
        <v>85</v>
      </c>
      <c r="I116" s="214"/>
      <c r="J116" s="215">
        <f>ROUND(I116*H116,1)</f>
        <v>0</v>
      </c>
      <c r="K116" s="211" t="s">
        <v>32</v>
      </c>
      <c r="L116" s="46"/>
      <c r="M116" s="216" t="s">
        <v>32</v>
      </c>
      <c r="N116" s="217" t="s">
        <v>49</v>
      </c>
      <c r="O116" s="86"/>
      <c r="P116" s="218">
        <f>O116*H116</f>
        <v>0</v>
      </c>
      <c r="Q116" s="218">
        <v>0</v>
      </c>
      <c r="R116" s="218">
        <f>Q116*H116</f>
        <v>0</v>
      </c>
      <c r="S116" s="218">
        <v>0</v>
      </c>
      <c r="T116" s="219">
        <f>S116*H116</f>
        <v>0</v>
      </c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0" t="s">
        <v>207</v>
      </c>
      <c r="AT116" s="220" t="s">
        <v>202</v>
      </c>
      <c r="AU116" s="220" t="s">
        <v>78</v>
      </c>
      <c r="AY116" s="18" t="s">
        <v>200</v>
      </c>
      <c r="BE116" s="221">
        <f>IF(N116="základní",J116,0)</f>
        <v>0</v>
      </c>
      <c r="BF116" s="221">
        <f>IF(N116="snížená",J116,0)</f>
        <v>0</v>
      </c>
      <c r="BG116" s="221">
        <f>IF(N116="zákl. přenesená",J116,0)</f>
        <v>0</v>
      </c>
      <c r="BH116" s="221">
        <f>IF(N116="sníž. přenesená",J116,0)</f>
        <v>0</v>
      </c>
      <c r="BI116" s="221">
        <f>IF(N116="nulová",J116,0)</f>
        <v>0</v>
      </c>
      <c r="BJ116" s="18" t="s">
        <v>86</v>
      </c>
      <c r="BK116" s="221">
        <f>ROUND(I116*H116,1)</f>
        <v>0</v>
      </c>
      <c r="BL116" s="18" t="s">
        <v>207</v>
      </c>
      <c r="BM116" s="220" t="s">
        <v>732</v>
      </c>
    </row>
    <row r="117" s="2" customFormat="1" ht="16.5" customHeight="1">
      <c r="A117" s="40"/>
      <c r="B117" s="41"/>
      <c r="C117" s="209" t="s">
        <v>465</v>
      </c>
      <c r="D117" s="209" t="s">
        <v>202</v>
      </c>
      <c r="E117" s="210" t="s">
        <v>2582</v>
      </c>
      <c r="F117" s="211" t="s">
        <v>2583</v>
      </c>
      <c r="G117" s="212" t="s">
        <v>280</v>
      </c>
      <c r="H117" s="213">
        <v>75</v>
      </c>
      <c r="I117" s="214"/>
      <c r="J117" s="215">
        <f>ROUND(I117*H117,1)</f>
        <v>0</v>
      </c>
      <c r="K117" s="211" t="s">
        <v>32</v>
      </c>
      <c r="L117" s="46"/>
      <c r="M117" s="216" t="s">
        <v>32</v>
      </c>
      <c r="N117" s="217" t="s">
        <v>49</v>
      </c>
      <c r="O117" s="86"/>
      <c r="P117" s="218">
        <f>O117*H117</f>
        <v>0</v>
      </c>
      <c r="Q117" s="218">
        <v>0</v>
      </c>
      <c r="R117" s="218">
        <f>Q117*H117</f>
        <v>0</v>
      </c>
      <c r="S117" s="218">
        <v>0</v>
      </c>
      <c r="T117" s="219">
        <f>S117*H117</f>
        <v>0</v>
      </c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R117" s="220" t="s">
        <v>207</v>
      </c>
      <c r="AT117" s="220" t="s">
        <v>202</v>
      </c>
      <c r="AU117" s="220" t="s">
        <v>78</v>
      </c>
      <c r="AY117" s="18" t="s">
        <v>200</v>
      </c>
      <c r="BE117" s="221">
        <f>IF(N117="základní",J117,0)</f>
        <v>0</v>
      </c>
      <c r="BF117" s="221">
        <f>IF(N117="snížená",J117,0)</f>
        <v>0</v>
      </c>
      <c r="BG117" s="221">
        <f>IF(N117="zákl. přenesená",J117,0)</f>
        <v>0</v>
      </c>
      <c r="BH117" s="221">
        <f>IF(N117="sníž. přenesená",J117,0)</f>
        <v>0</v>
      </c>
      <c r="BI117" s="221">
        <f>IF(N117="nulová",J117,0)</f>
        <v>0</v>
      </c>
      <c r="BJ117" s="18" t="s">
        <v>86</v>
      </c>
      <c r="BK117" s="221">
        <f>ROUND(I117*H117,1)</f>
        <v>0</v>
      </c>
      <c r="BL117" s="18" t="s">
        <v>207</v>
      </c>
      <c r="BM117" s="220" t="s">
        <v>743</v>
      </c>
    </row>
    <row r="118" s="2" customFormat="1" ht="16.5" customHeight="1">
      <c r="A118" s="40"/>
      <c r="B118" s="41"/>
      <c r="C118" s="209" t="s">
        <v>471</v>
      </c>
      <c r="D118" s="209" t="s">
        <v>202</v>
      </c>
      <c r="E118" s="210" t="s">
        <v>2584</v>
      </c>
      <c r="F118" s="211" t="s">
        <v>2585</v>
      </c>
      <c r="G118" s="212" t="s">
        <v>280</v>
      </c>
      <c r="H118" s="213">
        <v>30</v>
      </c>
      <c r="I118" s="214"/>
      <c r="J118" s="215">
        <f>ROUND(I118*H118,1)</f>
        <v>0</v>
      </c>
      <c r="K118" s="211" t="s">
        <v>32</v>
      </c>
      <c r="L118" s="46"/>
      <c r="M118" s="216" t="s">
        <v>32</v>
      </c>
      <c r="N118" s="217" t="s">
        <v>49</v>
      </c>
      <c r="O118" s="86"/>
      <c r="P118" s="218">
        <f>O118*H118</f>
        <v>0</v>
      </c>
      <c r="Q118" s="218">
        <v>0</v>
      </c>
      <c r="R118" s="218">
        <f>Q118*H118</f>
        <v>0</v>
      </c>
      <c r="S118" s="218">
        <v>0</v>
      </c>
      <c r="T118" s="219">
        <f>S118*H118</f>
        <v>0</v>
      </c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R118" s="220" t="s">
        <v>207</v>
      </c>
      <c r="AT118" s="220" t="s">
        <v>202</v>
      </c>
      <c r="AU118" s="220" t="s">
        <v>78</v>
      </c>
      <c r="AY118" s="18" t="s">
        <v>200</v>
      </c>
      <c r="BE118" s="221">
        <f>IF(N118="základní",J118,0)</f>
        <v>0</v>
      </c>
      <c r="BF118" s="221">
        <f>IF(N118="snížená",J118,0)</f>
        <v>0</v>
      </c>
      <c r="BG118" s="221">
        <f>IF(N118="zákl. přenesená",J118,0)</f>
        <v>0</v>
      </c>
      <c r="BH118" s="221">
        <f>IF(N118="sníž. přenesená",J118,0)</f>
        <v>0</v>
      </c>
      <c r="BI118" s="221">
        <f>IF(N118="nulová",J118,0)</f>
        <v>0</v>
      </c>
      <c r="BJ118" s="18" t="s">
        <v>86</v>
      </c>
      <c r="BK118" s="221">
        <f>ROUND(I118*H118,1)</f>
        <v>0</v>
      </c>
      <c r="BL118" s="18" t="s">
        <v>207</v>
      </c>
      <c r="BM118" s="220" t="s">
        <v>755</v>
      </c>
    </row>
    <row r="119" s="2" customFormat="1" ht="16.5" customHeight="1">
      <c r="A119" s="40"/>
      <c r="B119" s="41"/>
      <c r="C119" s="209" t="s">
        <v>476</v>
      </c>
      <c r="D119" s="209" t="s">
        <v>202</v>
      </c>
      <c r="E119" s="210" t="s">
        <v>2586</v>
      </c>
      <c r="F119" s="211" t="s">
        <v>2587</v>
      </c>
      <c r="G119" s="212" t="s">
        <v>280</v>
      </c>
      <c r="H119" s="213">
        <v>40</v>
      </c>
      <c r="I119" s="214"/>
      <c r="J119" s="215">
        <f>ROUND(I119*H119,1)</f>
        <v>0</v>
      </c>
      <c r="K119" s="211" t="s">
        <v>32</v>
      </c>
      <c r="L119" s="46"/>
      <c r="M119" s="216" t="s">
        <v>32</v>
      </c>
      <c r="N119" s="217" t="s">
        <v>49</v>
      </c>
      <c r="O119" s="86"/>
      <c r="P119" s="218">
        <f>O119*H119</f>
        <v>0</v>
      </c>
      <c r="Q119" s="218">
        <v>0</v>
      </c>
      <c r="R119" s="218">
        <f>Q119*H119</f>
        <v>0</v>
      </c>
      <c r="S119" s="218">
        <v>0</v>
      </c>
      <c r="T119" s="219">
        <f>S119*H119</f>
        <v>0</v>
      </c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0" t="s">
        <v>207</v>
      </c>
      <c r="AT119" s="220" t="s">
        <v>202</v>
      </c>
      <c r="AU119" s="220" t="s">
        <v>78</v>
      </c>
      <c r="AY119" s="18" t="s">
        <v>200</v>
      </c>
      <c r="BE119" s="221">
        <f>IF(N119="základní",J119,0)</f>
        <v>0</v>
      </c>
      <c r="BF119" s="221">
        <f>IF(N119="snížená",J119,0)</f>
        <v>0</v>
      </c>
      <c r="BG119" s="221">
        <f>IF(N119="zákl. přenesená",J119,0)</f>
        <v>0</v>
      </c>
      <c r="BH119" s="221">
        <f>IF(N119="sníž. přenesená",J119,0)</f>
        <v>0</v>
      </c>
      <c r="BI119" s="221">
        <f>IF(N119="nulová",J119,0)</f>
        <v>0</v>
      </c>
      <c r="BJ119" s="18" t="s">
        <v>86</v>
      </c>
      <c r="BK119" s="221">
        <f>ROUND(I119*H119,1)</f>
        <v>0</v>
      </c>
      <c r="BL119" s="18" t="s">
        <v>207</v>
      </c>
      <c r="BM119" s="220" t="s">
        <v>766</v>
      </c>
    </row>
    <row r="120" s="2" customFormat="1" ht="16.5" customHeight="1">
      <c r="A120" s="40"/>
      <c r="B120" s="41"/>
      <c r="C120" s="209" t="s">
        <v>482</v>
      </c>
      <c r="D120" s="209" t="s">
        <v>202</v>
      </c>
      <c r="E120" s="210" t="s">
        <v>2588</v>
      </c>
      <c r="F120" s="211" t="s">
        <v>2589</v>
      </c>
      <c r="G120" s="212" t="s">
        <v>280</v>
      </c>
      <c r="H120" s="213">
        <v>30</v>
      </c>
      <c r="I120" s="214"/>
      <c r="J120" s="215">
        <f>ROUND(I120*H120,1)</f>
        <v>0</v>
      </c>
      <c r="K120" s="211" t="s">
        <v>32</v>
      </c>
      <c r="L120" s="46"/>
      <c r="M120" s="216" t="s">
        <v>32</v>
      </c>
      <c r="N120" s="217" t="s">
        <v>49</v>
      </c>
      <c r="O120" s="86"/>
      <c r="P120" s="218">
        <f>O120*H120</f>
        <v>0</v>
      </c>
      <c r="Q120" s="218">
        <v>0</v>
      </c>
      <c r="R120" s="218">
        <f>Q120*H120</f>
        <v>0</v>
      </c>
      <c r="S120" s="218">
        <v>0</v>
      </c>
      <c r="T120" s="219">
        <f>S120*H120</f>
        <v>0</v>
      </c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0" t="s">
        <v>207</v>
      </c>
      <c r="AT120" s="220" t="s">
        <v>202</v>
      </c>
      <c r="AU120" s="220" t="s">
        <v>78</v>
      </c>
      <c r="AY120" s="18" t="s">
        <v>200</v>
      </c>
      <c r="BE120" s="221">
        <f>IF(N120="základní",J120,0)</f>
        <v>0</v>
      </c>
      <c r="BF120" s="221">
        <f>IF(N120="snížená",J120,0)</f>
        <v>0</v>
      </c>
      <c r="BG120" s="221">
        <f>IF(N120="zákl. přenesená",J120,0)</f>
        <v>0</v>
      </c>
      <c r="BH120" s="221">
        <f>IF(N120="sníž. přenesená",J120,0)</f>
        <v>0</v>
      </c>
      <c r="BI120" s="221">
        <f>IF(N120="nulová",J120,0)</f>
        <v>0</v>
      </c>
      <c r="BJ120" s="18" t="s">
        <v>86</v>
      </c>
      <c r="BK120" s="221">
        <f>ROUND(I120*H120,1)</f>
        <v>0</v>
      </c>
      <c r="BL120" s="18" t="s">
        <v>207</v>
      </c>
      <c r="BM120" s="220" t="s">
        <v>779</v>
      </c>
    </row>
    <row r="121" s="2" customFormat="1" ht="16.5" customHeight="1">
      <c r="A121" s="40"/>
      <c r="B121" s="41"/>
      <c r="C121" s="209" t="s">
        <v>511</v>
      </c>
      <c r="D121" s="209" t="s">
        <v>202</v>
      </c>
      <c r="E121" s="210" t="s">
        <v>2590</v>
      </c>
      <c r="F121" s="211" t="s">
        <v>2591</v>
      </c>
      <c r="G121" s="212" t="s">
        <v>272</v>
      </c>
      <c r="H121" s="213">
        <v>5</v>
      </c>
      <c r="I121" s="214"/>
      <c r="J121" s="215">
        <f>ROUND(I121*H121,1)</f>
        <v>0</v>
      </c>
      <c r="K121" s="211" t="s">
        <v>32</v>
      </c>
      <c r="L121" s="46"/>
      <c r="M121" s="216" t="s">
        <v>32</v>
      </c>
      <c r="N121" s="217" t="s">
        <v>49</v>
      </c>
      <c r="O121" s="86"/>
      <c r="P121" s="218">
        <f>O121*H121</f>
        <v>0</v>
      </c>
      <c r="Q121" s="218">
        <v>0</v>
      </c>
      <c r="R121" s="218">
        <f>Q121*H121</f>
        <v>0</v>
      </c>
      <c r="S121" s="218">
        <v>0</v>
      </c>
      <c r="T121" s="219">
        <f>S121*H121</f>
        <v>0</v>
      </c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R121" s="220" t="s">
        <v>207</v>
      </c>
      <c r="AT121" s="220" t="s">
        <v>202</v>
      </c>
      <c r="AU121" s="220" t="s">
        <v>78</v>
      </c>
      <c r="AY121" s="18" t="s">
        <v>200</v>
      </c>
      <c r="BE121" s="221">
        <f>IF(N121="základní",J121,0)</f>
        <v>0</v>
      </c>
      <c r="BF121" s="221">
        <f>IF(N121="snížená",J121,0)</f>
        <v>0</v>
      </c>
      <c r="BG121" s="221">
        <f>IF(N121="zákl. přenesená",J121,0)</f>
        <v>0</v>
      </c>
      <c r="BH121" s="221">
        <f>IF(N121="sníž. přenesená",J121,0)</f>
        <v>0</v>
      </c>
      <c r="BI121" s="221">
        <f>IF(N121="nulová",J121,0)</f>
        <v>0</v>
      </c>
      <c r="BJ121" s="18" t="s">
        <v>86</v>
      </c>
      <c r="BK121" s="221">
        <f>ROUND(I121*H121,1)</f>
        <v>0</v>
      </c>
      <c r="BL121" s="18" t="s">
        <v>207</v>
      </c>
      <c r="BM121" s="220" t="s">
        <v>791</v>
      </c>
    </row>
    <row r="122" s="2" customFormat="1" ht="16.5" customHeight="1">
      <c r="A122" s="40"/>
      <c r="B122" s="41"/>
      <c r="C122" s="209" t="s">
        <v>523</v>
      </c>
      <c r="D122" s="209" t="s">
        <v>202</v>
      </c>
      <c r="E122" s="210" t="s">
        <v>2592</v>
      </c>
      <c r="F122" s="211" t="s">
        <v>2593</v>
      </c>
      <c r="G122" s="212" t="s">
        <v>272</v>
      </c>
      <c r="H122" s="213">
        <v>1.5</v>
      </c>
      <c r="I122" s="214"/>
      <c r="J122" s="215">
        <f>ROUND(I122*H122,1)</f>
        <v>0</v>
      </c>
      <c r="K122" s="211" t="s">
        <v>32</v>
      </c>
      <c r="L122" s="46"/>
      <c r="M122" s="216" t="s">
        <v>32</v>
      </c>
      <c r="N122" s="217" t="s">
        <v>49</v>
      </c>
      <c r="O122" s="86"/>
      <c r="P122" s="218">
        <f>O122*H122</f>
        <v>0</v>
      </c>
      <c r="Q122" s="218">
        <v>0</v>
      </c>
      <c r="R122" s="218">
        <f>Q122*H122</f>
        <v>0</v>
      </c>
      <c r="S122" s="218">
        <v>0</v>
      </c>
      <c r="T122" s="219">
        <f>S122*H122</f>
        <v>0</v>
      </c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0" t="s">
        <v>207</v>
      </c>
      <c r="AT122" s="220" t="s">
        <v>202</v>
      </c>
      <c r="AU122" s="220" t="s">
        <v>78</v>
      </c>
      <c r="AY122" s="18" t="s">
        <v>200</v>
      </c>
      <c r="BE122" s="221">
        <f>IF(N122="základní",J122,0)</f>
        <v>0</v>
      </c>
      <c r="BF122" s="221">
        <f>IF(N122="snížená",J122,0)</f>
        <v>0</v>
      </c>
      <c r="BG122" s="221">
        <f>IF(N122="zákl. přenesená",J122,0)</f>
        <v>0</v>
      </c>
      <c r="BH122" s="221">
        <f>IF(N122="sníž. přenesená",J122,0)</f>
        <v>0</v>
      </c>
      <c r="BI122" s="221">
        <f>IF(N122="nulová",J122,0)</f>
        <v>0</v>
      </c>
      <c r="BJ122" s="18" t="s">
        <v>86</v>
      </c>
      <c r="BK122" s="221">
        <f>ROUND(I122*H122,1)</f>
        <v>0</v>
      </c>
      <c r="BL122" s="18" t="s">
        <v>207</v>
      </c>
      <c r="BM122" s="220" t="s">
        <v>803</v>
      </c>
    </row>
    <row r="123" s="2" customFormat="1" ht="16.5" customHeight="1">
      <c r="A123" s="40"/>
      <c r="B123" s="41"/>
      <c r="C123" s="209" t="s">
        <v>528</v>
      </c>
      <c r="D123" s="209" t="s">
        <v>202</v>
      </c>
      <c r="E123" s="210" t="s">
        <v>2594</v>
      </c>
      <c r="F123" s="211" t="s">
        <v>2595</v>
      </c>
      <c r="G123" s="212" t="s">
        <v>1732</v>
      </c>
      <c r="H123" s="213">
        <v>150</v>
      </c>
      <c r="I123" s="214"/>
      <c r="J123" s="215">
        <f>ROUND(I123*H123,1)</f>
        <v>0</v>
      </c>
      <c r="K123" s="211" t="s">
        <v>32</v>
      </c>
      <c r="L123" s="46"/>
      <c r="M123" s="216" t="s">
        <v>32</v>
      </c>
      <c r="N123" s="217" t="s">
        <v>49</v>
      </c>
      <c r="O123" s="86"/>
      <c r="P123" s="218">
        <f>O123*H123</f>
        <v>0</v>
      </c>
      <c r="Q123" s="218">
        <v>0</v>
      </c>
      <c r="R123" s="218">
        <f>Q123*H123</f>
        <v>0</v>
      </c>
      <c r="S123" s="218">
        <v>0</v>
      </c>
      <c r="T123" s="219">
        <f>S123*H123</f>
        <v>0</v>
      </c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0" t="s">
        <v>207</v>
      </c>
      <c r="AT123" s="220" t="s">
        <v>202</v>
      </c>
      <c r="AU123" s="220" t="s">
        <v>78</v>
      </c>
      <c r="AY123" s="18" t="s">
        <v>200</v>
      </c>
      <c r="BE123" s="221">
        <f>IF(N123="základní",J123,0)</f>
        <v>0</v>
      </c>
      <c r="BF123" s="221">
        <f>IF(N123="snížená",J123,0)</f>
        <v>0</v>
      </c>
      <c r="BG123" s="221">
        <f>IF(N123="zákl. přenesená",J123,0)</f>
        <v>0</v>
      </c>
      <c r="BH123" s="221">
        <f>IF(N123="sníž. přenesená",J123,0)</f>
        <v>0</v>
      </c>
      <c r="BI123" s="221">
        <f>IF(N123="nulová",J123,0)</f>
        <v>0</v>
      </c>
      <c r="BJ123" s="18" t="s">
        <v>86</v>
      </c>
      <c r="BK123" s="221">
        <f>ROUND(I123*H123,1)</f>
        <v>0</v>
      </c>
      <c r="BL123" s="18" t="s">
        <v>207</v>
      </c>
      <c r="BM123" s="220" t="s">
        <v>835</v>
      </c>
    </row>
    <row r="124" s="2" customFormat="1" ht="16.5" customHeight="1">
      <c r="A124" s="40"/>
      <c r="B124" s="41"/>
      <c r="C124" s="209" t="s">
        <v>534</v>
      </c>
      <c r="D124" s="209" t="s">
        <v>202</v>
      </c>
      <c r="E124" s="210" t="s">
        <v>2596</v>
      </c>
      <c r="F124" s="211" t="s">
        <v>2597</v>
      </c>
      <c r="G124" s="212" t="s">
        <v>272</v>
      </c>
      <c r="H124" s="213">
        <v>7</v>
      </c>
      <c r="I124" s="214"/>
      <c r="J124" s="215">
        <f>ROUND(I124*H124,1)</f>
        <v>0</v>
      </c>
      <c r="K124" s="211" t="s">
        <v>32</v>
      </c>
      <c r="L124" s="46"/>
      <c r="M124" s="216" t="s">
        <v>32</v>
      </c>
      <c r="N124" s="217" t="s">
        <v>49</v>
      </c>
      <c r="O124" s="86"/>
      <c r="P124" s="218">
        <f>O124*H124</f>
        <v>0</v>
      </c>
      <c r="Q124" s="218">
        <v>0</v>
      </c>
      <c r="R124" s="218">
        <f>Q124*H124</f>
        <v>0</v>
      </c>
      <c r="S124" s="218">
        <v>0</v>
      </c>
      <c r="T124" s="219">
        <f>S124*H124</f>
        <v>0</v>
      </c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0" t="s">
        <v>207</v>
      </c>
      <c r="AT124" s="220" t="s">
        <v>202</v>
      </c>
      <c r="AU124" s="220" t="s">
        <v>78</v>
      </c>
      <c r="AY124" s="18" t="s">
        <v>200</v>
      </c>
      <c r="BE124" s="221">
        <f>IF(N124="základní",J124,0)</f>
        <v>0</v>
      </c>
      <c r="BF124" s="221">
        <f>IF(N124="snížená",J124,0)</f>
        <v>0</v>
      </c>
      <c r="BG124" s="221">
        <f>IF(N124="zákl. přenesená",J124,0)</f>
        <v>0</v>
      </c>
      <c r="BH124" s="221">
        <f>IF(N124="sníž. přenesená",J124,0)</f>
        <v>0</v>
      </c>
      <c r="BI124" s="221">
        <f>IF(N124="nulová",J124,0)</f>
        <v>0</v>
      </c>
      <c r="BJ124" s="18" t="s">
        <v>86</v>
      </c>
      <c r="BK124" s="221">
        <f>ROUND(I124*H124,1)</f>
        <v>0</v>
      </c>
      <c r="BL124" s="18" t="s">
        <v>207</v>
      </c>
      <c r="BM124" s="220" t="s">
        <v>844</v>
      </c>
    </row>
    <row r="125" s="2" customFormat="1" ht="16.5" customHeight="1">
      <c r="A125" s="40"/>
      <c r="B125" s="41"/>
      <c r="C125" s="209" t="s">
        <v>542</v>
      </c>
      <c r="D125" s="209" t="s">
        <v>202</v>
      </c>
      <c r="E125" s="210" t="s">
        <v>2598</v>
      </c>
      <c r="F125" s="211" t="s">
        <v>2599</v>
      </c>
      <c r="G125" s="212" t="s">
        <v>272</v>
      </c>
      <c r="H125" s="213">
        <v>2</v>
      </c>
      <c r="I125" s="214"/>
      <c r="J125" s="215">
        <f>ROUND(I125*H125,1)</f>
        <v>0</v>
      </c>
      <c r="K125" s="211" t="s">
        <v>32</v>
      </c>
      <c r="L125" s="46"/>
      <c r="M125" s="216" t="s">
        <v>32</v>
      </c>
      <c r="N125" s="217" t="s">
        <v>49</v>
      </c>
      <c r="O125" s="86"/>
      <c r="P125" s="218">
        <f>O125*H125</f>
        <v>0</v>
      </c>
      <c r="Q125" s="218">
        <v>0</v>
      </c>
      <c r="R125" s="218">
        <f>Q125*H125</f>
        <v>0</v>
      </c>
      <c r="S125" s="218">
        <v>0</v>
      </c>
      <c r="T125" s="219">
        <f>S125*H125</f>
        <v>0</v>
      </c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0" t="s">
        <v>207</v>
      </c>
      <c r="AT125" s="220" t="s">
        <v>202</v>
      </c>
      <c r="AU125" s="220" t="s">
        <v>78</v>
      </c>
      <c r="AY125" s="18" t="s">
        <v>200</v>
      </c>
      <c r="BE125" s="221">
        <f>IF(N125="základní",J125,0)</f>
        <v>0</v>
      </c>
      <c r="BF125" s="221">
        <f>IF(N125="snížená",J125,0)</f>
        <v>0</v>
      </c>
      <c r="BG125" s="221">
        <f>IF(N125="zákl. přenesená",J125,0)</f>
        <v>0</v>
      </c>
      <c r="BH125" s="221">
        <f>IF(N125="sníž. přenesená",J125,0)</f>
        <v>0</v>
      </c>
      <c r="BI125" s="221">
        <f>IF(N125="nulová",J125,0)</f>
        <v>0</v>
      </c>
      <c r="BJ125" s="18" t="s">
        <v>86</v>
      </c>
      <c r="BK125" s="221">
        <f>ROUND(I125*H125,1)</f>
        <v>0</v>
      </c>
      <c r="BL125" s="18" t="s">
        <v>207</v>
      </c>
      <c r="BM125" s="220" t="s">
        <v>856</v>
      </c>
    </row>
    <row r="126" s="2" customFormat="1" ht="16.5" customHeight="1">
      <c r="A126" s="40"/>
      <c r="B126" s="41"/>
      <c r="C126" s="209" t="s">
        <v>549</v>
      </c>
      <c r="D126" s="209" t="s">
        <v>202</v>
      </c>
      <c r="E126" s="210" t="s">
        <v>2600</v>
      </c>
      <c r="F126" s="211" t="s">
        <v>2601</v>
      </c>
      <c r="G126" s="212" t="s">
        <v>280</v>
      </c>
      <c r="H126" s="213">
        <v>8950</v>
      </c>
      <c r="I126" s="214"/>
      <c r="J126" s="215">
        <f>ROUND(I126*H126,1)</f>
        <v>0</v>
      </c>
      <c r="K126" s="211" t="s">
        <v>32</v>
      </c>
      <c r="L126" s="46"/>
      <c r="M126" s="216" t="s">
        <v>32</v>
      </c>
      <c r="N126" s="217" t="s">
        <v>49</v>
      </c>
      <c r="O126" s="86"/>
      <c r="P126" s="218">
        <f>O126*H126</f>
        <v>0</v>
      </c>
      <c r="Q126" s="218">
        <v>0</v>
      </c>
      <c r="R126" s="218">
        <f>Q126*H126</f>
        <v>0</v>
      </c>
      <c r="S126" s="218">
        <v>0</v>
      </c>
      <c r="T126" s="219">
        <f>S126*H126</f>
        <v>0</v>
      </c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R126" s="220" t="s">
        <v>207</v>
      </c>
      <c r="AT126" s="220" t="s">
        <v>202</v>
      </c>
      <c r="AU126" s="220" t="s">
        <v>78</v>
      </c>
      <c r="AY126" s="18" t="s">
        <v>200</v>
      </c>
      <c r="BE126" s="221">
        <f>IF(N126="základní",J126,0)</f>
        <v>0</v>
      </c>
      <c r="BF126" s="221">
        <f>IF(N126="snížená",J126,0)</f>
        <v>0</v>
      </c>
      <c r="BG126" s="221">
        <f>IF(N126="zákl. přenesená",J126,0)</f>
        <v>0</v>
      </c>
      <c r="BH126" s="221">
        <f>IF(N126="sníž. přenesená",J126,0)</f>
        <v>0</v>
      </c>
      <c r="BI126" s="221">
        <f>IF(N126="nulová",J126,0)</f>
        <v>0</v>
      </c>
      <c r="BJ126" s="18" t="s">
        <v>86</v>
      </c>
      <c r="BK126" s="221">
        <f>ROUND(I126*H126,1)</f>
        <v>0</v>
      </c>
      <c r="BL126" s="18" t="s">
        <v>207</v>
      </c>
      <c r="BM126" s="220" t="s">
        <v>872</v>
      </c>
    </row>
    <row r="127" s="2" customFormat="1" ht="16.5" customHeight="1">
      <c r="A127" s="40"/>
      <c r="B127" s="41"/>
      <c r="C127" s="209" t="s">
        <v>555</v>
      </c>
      <c r="D127" s="209" t="s">
        <v>202</v>
      </c>
      <c r="E127" s="210" t="s">
        <v>2602</v>
      </c>
      <c r="F127" s="211" t="s">
        <v>2603</v>
      </c>
      <c r="G127" s="212" t="s">
        <v>1436</v>
      </c>
      <c r="H127" s="213">
        <v>226</v>
      </c>
      <c r="I127" s="214"/>
      <c r="J127" s="215">
        <f>ROUND(I127*H127,1)</f>
        <v>0</v>
      </c>
      <c r="K127" s="211" t="s">
        <v>32</v>
      </c>
      <c r="L127" s="46"/>
      <c r="M127" s="216" t="s">
        <v>32</v>
      </c>
      <c r="N127" s="217" t="s">
        <v>49</v>
      </c>
      <c r="O127" s="86"/>
      <c r="P127" s="218">
        <f>O127*H127</f>
        <v>0</v>
      </c>
      <c r="Q127" s="218">
        <v>0</v>
      </c>
      <c r="R127" s="218">
        <f>Q127*H127</f>
        <v>0</v>
      </c>
      <c r="S127" s="218">
        <v>0</v>
      </c>
      <c r="T127" s="219">
        <f>S127*H127</f>
        <v>0</v>
      </c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0" t="s">
        <v>207</v>
      </c>
      <c r="AT127" s="220" t="s">
        <v>202</v>
      </c>
      <c r="AU127" s="220" t="s">
        <v>78</v>
      </c>
      <c r="AY127" s="18" t="s">
        <v>200</v>
      </c>
      <c r="BE127" s="221">
        <f>IF(N127="základní",J127,0)</f>
        <v>0</v>
      </c>
      <c r="BF127" s="221">
        <f>IF(N127="snížená",J127,0)</f>
        <v>0</v>
      </c>
      <c r="BG127" s="221">
        <f>IF(N127="zákl. přenesená",J127,0)</f>
        <v>0</v>
      </c>
      <c r="BH127" s="221">
        <f>IF(N127="sníž. přenesená",J127,0)</f>
        <v>0</v>
      </c>
      <c r="BI127" s="221">
        <f>IF(N127="nulová",J127,0)</f>
        <v>0</v>
      </c>
      <c r="BJ127" s="18" t="s">
        <v>86</v>
      </c>
      <c r="BK127" s="221">
        <f>ROUND(I127*H127,1)</f>
        <v>0</v>
      </c>
      <c r="BL127" s="18" t="s">
        <v>207</v>
      </c>
      <c r="BM127" s="220" t="s">
        <v>889</v>
      </c>
    </row>
    <row r="128" s="2" customFormat="1" ht="24.15" customHeight="1">
      <c r="A128" s="40"/>
      <c r="B128" s="41"/>
      <c r="C128" s="209" t="s">
        <v>560</v>
      </c>
      <c r="D128" s="209" t="s">
        <v>202</v>
      </c>
      <c r="E128" s="210" t="s">
        <v>2604</v>
      </c>
      <c r="F128" s="211" t="s">
        <v>2605</v>
      </c>
      <c r="G128" s="212" t="s">
        <v>1436</v>
      </c>
      <c r="H128" s="213">
        <v>2</v>
      </c>
      <c r="I128" s="214"/>
      <c r="J128" s="215">
        <f>ROUND(I128*H128,1)</f>
        <v>0</v>
      </c>
      <c r="K128" s="211" t="s">
        <v>32</v>
      </c>
      <c r="L128" s="46"/>
      <c r="M128" s="216" t="s">
        <v>32</v>
      </c>
      <c r="N128" s="217" t="s">
        <v>49</v>
      </c>
      <c r="O128" s="86"/>
      <c r="P128" s="218">
        <f>O128*H128</f>
        <v>0</v>
      </c>
      <c r="Q128" s="218">
        <v>0</v>
      </c>
      <c r="R128" s="218">
        <f>Q128*H128</f>
        <v>0</v>
      </c>
      <c r="S128" s="218">
        <v>0</v>
      </c>
      <c r="T128" s="219">
        <f>S128*H128</f>
        <v>0</v>
      </c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0" t="s">
        <v>207</v>
      </c>
      <c r="AT128" s="220" t="s">
        <v>202</v>
      </c>
      <c r="AU128" s="220" t="s">
        <v>78</v>
      </c>
      <c r="AY128" s="18" t="s">
        <v>200</v>
      </c>
      <c r="BE128" s="221">
        <f>IF(N128="základní",J128,0)</f>
        <v>0</v>
      </c>
      <c r="BF128" s="221">
        <f>IF(N128="snížená",J128,0)</f>
        <v>0</v>
      </c>
      <c r="BG128" s="221">
        <f>IF(N128="zákl. přenesená",J128,0)</f>
        <v>0</v>
      </c>
      <c r="BH128" s="221">
        <f>IF(N128="sníž. přenesená",J128,0)</f>
        <v>0</v>
      </c>
      <c r="BI128" s="221">
        <f>IF(N128="nulová",J128,0)</f>
        <v>0</v>
      </c>
      <c r="BJ128" s="18" t="s">
        <v>86</v>
      </c>
      <c r="BK128" s="221">
        <f>ROUND(I128*H128,1)</f>
        <v>0</v>
      </c>
      <c r="BL128" s="18" t="s">
        <v>207</v>
      </c>
      <c r="BM128" s="220" t="s">
        <v>904</v>
      </c>
    </row>
    <row r="129" s="2" customFormat="1" ht="24.15" customHeight="1">
      <c r="A129" s="40"/>
      <c r="B129" s="41"/>
      <c r="C129" s="209" t="s">
        <v>565</v>
      </c>
      <c r="D129" s="209" t="s">
        <v>202</v>
      </c>
      <c r="E129" s="210" t="s">
        <v>2606</v>
      </c>
      <c r="F129" s="211" t="s">
        <v>2607</v>
      </c>
      <c r="G129" s="212" t="s">
        <v>1436</v>
      </c>
      <c r="H129" s="213">
        <v>1</v>
      </c>
      <c r="I129" s="214"/>
      <c r="J129" s="215">
        <f>ROUND(I129*H129,1)</f>
        <v>0</v>
      </c>
      <c r="K129" s="211" t="s">
        <v>32</v>
      </c>
      <c r="L129" s="46"/>
      <c r="M129" s="216" t="s">
        <v>32</v>
      </c>
      <c r="N129" s="217" t="s">
        <v>49</v>
      </c>
      <c r="O129" s="86"/>
      <c r="P129" s="218">
        <f>O129*H129</f>
        <v>0</v>
      </c>
      <c r="Q129" s="218">
        <v>0</v>
      </c>
      <c r="R129" s="218">
        <f>Q129*H129</f>
        <v>0</v>
      </c>
      <c r="S129" s="218">
        <v>0</v>
      </c>
      <c r="T129" s="219">
        <f>S129*H129</f>
        <v>0</v>
      </c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R129" s="220" t="s">
        <v>207</v>
      </c>
      <c r="AT129" s="220" t="s">
        <v>202</v>
      </c>
      <c r="AU129" s="220" t="s">
        <v>78</v>
      </c>
      <c r="AY129" s="18" t="s">
        <v>200</v>
      </c>
      <c r="BE129" s="221">
        <f>IF(N129="základní",J129,0)</f>
        <v>0</v>
      </c>
      <c r="BF129" s="221">
        <f>IF(N129="snížená",J129,0)</f>
        <v>0</v>
      </c>
      <c r="BG129" s="221">
        <f>IF(N129="zákl. přenesená",J129,0)</f>
        <v>0</v>
      </c>
      <c r="BH129" s="221">
        <f>IF(N129="sníž. přenesená",J129,0)</f>
        <v>0</v>
      </c>
      <c r="BI129" s="221">
        <f>IF(N129="nulová",J129,0)</f>
        <v>0</v>
      </c>
      <c r="BJ129" s="18" t="s">
        <v>86</v>
      </c>
      <c r="BK129" s="221">
        <f>ROUND(I129*H129,1)</f>
        <v>0</v>
      </c>
      <c r="BL129" s="18" t="s">
        <v>207</v>
      </c>
      <c r="BM129" s="220" t="s">
        <v>916</v>
      </c>
    </row>
    <row r="130" s="2" customFormat="1" ht="24.15" customHeight="1">
      <c r="A130" s="40"/>
      <c r="B130" s="41"/>
      <c r="C130" s="209" t="s">
        <v>570</v>
      </c>
      <c r="D130" s="209" t="s">
        <v>202</v>
      </c>
      <c r="E130" s="210" t="s">
        <v>2608</v>
      </c>
      <c r="F130" s="211" t="s">
        <v>2609</v>
      </c>
      <c r="G130" s="212" t="s">
        <v>1436</v>
      </c>
      <c r="H130" s="213">
        <v>3</v>
      </c>
      <c r="I130" s="214"/>
      <c r="J130" s="215">
        <f>ROUND(I130*H130,1)</f>
        <v>0</v>
      </c>
      <c r="K130" s="211" t="s">
        <v>32</v>
      </c>
      <c r="L130" s="46"/>
      <c r="M130" s="216" t="s">
        <v>32</v>
      </c>
      <c r="N130" s="217" t="s">
        <v>49</v>
      </c>
      <c r="O130" s="86"/>
      <c r="P130" s="218">
        <f>O130*H130</f>
        <v>0</v>
      </c>
      <c r="Q130" s="218">
        <v>0</v>
      </c>
      <c r="R130" s="218">
        <f>Q130*H130</f>
        <v>0</v>
      </c>
      <c r="S130" s="218">
        <v>0</v>
      </c>
      <c r="T130" s="219">
        <f>S130*H130</f>
        <v>0</v>
      </c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0" t="s">
        <v>207</v>
      </c>
      <c r="AT130" s="220" t="s">
        <v>202</v>
      </c>
      <c r="AU130" s="220" t="s">
        <v>78</v>
      </c>
      <c r="AY130" s="18" t="s">
        <v>200</v>
      </c>
      <c r="BE130" s="221">
        <f>IF(N130="základní",J130,0)</f>
        <v>0</v>
      </c>
      <c r="BF130" s="221">
        <f>IF(N130="snížená",J130,0)</f>
        <v>0</v>
      </c>
      <c r="BG130" s="221">
        <f>IF(N130="zákl. přenesená",J130,0)</f>
        <v>0</v>
      </c>
      <c r="BH130" s="221">
        <f>IF(N130="sníž. přenesená",J130,0)</f>
        <v>0</v>
      </c>
      <c r="BI130" s="221">
        <f>IF(N130="nulová",J130,0)</f>
        <v>0</v>
      </c>
      <c r="BJ130" s="18" t="s">
        <v>86</v>
      </c>
      <c r="BK130" s="221">
        <f>ROUND(I130*H130,1)</f>
        <v>0</v>
      </c>
      <c r="BL130" s="18" t="s">
        <v>207</v>
      </c>
      <c r="BM130" s="220" t="s">
        <v>926</v>
      </c>
    </row>
    <row r="131" s="2" customFormat="1" ht="24.15" customHeight="1">
      <c r="A131" s="40"/>
      <c r="B131" s="41"/>
      <c r="C131" s="209" t="s">
        <v>575</v>
      </c>
      <c r="D131" s="209" t="s">
        <v>202</v>
      </c>
      <c r="E131" s="210" t="s">
        <v>2610</v>
      </c>
      <c r="F131" s="211" t="s">
        <v>2611</v>
      </c>
      <c r="G131" s="212" t="s">
        <v>1436</v>
      </c>
      <c r="H131" s="213">
        <v>5</v>
      </c>
      <c r="I131" s="214"/>
      <c r="J131" s="215">
        <f>ROUND(I131*H131,1)</f>
        <v>0</v>
      </c>
      <c r="K131" s="211" t="s">
        <v>32</v>
      </c>
      <c r="L131" s="46"/>
      <c r="M131" s="216" t="s">
        <v>32</v>
      </c>
      <c r="N131" s="217" t="s">
        <v>49</v>
      </c>
      <c r="O131" s="86"/>
      <c r="P131" s="218">
        <f>O131*H131</f>
        <v>0</v>
      </c>
      <c r="Q131" s="218">
        <v>0</v>
      </c>
      <c r="R131" s="218">
        <f>Q131*H131</f>
        <v>0</v>
      </c>
      <c r="S131" s="218">
        <v>0</v>
      </c>
      <c r="T131" s="219">
        <f>S131*H131</f>
        <v>0</v>
      </c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0" t="s">
        <v>207</v>
      </c>
      <c r="AT131" s="220" t="s">
        <v>202</v>
      </c>
      <c r="AU131" s="220" t="s">
        <v>78</v>
      </c>
      <c r="AY131" s="18" t="s">
        <v>200</v>
      </c>
      <c r="BE131" s="221">
        <f>IF(N131="základní",J131,0)</f>
        <v>0</v>
      </c>
      <c r="BF131" s="221">
        <f>IF(N131="snížená",J131,0)</f>
        <v>0</v>
      </c>
      <c r="BG131" s="221">
        <f>IF(N131="zákl. přenesená",J131,0)</f>
        <v>0</v>
      </c>
      <c r="BH131" s="221">
        <f>IF(N131="sníž. přenesená",J131,0)</f>
        <v>0</v>
      </c>
      <c r="BI131" s="221">
        <f>IF(N131="nulová",J131,0)</f>
        <v>0</v>
      </c>
      <c r="BJ131" s="18" t="s">
        <v>86</v>
      </c>
      <c r="BK131" s="221">
        <f>ROUND(I131*H131,1)</f>
        <v>0</v>
      </c>
      <c r="BL131" s="18" t="s">
        <v>207</v>
      </c>
      <c r="BM131" s="220" t="s">
        <v>937</v>
      </c>
    </row>
    <row r="132" s="2" customFormat="1" ht="16.5" customHeight="1">
      <c r="A132" s="40"/>
      <c r="B132" s="41"/>
      <c r="C132" s="209" t="s">
        <v>581</v>
      </c>
      <c r="D132" s="209" t="s">
        <v>202</v>
      </c>
      <c r="E132" s="210" t="s">
        <v>2612</v>
      </c>
      <c r="F132" s="211" t="s">
        <v>2613</v>
      </c>
      <c r="G132" s="212" t="s">
        <v>1436</v>
      </c>
      <c r="H132" s="213">
        <v>113</v>
      </c>
      <c r="I132" s="214"/>
      <c r="J132" s="215">
        <f>ROUND(I132*H132,1)</f>
        <v>0</v>
      </c>
      <c r="K132" s="211" t="s">
        <v>32</v>
      </c>
      <c r="L132" s="46"/>
      <c r="M132" s="216" t="s">
        <v>32</v>
      </c>
      <c r="N132" s="217" t="s">
        <v>49</v>
      </c>
      <c r="O132" s="86"/>
      <c r="P132" s="218">
        <f>O132*H132</f>
        <v>0</v>
      </c>
      <c r="Q132" s="218">
        <v>0</v>
      </c>
      <c r="R132" s="218">
        <f>Q132*H132</f>
        <v>0</v>
      </c>
      <c r="S132" s="218">
        <v>0</v>
      </c>
      <c r="T132" s="219">
        <f>S132*H132</f>
        <v>0</v>
      </c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R132" s="220" t="s">
        <v>207</v>
      </c>
      <c r="AT132" s="220" t="s">
        <v>202</v>
      </c>
      <c r="AU132" s="220" t="s">
        <v>78</v>
      </c>
      <c r="AY132" s="18" t="s">
        <v>200</v>
      </c>
      <c r="BE132" s="221">
        <f>IF(N132="základní",J132,0)</f>
        <v>0</v>
      </c>
      <c r="BF132" s="221">
        <f>IF(N132="snížená",J132,0)</f>
        <v>0</v>
      </c>
      <c r="BG132" s="221">
        <f>IF(N132="zákl. přenesená",J132,0)</f>
        <v>0</v>
      </c>
      <c r="BH132" s="221">
        <f>IF(N132="sníž. přenesená",J132,0)</f>
        <v>0</v>
      </c>
      <c r="BI132" s="221">
        <f>IF(N132="nulová",J132,0)</f>
        <v>0</v>
      </c>
      <c r="BJ132" s="18" t="s">
        <v>86</v>
      </c>
      <c r="BK132" s="221">
        <f>ROUND(I132*H132,1)</f>
        <v>0</v>
      </c>
      <c r="BL132" s="18" t="s">
        <v>207</v>
      </c>
      <c r="BM132" s="220" t="s">
        <v>946</v>
      </c>
    </row>
    <row r="133" s="2" customFormat="1" ht="16.5" customHeight="1">
      <c r="A133" s="40"/>
      <c r="B133" s="41"/>
      <c r="C133" s="209" t="s">
        <v>587</v>
      </c>
      <c r="D133" s="209" t="s">
        <v>202</v>
      </c>
      <c r="E133" s="210" t="s">
        <v>2614</v>
      </c>
      <c r="F133" s="211" t="s">
        <v>2615</v>
      </c>
      <c r="G133" s="212" t="s">
        <v>1436</v>
      </c>
      <c r="H133" s="213">
        <v>32</v>
      </c>
      <c r="I133" s="214"/>
      <c r="J133" s="215">
        <f>ROUND(I133*H133,1)</f>
        <v>0</v>
      </c>
      <c r="K133" s="211" t="s">
        <v>32</v>
      </c>
      <c r="L133" s="46"/>
      <c r="M133" s="216" t="s">
        <v>32</v>
      </c>
      <c r="N133" s="217" t="s">
        <v>49</v>
      </c>
      <c r="O133" s="86"/>
      <c r="P133" s="218">
        <f>O133*H133</f>
        <v>0</v>
      </c>
      <c r="Q133" s="218">
        <v>0</v>
      </c>
      <c r="R133" s="218">
        <f>Q133*H133</f>
        <v>0</v>
      </c>
      <c r="S133" s="218">
        <v>0</v>
      </c>
      <c r="T133" s="219">
        <f>S133*H133</f>
        <v>0</v>
      </c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0" t="s">
        <v>207</v>
      </c>
      <c r="AT133" s="220" t="s">
        <v>202</v>
      </c>
      <c r="AU133" s="220" t="s">
        <v>78</v>
      </c>
      <c r="AY133" s="18" t="s">
        <v>200</v>
      </c>
      <c r="BE133" s="221">
        <f>IF(N133="základní",J133,0)</f>
        <v>0</v>
      </c>
      <c r="BF133" s="221">
        <f>IF(N133="snížená",J133,0)</f>
        <v>0</v>
      </c>
      <c r="BG133" s="221">
        <f>IF(N133="zákl. přenesená",J133,0)</f>
        <v>0</v>
      </c>
      <c r="BH133" s="221">
        <f>IF(N133="sníž. přenesená",J133,0)</f>
        <v>0</v>
      </c>
      <c r="BI133" s="221">
        <f>IF(N133="nulová",J133,0)</f>
        <v>0</v>
      </c>
      <c r="BJ133" s="18" t="s">
        <v>86</v>
      </c>
      <c r="BK133" s="221">
        <f>ROUND(I133*H133,1)</f>
        <v>0</v>
      </c>
      <c r="BL133" s="18" t="s">
        <v>207</v>
      </c>
      <c r="BM133" s="220" t="s">
        <v>961</v>
      </c>
    </row>
    <row r="134" s="2" customFormat="1" ht="16.5" customHeight="1">
      <c r="A134" s="40"/>
      <c r="B134" s="41"/>
      <c r="C134" s="209" t="s">
        <v>593</v>
      </c>
      <c r="D134" s="209" t="s">
        <v>202</v>
      </c>
      <c r="E134" s="210" t="s">
        <v>2616</v>
      </c>
      <c r="F134" s="211" t="s">
        <v>2617</v>
      </c>
      <c r="G134" s="212" t="s">
        <v>272</v>
      </c>
      <c r="H134" s="213">
        <v>845</v>
      </c>
      <c r="I134" s="214"/>
      <c r="J134" s="215">
        <f>ROUND(I134*H134,1)</f>
        <v>0</v>
      </c>
      <c r="K134" s="211" t="s">
        <v>32</v>
      </c>
      <c r="L134" s="46"/>
      <c r="M134" s="216" t="s">
        <v>32</v>
      </c>
      <c r="N134" s="217" t="s">
        <v>49</v>
      </c>
      <c r="O134" s="86"/>
      <c r="P134" s="218">
        <f>O134*H134</f>
        <v>0</v>
      </c>
      <c r="Q134" s="218">
        <v>0</v>
      </c>
      <c r="R134" s="218">
        <f>Q134*H134</f>
        <v>0</v>
      </c>
      <c r="S134" s="218">
        <v>0</v>
      </c>
      <c r="T134" s="219">
        <f>S134*H134</f>
        <v>0</v>
      </c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0" t="s">
        <v>207</v>
      </c>
      <c r="AT134" s="220" t="s">
        <v>202</v>
      </c>
      <c r="AU134" s="220" t="s">
        <v>78</v>
      </c>
      <c r="AY134" s="18" t="s">
        <v>200</v>
      </c>
      <c r="BE134" s="221">
        <f>IF(N134="základní",J134,0)</f>
        <v>0</v>
      </c>
      <c r="BF134" s="221">
        <f>IF(N134="snížená",J134,0)</f>
        <v>0</v>
      </c>
      <c r="BG134" s="221">
        <f>IF(N134="zákl. přenesená",J134,0)</f>
        <v>0</v>
      </c>
      <c r="BH134" s="221">
        <f>IF(N134="sníž. přenesená",J134,0)</f>
        <v>0</v>
      </c>
      <c r="BI134" s="221">
        <f>IF(N134="nulová",J134,0)</f>
        <v>0</v>
      </c>
      <c r="BJ134" s="18" t="s">
        <v>86</v>
      </c>
      <c r="BK134" s="221">
        <f>ROUND(I134*H134,1)</f>
        <v>0</v>
      </c>
      <c r="BL134" s="18" t="s">
        <v>207</v>
      </c>
      <c r="BM134" s="220" t="s">
        <v>977</v>
      </c>
    </row>
    <row r="135" s="2" customFormat="1" ht="16.5" customHeight="1">
      <c r="A135" s="40"/>
      <c r="B135" s="41"/>
      <c r="C135" s="209" t="s">
        <v>599</v>
      </c>
      <c r="D135" s="209" t="s">
        <v>202</v>
      </c>
      <c r="E135" s="210" t="s">
        <v>2618</v>
      </c>
      <c r="F135" s="211" t="s">
        <v>2619</v>
      </c>
      <c r="G135" s="212" t="s">
        <v>280</v>
      </c>
      <c r="H135" s="213">
        <v>845</v>
      </c>
      <c r="I135" s="214"/>
      <c r="J135" s="215">
        <f>ROUND(I135*H135,1)</f>
        <v>0</v>
      </c>
      <c r="K135" s="211" t="s">
        <v>32</v>
      </c>
      <c r="L135" s="46"/>
      <c r="M135" s="216" t="s">
        <v>32</v>
      </c>
      <c r="N135" s="217" t="s">
        <v>49</v>
      </c>
      <c r="O135" s="86"/>
      <c r="P135" s="218">
        <f>O135*H135</f>
        <v>0</v>
      </c>
      <c r="Q135" s="218">
        <v>0</v>
      </c>
      <c r="R135" s="218">
        <f>Q135*H135</f>
        <v>0</v>
      </c>
      <c r="S135" s="218">
        <v>0</v>
      </c>
      <c r="T135" s="219">
        <f>S135*H135</f>
        <v>0</v>
      </c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R135" s="220" t="s">
        <v>207</v>
      </c>
      <c r="AT135" s="220" t="s">
        <v>202</v>
      </c>
      <c r="AU135" s="220" t="s">
        <v>78</v>
      </c>
      <c r="AY135" s="18" t="s">
        <v>200</v>
      </c>
      <c r="BE135" s="221">
        <f>IF(N135="základní",J135,0)</f>
        <v>0</v>
      </c>
      <c r="BF135" s="221">
        <f>IF(N135="snížená",J135,0)</f>
        <v>0</v>
      </c>
      <c r="BG135" s="221">
        <f>IF(N135="zákl. přenesená",J135,0)</f>
        <v>0</v>
      </c>
      <c r="BH135" s="221">
        <f>IF(N135="sníž. přenesená",J135,0)</f>
        <v>0</v>
      </c>
      <c r="BI135" s="221">
        <f>IF(N135="nulová",J135,0)</f>
        <v>0</v>
      </c>
      <c r="BJ135" s="18" t="s">
        <v>86</v>
      </c>
      <c r="BK135" s="221">
        <f>ROUND(I135*H135,1)</f>
        <v>0</v>
      </c>
      <c r="BL135" s="18" t="s">
        <v>207</v>
      </c>
      <c r="BM135" s="220" t="s">
        <v>988</v>
      </c>
    </row>
    <row r="136" s="2" customFormat="1" ht="16.5" customHeight="1">
      <c r="A136" s="40"/>
      <c r="B136" s="41"/>
      <c r="C136" s="209" t="s">
        <v>604</v>
      </c>
      <c r="D136" s="209" t="s">
        <v>202</v>
      </c>
      <c r="E136" s="210" t="s">
        <v>2620</v>
      </c>
      <c r="F136" s="211" t="s">
        <v>2621</v>
      </c>
      <c r="G136" s="212" t="s">
        <v>280</v>
      </c>
      <c r="H136" s="213">
        <v>376</v>
      </c>
      <c r="I136" s="214"/>
      <c r="J136" s="215">
        <f>ROUND(I136*H136,1)</f>
        <v>0</v>
      </c>
      <c r="K136" s="211" t="s">
        <v>32</v>
      </c>
      <c r="L136" s="46"/>
      <c r="M136" s="216" t="s">
        <v>32</v>
      </c>
      <c r="N136" s="217" t="s">
        <v>49</v>
      </c>
      <c r="O136" s="86"/>
      <c r="P136" s="218">
        <f>O136*H136</f>
        <v>0</v>
      </c>
      <c r="Q136" s="218">
        <v>0</v>
      </c>
      <c r="R136" s="218">
        <f>Q136*H136</f>
        <v>0</v>
      </c>
      <c r="S136" s="218">
        <v>0</v>
      </c>
      <c r="T136" s="219">
        <f>S136*H136</f>
        <v>0</v>
      </c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0" t="s">
        <v>207</v>
      </c>
      <c r="AT136" s="220" t="s">
        <v>202</v>
      </c>
      <c r="AU136" s="220" t="s">
        <v>78</v>
      </c>
      <c r="AY136" s="18" t="s">
        <v>200</v>
      </c>
      <c r="BE136" s="221">
        <f>IF(N136="základní",J136,0)</f>
        <v>0</v>
      </c>
      <c r="BF136" s="221">
        <f>IF(N136="snížená",J136,0)</f>
        <v>0</v>
      </c>
      <c r="BG136" s="221">
        <f>IF(N136="zákl. přenesená",J136,0)</f>
        <v>0</v>
      </c>
      <c r="BH136" s="221">
        <f>IF(N136="sníž. přenesená",J136,0)</f>
        <v>0</v>
      </c>
      <c r="BI136" s="221">
        <f>IF(N136="nulová",J136,0)</f>
        <v>0</v>
      </c>
      <c r="BJ136" s="18" t="s">
        <v>86</v>
      </c>
      <c r="BK136" s="221">
        <f>ROUND(I136*H136,1)</f>
        <v>0</v>
      </c>
      <c r="BL136" s="18" t="s">
        <v>207</v>
      </c>
      <c r="BM136" s="220" t="s">
        <v>1001</v>
      </c>
    </row>
    <row r="137" s="2" customFormat="1" ht="16.5" customHeight="1">
      <c r="A137" s="40"/>
      <c r="B137" s="41"/>
      <c r="C137" s="209" t="s">
        <v>609</v>
      </c>
      <c r="D137" s="209" t="s">
        <v>202</v>
      </c>
      <c r="E137" s="210" t="s">
        <v>2622</v>
      </c>
      <c r="F137" s="211" t="s">
        <v>2623</v>
      </c>
      <c r="G137" s="212" t="s">
        <v>1436</v>
      </c>
      <c r="H137" s="213">
        <v>1</v>
      </c>
      <c r="I137" s="214"/>
      <c r="J137" s="215">
        <f>ROUND(I137*H137,1)</f>
        <v>0</v>
      </c>
      <c r="K137" s="211" t="s">
        <v>32</v>
      </c>
      <c r="L137" s="46"/>
      <c r="M137" s="216" t="s">
        <v>32</v>
      </c>
      <c r="N137" s="217" t="s">
        <v>49</v>
      </c>
      <c r="O137" s="86"/>
      <c r="P137" s="218">
        <f>O137*H137</f>
        <v>0</v>
      </c>
      <c r="Q137" s="218">
        <v>0</v>
      </c>
      <c r="R137" s="218">
        <f>Q137*H137</f>
        <v>0</v>
      </c>
      <c r="S137" s="218">
        <v>0</v>
      </c>
      <c r="T137" s="219">
        <f>S137*H137</f>
        <v>0</v>
      </c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R137" s="220" t="s">
        <v>207</v>
      </c>
      <c r="AT137" s="220" t="s">
        <v>202</v>
      </c>
      <c r="AU137" s="220" t="s">
        <v>78</v>
      </c>
      <c r="AY137" s="18" t="s">
        <v>200</v>
      </c>
      <c r="BE137" s="221">
        <f>IF(N137="základní",J137,0)</f>
        <v>0</v>
      </c>
      <c r="BF137" s="221">
        <f>IF(N137="snížená",J137,0)</f>
        <v>0</v>
      </c>
      <c r="BG137" s="221">
        <f>IF(N137="zákl. přenesená",J137,0)</f>
        <v>0</v>
      </c>
      <c r="BH137" s="221">
        <f>IF(N137="sníž. přenesená",J137,0)</f>
        <v>0</v>
      </c>
      <c r="BI137" s="221">
        <f>IF(N137="nulová",J137,0)</f>
        <v>0</v>
      </c>
      <c r="BJ137" s="18" t="s">
        <v>86</v>
      </c>
      <c r="BK137" s="221">
        <f>ROUND(I137*H137,1)</f>
        <v>0</v>
      </c>
      <c r="BL137" s="18" t="s">
        <v>207</v>
      </c>
      <c r="BM137" s="220" t="s">
        <v>1013</v>
      </c>
    </row>
    <row r="138" s="2" customFormat="1" ht="16.5" customHeight="1">
      <c r="A138" s="40"/>
      <c r="B138" s="41"/>
      <c r="C138" s="209" t="s">
        <v>632</v>
      </c>
      <c r="D138" s="209" t="s">
        <v>202</v>
      </c>
      <c r="E138" s="210" t="s">
        <v>2624</v>
      </c>
      <c r="F138" s="211" t="s">
        <v>2625</v>
      </c>
      <c r="G138" s="212" t="s">
        <v>2503</v>
      </c>
      <c r="H138" s="213">
        <v>48</v>
      </c>
      <c r="I138" s="214"/>
      <c r="J138" s="215">
        <f>ROUND(I138*H138,1)</f>
        <v>0</v>
      </c>
      <c r="K138" s="211" t="s">
        <v>32</v>
      </c>
      <c r="L138" s="46"/>
      <c r="M138" s="216" t="s">
        <v>32</v>
      </c>
      <c r="N138" s="217" t="s">
        <v>49</v>
      </c>
      <c r="O138" s="86"/>
      <c r="P138" s="218">
        <f>O138*H138</f>
        <v>0</v>
      </c>
      <c r="Q138" s="218">
        <v>0</v>
      </c>
      <c r="R138" s="218">
        <f>Q138*H138</f>
        <v>0</v>
      </c>
      <c r="S138" s="218">
        <v>0</v>
      </c>
      <c r="T138" s="219">
        <f>S138*H138</f>
        <v>0</v>
      </c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0" t="s">
        <v>207</v>
      </c>
      <c r="AT138" s="220" t="s">
        <v>202</v>
      </c>
      <c r="AU138" s="220" t="s">
        <v>78</v>
      </c>
      <c r="AY138" s="18" t="s">
        <v>200</v>
      </c>
      <c r="BE138" s="221">
        <f>IF(N138="základní",J138,0)</f>
        <v>0</v>
      </c>
      <c r="BF138" s="221">
        <f>IF(N138="snížená",J138,0)</f>
        <v>0</v>
      </c>
      <c r="BG138" s="221">
        <f>IF(N138="zákl. přenesená",J138,0)</f>
        <v>0</v>
      </c>
      <c r="BH138" s="221">
        <f>IF(N138="sníž. přenesená",J138,0)</f>
        <v>0</v>
      </c>
      <c r="BI138" s="221">
        <f>IF(N138="nulová",J138,0)</f>
        <v>0</v>
      </c>
      <c r="BJ138" s="18" t="s">
        <v>86</v>
      </c>
      <c r="BK138" s="221">
        <f>ROUND(I138*H138,1)</f>
        <v>0</v>
      </c>
      <c r="BL138" s="18" t="s">
        <v>207</v>
      </c>
      <c r="BM138" s="220" t="s">
        <v>1025</v>
      </c>
    </row>
    <row r="139" s="2" customFormat="1" ht="16.5" customHeight="1">
      <c r="A139" s="40"/>
      <c r="B139" s="41"/>
      <c r="C139" s="209" t="s">
        <v>638</v>
      </c>
      <c r="D139" s="209" t="s">
        <v>202</v>
      </c>
      <c r="E139" s="210" t="s">
        <v>2626</v>
      </c>
      <c r="F139" s="211" t="s">
        <v>2627</v>
      </c>
      <c r="G139" s="212" t="s">
        <v>1436</v>
      </c>
      <c r="H139" s="213">
        <v>1</v>
      </c>
      <c r="I139" s="214"/>
      <c r="J139" s="215">
        <f>ROUND(I139*H139,1)</f>
        <v>0</v>
      </c>
      <c r="K139" s="211" t="s">
        <v>32</v>
      </c>
      <c r="L139" s="46"/>
      <c r="M139" s="291" t="s">
        <v>32</v>
      </c>
      <c r="N139" s="292" t="s">
        <v>49</v>
      </c>
      <c r="O139" s="285"/>
      <c r="P139" s="293">
        <f>O139*H139</f>
        <v>0</v>
      </c>
      <c r="Q139" s="293">
        <v>0</v>
      </c>
      <c r="R139" s="293">
        <f>Q139*H139</f>
        <v>0</v>
      </c>
      <c r="S139" s="293">
        <v>0</v>
      </c>
      <c r="T139" s="294">
        <f>S139*H139</f>
        <v>0</v>
      </c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0" t="s">
        <v>207</v>
      </c>
      <c r="AT139" s="220" t="s">
        <v>202</v>
      </c>
      <c r="AU139" s="220" t="s">
        <v>78</v>
      </c>
      <c r="AY139" s="18" t="s">
        <v>200</v>
      </c>
      <c r="BE139" s="221">
        <f>IF(N139="základní",J139,0)</f>
        <v>0</v>
      </c>
      <c r="BF139" s="221">
        <f>IF(N139="snížená",J139,0)</f>
        <v>0</v>
      </c>
      <c r="BG139" s="221">
        <f>IF(N139="zákl. přenesená",J139,0)</f>
        <v>0</v>
      </c>
      <c r="BH139" s="221">
        <f>IF(N139="sníž. přenesená",J139,0)</f>
        <v>0</v>
      </c>
      <c r="BI139" s="221">
        <f>IF(N139="nulová",J139,0)</f>
        <v>0</v>
      </c>
      <c r="BJ139" s="18" t="s">
        <v>86</v>
      </c>
      <c r="BK139" s="221">
        <f>ROUND(I139*H139,1)</f>
        <v>0</v>
      </c>
      <c r="BL139" s="18" t="s">
        <v>207</v>
      </c>
      <c r="BM139" s="220" t="s">
        <v>1036</v>
      </c>
    </row>
    <row r="140" s="2" customFormat="1" ht="6.96" customHeight="1">
      <c r="A140" s="40"/>
      <c r="B140" s="61"/>
      <c r="C140" s="62"/>
      <c r="D140" s="62"/>
      <c r="E140" s="62"/>
      <c r="F140" s="62"/>
      <c r="G140" s="62"/>
      <c r="H140" s="62"/>
      <c r="I140" s="62"/>
      <c r="J140" s="62"/>
      <c r="K140" s="62"/>
      <c r="L140" s="46"/>
      <c r="M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</row>
  </sheetData>
  <sheetProtection sheet="1" autoFilter="0" formatColumns="0" formatRows="0" objects="1" scenarios="1" spinCount="100000" saltValue="FiDyTED5H2Y+QIy63LErSqXoAbgGoUWS5K5yPyXBW9fZ43f0txIOQVjJSY6HHTz46T1CPNVNV/YHwayj/61Ahg==" hashValue="v/7ip20FZKPdD3tJDVkCDeqHxRMpingmRIEoY3ooPfTMi87p1GM4VH2ooVfwN7Tcrz+491h57Z+9EjcyCxA8/g==" algorithmName="SHA-512" password="CC35"/>
  <autoFilter ref="C78:K139"/>
  <mergeCells count="9">
    <mergeCell ref="E7:H7"/>
    <mergeCell ref="E9:H9"/>
    <mergeCell ref="E18:H18"/>
    <mergeCell ref="E27:H27"/>
    <mergeCell ref="E48:H48"/>
    <mergeCell ref="E50:H50"/>
    <mergeCell ref="E69:H69"/>
    <mergeCell ref="E71:H71"/>
    <mergeCell ref="L2:V2"/>
  </mergeCell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8" t="s">
        <v>97</v>
      </c>
    </row>
    <row r="3" hidden="1" s="1" customFormat="1" ht="6.96" customHeight="1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21"/>
      <c r="AT3" s="18" t="s">
        <v>88</v>
      </c>
    </row>
    <row r="4" hidden="1" s="1" customFormat="1" ht="24.96" customHeight="1">
      <c r="B4" s="21"/>
      <c r="D4" s="133" t="s">
        <v>121</v>
      </c>
      <c r="L4" s="21"/>
      <c r="M4" s="134" t="s">
        <v>10</v>
      </c>
      <c r="AT4" s="18" t="s">
        <v>4</v>
      </c>
    </row>
    <row r="5" hidden="1" s="1" customFormat="1" ht="6.96" customHeight="1">
      <c r="B5" s="21"/>
      <c r="L5" s="21"/>
    </row>
    <row r="6" hidden="1" s="1" customFormat="1" ht="12" customHeight="1">
      <c r="B6" s="21"/>
      <c r="D6" s="135" t="s">
        <v>16</v>
      </c>
      <c r="L6" s="21"/>
    </row>
    <row r="7" hidden="1" s="1" customFormat="1" ht="16.5" customHeight="1">
      <c r="B7" s="21"/>
      <c r="E7" s="136" t="str">
        <f>'Rekapitulace stavby'!K6</f>
        <v>Kulturní dům ČP 1, Třemošná- rev 03</v>
      </c>
      <c r="F7" s="135"/>
      <c r="G7" s="135"/>
      <c r="H7" s="135"/>
      <c r="L7" s="21"/>
    </row>
    <row r="8" hidden="1" s="2" customFormat="1" ht="12" customHeight="1">
      <c r="A8" s="40"/>
      <c r="B8" s="46"/>
      <c r="C8" s="40"/>
      <c r="D8" s="135" t="s">
        <v>134</v>
      </c>
      <c r="E8" s="40"/>
      <c r="F8" s="40"/>
      <c r="G8" s="40"/>
      <c r="H8" s="40"/>
      <c r="I8" s="40"/>
      <c r="J8" s="40"/>
      <c r="K8" s="40"/>
      <c r="L8" s="137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hidden="1" s="2" customFormat="1" ht="16.5" customHeight="1">
      <c r="A9" s="40"/>
      <c r="B9" s="46"/>
      <c r="C9" s="40"/>
      <c r="D9" s="40"/>
      <c r="E9" s="138" t="s">
        <v>2628</v>
      </c>
      <c r="F9" s="40"/>
      <c r="G9" s="40"/>
      <c r="H9" s="40"/>
      <c r="I9" s="40"/>
      <c r="J9" s="40"/>
      <c r="K9" s="40"/>
      <c r="L9" s="13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hidden="1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3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hidden="1" s="2" customFormat="1" ht="12" customHeight="1">
      <c r="A11" s="40"/>
      <c r="B11" s="46"/>
      <c r="C11" s="40"/>
      <c r="D11" s="135" t="s">
        <v>18</v>
      </c>
      <c r="E11" s="40"/>
      <c r="F11" s="139" t="s">
        <v>32</v>
      </c>
      <c r="G11" s="40"/>
      <c r="H11" s="40"/>
      <c r="I11" s="135" t="s">
        <v>20</v>
      </c>
      <c r="J11" s="139" t="s">
        <v>32</v>
      </c>
      <c r="K11" s="40"/>
      <c r="L11" s="13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hidden="1" s="2" customFormat="1" ht="12" customHeight="1">
      <c r="A12" s="40"/>
      <c r="B12" s="46"/>
      <c r="C12" s="40"/>
      <c r="D12" s="135" t="s">
        <v>22</v>
      </c>
      <c r="E12" s="40"/>
      <c r="F12" s="139" t="s">
        <v>41</v>
      </c>
      <c r="G12" s="40"/>
      <c r="H12" s="40"/>
      <c r="I12" s="135" t="s">
        <v>24</v>
      </c>
      <c r="J12" s="140" t="str">
        <f>'Rekapitulace stavby'!AN8</f>
        <v>20. 12. 2023</v>
      </c>
      <c r="K12" s="40"/>
      <c r="L12" s="13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hidden="1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3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hidden="1" s="2" customFormat="1" ht="12" customHeight="1">
      <c r="A14" s="40"/>
      <c r="B14" s="46"/>
      <c r="C14" s="40"/>
      <c r="D14" s="135" t="s">
        <v>30</v>
      </c>
      <c r="E14" s="40"/>
      <c r="F14" s="40"/>
      <c r="G14" s="40"/>
      <c r="H14" s="40"/>
      <c r="I14" s="135" t="s">
        <v>31</v>
      </c>
      <c r="J14" s="139" t="str">
        <f>IF('Rekapitulace stavby'!AN10="","",'Rekapitulace stavby'!AN10)</f>
        <v/>
      </c>
      <c r="K14" s="40"/>
      <c r="L14" s="13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hidden="1" s="2" customFormat="1" ht="18" customHeight="1">
      <c r="A15" s="40"/>
      <c r="B15" s="46"/>
      <c r="C15" s="40"/>
      <c r="D15" s="40"/>
      <c r="E15" s="139" t="str">
        <f>IF('Rekapitulace stavby'!E11="","",'Rekapitulace stavby'!E11)</f>
        <v>Město Třemošná, Sídliště 992, 330 01 Třemošná</v>
      </c>
      <c r="F15" s="40"/>
      <c r="G15" s="40"/>
      <c r="H15" s="40"/>
      <c r="I15" s="135" t="s">
        <v>34</v>
      </c>
      <c r="J15" s="139" t="str">
        <f>IF('Rekapitulace stavby'!AN11="","",'Rekapitulace stavby'!AN11)</f>
        <v/>
      </c>
      <c r="K15" s="40"/>
      <c r="L15" s="13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hidden="1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3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hidden="1" s="2" customFormat="1" ht="12" customHeight="1">
      <c r="A17" s="40"/>
      <c r="B17" s="46"/>
      <c r="C17" s="40"/>
      <c r="D17" s="135" t="s">
        <v>35</v>
      </c>
      <c r="E17" s="40"/>
      <c r="F17" s="40"/>
      <c r="G17" s="40"/>
      <c r="H17" s="40"/>
      <c r="I17" s="135" t="s">
        <v>31</v>
      </c>
      <c r="J17" s="34" t="str">
        <f>'Rekapitulace stavby'!AN13</f>
        <v>Vyplň údaj</v>
      </c>
      <c r="K17" s="40"/>
      <c r="L17" s="13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hidden="1" s="2" customFormat="1" ht="18" customHeight="1">
      <c r="A18" s="40"/>
      <c r="B18" s="46"/>
      <c r="C18" s="40"/>
      <c r="D18" s="40"/>
      <c r="E18" s="34" t="str">
        <f>'Rekapitulace stavby'!E14</f>
        <v>Vyplň údaj</v>
      </c>
      <c r="F18" s="139"/>
      <c r="G18" s="139"/>
      <c r="H18" s="139"/>
      <c r="I18" s="135" t="s">
        <v>34</v>
      </c>
      <c r="J18" s="34" t="str">
        <f>'Rekapitulace stavby'!AN14</f>
        <v>Vyplň údaj</v>
      </c>
      <c r="K18" s="40"/>
      <c r="L18" s="13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hidden="1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3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hidden="1" s="2" customFormat="1" ht="12" customHeight="1">
      <c r="A20" s="40"/>
      <c r="B20" s="46"/>
      <c r="C20" s="40"/>
      <c r="D20" s="135" t="s">
        <v>37</v>
      </c>
      <c r="E20" s="40"/>
      <c r="F20" s="40"/>
      <c r="G20" s="40"/>
      <c r="H20" s="40"/>
      <c r="I20" s="135" t="s">
        <v>31</v>
      </c>
      <c r="J20" s="139" t="str">
        <f>IF('Rekapitulace stavby'!AN16="","",'Rekapitulace stavby'!AN16)</f>
        <v>49194852</v>
      </c>
      <c r="K20" s="40"/>
      <c r="L20" s="13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hidden="1" s="2" customFormat="1" ht="18" customHeight="1">
      <c r="A21" s="40"/>
      <c r="B21" s="46"/>
      <c r="C21" s="40"/>
      <c r="D21" s="40"/>
      <c r="E21" s="139" t="str">
        <f>IF('Rekapitulace stavby'!E17="","",'Rekapitulace stavby'!E17)</f>
        <v>RAVAL projekt v. o. s.</v>
      </c>
      <c r="F21" s="40"/>
      <c r="G21" s="40"/>
      <c r="H21" s="40"/>
      <c r="I21" s="135" t="s">
        <v>34</v>
      </c>
      <c r="J21" s="139" t="str">
        <f>IF('Rekapitulace stavby'!AN17="","",'Rekapitulace stavby'!AN17)</f>
        <v/>
      </c>
      <c r="K21" s="40"/>
      <c r="L21" s="13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hidden="1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3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hidden="1" s="2" customFormat="1" ht="12" customHeight="1">
      <c r="A23" s="40"/>
      <c r="B23" s="46"/>
      <c r="C23" s="40"/>
      <c r="D23" s="135" t="s">
        <v>40</v>
      </c>
      <c r="E23" s="40"/>
      <c r="F23" s="40"/>
      <c r="G23" s="40"/>
      <c r="H23" s="40"/>
      <c r="I23" s="135" t="s">
        <v>31</v>
      </c>
      <c r="J23" s="139" t="str">
        <f>IF('Rekapitulace stavby'!AN19="","",'Rekapitulace stavby'!AN19)</f>
        <v/>
      </c>
      <c r="K23" s="40"/>
      <c r="L23" s="13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hidden="1" s="2" customFormat="1" ht="18" customHeight="1">
      <c r="A24" s="40"/>
      <c r="B24" s="46"/>
      <c r="C24" s="40"/>
      <c r="D24" s="40"/>
      <c r="E24" s="139" t="str">
        <f>IF('Rekapitulace stavby'!E20="","",'Rekapitulace stavby'!E20)</f>
        <v xml:space="preserve"> </v>
      </c>
      <c r="F24" s="40"/>
      <c r="G24" s="40"/>
      <c r="H24" s="40"/>
      <c r="I24" s="135" t="s">
        <v>34</v>
      </c>
      <c r="J24" s="139" t="str">
        <f>IF('Rekapitulace stavby'!AN20="","",'Rekapitulace stavby'!AN20)</f>
        <v/>
      </c>
      <c r="K24" s="40"/>
      <c r="L24" s="13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hidden="1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3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hidden="1" s="2" customFormat="1" ht="12" customHeight="1">
      <c r="A26" s="40"/>
      <c r="B26" s="46"/>
      <c r="C26" s="40"/>
      <c r="D26" s="135" t="s">
        <v>42</v>
      </c>
      <c r="E26" s="40"/>
      <c r="F26" s="40"/>
      <c r="G26" s="40"/>
      <c r="H26" s="40"/>
      <c r="I26" s="40"/>
      <c r="J26" s="40"/>
      <c r="K26" s="40"/>
      <c r="L26" s="13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hidden="1" s="8" customFormat="1" ht="16.5" customHeight="1">
      <c r="A27" s="143"/>
      <c r="B27" s="144"/>
      <c r="C27" s="143"/>
      <c r="D27" s="143"/>
      <c r="E27" s="145" t="s">
        <v>32</v>
      </c>
      <c r="F27" s="145"/>
      <c r="G27" s="145"/>
      <c r="H27" s="145"/>
      <c r="I27" s="143"/>
      <c r="J27" s="143"/>
      <c r="K27" s="143"/>
      <c r="L27" s="146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</row>
    <row r="28" hidden="1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3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hidden="1" s="2" customFormat="1" ht="6.96" customHeight="1">
      <c r="A29" s="40"/>
      <c r="B29" s="46"/>
      <c r="C29" s="40"/>
      <c r="D29" s="147"/>
      <c r="E29" s="147"/>
      <c r="F29" s="147"/>
      <c r="G29" s="147"/>
      <c r="H29" s="147"/>
      <c r="I29" s="147"/>
      <c r="J29" s="147"/>
      <c r="K29" s="147"/>
      <c r="L29" s="13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hidden="1" s="2" customFormat="1" ht="25.44" customHeight="1">
      <c r="A30" s="40"/>
      <c r="B30" s="46"/>
      <c r="C30" s="40"/>
      <c r="D30" s="148" t="s">
        <v>44</v>
      </c>
      <c r="E30" s="40"/>
      <c r="F30" s="40"/>
      <c r="G30" s="40"/>
      <c r="H30" s="40"/>
      <c r="I30" s="40"/>
      <c r="J30" s="149">
        <f>ROUND(J93, 1)</f>
        <v>0</v>
      </c>
      <c r="K30" s="40"/>
      <c r="L30" s="13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hidden="1" s="2" customFormat="1" ht="6.96" customHeight="1">
      <c r="A31" s="40"/>
      <c r="B31" s="46"/>
      <c r="C31" s="40"/>
      <c r="D31" s="147"/>
      <c r="E31" s="147"/>
      <c r="F31" s="147"/>
      <c r="G31" s="147"/>
      <c r="H31" s="147"/>
      <c r="I31" s="147"/>
      <c r="J31" s="147"/>
      <c r="K31" s="147"/>
      <c r="L31" s="13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hidden="1" s="2" customFormat="1" ht="14.4" customHeight="1">
      <c r="A32" s="40"/>
      <c r="B32" s="46"/>
      <c r="C32" s="40"/>
      <c r="D32" s="40"/>
      <c r="E32" s="40"/>
      <c r="F32" s="150" t="s">
        <v>46</v>
      </c>
      <c r="G32" s="40"/>
      <c r="H32" s="40"/>
      <c r="I32" s="150" t="s">
        <v>45</v>
      </c>
      <c r="J32" s="150" t="s">
        <v>47</v>
      </c>
      <c r="K32" s="40"/>
      <c r="L32" s="13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hidden="1" s="2" customFormat="1" ht="14.4" customHeight="1">
      <c r="A33" s="40"/>
      <c r="B33" s="46"/>
      <c r="C33" s="40"/>
      <c r="D33" s="151" t="s">
        <v>48</v>
      </c>
      <c r="E33" s="135" t="s">
        <v>49</v>
      </c>
      <c r="F33" s="152">
        <f>ROUND((SUM(BE93:BE227)),  1)</f>
        <v>0</v>
      </c>
      <c r="G33" s="40"/>
      <c r="H33" s="40"/>
      <c r="I33" s="153">
        <v>0.20999999999999999</v>
      </c>
      <c r="J33" s="152">
        <f>ROUND(((SUM(BE93:BE227))*I33),  1)</f>
        <v>0</v>
      </c>
      <c r="K33" s="40"/>
      <c r="L33" s="13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hidden="1" s="2" customFormat="1" ht="14.4" customHeight="1">
      <c r="A34" s="40"/>
      <c r="B34" s="46"/>
      <c r="C34" s="40"/>
      <c r="D34" s="40"/>
      <c r="E34" s="135" t="s">
        <v>50</v>
      </c>
      <c r="F34" s="152">
        <f>ROUND((SUM(BF93:BF227)),  1)</f>
        <v>0</v>
      </c>
      <c r="G34" s="40"/>
      <c r="H34" s="40"/>
      <c r="I34" s="153">
        <v>0.14999999999999999</v>
      </c>
      <c r="J34" s="152">
        <f>ROUND(((SUM(BF93:BF227))*I34),  1)</f>
        <v>0</v>
      </c>
      <c r="K34" s="40"/>
      <c r="L34" s="13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35" t="s">
        <v>51</v>
      </c>
      <c r="F35" s="152">
        <f>ROUND((SUM(BG93:BG227)),  1)</f>
        <v>0</v>
      </c>
      <c r="G35" s="40"/>
      <c r="H35" s="40"/>
      <c r="I35" s="153">
        <v>0.20999999999999999</v>
      </c>
      <c r="J35" s="152">
        <f>0</f>
        <v>0</v>
      </c>
      <c r="K35" s="40"/>
      <c r="L35" s="13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35" t="s">
        <v>52</v>
      </c>
      <c r="F36" s="152">
        <f>ROUND((SUM(BH93:BH227)),  1)</f>
        <v>0</v>
      </c>
      <c r="G36" s="40"/>
      <c r="H36" s="40"/>
      <c r="I36" s="153">
        <v>0.14999999999999999</v>
      </c>
      <c r="J36" s="152">
        <f>0</f>
        <v>0</v>
      </c>
      <c r="K36" s="40"/>
      <c r="L36" s="13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35" t="s">
        <v>53</v>
      </c>
      <c r="F37" s="152">
        <f>ROUND((SUM(BI93:BI227)),  1)</f>
        <v>0</v>
      </c>
      <c r="G37" s="40"/>
      <c r="H37" s="40"/>
      <c r="I37" s="153">
        <v>0</v>
      </c>
      <c r="J37" s="152">
        <f>0</f>
        <v>0</v>
      </c>
      <c r="K37" s="40"/>
      <c r="L37" s="13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3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25.44" customHeight="1">
      <c r="A39" s="40"/>
      <c r="B39" s="46"/>
      <c r="C39" s="154"/>
      <c r="D39" s="155" t="s">
        <v>54</v>
      </c>
      <c r="E39" s="156"/>
      <c r="F39" s="156"/>
      <c r="G39" s="157" t="s">
        <v>55</v>
      </c>
      <c r="H39" s="158" t="s">
        <v>56</v>
      </c>
      <c r="I39" s="156"/>
      <c r="J39" s="159">
        <f>SUM(J30:J37)</f>
        <v>0</v>
      </c>
      <c r="K39" s="160"/>
      <c r="L39" s="13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161"/>
      <c r="C40" s="162"/>
      <c r="D40" s="162"/>
      <c r="E40" s="162"/>
      <c r="F40" s="162"/>
      <c r="G40" s="162"/>
      <c r="H40" s="162"/>
      <c r="I40" s="162"/>
      <c r="J40" s="162"/>
      <c r="K40" s="162"/>
      <c r="L40" s="13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/>
    <row r="42" hidden="1"/>
    <row r="43" hidden="1"/>
    <row r="44" hidden="1" s="2" customFormat="1" ht="6.96" customHeight="1">
      <c r="A44" s="4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3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hidden="1" s="2" customFormat="1" ht="24.96" customHeight="1">
      <c r="A45" s="40"/>
      <c r="B45" s="41"/>
      <c r="C45" s="24" t="s">
        <v>155</v>
      </c>
      <c r="D45" s="42"/>
      <c r="E45" s="42"/>
      <c r="F45" s="42"/>
      <c r="G45" s="42"/>
      <c r="H45" s="42"/>
      <c r="I45" s="42"/>
      <c r="J45" s="42"/>
      <c r="K45" s="42"/>
      <c r="L45" s="137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hidden="1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3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hidden="1" s="2" customFormat="1" ht="12" customHeight="1">
      <c r="A47" s="40"/>
      <c r="B47" s="41"/>
      <c r="C47" s="33" t="s">
        <v>16</v>
      </c>
      <c r="D47" s="42"/>
      <c r="E47" s="42"/>
      <c r="F47" s="42"/>
      <c r="G47" s="42"/>
      <c r="H47" s="42"/>
      <c r="I47" s="42"/>
      <c r="J47" s="42"/>
      <c r="K47" s="42"/>
      <c r="L47" s="13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hidden="1" s="2" customFormat="1" ht="16.5" customHeight="1">
      <c r="A48" s="40"/>
      <c r="B48" s="41"/>
      <c r="C48" s="42"/>
      <c r="D48" s="42"/>
      <c r="E48" s="165" t="str">
        <f>E7</f>
        <v>Kulturní dům ČP 1, Třemošná- rev 03</v>
      </c>
      <c r="F48" s="33"/>
      <c r="G48" s="33"/>
      <c r="H48" s="33"/>
      <c r="I48" s="42"/>
      <c r="J48" s="42"/>
      <c r="K48" s="42"/>
      <c r="L48" s="13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hidden="1" s="2" customFormat="1" ht="12" customHeight="1">
      <c r="A49" s="40"/>
      <c r="B49" s="41"/>
      <c r="C49" s="33" t="s">
        <v>134</v>
      </c>
      <c r="D49" s="42"/>
      <c r="E49" s="42"/>
      <c r="F49" s="42"/>
      <c r="G49" s="42"/>
      <c r="H49" s="42"/>
      <c r="I49" s="42"/>
      <c r="J49" s="42"/>
      <c r="K49" s="42"/>
      <c r="L49" s="13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hidden="1" s="2" customFormat="1" ht="16.5" customHeight="1">
      <c r="A50" s="40"/>
      <c r="B50" s="41"/>
      <c r="C50" s="42"/>
      <c r="D50" s="42"/>
      <c r="E50" s="71" t="str">
        <f>E9</f>
        <v>04 - Vzduchotechnika</v>
      </c>
      <c r="F50" s="42"/>
      <c r="G50" s="42"/>
      <c r="H50" s="42"/>
      <c r="I50" s="42"/>
      <c r="J50" s="42"/>
      <c r="K50" s="42"/>
      <c r="L50" s="13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hidden="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3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hidden="1" s="2" customFormat="1" ht="12" customHeight="1">
      <c r="A52" s="40"/>
      <c r="B52" s="41"/>
      <c r="C52" s="33" t="s">
        <v>22</v>
      </c>
      <c r="D52" s="42"/>
      <c r="E52" s="42"/>
      <c r="F52" s="28" t="str">
        <f>F12</f>
        <v xml:space="preserve"> </v>
      </c>
      <c r="G52" s="42"/>
      <c r="H52" s="42"/>
      <c r="I52" s="33" t="s">
        <v>24</v>
      </c>
      <c r="J52" s="74" t="str">
        <f>IF(J12="","",J12)</f>
        <v>20. 12. 2023</v>
      </c>
      <c r="K52" s="42"/>
      <c r="L52" s="13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hidden="1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3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hidden="1" s="2" customFormat="1" ht="25.65" customHeight="1">
      <c r="A54" s="40"/>
      <c r="B54" s="41"/>
      <c r="C54" s="33" t="s">
        <v>30</v>
      </c>
      <c r="D54" s="42"/>
      <c r="E54" s="42"/>
      <c r="F54" s="28" t="str">
        <f>E15</f>
        <v>Město Třemošná, Sídliště 992, 330 01 Třemošná</v>
      </c>
      <c r="G54" s="42"/>
      <c r="H54" s="42"/>
      <c r="I54" s="33" t="s">
        <v>37</v>
      </c>
      <c r="J54" s="38" t="str">
        <f>E21</f>
        <v>RAVAL projekt v. o. s.</v>
      </c>
      <c r="K54" s="42"/>
      <c r="L54" s="13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hidden="1" s="2" customFormat="1" ht="15.15" customHeight="1">
      <c r="A55" s="40"/>
      <c r="B55" s="41"/>
      <c r="C55" s="33" t="s">
        <v>35</v>
      </c>
      <c r="D55" s="42"/>
      <c r="E55" s="42"/>
      <c r="F55" s="28" t="str">
        <f>IF(E18="","",E18)</f>
        <v>Vyplň údaj</v>
      </c>
      <c r="G55" s="42"/>
      <c r="H55" s="42"/>
      <c r="I55" s="33" t="s">
        <v>40</v>
      </c>
      <c r="J55" s="38" t="str">
        <f>E24</f>
        <v xml:space="preserve"> </v>
      </c>
      <c r="K55" s="42"/>
      <c r="L55" s="13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hidden="1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3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hidden="1" s="2" customFormat="1" ht="29.28" customHeight="1">
      <c r="A57" s="40"/>
      <c r="B57" s="41"/>
      <c r="C57" s="166" t="s">
        <v>156</v>
      </c>
      <c r="D57" s="167"/>
      <c r="E57" s="167"/>
      <c r="F57" s="167"/>
      <c r="G57" s="167"/>
      <c r="H57" s="167"/>
      <c r="I57" s="167"/>
      <c r="J57" s="168" t="s">
        <v>157</v>
      </c>
      <c r="K57" s="167"/>
      <c r="L57" s="13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hidden="1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3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hidden="1" s="2" customFormat="1" ht="22.8" customHeight="1">
      <c r="A59" s="40"/>
      <c r="B59" s="41"/>
      <c r="C59" s="169" t="s">
        <v>76</v>
      </c>
      <c r="D59" s="42"/>
      <c r="E59" s="42"/>
      <c r="F59" s="42"/>
      <c r="G59" s="42"/>
      <c r="H59" s="42"/>
      <c r="I59" s="42"/>
      <c r="J59" s="104">
        <f>J93</f>
        <v>0</v>
      </c>
      <c r="K59" s="42"/>
      <c r="L59" s="13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8" t="s">
        <v>158</v>
      </c>
    </row>
    <row r="60" hidden="1" s="9" customFormat="1" ht="24.96" customHeight="1">
      <c r="A60" s="9"/>
      <c r="B60" s="170"/>
      <c r="C60" s="171"/>
      <c r="D60" s="172" t="s">
        <v>2629</v>
      </c>
      <c r="E60" s="173"/>
      <c r="F60" s="173"/>
      <c r="G60" s="173"/>
      <c r="H60" s="173"/>
      <c r="I60" s="173"/>
      <c r="J60" s="174">
        <f>J94</f>
        <v>0</v>
      </c>
      <c r="K60" s="171"/>
      <c r="L60" s="175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idden="1" s="9" customFormat="1" ht="24.96" customHeight="1">
      <c r="A61" s="9"/>
      <c r="B61" s="170"/>
      <c r="C61" s="171"/>
      <c r="D61" s="172" t="s">
        <v>2630</v>
      </c>
      <c r="E61" s="173"/>
      <c r="F61" s="173"/>
      <c r="G61" s="173"/>
      <c r="H61" s="173"/>
      <c r="I61" s="173"/>
      <c r="J61" s="174">
        <f>J116</f>
        <v>0</v>
      </c>
      <c r="K61" s="171"/>
      <c r="L61" s="175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hidden="1" s="9" customFormat="1" ht="24.96" customHeight="1">
      <c r="A62" s="9"/>
      <c r="B62" s="170"/>
      <c r="C62" s="171"/>
      <c r="D62" s="172" t="s">
        <v>2631</v>
      </c>
      <c r="E62" s="173"/>
      <c r="F62" s="173"/>
      <c r="G62" s="173"/>
      <c r="H62" s="173"/>
      <c r="I62" s="173"/>
      <c r="J62" s="174">
        <f>J142</f>
        <v>0</v>
      </c>
      <c r="K62" s="171"/>
      <c r="L62" s="175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hidden="1" s="9" customFormat="1" ht="24.96" customHeight="1">
      <c r="A63" s="9"/>
      <c r="B63" s="170"/>
      <c r="C63" s="171"/>
      <c r="D63" s="172" t="s">
        <v>2632</v>
      </c>
      <c r="E63" s="173"/>
      <c r="F63" s="173"/>
      <c r="G63" s="173"/>
      <c r="H63" s="173"/>
      <c r="I63" s="173"/>
      <c r="J63" s="174">
        <f>J159</f>
        <v>0</v>
      </c>
      <c r="K63" s="171"/>
      <c r="L63" s="175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hidden="1" s="9" customFormat="1" ht="24.96" customHeight="1">
      <c r="A64" s="9"/>
      <c r="B64" s="170"/>
      <c r="C64" s="171"/>
      <c r="D64" s="172" t="s">
        <v>2633</v>
      </c>
      <c r="E64" s="173"/>
      <c r="F64" s="173"/>
      <c r="G64" s="173"/>
      <c r="H64" s="173"/>
      <c r="I64" s="173"/>
      <c r="J64" s="174">
        <f>J169</f>
        <v>0</v>
      </c>
      <c r="K64" s="171"/>
      <c r="L64" s="175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hidden="1" s="9" customFormat="1" ht="24.96" customHeight="1">
      <c r="A65" s="9"/>
      <c r="B65" s="170"/>
      <c r="C65" s="171"/>
      <c r="D65" s="172" t="s">
        <v>2634</v>
      </c>
      <c r="E65" s="173"/>
      <c r="F65" s="173"/>
      <c r="G65" s="173"/>
      <c r="H65" s="173"/>
      <c r="I65" s="173"/>
      <c r="J65" s="174">
        <f>J179</f>
        <v>0</v>
      </c>
      <c r="K65" s="171"/>
      <c r="L65" s="175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hidden="1" s="9" customFormat="1" ht="24.96" customHeight="1">
      <c r="A66" s="9"/>
      <c r="B66" s="170"/>
      <c r="C66" s="171"/>
      <c r="D66" s="172" t="s">
        <v>2635</v>
      </c>
      <c r="E66" s="173"/>
      <c r="F66" s="173"/>
      <c r="G66" s="173"/>
      <c r="H66" s="173"/>
      <c r="I66" s="173"/>
      <c r="J66" s="174">
        <f>J189</f>
        <v>0</v>
      </c>
      <c r="K66" s="171"/>
      <c r="L66" s="175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hidden="1" s="9" customFormat="1" ht="24.96" customHeight="1">
      <c r="A67" s="9"/>
      <c r="B67" s="170"/>
      <c r="C67" s="171"/>
      <c r="D67" s="172" t="s">
        <v>2636</v>
      </c>
      <c r="E67" s="173"/>
      <c r="F67" s="173"/>
      <c r="G67" s="173"/>
      <c r="H67" s="173"/>
      <c r="I67" s="173"/>
      <c r="J67" s="174">
        <f>J198</f>
        <v>0</v>
      </c>
      <c r="K67" s="171"/>
      <c r="L67" s="175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hidden="1" s="9" customFormat="1" ht="24.96" customHeight="1">
      <c r="A68" s="9"/>
      <c r="B68" s="170"/>
      <c r="C68" s="171"/>
      <c r="D68" s="172" t="s">
        <v>2637</v>
      </c>
      <c r="E68" s="173"/>
      <c r="F68" s="173"/>
      <c r="G68" s="173"/>
      <c r="H68" s="173"/>
      <c r="I68" s="173"/>
      <c r="J68" s="174">
        <f>J205</f>
        <v>0</v>
      </c>
      <c r="K68" s="171"/>
      <c r="L68" s="175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hidden="1" s="9" customFormat="1" ht="24.96" customHeight="1">
      <c r="A69" s="9"/>
      <c r="B69" s="170"/>
      <c r="C69" s="171"/>
      <c r="D69" s="172" t="s">
        <v>2638</v>
      </c>
      <c r="E69" s="173"/>
      <c r="F69" s="173"/>
      <c r="G69" s="173"/>
      <c r="H69" s="173"/>
      <c r="I69" s="173"/>
      <c r="J69" s="174">
        <f>J212</f>
        <v>0</v>
      </c>
      <c r="K69" s="171"/>
      <c r="L69" s="175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hidden="1" s="9" customFormat="1" ht="24.96" customHeight="1">
      <c r="A70" s="9"/>
      <c r="B70" s="170"/>
      <c r="C70" s="171"/>
      <c r="D70" s="172" t="s">
        <v>2639</v>
      </c>
      <c r="E70" s="173"/>
      <c r="F70" s="173"/>
      <c r="G70" s="173"/>
      <c r="H70" s="173"/>
      <c r="I70" s="173"/>
      <c r="J70" s="174">
        <f>J214</f>
        <v>0</v>
      </c>
      <c r="K70" s="171"/>
      <c r="L70" s="175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hidden="1" s="9" customFormat="1" ht="24.96" customHeight="1">
      <c r="A71" s="9"/>
      <c r="B71" s="170"/>
      <c r="C71" s="171"/>
      <c r="D71" s="172" t="s">
        <v>2640</v>
      </c>
      <c r="E71" s="173"/>
      <c r="F71" s="173"/>
      <c r="G71" s="173"/>
      <c r="H71" s="173"/>
      <c r="I71" s="173"/>
      <c r="J71" s="174">
        <f>J216</f>
        <v>0</v>
      </c>
      <c r="K71" s="171"/>
      <c r="L71" s="175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hidden="1" s="9" customFormat="1" ht="24.96" customHeight="1">
      <c r="A72" s="9"/>
      <c r="B72" s="170"/>
      <c r="C72" s="171"/>
      <c r="D72" s="172" t="s">
        <v>2641</v>
      </c>
      <c r="E72" s="173"/>
      <c r="F72" s="173"/>
      <c r="G72" s="173"/>
      <c r="H72" s="173"/>
      <c r="I72" s="173"/>
      <c r="J72" s="174">
        <f>J220</f>
        <v>0</v>
      </c>
      <c r="K72" s="171"/>
      <c r="L72" s="175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hidden="1" s="9" customFormat="1" ht="24.96" customHeight="1">
      <c r="A73" s="9"/>
      <c r="B73" s="170"/>
      <c r="C73" s="171"/>
      <c r="D73" s="172" t="s">
        <v>2642</v>
      </c>
      <c r="E73" s="173"/>
      <c r="F73" s="173"/>
      <c r="G73" s="173"/>
      <c r="H73" s="173"/>
      <c r="I73" s="173"/>
      <c r="J73" s="174">
        <f>J224</f>
        <v>0</v>
      </c>
      <c r="K73" s="171"/>
      <c r="L73" s="175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hidden="1" s="2" customFormat="1" ht="21.84" customHeight="1">
      <c r="A74" s="40"/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137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hidden="1" s="2" customFormat="1" ht="6.96" customHeight="1">
      <c r="A75" s="40"/>
      <c r="B75" s="61"/>
      <c r="C75" s="62"/>
      <c r="D75" s="62"/>
      <c r="E75" s="62"/>
      <c r="F75" s="62"/>
      <c r="G75" s="62"/>
      <c r="H75" s="62"/>
      <c r="I75" s="62"/>
      <c r="J75" s="62"/>
      <c r="K75" s="62"/>
      <c r="L75" s="137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hidden="1"/>
    <row r="77" hidden="1"/>
    <row r="78" hidden="1"/>
    <row r="79" s="2" customFormat="1" ht="6.96" customHeight="1">
      <c r="A79" s="40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13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24.96" customHeight="1">
      <c r="A80" s="40"/>
      <c r="B80" s="41"/>
      <c r="C80" s="24" t="s">
        <v>185</v>
      </c>
      <c r="D80" s="42"/>
      <c r="E80" s="42"/>
      <c r="F80" s="42"/>
      <c r="G80" s="42"/>
      <c r="H80" s="42"/>
      <c r="I80" s="42"/>
      <c r="J80" s="42"/>
      <c r="K80" s="42"/>
      <c r="L80" s="13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6.96" customHeight="1">
      <c r="A81" s="40"/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13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2" customHeight="1">
      <c r="A82" s="40"/>
      <c r="B82" s="41"/>
      <c r="C82" s="33" t="s">
        <v>16</v>
      </c>
      <c r="D82" s="42"/>
      <c r="E82" s="42"/>
      <c r="F82" s="42"/>
      <c r="G82" s="42"/>
      <c r="H82" s="42"/>
      <c r="I82" s="42"/>
      <c r="J82" s="42"/>
      <c r="K82" s="42"/>
      <c r="L82" s="13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6.5" customHeight="1">
      <c r="A83" s="40"/>
      <c r="B83" s="41"/>
      <c r="C83" s="42"/>
      <c r="D83" s="42"/>
      <c r="E83" s="165" t="str">
        <f>E7</f>
        <v>Kulturní dům ČP 1, Třemošná- rev 03</v>
      </c>
      <c r="F83" s="33"/>
      <c r="G83" s="33"/>
      <c r="H83" s="33"/>
      <c r="I83" s="42"/>
      <c r="J83" s="42"/>
      <c r="K83" s="42"/>
      <c r="L83" s="137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12" customHeight="1">
      <c r="A84" s="40"/>
      <c r="B84" s="41"/>
      <c r="C84" s="33" t="s">
        <v>134</v>
      </c>
      <c r="D84" s="42"/>
      <c r="E84" s="42"/>
      <c r="F84" s="42"/>
      <c r="G84" s="42"/>
      <c r="H84" s="42"/>
      <c r="I84" s="42"/>
      <c r="J84" s="42"/>
      <c r="K84" s="42"/>
      <c r="L84" s="13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16.5" customHeight="1">
      <c r="A85" s="40"/>
      <c r="B85" s="41"/>
      <c r="C85" s="42"/>
      <c r="D85" s="42"/>
      <c r="E85" s="71" t="str">
        <f>E9</f>
        <v>04 - Vzduchotechnika</v>
      </c>
      <c r="F85" s="42"/>
      <c r="G85" s="42"/>
      <c r="H85" s="42"/>
      <c r="I85" s="42"/>
      <c r="J85" s="42"/>
      <c r="K85" s="42"/>
      <c r="L85" s="13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6.96" customHeight="1">
      <c r="A86" s="40"/>
      <c r="B86" s="41"/>
      <c r="C86" s="42"/>
      <c r="D86" s="42"/>
      <c r="E86" s="42"/>
      <c r="F86" s="42"/>
      <c r="G86" s="42"/>
      <c r="H86" s="42"/>
      <c r="I86" s="42"/>
      <c r="J86" s="42"/>
      <c r="K86" s="42"/>
      <c r="L86" s="13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2" customHeight="1">
      <c r="A87" s="40"/>
      <c r="B87" s="41"/>
      <c r="C87" s="33" t="s">
        <v>22</v>
      </c>
      <c r="D87" s="42"/>
      <c r="E87" s="42"/>
      <c r="F87" s="28" t="str">
        <f>F12</f>
        <v xml:space="preserve"> </v>
      </c>
      <c r="G87" s="42"/>
      <c r="H87" s="42"/>
      <c r="I87" s="33" t="s">
        <v>24</v>
      </c>
      <c r="J87" s="74" t="str">
        <f>IF(J12="","",J12)</f>
        <v>20. 12. 2023</v>
      </c>
      <c r="K87" s="42"/>
      <c r="L87" s="13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6.96" customHeight="1">
      <c r="A88" s="40"/>
      <c r="B88" s="41"/>
      <c r="C88" s="42"/>
      <c r="D88" s="42"/>
      <c r="E88" s="42"/>
      <c r="F88" s="42"/>
      <c r="G88" s="42"/>
      <c r="H88" s="42"/>
      <c r="I88" s="42"/>
      <c r="J88" s="42"/>
      <c r="K88" s="42"/>
      <c r="L88" s="137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25.65" customHeight="1">
      <c r="A89" s="40"/>
      <c r="B89" s="41"/>
      <c r="C89" s="33" t="s">
        <v>30</v>
      </c>
      <c r="D89" s="42"/>
      <c r="E89" s="42"/>
      <c r="F89" s="28" t="str">
        <f>E15</f>
        <v>Město Třemošná, Sídliště 992, 330 01 Třemošná</v>
      </c>
      <c r="G89" s="42"/>
      <c r="H89" s="42"/>
      <c r="I89" s="33" t="s">
        <v>37</v>
      </c>
      <c r="J89" s="38" t="str">
        <f>E21</f>
        <v>RAVAL projekt v. o. s.</v>
      </c>
      <c r="K89" s="42"/>
      <c r="L89" s="137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2" customFormat="1" ht="15.15" customHeight="1">
      <c r="A90" s="40"/>
      <c r="B90" s="41"/>
      <c r="C90" s="33" t="s">
        <v>35</v>
      </c>
      <c r="D90" s="42"/>
      <c r="E90" s="42"/>
      <c r="F90" s="28" t="str">
        <f>IF(E18="","",E18)</f>
        <v>Vyplň údaj</v>
      </c>
      <c r="G90" s="42"/>
      <c r="H90" s="42"/>
      <c r="I90" s="33" t="s">
        <v>40</v>
      </c>
      <c r="J90" s="38" t="str">
        <f>E24</f>
        <v xml:space="preserve"> </v>
      </c>
      <c r="K90" s="42"/>
      <c r="L90" s="137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 s="2" customFormat="1" ht="10.32" customHeight="1">
      <c r="A91" s="40"/>
      <c r="B91" s="41"/>
      <c r="C91" s="42"/>
      <c r="D91" s="42"/>
      <c r="E91" s="42"/>
      <c r="F91" s="42"/>
      <c r="G91" s="42"/>
      <c r="H91" s="42"/>
      <c r="I91" s="42"/>
      <c r="J91" s="42"/>
      <c r="K91" s="42"/>
      <c r="L91" s="137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 s="11" customFormat="1" ht="29.28" customHeight="1">
      <c r="A92" s="182"/>
      <c r="B92" s="183"/>
      <c r="C92" s="184" t="s">
        <v>186</v>
      </c>
      <c r="D92" s="185" t="s">
        <v>63</v>
      </c>
      <c r="E92" s="185" t="s">
        <v>59</v>
      </c>
      <c r="F92" s="185" t="s">
        <v>60</v>
      </c>
      <c r="G92" s="185" t="s">
        <v>187</v>
      </c>
      <c r="H92" s="185" t="s">
        <v>188</v>
      </c>
      <c r="I92" s="185" t="s">
        <v>189</v>
      </c>
      <c r="J92" s="185" t="s">
        <v>157</v>
      </c>
      <c r="K92" s="186" t="s">
        <v>190</v>
      </c>
      <c r="L92" s="187"/>
      <c r="M92" s="94" t="s">
        <v>32</v>
      </c>
      <c r="N92" s="95" t="s">
        <v>48</v>
      </c>
      <c r="O92" s="95" t="s">
        <v>191</v>
      </c>
      <c r="P92" s="95" t="s">
        <v>192</v>
      </c>
      <c r="Q92" s="95" t="s">
        <v>193</v>
      </c>
      <c r="R92" s="95" t="s">
        <v>194</v>
      </c>
      <c r="S92" s="95" t="s">
        <v>195</v>
      </c>
      <c r="T92" s="96" t="s">
        <v>196</v>
      </c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</row>
    <row r="93" s="2" customFormat="1" ht="22.8" customHeight="1">
      <c r="A93" s="40"/>
      <c r="B93" s="41"/>
      <c r="C93" s="101" t="s">
        <v>197</v>
      </c>
      <c r="D93" s="42"/>
      <c r="E93" s="42"/>
      <c r="F93" s="42"/>
      <c r="G93" s="42"/>
      <c r="H93" s="42"/>
      <c r="I93" s="42"/>
      <c r="J93" s="188">
        <f>BK93</f>
        <v>0</v>
      </c>
      <c r="K93" s="42"/>
      <c r="L93" s="46"/>
      <c r="M93" s="97"/>
      <c r="N93" s="189"/>
      <c r="O93" s="98"/>
      <c r="P93" s="190">
        <f>P94+P116+P142+P159+P169+P179+P189+P198+P205+P212+P214+P216+P220+P224</f>
        <v>0</v>
      </c>
      <c r="Q93" s="98"/>
      <c r="R93" s="190">
        <f>R94+R116+R142+R159+R169+R179+R189+R198+R205+R212+R214+R216+R220+R224</f>
        <v>6989.4999999999991</v>
      </c>
      <c r="S93" s="98"/>
      <c r="T93" s="191">
        <f>T94+T116+T142+T159+T169+T179+T189+T198+T205+T212+T214+T216+T220+T224</f>
        <v>0</v>
      </c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T93" s="18" t="s">
        <v>77</v>
      </c>
      <c r="AU93" s="18" t="s">
        <v>158</v>
      </c>
      <c r="BK93" s="192">
        <f>BK94+BK116+BK142+BK159+BK169+BK179+BK189+BK198+BK205+BK212+BK214+BK216+BK220+BK224</f>
        <v>0</v>
      </c>
    </row>
    <row r="94" s="12" customFormat="1" ht="25.92" customHeight="1">
      <c r="A94" s="12"/>
      <c r="B94" s="193"/>
      <c r="C94" s="194"/>
      <c r="D94" s="195" t="s">
        <v>77</v>
      </c>
      <c r="E94" s="196" t="s">
        <v>86</v>
      </c>
      <c r="F94" s="196" t="s">
        <v>2643</v>
      </c>
      <c r="G94" s="194"/>
      <c r="H94" s="194"/>
      <c r="I94" s="197"/>
      <c r="J94" s="198">
        <f>BK94</f>
        <v>0</v>
      </c>
      <c r="K94" s="194"/>
      <c r="L94" s="199"/>
      <c r="M94" s="200"/>
      <c r="N94" s="201"/>
      <c r="O94" s="201"/>
      <c r="P94" s="202">
        <f>SUM(P95:P115)</f>
        <v>0</v>
      </c>
      <c r="Q94" s="201"/>
      <c r="R94" s="202">
        <f>SUM(R95:R115)</f>
        <v>3106</v>
      </c>
      <c r="S94" s="201"/>
      <c r="T94" s="203">
        <f>SUM(T95:T115)</f>
        <v>0</v>
      </c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R94" s="204" t="s">
        <v>86</v>
      </c>
      <c r="AT94" s="205" t="s">
        <v>77</v>
      </c>
      <c r="AU94" s="205" t="s">
        <v>78</v>
      </c>
      <c r="AY94" s="204" t="s">
        <v>200</v>
      </c>
      <c r="BK94" s="206">
        <f>SUM(BK95:BK115)</f>
        <v>0</v>
      </c>
    </row>
    <row r="95" s="2" customFormat="1" ht="37.8" customHeight="1">
      <c r="A95" s="40"/>
      <c r="B95" s="41"/>
      <c r="C95" s="209" t="s">
        <v>86</v>
      </c>
      <c r="D95" s="209" t="s">
        <v>202</v>
      </c>
      <c r="E95" s="210" t="s">
        <v>2644</v>
      </c>
      <c r="F95" s="211" t="s">
        <v>2645</v>
      </c>
      <c r="G95" s="212" t="s">
        <v>1436</v>
      </c>
      <c r="H95" s="213">
        <v>1</v>
      </c>
      <c r="I95" s="214"/>
      <c r="J95" s="215">
        <f>ROUND(I95*H95,1)</f>
        <v>0</v>
      </c>
      <c r="K95" s="211" t="s">
        <v>32</v>
      </c>
      <c r="L95" s="46"/>
      <c r="M95" s="216" t="s">
        <v>32</v>
      </c>
      <c r="N95" s="217" t="s">
        <v>49</v>
      </c>
      <c r="O95" s="86"/>
      <c r="P95" s="218">
        <f>O95*H95</f>
        <v>0</v>
      </c>
      <c r="Q95" s="218">
        <v>361</v>
      </c>
      <c r="R95" s="218">
        <f>Q95*H95</f>
        <v>361</v>
      </c>
      <c r="S95" s="218">
        <v>0</v>
      </c>
      <c r="T95" s="219">
        <f>S95*H95</f>
        <v>0</v>
      </c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R95" s="220" t="s">
        <v>207</v>
      </c>
      <c r="AT95" s="220" t="s">
        <v>202</v>
      </c>
      <c r="AU95" s="220" t="s">
        <v>86</v>
      </c>
      <c r="AY95" s="18" t="s">
        <v>200</v>
      </c>
      <c r="BE95" s="221">
        <f>IF(N95="základní",J95,0)</f>
        <v>0</v>
      </c>
      <c r="BF95" s="221">
        <f>IF(N95="snížená",J95,0)</f>
        <v>0</v>
      </c>
      <c r="BG95" s="221">
        <f>IF(N95="zákl. přenesená",J95,0)</f>
        <v>0</v>
      </c>
      <c r="BH95" s="221">
        <f>IF(N95="sníž. přenesená",J95,0)</f>
        <v>0</v>
      </c>
      <c r="BI95" s="221">
        <f>IF(N95="nulová",J95,0)</f>
        <v>0</v>
      </c>
      <c r="BJ95" s="18" t="s">
        <v>86</v>
      </c>
      <c r="BK95" s="221">
        <f>ROUND(I95*H95,1)</f>
        <v>0</v>
      </c>
      <c r="BL95" s="18" t="s">
        <v>207</v>
      </c>
      <c r="BM95" s="220" t="s">
        <v>88</v>
      </c>
    </row>
    <row r="96" s="2" customFormat="1">
      <c r="A96" s="40"/>
      <c r="B96" s="41"/>
      <c r="C96" s="42"/>
      <c r="D96" s="229" t="s">
        <v>355</v>
      </c>
      <c r="E96" s="42"/>
      <c r="F96" s="281" t="s">
        <v>2646</v>
      </c>
      <c r="G96" s="42"/>
      <c r="H96" s="42"/>
      <c r="I96" s="224"/>
      <c r="J96" s="42"/>
      <c r="K96" s="42"/>
      <c r="L96" s="46"/>
      <c r="M96" s="225"/>
      <c r="N96" s="226"/>
      <c r="O96" s="86"/>
      <c r="P96" s="86"/>
      <c r="Q96" s="86"/>
      <c r="R96" s="86"/>
      <c r="S96" s="86"/>
      <c r="T96" s="87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T96" s="18" t="s">
        <v>355</v>
      </c>
      <c r="AU96" s="18" t="s">
        <v>86</v>
      </c>
    </row>
    <row r="97" s="2" customFormat="1" ht="16.5" customHeight="1">
      <c r="A97" s="40"/>
      <c r="B97" s="41"/>
      <c r="C97" s="209" t="s">
        <v>88</v>
      </c>
      <c r="D97" s="209" t="s">
        <v>202</v>
      </c>
      <c r="E97" s="210" t="s">
        <v>2647</v>
      </c>
      <c r="F97" s="211" t="s">
        <v>2648</v>
      </c>
      <c r="G97" s="212" t="s">
        <v>1436</v>
      </c>
      <c r="H97" s="213">
        <v>4</v>
      </c>
      <c r="I97" s="214"/>
      <c r="J97" s="215">
        <f>ROUND(I97*H97,1)</f>
        <v>0</v>
      </c>
      <c r="K97" s="211" t="s">
        <v>32</v>
      </c>
      <c r="L97" s="46"/>
      <c r="M97" s="216" t="s">
        <v>32</v>
      </c>
      <c r="N97" s="217" t="s">
        <v>49</v>
      </c>
      <c r="O97" s="86"/>
      <c r="P97" s="218">
        <f>O97*H97</f>
        <v>0</v>
      </c>
      <c r="Q97" s="218">
        <v>2</v>
      </c>
      <c r="R97" s="218">
        <f>Q97*H97</f>
        <v>8</v>
      </c>
      <c r="S97" s="218">
        <v>0</v>
      </c>
      <c r="T97" s="219">
        <f>S97*H97</f>
        <v>0</v>
      </c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R97" s="220" t="s">
        <v>207</v>
      </c>
      <c r="AT97" s="220" t="s">
        <v>202</v>
      </c>
      <c r="AU97" s="220" t="s">
        <v>86</v>
      </c>
      <c r="AY97" s="18" t="s">
        <v>200</v>
      </c>
      <c r="BE97" s="221">
        <f>IF(N97="základní",J97,0)</f>
        <v>0</v>
      </c>
      <c r="BF97" s="221">
        <f>IF(N97="snížená",J97,0)</f>
        <v>0</v>
      </c>
      <c r="BG97" s="221">
        <f>IF(N97="zákl. přenesená",J97,0)</f>
        <v>0</v>
      </c>
      <c r="BH97" s="221">
        <f>IF(N97="sníž. přenesená",J97,0)</f>
        <v>0</v>
      </c>
      <c r="BI97" s="221">
        <f>IF(N97="nulová",J97,0)</f>
        <v>0</v>
      </c>
      <c r="BJ97" s="18" t="s">
        <v>86</v>
      </c>
      <c r="BK97" s="221">
        <f>ROUND(I97*H97,1)</f>
        <v>0</v>
      </c>
      <c r="BL97" s="18" t="s">
        <v>207</v>
      </c>
      <c r="BM97" s="220" t="s">
        <v>207</v>
      </c>
    </row>
    <row r="98" s="2" customFormat="1" ht="16.5" customHeight="1">
      <c r="A98" s="40"/>
      <c r="B98" s="41"/>
      <c r="C98" s="209" t="s">
        <v>148</v>
      </c>
      <c r="D98" s="209" t="s">
        <v>202</v>
      </c>
      <c r="E98" s="210" t="s">
        <v>2649</v>
      </c>
      <c r="F98" s="211" t="s">
        <v>2650</v>
      </c>
      <c r="G98" s="212" t="s">
        <v>1436</v>
      </c>
      <c r="H98" s="213">
        <v>1</v>
      </c>
      <c r="I98" s="214"/>
      <c r="J98" s="215">
        <f>ROUND(I98*H98,1)</f>
        <v>0</v>
      </c>
      <c r="K98" s="211" t="s">
        <v>32</v>
      </c>
      <c r="L98" s="46"/>
      <c r="M98" s="216" t="s">
        <v>32</v>
      </c>
      <c r="N98" s="217" t="s">
        <v>49</v>
      </c>
      <c r="O98" s="86"/>
      <c r="P98" s="218">
        <f>O98*H98</f>
        <v>0</v>
      </c>
      <c r="Q98" s="218">
        <v>0.20000000000000001</v>
      </c>
      <c r="R98" s="218">
        <f>Q98*H98</f>
        <v>0.20000000000000001</v>
      </c>
      <c r="S98" s="218">
        <v>0</v>
      </c>
      <c r="T98" s="219">
        <f>S98*H98</f>
        <v>0</v>
      </c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R98" s="220" t="s">
        <v>207</v>
      </c>
      <c r="AT98" s="220" t="s">
        <v>202</v>
      </c>
      <c r="AU98" s="220" t="s">
        <v>86</v>
      </c>
      <c r="AY98" s="18" t="s">
        <v>200</v>
      </c>
      <c r="BE98" s="221">
        <f>IF(N98="základní",J98,0)</f>
        <v>0</v>
      </c>
      <c r="BF98" s="221">
        <f>IF(N98="snížená",J98,0)</f>
        <v>0</v>
      </c>
      <c r="BG98" s="221">
        <f>IF(N98="zákl. přenesená",J98,0)</f>
        <v>0</v>
      </c>
      <c r="BH98" s="221">
        <f>IF(N98="sníž. přenesená",J98,0)</f>
        <v>0</v>
      </c>
      <c r="BI98" s="221">
        <f>IF(N98="nulová",J98,0)</f>
        <v>0</v>
      </c>
      <c r="BJ98" s="18" t="s">
        <v>86</v>
      </c>
      <c r="BK98" s="221">
        <f>ROUND(I98*H98,1)</f>
        <v>0</v>
      </c>
      <c r="BL98" s="18" t="s">
        <v>207</v>
      </c>
      <c r="BM98" s="220" t="s">
        <v>241</v>
      </c>
    </row>
    <row r="99" s="2" customFormat="1" ht="16.5" customHeight="1">
      <c r="A99" s="40"/>
      <c r="B99" s="41"/>
      <c r="C99" s="209" t="s">
        <v>207</v>
      </c>
      <c r="D99" s="209" t="s">
        <v>202</v>
      </c>
      <c r="E99" s="210" t="s">
        <v>2651</v>
      </c>
      <c r="F99" s="211" t="s">
        <v>2652</v>
      </c>
      <c r="G99" s="212" t="s">
        <v>1436</v>
      </c>
      <c r="H99" s="213">
        <v>1</v>
      </c>
      <c r="I99" s="214"/>
      <c r="J99" s="215">
        <f>ROUND(I99*H99,1)</f>
        <v>0</v>
      </c>
      <c r="K99" s="211" t="s">
        <v>32</v>
      </c>
      <c r="L99" s="46"/>
      <c r="M99" s="216" t="s">
        <v>32</v>
      </c>
      <c r="N99" s="217" t="s">
        <v>49</v>
      </c>
      <c r="O99" s="86"/>
      <c r="P99" s="218">
        <f>O99*H99</f>
        <v>0</v>
      </c>
      <c r="Q99" s="218">
        <v>0.20000000000000001</v>
      </c>
      <c r="R99" s="218">
        <f>Q99*H99</f>
        <v>0.20000000000000001</v>
      </c>
      <c r="S99" s="218">
        <v>0</v>
      </c>
      <c r="T99" s="219">
        <f>S99*H99</f>
        <v>0</v>
      </c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R99" s="220" t="s">
        <v>207</v>
      </c>
      <c r="AT99" s="220" t="s">
        <v>202</v>
      </c>
      <c r="AU99" s="220" t="s">
        <v>86</v>
      </c>
      <c r="AY99" s="18" t="s">
        <v>200</v>
      </c>
      <c r="BE99" s="221">
        <f>IF(N99="základní",J99,0)</f>
        <v>0</v>
      </c>
      <c r="BF99" s="221">
        <f>IF(N99="snížená",J99,0)</f>
        <v>0</v>
      </c>
      <c r="BG99" s="221">
        <f>IF(N99="zákl. přenesená",J99,0)</f>
        <v>0</v>
      </c>
      <c r="BH99" s="221">
        <f>IF(N99="sníž. přenesená",J99,0)</f>
        <v>0</v>
      </c>
      <c r="BI99" s="221">
        <f>IF(N99="nulová",J99,0)</f>
        <v>0</v>
      </c>
      <c r="BJ99" s="18" t="s">
        <v>86</v>
      </c>
      <c r="BK99" s="221">
        <f>ROUND(I99*H99,1)</f>
        <v>0</v>
      </c>
      <c r="BL99" s="18" t="s">
        <v>207</v>
      </c>
      <c r="BM99" s="220" t="s">
        <v>254</v>
      </c>
    </row>
    <row r="100" s="2" customFormat="1" ht="16.5" customHeight="1">
      <c r="A100" s="40"/>
      <c r="B100" s="41"/>
      <c r="C100" s="209" t="s">
        <v>234</v>
      </c>
      <c r="D100" s="209" t="s">
        <v>202</v>
      </c>
      <c r="E100" s="210" t="s">
        <v>2653</v>
      </c>
      <c r="F100" s="211" t="s">
        <v>2654</v>
      </c>
      <c r="G100" s="212" t="s">
        <v>1436</v>
      </c>
      <c r="H100" s="213">
        <v>1</v>
      </c>
      <c r="I100" s="214"/>
      <c r="J100" s="215">
        <f>ROUND(I100*H100,1)</f>
        <v>0</v>
      </c>
      <c r="K100" s="211" t="s">
        <v>32</v>
      </c>
      <c r="L100" s="46"/>
      <c r="M100" s="216" t="s">
        <v>32</v>
      </c>
      <c r="N100" s="217" t="s">
        <v>49</v>
      </c>
      <c r="O100" s="86"/>
      <c r="P100" s="218">
        <f>O100*H100</f>
        <v>0</v>
      </c>
      <c r="Q100" s="218">
        <v>0</v>
      </c>
      <c r="R100" s="218">
        <f>Q100*H100</f>
        <v>0</v>
      </c>
      <c r="S100" s="218">
        <v>0</v>
      </c>
      <c r="T100" s="219">
        <f>S100*H100</f>
        <v>0</v>
      </c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0" t="s">
        <v>207</v>
      </c>
      <c r="AT100" s="220" t="s">
        <v>202</v>
      </c>
      <c r="AU100" s="220" t="s">
        <v>86</v>
      </c>
      <c r="AY100" s="18" t="s">
        <v>200</v>
      </c>
      <c r="BE100" s="221">
        <f>IF(N100="základní",J100,0)</f>
        <v>0</v>
      </c>
      <c r="BF100" s="221">
        <f>IF(N100="snížená",J100,0)</f>
        <v>0</v>
      </c>
      <c r="BG100" s="221">
        <f>IF(N100="zákl. přenesená",J100,0)</f>
        <v>0</v>
      </c>
      <c r="BH100" s="221">
        <f>IF(N100="sníž. přenesená",J100,0)</f>
        <v>0</v>
      </c>
      <c r="BI100" s="221">
        <f>IF(N100="nulová",J100,0)</f>
        <v>0</v>
      </c>
      <c r="BJ100" s="18" t="s">
        <v>86</v>
      </c>
      <c r="BK100" s="221">
        <f>ROUND(I100*H100,1)</f>
        <v>0</v>
      </c>
      <c r="BL100" s="18" t="s">
        <v>207</v>
      </c>
      <c r="BM100" s="220" t="s">
        <v>269</v>
      </c>
    </row>
    <row r="101" s="2" customFormat="1" ht="16.5" customHeight="1">
      <c r="A101" s="40"/>
      <c r="B101" s="41"/>
      <c r="C101" s="209" t="s">
        <v>241</v>
      </c>
      <c r="D101" s="209" t="s">
        <v>202</v>
      </c>
      <c r="E101" s="210" t="s">
        <v>2655</v>
      </c>
      <c r="F101" s="211" t="s">
        <v>2656</v>
      </c>
      <c r="G101" s="212" t="s">
        <v>1436</v>
      </c>
      <c r="H101" s="213">
        <v>1</v>
      </c>
      <c r="I101" s="214"/>
      <c r="J101" s="215">
        <f>ROUND(I101*H101,1)</f>
        <v>0</v>
      </c>
      <c r="K101" s="211" t="s">
        <v>32</v>
      </c>
      <c r="L101" s="46"/>
      <c r="M101" s="216" t="s">
        <v>32</v>
      </c>
      <c r="N101" s="217" t="s">
        <v>49</v>
      </c>
      <c r="O101" s="86"/>
      <c r="P101" s="218">
        <f>O101*H101</f>
        <v>0</v>
      </c>
      <c r="Q101" s="218">
        <v>0</v>
      </c>
      <c r="R101" s="218">
        <f>Q101*H101</f>
        <v>0</v>
      </c>
      <c r="S101" s="218">
        <v>0</v>
      </c>
      <c r="T101" s="219">
        <f>S101*H101</f>
        <v>0</v>
      </c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R101" s="220" t="s">
        <v>207</v>
      </c>
      <c r="AT101" s="220" t="s">
        <v>202</v>
      </c>
      <c r="AU101" s="220" t="s">
        <v>86</v>
      </c>
      <c r="AY101" s="18" t="s">
        <v>200</v>
      </c>
      <c r="BE101" s="221">
        <f>IF(N101="základní",J101,0)</f>
        <v>0</v>
      </c>
      <c r="BF101" s="221">
        <f>IF(N101="snížená",J101,0)</f>
        <v>0</v>
      </c>
      <c r="BG101" s="221">
        <f>IF(N101="zákl. přenesená",J101,0)</f>
        <v>0</v>
      </c>
      <c r="BH101" s="221">
        <f>IF(N101="sníž. přenesená",J101,0)</f>
        <v>0</v>
      </c>
      <c r="BI101" s="221">
        <f>IF(N101="nulová",J101,0)</f>
        <v>0</v>
      </c>
      <c r="BJ101" s="18" t="s">
        <v>86</v>
      </c>
      <c r="BK101" s="221">
        <f>ROUND(I101*H101,1)</f>
        <v>0</v>
      </c>
      <c r="BL101" s="18" t="s">
        <v>207</v>
      </c>
      <c r="BM101" s="220" t="s">
        <v>285</v>
      </c>
    </row>
    <row r="102" s="2" customFormat="1" ht="16.5" customHeight="1">
      <c r="A102" s="40"/>
      <c r="B102" s="41"/>
      <c r="C102" s="209" t="s">
        <v>247</v>
      </c>
      <c r="D102" s="209" t="s">
        <v>202</v>
      </c>
      <c r="E102" s="210" t="s">
        <v>2657</v>
      </c>
      <c r="F102" s="211" t="s">
        <v>2658</v>
      </c>
      <c r="G102" s="212" t="s">
        <v>1436</v>
      </c>
      <c r="H102" s="213">
        <v>1</v>
      </c>
      <c r="I102" s="214"/>
      <c r="J102" s="215">
        <f>ROUND(I102*H102,1)</f>
        <v>0</v>
      </c>
      <c r="K102" s="211" t="s">
        <v>32</v>
      </c>
      <c r="L102" s="46"/>
      <c r="M102" s="216" t="s">
        <v>32</v>
      </c>
      <c r="N102" s="217" t="s">
        <v>49</v>
      </c>
      <c r="O102" s="86"/>
      <c r="P102" s="218">
        <f>O102*H102</f>
        <v>0</v>
      </c>
      <c r="Q102" s="218">
        <v>1.1000000000000001</v>
      </c>
      <c r="R102" s="218">
        <f>Q102*H102</f>
        <v>1.1000000000000001</v>
      </c>
      <c r="S102" s="218">
        <v>0</v>
      </c>
      <c r="T102" s="219">
        <f>S102*H102</f>
        <v>0</v>
      </c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R102" s="220" t="s">
        <v>207</v>
      </c>
      <c r="AT102" s="220" t="s">
        <v>202</v>
      </c>
      <c r="AU102" s="220" t="s">
        <v>86</v>
      </c>
      <c r="AY102" s="18" t="s">
        <v>200</v>
      </c>
      <c r="BE102" s="221">
        <f>IF(N102="základní",J102,0)</f>
        <v>0</v>
      </c>
      <c r="BF102" s="221">
        <f>IF(N102="snížená",J102,0)</f>
        <v>0</v>
      </c>
      <c r="BG102" s="221">
        <f>IF(N102="zákl. přenesená",J102,0)</f>
        <v>0</v>
      </c>
      <c r="BH102" s="221">
        <f>IF(N102="sníž. přenesená",J102,0)</f>
        <v>0</v>
      </c>
      <c r="BI102" s="221">
        <f>IF(N102="nulová",J102,0)</f>
        <v>0</v>
      </c>
      <c r="BJ102" s="18" t="s">
        <v>86</v>
      </c>
      <c r="BK102" s="221">
        <f>ROUND(I102*H102,1)</f>
        <v>0</v>
      </c>
      <c r="BL102" s="18" t="s">
        <v>207</v>
      </c>
      <c r="BM102" s="220" t="s">
        <v>297</v>
      </c>
    </row>
    <row r="103" s="2" customFormat="1" ht="16.5" customHeight="1">
      <c r="A103" s="40"/>
      <c r="B103" s="41"/>
      <c r="C103" s="209" t="s">
        <v>254</v>
      </c>
      <c r="D103" s="209" t="s">
        <v>202</v>
      </c>
      <c r="E103" s="210" t="s">
        <v>2659</v>
      </c>
      <c r="F103" s="211" t="s">
        <v>2660</v>
      </c>
      <c r="G103" s="212" t="s">
        <v>1436</v>
      </c>
      <c r="H103" s="213">
        <v>1</v>
      </c>
      <c r="I103" s="214"/>
      <c r="J103" s="215">
        <f>ROUND(I103*H103,1)</f>
        <v>0</v>
      </c>
      <c r="K103" s="211" t="s">
        <v>32</v>
      </c>
      <c r="L103" s="46"/>
      <c r="M103" s="216" t="s">
        <v>32</v>
      </c>
      <c r="N103" s="217" t="s">
        <v>49</v>
      </c>
      <c r="O103" s="86"/>
      <c r="P103" s="218">
        <f>O103*H103</f>
        <v>0</v>
      </c>
      <c r="Q103" s="218">
        <v>0.59999999999999998</v>
      </c>
      <c r="R103" s="218">
        <f>Q103*H103</f>
        <v>0.59999999999999998</v>
      </c>
      <c r="S103" s="218">
        <v>0</v>
      </c>
      <c r="T103" s="219">
        <f>S103*H103</f>
        <v>0</v>
      </c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0" t="s">
        <v>207</v>
      </c>
      <c r="AT103" s="220" t="s">
        <v>202</v>
      </c>
      <c r="AU103" s="220" t="s">
        <v>86</v>
      </c>
      <c r="AY103" s="18" t="s">
        <v>200</v>
      </c>
      <c r="BE103" s="221">
        <f>IF(N103="základní",J103,0)</f>
        <v>0</v>
      </c>
      <c r="BF103" s="221">
        <f>IF(N103="snížená",J103,0)</f>
        <v>0</v>
      </c>
      <c r="BG103" s="221">
        <f>IF(N103="zákl. přenesená",J103,0)</f>
        <v>0</v>
      </c>
      <c r="BH103" s="221">
        <f>IF(N103="sníž. přenesená",J103,0)</f>
        <v>0</v>
      </c>
      <c r="BI103" s="221">
        <f>IF(N103="nulová",J103,0)</f>
        <v>0</v>
      </c>
      <c r="BJ103" s="18" t="s">
        <v>86</v>
      </c>
      <c r="BK103" s="221">
        <f>ROUND(I103*H103,1)</f>
        <v>0</v>
      </c>
      <c r="BL103" s="18" t="s">
        <v>207</v>
      </c>
      <c r="BM103" s="220" t="s">
        <v>310</v>
      </c>
    </row>
    <row r="104" s="2" customFormat="1" ht="16.5" customHeight="1">
      <c r="A104" s="40"/>
      <c r="B104" s="41"/>
      <c r="C104" s="209" t="s">
        <v>261</v>
      </c>
      <c r="D104" s="209" t="s">
        <v>202</v>
      </c>
      <c r="E104" s="210" t="s">
        <v>2661</v>
      </c>
      <c r="F104" s="211" t="s">
        <v>2662</v>
      </c>
      <c r="G104" s="212" t="s">
        <v>1436</v>
      </c>
      <c r="H104" s="213">
        <v>1</v>
      </c>
      <c r="I104" s="214"/>
      <c r="J104" s="215">
        <f>ROUND(I104*H104,1)</f>
        <v>0</v>
      </c>
      <c r="K104" s="211" t="s">
        <v>32</v>
      </c>
      <c r="L104" s="46"/>
      <c r="M104" s="216" t="s">
        <v>32</v>
      </c>
      <c r="N104" s="217" t="s">
        <v>49</v>
      </c>
      <c r="O104" s="86"/>
      <c r="P104" s="218">
        <f>O104*H104</f>
        <v>0</v>
      </c>
      <c r="Q104" s="218">
        <v>68</v>
      </c>
      <c r="R104" s="218">
        <f>Q104*H104</f>
        <v>68</v>
      </c>
      <c r="S104" s="218">
        <v>0</v>
      </c>
      <c r="T104" s="219">
        <f>S104*H104</f>
        <v>0</v>
      </c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0" t="s">
        <v>207</v>
      </c>
      <c r="AT104" s="220" t="s">
        <v>202</v>
      </c>
      <c r="AU104" s="220" t="s">
        <v>86</v>
      </c>
      <c r="AY104" s="18" t="s">
        <v>200</v>
      </c>
      <c r="BE104" s="221">
        <f>IF(N104="základní",J104,0)</f>
        <v>0</v>
      </c>
      <c r="BF104" s="221">
        <f>IF(N104="snížená",J104,0)</f>
        <v>0</v>
      </c>
      <c r="BG104" s="221">
        <f>IF(N104="zákl. přenesená",J104,0)</f>
        <v>0</v>
      </c>
      <c r="BH104" s="221">
        <f>IF(N104="sníž. přenesená",J104,0)</f>
        <v>0</v>
      </c>
      <c r="BI104" s="221">
        <f>IF(N104="nulová",J104,0)</f>
        <v>0</v>
      </c>
      <c r="BJ104" s="18" t="s">
        <v>86</v>
      </c>
      <c r="BK104" s="221">
        <f>ROUND(I104*H104,1)</f>
        <v>0</v>
      </c>
      <c r="BL104" s="18" t="s">
        <v>207</v>
      </c>
      <c r="BM104" s="220" t="s">
        <v>326</v>
      </c>
    </row>
    <row r="105" s="2" customFormat="1">
      <c r="A105" s="40"/>
      <c r="B105" s="41"/>
      <c r="C105" s="42"/>
      <c r="D105" s="229" t="s">
        <v>355</v>
      </c>
      <c r="E105" s="42"/>
      <c r="F105" s="281" t="s">
        <v>2663</v>
      </c>
      <c r="G105" s="42"/>
      <c r="H105" s="42"/>
      <c r="I105" s="224"/>
      <c r="J105" s="42"/>
      <c r="K105" s="42"/>
      <c r="L105" s="46"/>
      <c r="M105" s="225"/>
      <c r="N105" s="226"/>
      <c r="O105" s="86"/>
      <c r="P105" s="86"/>
      <c r="Q105" s="86"/>
      <c r="R105" s="86"/>
      <c r="S105" s="86"/>
      <c r="T105" s="87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8" t="s">
        <v>355</v>
      </c>
      <c r="AU105" s="18" t="s">
        <v>86</v>
      </c>
    </row>
    <row r="106" s="2" customFormat="1" ht="16.5" customHeight="1">
      <c r="A106" s="40"/>
      <c r="B106" s="41"/>
      <c r="C106" s="209" t="s">
        <v>277</v>
      </c>
      <c r="D106" s="209" t="s">
        <v>202</v>
      </c>
      <c r="E106" s="210" t="s">
        <v>2664</v>
      </c>
      <c r="F106" s="211" t="s">
        <v>2665</v>
      </c>
      <c r="G106" s="212" t="s">
        <v>1436</v>
      </c>
      <c r="H106" s="213">
        <v>1</v>
      </c>
      <c r="I106" s="214"/>
      <c r="J106" s="215">
        <f>ROUND(I106*H106,1)</f>
        <v>0</v>
      </c>
      <c r="K106" s="211" t="s">
        <v>32</v>
      </c>
      <c r="L106" s="46"/>
      <c r="M106" s="216" t="s">
        <v>32</v>
      </c>
      <c r="N106" s="217" t="s">
        <v>49</v>
      </c>
      <c r="O106" s="86"/>
      <c r="P106" s="218">
        <f>O106*H106</f>
        <v>0</v>
      </c>
      <c r="Q106" s="218">
        <v>3.2999999999999998</v>
      </c>
      <c r="R106" s="218">
        <f>Q106*H106</f>
        <v>3.2999999999999998</v>
      </c>
      <c r="S106" s="218">
        <v>0</v>
      </c>
      <c r="T106" s="219">
        <f>S106*H106</f>
        <v>0</v>
      </c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0" t="s">
        <v>207</v>
      </c>
      <c r="AT106" s="220" t="s">
        <v>202</v>
      </c>
      <c r="AU106" s="220" t="s">
        <v>86</v>
      </c>
      <c r="AY106" s="18" t="s">
        <v>200</v>
      </c>
      <c r="BE106" s="221">
        <f>IF(N106="základní",J106,0)</f>
        <v>0</v>
      </c>
      <c r="BF106" s="221">
        <f>IF(N106="snížená",J106,0)</f>
        <v>0</v>
      </c>
      <c r="BG106" s="221">
        <f>IF(N106="zákl. přenesená",J106,0)</f>
        <v>0</v>
      </c>
      <c r="BH106" s="221">
        <f>IF(N106="sníž. přenesená",J106,0)</f>
        <v>0</v>
      </c>
      <c r="BI106" s="221">
        <f>IF(N106="nulová",J106,0)</f>
        <v>0</v>
      </c>
      <c r="BJ106" s="18" t="s">
        <v>86</v>
      </c>
      <c r="BK106" s="221">
        <f>ROUND(I106*H106,1)</f>
        <v>0</v>
      </c>
      <c r="BL106" s="18" t="s">
        <v>207</v>
      </c>
      <c r="BM106" s="220" t="s">
        <v>342</v>
      </c>
    </row>
    <row r="107" s="2" customFormat="1" ht="16.5" customHeight="1">
      <c r="A107" s="40"/>
      <c r="B107" s="41"/>
      <c r="C107" s="209" t="s">
        <v>285</v>
      </c>
      <c r="D107" s="209" t="s">
        <v>202</v>
      </c>
      <c r="E107" s="210" t="s">
        <v>2666</v>
      </c>
      <c r="F107" s="211" t="s">
        <v>2667</v>
      </c>
      <c r="G107" s="212" t="s">
        <v>1436</v>
      </c>
      <c r="H107" s="213">
        <v>1</v>
      </c>
      <c r="I107" s="214"/>
      <c r="J107" s="215">
        <f>ROUND(I107*H107,1)</f>
        <v>0</v>
      </c>
      <c r="K107" s="211" t="s">
        <v>32</v>
      </c>
      <c r="L107" s="46"/>
      <c r="M107" s="216" t="s">
        <v>32</v>
      </c>
      <c r="N107" s="217" t="s">
        <v>49</v>
      </c>
      <c r="O107" s="86"/>
      <c r="P107" s="218">
        <f>O107*H107</f>
        <v>0</v>
      </c>
      <c r="Q107" s="218">
        <v>0</v>
      </c>
      <c r="R107" s="218">
        <f>Q107*H107</f>
        <v>0</v>
      </c>
      <c r="S107" s="218">
        <v>0</v>
      </c>
      <c r="T107" s="219">
        <f>S107*H107</f>
        <v>0</v>
      </c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0" t="s">
        <v>207</v>
      </c>
      <c r="AT107" s="220" t="s">
        <v>202</v>
      </c>
      <c r="AU107" s="220" t="s">
        <v>86</v>
      </c>
      <c r="AY107" s="18" t="s">
        <v>200</v>
      </c>
      <c r="BE107" s="221">
        <f>IF(N107="základní",J107,0)</f>
        <v>0</v>
      </c>
      <c r="BF107" s="221">
        <f>IF(N107="snížená",J107,0)</f>
        <v>0</v>
      </c>
      <c r="BG107" s="221">
        <f>IF(N107="zákl. přenesená",J107,0)</f>
        <v>0</v>
      </c>
      <c r="BH107" s="221">
        <f>IF(N107="sníž. přenesená",J107,0)</f>
        <v>0</v>
      </c>
      <c r="BI107" s="221">
        <f>IF(N107="nulová",J107,0)</f>
        <v>0</v>
      </c>
      <c r="BJ107" s="18" t="s">
        <v>86</v>
      </c>
      <c r="BK107" s="221">
        <f>ROUND(I107*H107,1)</f>
        <v>0</v>
      </c>
      <c r="BL107" s="18" t="s">
        <v>207</v>
      </c>
      <c r="BM107" s="220" t="s">
        <v>363</v>
      </c>
    </row>
    <row r="108" s="2" customFormat="1" ht="16.5" customHeight="1">
      <c r="A108" s="40"/>
      <c r="B108" s="41"/>
      <c r="C108" s="209" t="s">
        <v>291</v>
      </c>
      <c r="D108" s="209" t="s">
        <v>202</v>
      </c>
      <c r="E108" s="210" t="s">
        <v>2668</v>
      </c>
      <c r="F108" s="211" t="s">
        <v>2669</v>
      </c>
      <c r="G108" s="212" t="s">
        <v>2670</v>
      </c>
      <c r="H108" s="213">
        <v>28</v>
      </c>
      <c r="I108" s="214"/>
      <c r="J108" s="215">
        <f>ROUND(I108*H108,1)</f>
        <v>0</v>
      </c>
      <c r="K108" s="211" t="s">
        <v>32</v>
      </c>
      <c r="L108" s="46"/>
      <c r="M108" s="216" t="s">
        <v>32</v>
      </c>
      <c r="N108" s="217" t="s">
        <v>49</v>
      </c>
      <c r="O108" s="86"/>
      <c r="P108" s="218">
        <f>O108*H108</f>
        <v>0</v>
      </c>
      <c r="Q108" s="218">
        <v>1</v>
      </c>
      <c r="R108" s="218">
        <f>Q108*H108</f>
        <v>28</v>
      </c>
      <c r="S108" s="218">
        <v>0</v>
      </c>
      <c r="T108" s="219">
        <f>S108*H108</f>
        <v>0</v>
      </c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0" t="s">
        <v>207</v>
      </c>
      <c r="AT108" s="220" t="s">
        <v>202</v>
      </c>
      <c r="AU108" s="220" t="s">
        <v>86</v>
      </c>
      <c r="AY108" s="18" t="s">
        <v>200</v>
      </c>
      <c r="BE108" s="221">
        <f>IF(N108="základní",J108,0)</f>
        <v>0</v>
      </c>
      <c r="BF108" s="221">
        <f>IF(N108="snížená",J108,0)</f>
        <v>0</v>
      </c>
      <c r="BG108" s="221">
        <f>IF(N108="zákl. přenesená",J108,0)</f>
        <v>0</v>
      </c>
      <c r="BH108" s="221">
        <f>IF(N108="sníž. přenesená",J108,0)</f>
        <v>0</v>
      </c>
      <c r="BI108" s="221">
        <f>IF(N108="nulová",J108,0)</f>
        <v>0</v>
      </c>
      <c r="BJ108" s="18" t="s">
        <v>86</v>
      </c>
      <c r="BK108" s="221">
        <f>ROUND(I108*H108,1)</f>
        <v>0</v>
      </c>
      <c r="BL108" s="18" t="s">
        <v>207</v>
      </c>
      <c r="BM108" s="220" t="s">
        <v>379</v>
      </c>
    </row>
    <row r="109" s="2" customFormat="1" ht="16.5" customHeight="1">
      <c r="A109" s="40"/>
      <c r="B109" s="41"/>
      <c r="C109" s="209" t="s">
        <v>297</v>
      </c>
      <c r="D109" s="209" t="s">
        <v>202</v>
      </c>
      <c r="E109" s="210" t="s">
        <v>2671</v>
      </c>
      <c r="F109" s="211" t="s">
        <v>2672</v>
      </c>
      <c r="G109" s="212" t="s">
        <v>1436</v>
      </c>
      <c r="H109" s="213">
        <v>6</v>
      </c>
      <c r="I109" s="214"/>
      <c r="J109" s="215">
        <f>ROUND(I109*H109,1)</f>
        <v>0</v>
      </c>
      <c r="K109" s="211" t="s">
        <v>32</v>
      </c>
      <c r="L109" s="46"/>
      <c r="M109" s="216" t="s">
        <v>32</v>
      </c>
      <c r="N109" s="217" t="s">
        <v>49</v>
      </c>
      <c r="O109" s="86"/>
      <c r="P109" s="218">
        <f>O109*H109</f>
        <v>0</v>
      </c>
      <c r="Q109" s="218">
        <v>21.100000000000001</v>
      </c>
      <c r="R109" s="218">
        <f>Q109*H109</f>
        <v>126.60000000000001</v>
      </c>
      <c r="S109" s="218">
        <v>0</v>
      </c>
      <c r="T109" s="219">
        <f>S109*H109</f>
        <v>0</v>
      </c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R109" s="220" t="s">
        <v>207</v>
      </c>
      <c r="AT109" s="220" t="s">
        <v>202</v>
      </c>
      <c r="AU109" s="220" t="s">
        <v>86</v>
      </c>
      <c r="AY109" s="18" t="s">
        <v>200</v>
      </c>
      <c r="BE109" s="221">
        <f>IF(N109="základní",J109,0)</f>
        <v>0</v>
      </c>
      <c r="BF109" s="221">
        <f>IF(N109="snížená",J109,0)</f>
        <v>0</v>
      </c>
      <c r="BG109" s="221">
        <f>IF(N109="zákl. přenesená",J109,0)</f>
        <v>0</v>
      </c>
      <c r="BH109" s="221">
        <f>IF(N109="sníž. přenesená",J109,0)</f>
        <v>0</v>
      </c>
      <c r="BI109" s="221">
        <f>IF(N109="nulová",J109,0)</f>
        <v>0</v>
      </c>
      <c r="BJ109" s="18" t="s">
        <v>86</v>
      </c>
      <c r="BK109" s="221">
        <f>ROUND(I109*H109,1)</f>
        <v>0</v>
      </c>
      <c r="BL109" s="18" t="s">
        <v>207</v>
      </c>
      <c r="BM109" s="220" t="s">
        <v>391</v>
      </c>
    </row>
    <row r="110" s="2" customFormat="1" ht="16.5" customHeight="1">
      <c r="A110" s="40"/>
      <c r="B110" s="41"/>
      <c r="C110" s="209" t="s">
        <v>8</v>
      </c>
      <c r="D110" s="209" t="s">
        <v>202</v>
      </c>
      <c r="E110" s="210" t="s">
        <v>2673</v>
      </c>
      <c r="F110" s="211" t="s">
        <v>2674</v>
      </c>
      <c r="G110" s="212" t="s">
        <v>1436</v>
      </c>
      <c r="H110" s="213">
        <v>8</v>
      </c>
      <c r="I110" s="214"/>
      <c r="J110" s="215">
        <f>ROUND(I110*H110,1)</f>
        <v>0</v>
      </c>
      <c r="K110" s="211" t="s">
        <v>32</v>
      </c>
      <c r="L110" s="46"/>
      <c r="M110" s="216" t="s">
        <v>32</v>
      </c>
      <c r="N110" s="217" t="s">
        <v>49</v>
      </c>
      <c r="O110" s="86"/>
      <c r="P110" s="218">
        <f>O110*H110</f>
        <v>0</v>
      </c>
      <c r="Q110" s="218">
        <v>1.1000000000000001</v>
      </c>
      <c r="R110" s="218">
        <f>Q110*H110</f>
        <v>8.8000000000000007</v>
      </c>
      <c r="S110" s="218">
        <v>0</v>
      </c>
      <c r="T110" s="219">
        <f>S110*H110</f>
        <v>0</v>
      </c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R110" s="220" t="s">
        <v>207</v>
      </c>
      <c r="AT110" s="220" t="s">
        <v>202</v>
      </c>
      <c r="AU110" s="220" t="s">
        <v>86</v>
      </c>
      <c r="AY110" s="18" t="s">
        <v>200</v>
      </c>
      <c r="BE110" s="221">
        <f>IF(N110="základní",J110,0)</f>
        <v>0</v>
      </c>
      <c r="BF110" s="221">
        <f>IF(N110="snížená",J110,0)</f>
        <v>0</v>
      </c>
      <c r="BG110" s="221">
        <f>IF(N110="zákl. přenesená",J110,0)</f>
        <v>0</v>
      </c>
      <c r="BH110" s="221">
        <f>IF(N110="sníž. přenesená",J110,0)</f>
        <v>0</v>
      </c>
      <c r="BI110" s="221">
        <f>IF(N110="nulová",J110,0)</f>
        <v>0</v>
      </c>
      <c r="BJ110" s="18" t="s">
        <v>86</v>
      </c>
      <c r="BK110" s="221">
        <f>ROUND(I110*H110,1)</f>
        <v>0</v>
      </c>
      <c r="BL110" s="18" t="s">
        <v>207</v>
      </c>
      <c r="BM110" s="220" t="s">
        <v>402</v>
      </c>
    </row>
    <row r="111" s="2" customFormat="1" ht="16.5" customHeight="1">
      <c r="A111" s="40"/>
      <c r="B111" s="41"/>
      <c r="C111" s="209" t="s">
        <v>310</v>
      </c>
      <c r="D111" s="209" t="s">
        <v>202</v>
      </c>
      <c r="E111" s="210" t="s">
        <v>2675</v>
      </c>
      <c r="F111" s="211" t="s">
        <v>2676</v>
      </c>
      <c r="G111" s="212" t="s">
        <v>1436</v>
      </c>
      <c r="H111" s="213">
        <v>4</v>
      </c>
      <c r="I111" s="214"/>
      <c r="J111" s="215">
        <f>ROUND(I111*H111,1)</f>
        <v>0</v>
      </c>
      <c r="K111" s="211" t="s">
        <v>32</v>
      </c>
      <c r="L111" s="46"/>
      <c r="M111" s="216" t="s">
        <v>32</v>
      </c>
      <c r="N111" s="217" t="s">
        <v>49</v>
      </c>
      <c r="O111" s="86"/>
      <c r="P111" s="218">
        <f>O111*H111</f>
        <v>0</v>
      </c>
      <c r="Q111" s="218">
        <v>1.1000000000000001</v>
      </c>
      <c r="R111" s="218">
        <f>Q111*H111</f>
        <v>4.4000000000000004</v>
      </c>
      <c r="S111" s="218">
        <v>0</v>
      </c>
      <c r="T111" s="219">
        <f>S111*H111</f>
        <v>0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0" t="s">
        <v>207</v>
      </c>
      <c r="AT111" s="220" t="s">
        <v>202</v>
      </c>
      <c r="AU111" s="220" t="s">
        <v>86</v>
      </c>
      <c r="AY111" s="18" t="s">
        <v>200</v>
      </c>
      <c r="BE111" s="221">
        <f>IF(N111="základní",J111,0)</f>
        <v>0</v>
      </c>
      <c r="BF111" s="221">
        <f>IF(N111="snížená",J111,0)</f>
        <v>0</v>
      </c>
      <c r="BG111" s="221">
        <f>IF(N111="zákl. přenesená",J111,0)</f>
        <v>0</v>
      </c>
      <c r="BH111" s="221">
        <f>IF(N111="sníž. přenesená",J111,0)</f>
        <v>0</v>
      </c>
      <c r="BI111" s="221">
        <f>IF(N111="nulová",J111,0)</f>
        <v>0</v>
      </c>
      <c r="BJ111" s="18" t="s">
        <v>86</v>
      </c>
      <c r="BK111" s="221">
        <f>ROUND(I111*H111,1)</f>
        <v>0</v>
      </c>
      <c r="BL111" s="18" t="s">
        <v>207</v>
      </c>
      <c r="BM111" s="220" t="s">
        <v>416</v>
      </c>
    </row>
    <row r="112" s="2" customFormat="1" ht="16.5" customHeight="1">
      <c r="A112" s="40"/>
      <c r="B112" s="41"/>
      <c r="C112" s="209" t="s">
        <v>320</v>
      </c>
      <c r="D112" s="209" t="s">
        <v>202</v>
      </c>
      <c r="E112" s="210" t="s">
        <v>2677</v>
      </c>
      <c r="F112" s="211" t="s">
        <v>2678</v>
      </c>
      <c r="G112" s="212" t="s">
        <v>1436</v>
      </c>
      <c r="H112" s="213">
        <v>2</v>
      </c>
      <c r="I112" s="214"/>
      <c r="J112" s="215">
        <f>ROUND(I112*H112,1)</f>
        <v>0</v>
      </c>
      <c r="K112" s="211" t="s">
        <v>32</v>
      </c>
      <c r="L112" s="46"/>
      <c r="M112" s="216" t="s">
        <v>32</v>
      </c>
      <c r="N112" s="217" t="s">
        <v>49</v>
      </c>
      <c r="O112" s="86"/>
      <c r="P112" s="218">
        <f>O112*H112</f>
        <v>0</v>
      </c>
      <c r="Q112" s="218">
        <v>26</v>
      </c>
      <c r="R112" s="218">
        <f>Q112*H112</f>
        <v>52</v>
      </c>
      <c r="S112" s="218">
        <v>0</v>
      </c>
      <c r="T112" s="219">
        <f>S112*H112</f>
        <v>0</v>
      </c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R112" s="220" t="s">
        <v>207</v>
      </c>
      <c r="AT112" s="220" t="s">
        <v>202</v>
      </c>
      <c r="AU112" s="220" t="s">
        <v>86</v>
      </c>
      <c r="AY112" s="18" t="s">
        <v>200</v>
      </c>
      <c r="BE112" s="221">
        <f>IF(N112="základní",J112,0)</f>
        <v>0</v>
      </c>
      <c r="BF112" s="221">
        <f>IF(N112="snížená",J112,0)</f>
        <v>0</v>
      </c>
      <c r="BG112" s="221">
        <f>IF(N112="zákl. přenesená",J112,0)</f>
        <v>0</v>
      </c>
      <c r="BH112" s="221">
        <f>IF(N112="sníž. přenesená",J112,0)</f>
        <v>0</v>
      </c>
      <c r="BI112" s="221">
        <f>IF(N112="nulová",J112,0)</f>
        <v>0</v>
      </c>
      <c r="BJ112" s="18" t="s">
        <v>86</v>
      </c>
      <c r="BK112" s="221">
        <f>ROUND(I112*H112,1)</f>
        <v>0</v>
      </c>
      <c r="BL112" s="18" t="s">
        <v>207</v>
      </c>
      <c r="BM112" s="220" t="s">
        <v>429</v>
      </c>
    </row>
    <row r="113" s="2" customFormat="1" ht="16.5" customHeight="1">
      <c r="A113" s="40"/>
      <c r="B113" s="41"/>
      <c r="C113" s="209" t="s">
        <v>326</v>
      </c>
      <c r="D113" s="209" t="s">
        <v>202</v>
      </c>
      <c r="E113" s="210" t="s">
        <v>2679</v>
      </c>
      <c r="F113" s="211" t="s">
        <v>2680</v>
      </c>
      <c r="G113" s="212" t="s">
        <v>2670</v>
      </c>
      <c r="H113" s="213">
        <v>36</v>
      </c>
      <c r="I113" s="214"/>
      <c r="J113" s="215">
        <f>ROUND(I113*H113,1)</f>
        <v>0</v>
      </c>
      <c r="K113" s="211" t="s">
        <v>32</v>
      </c>
      <c r="L113" s="46"/>
      <c r="M113" s="216" t="s">
        <v>32</v>
      </c>
      <c r="N113" s="217" t="s">
        <v>49</v>
      </c>
      <c r="O113" s="86"/>
      <c r="P113" s="218">
        <f>O113*H113</f>
        <v>0</v>
      </c>
      <c r="Q113" s="218">
        <v>9.8000000000000007</v>
      </c>
      <c r="R113" s="218">
        <f>Q113*H113</f>
        <v>352.80000000000001</v>
      </c>
      <c r="S113" s="218">
        <v>0</v>
      </c>
      <c r="T113" s="219">
        <f>S113*H113</f>
        <v>0</v>
      </c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R113" s="220" t="s">
        <v>207</v>
      </c>
      <c r="AT113" s="220" t="s">
        <v>202</v>
      </c>
      <c r="AU113" s="220" t="s">
        <v>86</v>
      </c>
      <c r="AY113" s="18" t="s">
        <v>200</v>
      </c>
      <c r="BE113" s="221">
        <f>IF(N113="základní",J113,0)</f>
        <v>0</v>
      </c>
      <c r="BF113" s="221">
        <f>IF(N113="snížená",J113,0)</f>
        <v>0</v>
      </c>
      <c r="BG113" s="221">
        <f>IF(N113="zákl. přenesená",J113,0)</f>
        <v>0</v>
      </c>
      <c r="BH113" s="221">
        <f>IF(N113="sníž. přenesená",J113,0)</f>
        <v>0</v>
      </c>
      <c r="BI113" s="221">
        <f>IF(N113="nulová",J113,0)</f>
        <v>0</v>
      </c>
      <c r="BJ113" s="18" t="s">
        <v>86</v>
      </c>
      <c r="BK113" s="221">
        <f>ROUND(I113*H113,1)</f>
        <v>0</v>
      </c>
      <c r="BL113" s="18" t="s">
        <v>207</v>
      </c>
      <c r="BM113" s="220" t="s">
        <v>440</v>
      </c>
    </row>
    <row r="114" s="2" customFormat="1" ht="16.5" customHeight="1">
      <c r="A114" s="40"/>
      <c r="B114" s="41"/>
      <c r="C114" s="209" t="s">
        <v>337</v>
      </c>
      <c r="D114" s="209" t="s">
        <v>202</v>
      </c>
      <c r="E114" s="210" t="s">
        <v>2681</v>
      </c>
      <c r="F114" s="211" t="s">
        <v>2682</v>
      </c>
      <c r="G114" s="212" t="s">
        <v>2670</v>
      </c>
      <c r="H114" s="213">
        <v>48</v>
      </c>
      <c r="I114" s="214"/>
      <c r="J114" s="215">
        <f>ROUND(I114*H114,1)</f>
        <v>0</v>
      </c>
      <c r="K114" s="211" t="s">
        <v>32</v>
      </c>
      <c r="L114" s="46"/>
      <c r="M114" s="216" t="s">
        <v>32</v>
      </c>
      <c r="N114" s="217" t="s">
        <v>49</v>
      </c>
      <c r="O114" s="86"/>
      <c r="P114" s="218">
        <f>O114*H114</f>
        <v>0</v>
      </c>
      <c r="Q114" s="218">
        <v>14</v>
      </c>
      <c r="R114" s="218">
        <f>Q114*H114</f>
        <v>672</v>
      </c>
      <c r="S114" s="218">
        <v>0</v>
      </c>
      <c r="T114" s="219">
        <f>S114*H114</f>
        <v>0</v>
      </c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0" t="s">
        <v>207</v>
      </c>
      <c r="AT114" s="220" t="s">
        <v>202</v>
      </c>
      <c r="AU114" s="220" t="s">
        <v>86</v>
      </c>
      <c r="AY114" s="18" t="s">
        <v>200</v>
      </c>
      <c r="BE114" s="221">
        <f>IF(N114="základní",J114,0)</f>
        <v>0</v>
      </c>
      <c r="BF114" s="221">
        <f>IF(N114="snížená",J114,0)</f>
        <v>0</v>
      </c>
      <c r="BG114" s="221">
        <f>IF(N114="zákl. přenesená",J114,0)</f>
        <v>0</v>
      </c>
      <c r="BH114" s="221">
        <f>IF(N114="sníž. přenesená",J114,0)</f>
        <v>0</v>
      </c>
      <c r="BI114" s="221">
        <f>IF(N114="nulová",J114,0)</f>
        <v>0</v>
      </c>
      <c r="BJ114" s="18" t="s">
        <v>86</v>
      </c>
      <c r="BK114" s="221">
        <f>ROUND(I114*H114,1)</f>
        <v>0</v>
      </c>
      <c r="BL114" s="18" t="s">
        <v>207</v>
      </c>
      <c r="BM114" s="220" t="s">
        <v>453</v>
      </c>
    </row>
    <row r="115" s="2" customFormat="1" ht="16.5" customHeight="1">
      <c r="A115" s="40"/>
      <c r="B115" s="41"/>
      <c r="C115" s="209" t="s">
        <v>342</v>
      </c>
      <c r="D115" s="209" t="s">
        <v>202</v>
      </c>
      <c r="E115" s="210" t="s">
        <v>2683</v>
      </c>
      <c r="F115" s="211" t="s">
        <v>2684</v>
      </c>
      <c r="G115" s="212" t="s">
        <v>2670</v>
      </c>
      <c r="H115" s="213">
        <v>43</v>
      </c>
      <c r="I115" s="214"/>
      <c r="J115" s="215">
        <f>ROUND(I115*H115,1)</f>
        <v>0</v>
      </c>
      <c r="K115" s="211" t="s">
        <v>32</v>
      </c>
      <c r="L115" s="46"/>
      <c r="M115" s="216" t="s">
        <v>32</v>
      </c>
      <c r="N115" s="217" t="s">
        <v>49</v>
      </c>
      <c r="O115" s="86"/>
      <c r="P115" s="218">
        <f>O115*H115</f>
        <v>0</v>
      </c>
      <c r="Q115" s="218">
        <v>33</v>
      </c>
      <c r="R115" s="218">
        <f>Q115*H115</f>
        <v>1419</v>
      </c>
      <c r="S115" s="218">
        <v>0</v>
      </c>
      <c r="T115" s="219">
        <f>S115*H115</f>
        <v>0</v>
      </c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R115" s="220" t="s">
        <v>207</v>
      </c>
      <c r="AT115" s="220" t="s">
        <v>202</v>
      </c>
      <c r="AU115" s="220" t="s">
        <v>86</v>
      </c>
      <c r="AY115" s="18" t="s">
        <v>200</v>
      </c>
      <c r="BE115" s="221">
        <f>IF(N115="základní",J115,0)</f>
        <v>0</v>
      </c>
      <c r="BF115" s="221">
        <f>IF(N115="snížená",J115,0)</f>
        <v>0</v>
      </c>
      <c r="BG115" s="221">
        <f>IF(N115="zákl. přenesená",J115,0)</f>
        <v>0</v>
      </c>
      <c r="BH115" s="221">
        <f>IF(N115="sníž. přenesená",J115,0)</f>
        <v>0</v>
      </c>
      <c r="BI115" s="221">
        <f>IF(N115="nulová",J115,0)</f>
        <v>0</v>
      </c>
      <c r="BJ115" s="18" t="s">
        <v>86</v>
      </c>
      <c r="BK115" s="221">
        <f>ROUND(I115*H115,1)</f>
        <v>0</v>
      </c>
      <c r="BL115" s="18" t="s">
        <v>207</v>
      </c>
      <c r="BM115" s="220" t="s">
        <v>465</v>
      </c>
    </row>
    <row r="116" s="12" customFormat="1" ht="25.92" customHeight="1">
      <c r="A116" s="12"/>
      <c r="B116" s="193"/>
      <c r="C116" s="194"/>
      <c r="D116" s="195" t="s">
        <v>77</v>
      </c>
      <c r="E116" s="196" t="s">
        <v>88</v>
      </c>
      <c r="F116" s="196" t="s">
        <v>2685</v>
      </c>
      <c r="G116" s="194"/>
      <c r="H116" s="194"/>
      <c r="I116" s="197"/>
      <c r="J116" s="198">
        <f>BK116</f>
        <v>0</v>
      </c>
      <c r="K116" s="194"/>
      <c r="L116" s="199"/>
      <c r="M116" s="200"/>
      <c r="N116" s="201"/>
      <c r="O116" s="201"/>
      <c r="P116" s="202">
        <f>SUM(P117:P141)</f>
        <v>0</v>
      </c>
      <c r="Q116" s="201"/>
      <c r="R116" s="202">
        <f>SUM(R117:R141)</f>
        <v>1880.5</v>
      </c>
      <c r="S116" s="201"/>
      <c r="T116" s="203">
        <f>SUM(T117:T141)</f>
        <v>0</v>
      </c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R116" s="204" t="s">
        <v>86</v>
      </c>
      <c r="AT116" s="205" t="s">
        <v>77</v>
      </c>
      <c r="AU116" s="205" t="s">
        <v>78</v>
      </c>
      <c r="AY116" s="204" t="s">
        <v>200</v>
      </c>
      <c r="BK116" s="206">
        <f>SUM(BK117:BK141)</f>
        <v>0</v>
      </c>
    </row>
    <row r="117" s="2" customFormat="1" ht="37.8" customHeight="1">
      <c r="A117" s="40"/>
      <c r="B117" s="41"/>
      <c r="C117" s="209" t="s">
        <v>7</v>
      </c>
      <c r="D117" s="209" t="s">
        <v>202</v>
      </c>
      <c r="E117" s="210" t="s">
        <v>2686</v>
      </c>
      <c r="F117" s="211" t="s">
        <v>2687</v>
      </c>
      <c r="G117" s="212" t="s">
        <v>1436</v>
      </c>
      <c r="H117" s="213">
        <v>1</v>
      </c>
      <c r="I117" s="214"/>
      <c r="J117" s="215">
        <f>ROUND(I117*H117,1)</f>
        <v>0</v>
      </c>
      <c r="K117" s="211" t="s">
        <v>32</v>
      </c>
      <c r="L117" s="46"/>
      <c r="M117" s="216" t="s">
        <v>32</v>
      </c>
      <c r="N117" s="217" t="s">
        <v>49</v>
      </c>
      <c r="O117" s="86"/>
      <c r="P117" s="218">
        <f>O117*H117</f>
        <v>0</v>
      </c>
      <c r="Q117" s="218">
        <v>321</v>
      </c>
      <c r="R117" s="218">
        <f>Q117*H117</f>
        <v>321</v>
      </c>
      <c r="S117" s="218">
        <v>0</v>
      </c>
      <c r="T117" s="219">
        <f>S117*H117</f>
        <v>0</v>
      </c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R117" s="220" t="s">
        <v>207</v>
      </c>
      <c r="AT117" s="220" t="s">
        <v>202</v>
      </c>
      <c r="AU117" s="220" t="s">
        <v>86</v>
      </c>
      <c r="AY117" s="18" t="s">
        <v>200</v>
      </c>
      <c r="BE117" s="221">
        <f>IF(N117="základní",J117,0)</f>
        <v>0</v>
      </c>
      <c r="BF117" s="221">
        <f>IF(N117="snížená",J117,0)</f>
        <v>0</v>
      </c>
      <c r="BG117" s="221">
        <f>IF(N117="zákl. přenesená",J117,0)</f>
        <v>0</v>
      </c>
      <c r="BH117" s="221">
        <f>IF(N117="sníž. přenesená",J117,0)</f>
        <v>0</v>
      </c>
      <c r="BI117" s="221">
        <f>IF(N117="nulová",J117,0)</f>
        <v>0</v>
      </c>
      <c r="BJ117" s="18" t="s">
        <v>86</v>
      </c>
      <c r="BK117" s="221">
        <f>ROUND(I117*H117,1)</f>
        <v>0</v>
      </c>
      <c r="BL117" s="18" t="s">
        <v>207</v>
      </c>
      <c r="BM117" s="220" t="s">
        <v>476</v>
      </c>
    </row>
    <row r="118" s="2" customFormat="1">
      <c r="A118" s="40"/>
      <c r="B118" s="41"/>
      <c r="C118" s="42"/>
      <c r="D118" s="229" t="s">
        <v>355</v>
      </c>
      <c r="E118" s="42"/>
      <c r="F118" s="281" t="s">
        <v>2688</v>
      </c>
      <c r="G118" s="42"/>
      <c r="H118" s="42"/>
      <c r="I118" s="224"/>
      <c r="J118" s="42"/>
      <c r="K118" s="42"/>
      <c r="L118" s="46"/>
      <c r="M118" s="225"/>
      <c r="N118" s="226"/>
      <c r="O118" s="86"/>
      <c r="P118" s="86"/>
      <c r="Q118" s="86"/>
      <c r="R118" s="86"/>
      <c r="S118" s="86"/>
      <c r="T118" s="87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T118" s="18" t="s">
        <v>355</v>
      </c>
      <c r="AU118" s="18" t="s">
        <v>86</v>
      </c>
    </row>
    <row r="119" s="2" customFormat="1" ht="16.5" customHeight="1">
      <c r="A119" s="40"/>
      <c r="B119" s="41"/>
      <c r="C119" s="209" t="s">
        <v>363</v>
      </c>
      <c r="D119" s="209" t="s">
        <v>202</v>
      </c>
      <c r="E119" s="210" t="s">
        <v>2689</v>
      </c>
      <c r="F119" s="211" t="s">
        <v>2690</v>
      </c>
      <c r="G119" s="212" t="s">
        <v>1436</v>
      </c>
      <c r="H119" s="213">
        <v>4</v>
      </c>
      <c r="I119" s="214"/>
      <c r="J119" s="215">
        <f>ROUND(I119*H119,1)</f>
        <v>0</v>
      </c>
      <c r="K119" s="211" t="s">
        <v>32</v>
      </c>
      <c r="L119" s="46"/>
      <c r="M119" s="216" t="s">
        <v>32</v>
      </c>
      <c r="N119" s="217" t="s">
        <v>49</v>
      </c>
      <c r="O119" s="86"/>
      <c r="P119" s="218">
        <f>O119*H119</f>
        <v>0</v>
      </c>
      <c r="Q119" s="218">
        <v>2</v>
      </c>
      <c r="R119" s="218">
        <f>Q119*H119</f>
        <v>8</v>
      </c>
      <c r="S119" s="218">
        <v>0</v>
      </c>
      <c r="T119" s="219">
        <f>S119*H119</f>
        <v>0</v>
      </c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0" t="s">
        <v>207</v>
      </c>
      <c r="AT119" s="220" t="s">
        <v>202</v>
      </c>
      <c r="AU119" s="220" t="s">
        <v>86</v>
      </c>
      <c r="AY119" s="18" t="s">
        <v>200</v>
      </c>
      <c r="BE119" s="221">
        <f>IF(N119="základní",J119,0)</f>
        <v>0</v>
      </c>
      <c r="BF119" s="221">
        <f>IF(N119="snížená",J119,0)</f>
        <v>0</v>
      </c>
      <c r="BG119" s="221">
        <f>IF(N119="zákl. přenesená",J119,0)</f>
        <v>0</v>
      </c>
      <c r="BH119" s="221">
        <f>IF(N119="sníž. přenesená",J119,0)</f>
        <v>0</v>
      </c>
      <c r="BI119" s="221">
        <f>IF(N119="nulová",J119,0)</f>
        <v>0</v>
      </c>
      <c r="BJ119" s="18" t="s">
        <v>86</v>
      </c>
      <c r="BK119" s="221">
        <f>ROUND(I119*H119,1)</f>
        <v>0</v>
      </c>
      <c r="BL119" s="18" t="s">
        <v>207</v>
      </c>
      <c r="BM119" s="220" t="s">
        <v>511</v>
      </c>
    </row>
    <row r="120" s="2" customFormat="1" ht="16.5" customHeight="1">
      <c r="A120" s="40"/>
      <c r="B120" s="41"/>
      <c r="C120" s="209" t="s">
        <v>374</v>
      </c>
      <c r="D120" s="209" t="s">
        <v>202</v>
      </c>
      <c r="E120" s="210" t="s">
        <v>2691</v>
      </c>
      <c r="F120" s="211" t="s">
        <v>2692</v>
      </c>
      <c r="G120" s="212" t="s">
        <v>1436</v>
      </c>
      <c r="H120" s="213">
        <v>1</v>
      </c>
      <c r="I120" s="214"/>
      <c r="J120" s="215">
        <f>ROUND(I120*H120,1)</f>
        <v>0</v>
      </c>
      <c r="K120" s="211" t="s">
        <v>32</v>
      </c>
      <c r="L120" s="46"/>
      <c r="M120" s="216" t="s">
        <v>32</v>
      </c>
      <c r="N120" s="217" t="s">
        <v>49</v>
      </c>
      <c r="O120" s="86"/>
      <c r="P120" s="218">
        <f>O120*H120</f>
        <v>0</v>
      </c>
      <c r="Q120" s="218">
        <v>0.20000000000000001</v>
      </c>
      <c r="R120" s="218">
        <f>Q120*H120</f>
        <v>0.20000000000000001</v>
      </c>
      <c r="S120" s="218">
        <v>0</v>
      </c>
      <c r="T120" s="219">
        <f>S120*H120</f>
        <v>0</v>
      </c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0" t="s">
        <v>207</v>
      </c>
      <c r="AT120" s="220" t="s">
        <v>202</v>
      </c>
      <c r="AU120" s="220" t="s">
        <v>86</v>
      </c>
      <c r="AY120" s="18" t="s">
        <v>200</v>
      </c>
      <c r="BE120" s="221">
        <f>IF(N120="základní",J120,0)</f>
        <v>0</v>
      </c>
      <c r="BF120" s="221">
        <f>IF(N120="snížená",J120,0)</f>
        <v>0</v>
      </c>
      <c r="BG120" s="221">
        <f>IF(N120="zákl. přenesená",J120,0)</f>
        <v>0</v>
      </c>
      <c r="BH120" s="221">
        <f>IF(N120="sníž. přenesená",J120,0)</f>
        <v>0</v>
      </c>
      <c r="BI120" s="221">
        <f>IF(N120="nulová",J120,0)</f>
        <v>0</v>
      </c>
      <c r="BJ120" s="18" t="s">
        <v>86</v>
      </c>
      <c r="BK120" s="221">
        <f>ROUND(I120*H120,1)</f>
        <v>0</v>
      </c>
      <c r="BL120" s="18" t="s">
        <v>207</v>
      </c>
      <c r="BM120" s="220" t="s">
        <v>528</v>
      </c>
    </row>
    <row r="121" s="2" customFormat="1" ht="16.5" customHeight="1">
      <c r="A121" s="40"/>
      <c r="B121" s="41"/>
      <c r="C121" s="209" t="s">
        <v>379</v>
      </c>
      <c r="D121" s="209" t="s">
        <v>202</v>
      </c>
      <c r="E121" s="210" t="s">
        <v>2693</v>
      </c>
      <c r="F121" s="211" t="s">
        <v>2654</v>
      </c>
      <c r="G121" s="212" t="s">
        <v>1436</v>
      </c>
      <c r="H121" s="213">
        <v>1</v>
      </c>
      <c r="I121" s="214"/>
      <c r="J121" s="215">
        <f>ROUND(I121*H121,1)</f>
        <v>0</v>
      </c>
      <c r="K121" s="211" t="s">
        <v>32</v>
      </c>
      <c r="L121" s="46"/>
      <c r="M121" s="216" t="s">
        <v>32</v>
      </c>
      <c r="N121" s="217" t="s">
        <v>49</v>
      </c>
      <c r="O121" s="86"/>
      <c r="P121" s="218">
        <f>O121*H121</f>
        <v>0</v>
      </c>
      <c r="Q121" s="218">
        <v>0</v>
      </c>
      <c r="R121" s="218">
        <f>Q121*H121</f>
        <v>0</v>
      </c>
      <c r="S121" s="218">
        <v>0</v>
      </c>
      <c r="T121" s="219">
        <f>S121*H121</f>
        <v>0</v>
      </c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R121" s="220" t="s">
        <v>207</v>
      </c>
      <c r="AT121" s="220" t="s">
        <v>202</v>
      </c>
      <c r="AU121" s="220" t="s">
        <v>86</v>
      </c>
      <c r="AY121" s="18" t="s">
        <v>200</v>
      </c>
      <c r="BE121" s="221">
        <f>IF(N121="základní",J121,0)</f>
        <v>0</v>
      </c>
      <c r="BF121" s="221">
        <f>IF(N121="snížená",J121,0)</f>
        <v>0</v>
      </c>
      <c r="BG121" s="221">
        <f>IF(N121="zákl. přenesená",J121,0)</f>
        <v>0</v>
      </c>
      <c r="BH121" s="221">
        <f>IF(N121="sníž. přenesená",J121,0)</f>
        <v>0</v>
      </c>
      <c r="BI121" s="221">
        <f>IF(N121="nulová",J121,0)</f>
        <v>0</v>
      </c>
      <c r="BJ121" s="18" t="s">
        <v>86</v>
      </c>
      <c r="BK121" s="221">
        <f>ROUND(I121*H121,1)</f>
        <v>0</v>
      </c>
      <c r="BL121" s="18" t="s">
        <v>207</v>
      </c>
      <c r="BM121" s="220" t="s">
        <v>542</v>
      </c>
    </row>
    <row r="122" s="2" customFormat="1" ht="16.5" customHeight="1">
      <c r="A122" s="40"/>
      <c r="B122" s="41"/>
      <c r="C122" s="209" t="s">
        <v>385</v>
      </c>
      <c r="D122" s="209" t="s">
        <v>202</v>
      </c>
      <c r="E122" s="210" t="s">
        <v>2694</v>
      </c>
      <c r="F122" s="211" t="s">
        <v>2656</v>
      </c>
      <c r="G122" s="212" t="s">
        <v>1436</v>
      </c>
      <c r="H122" s="213">
        <v>1</v>
      </c>
      <c r="I122" s="214"/>
      <c r="J122" s="215">
        <f>ROUND(I122*H122,1)</f>
        <v>0</v>
      </c>
      <c r="K122" s="211" t="s">
        <v>32</v>
      </c>
      <c r="L122" s="46"/>
      <c r="M122" s="216" t="s">
        <v>32</v>
      </c>
      <c r="N122" s="217" t="s">
        <v>49</v>
      </c>
      <c r="O122" s="86"/>
      <c r="P122" s="218">
        <f>O122*H122</f>
        <v>0</v>
      </c>
      <c r="Q122" s="218">
        <v>0</v>
      </c>
      <c r="R122" s="218">
        <f>Q122*H122</f>
        <v>0</v>
      </c>
      <c r="S122" s="218">
        <v>0</v>
      </c>
      <c r="T122" s="219">
        <f>S122*H122</f>
        <v>0</v>
      </c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0" t="s">
        <v>207</v>
      </c>
      <c r="AT122" s="220" t="s">
        <v>202</v>
      </c>
      <c r="AU122" s="220" t="s">
        <v>86</v>
      </c>
      <c r="AY122" s="18" t="s">
        <v>200</v>
      </c>
      <c r="BE122" s="221">
        <f>IF(N122="základní",J122,0)</f>
        <v>0</v>
      </c>
      <c r="BF122" s="221">
        <f>IF(N122="snížená",J122,0)</f>
        <v>0</v>
      </c>
      <c r="BG122" s="221">
        <f>IF(N122="zákl. přenesená",J122,0)</f>
        <v>0</v>
      </c>
      <c r="BH122" s="221">
        <f>IF(N122="sníž. přenesená",J122,0)</f>
        <v>0</v>
      </c>
      <c r="BI122" s="221">
        <f>IF(N122="nulová",J122,0)</f>
        <v>0</v>
      </c>
      <c r="BJ122" s="18" t="s">
        <v>86</v>
      </c>
      <c r="BK122" s="221">
        <f>ROUND(I122*H122,1)</f>
        <v>0</v>
      </c>
      <c r="BL122" s="18" t="s">
        <v>207</v>
      </c>
      <c r="BM122" s="220" t="s">
        <v>555</v>
      </c>
    </row>
    <row r="123" s="2" customFormat="1" ht="16.5" customHeight="1">
      <c r="A123" s="40"/>
      <c r="B123" s="41"/>
      <c r="C123" s="209" t="s">
        <v>391</v>
      </c>
      <c r="D123" s="209" t="s">
        <v>202</v>
      </c>
      <c r="E123" s="210" t="s">
        <v>2695</v>
      </c>
      <c r="F123" s="211" t="s">
        <v>2658</v>
      </c>
      <c r="G123" s="212" t="s">
        <v>1436</v>
      </c>
      <c r="H123" s="213">
        <v>1</v>
      </c>
      <c r="I123" s="214"/>
      <c r="J123" s="215">
        <f>ROUND(I123*H123,1)</f>
        <v>0</v>
      </c>
      <c r="K123" s="211" t="s">
        <v>32</v>
      </c>
      <c r="L123" s="46"/>
      <c r="M123" s="216" t="s">
        <v>32</v>
      </c>
      <c r="N123" s="217" t="s">
        <v>49</v>
      </c>
      <c r="O123" s="86"/>
      <c r="P123" s="218">
        <f>O123*H123</f>
        <v>0</v>
      </c>
      <c r="Q123" s="218">
        <v>1.1000000000000001</v>
      </c>
      <c r="R123" s="218">
        <f>Q123*H123</f>
        <v>1.1000000000000001</v>
      </c>
      <c r="S123" s="218">
        <v>0</v>
      </c>
      <c r="T123" s="219">
        <f>S123*H123</f>
        <v>0</v>
      </c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0" t="s">
        <v>207</v>
      </c>
      <c r="AT123" s="220" t="s">
        <v>202</v>
      </c>
      <c r="AU123" s="220" t="s">
        <v>86</v>
      </c>
      <c r="AY123" s="18" t="s">
        <v>200</v>
      </c>
      <c r="BE123" s="221">
        <f>IF(N123="základní",J123,0)</f>
        <v>0</v>
      </c>
      <c r="BF123" s="221">
        <f>IF(N123="snížená",J123,0)</f>
        <v>0</v>
      </c>
      <c r="BG123" s="221">
        <f>IF(N123="zákl. přenesená",J123,0)</f>
        <v>0</v>
      </c>
      <c r="BH123" s="221">
        <f>IF(N123="sníž. přenesená",J123,0)</f>
        <v>0</v>
      </c>
      <c r="BI123" s="221">
        <f>IF(N123="nulová",J123,0)</f>
        <v>0</v>
      </c>
      <c r="BJ123" s="18" t="s">
        <v>86</v>
      </c>
      <c r="BK123" s="221">
        <f>ROUND(I123*H123,1)</f>
        <v>0</v>
      </c>
      <c r="BL123" s="18" t="s">
        <v>207</v>
      </c>
      <c r="BM123" s="220" t="s">
        <v>565</v>
      </c>
    </row>
    <row r="124" s="2" customFormat="1" ht="16.5" customHeight="1">
      <c r="A124" s="40"/>
      <c r="B124" s="41"/>
      <c r="C124" s="209" t="s">
        <v>397</v>
      </c>
      <c r="D124" s="209" t="s">
        <v>202</v>
      </c>
      <c r="E124" s="210" t="s">
        <v>2696</v>
      </c>
      <c r="F124" s="211" t="s">
        <v>2660</v>
      </c>
      <c r="G124" s="212" t="s">
        <v>1436</v>
      </c>
      <c r="H124" s="213">
        <v>1</v>
      </c>
      <c r="I124" s="214"/>
      <c r="J124" s="215">
        <f>ROUND(I124*H124,1)</f>
        <v>0</v>
      </c>
      <c r="K124" s="211" t="s">
        <v>32</v>
      </c>
      <c r="L124" s="46"/>
      <c r="M124" s="216" t="s">
        <v>32</v>
      </c>
      <c r="N124" s="217" t="s">
        <v>49</v>
      </c>
      <c r="O124" s="86"/>
      <c r="P124" s="218">
        <f>O124*H124</f>
        <v>0</v>
      </c>
      <c r="Q124" s="218">
        <v>0.59999999999999998</v>
      </c>
      <c r="R124" s="218">
        <f>Q124*H124</f>
        <v>0.59999999999999998</v>
      </c>
      <c r="S124" s="218">
        <v>0</v>
      </c>
      <c r="T124" s="219">
        <f>S124*H124</f>
        <v>0</v>
      </c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0" t="s">
        <v>207</v>
      </c>
      <c r="AT124" s="220" t="s">
        <v>202</v>
      </c>
      <c r="AU124" s="220" t="s">
        <v>86</v>
      </c>
      <c r="AY124" s="18" t="s">
        <v>200</v>
      </c>
      <c r="BE124" s="221">
        <f>IF(N124="základní",J124,0)</f>
        <v>0</v>
      </c>
      <c r="BF124" s="221">
        <f>IF(N124="snížená",J124,0)</f>
        <v>0</v>
      </c>
      <c r="BG124" s="221">
        <f>IF(N124="zákl. přenesená",J124,0)</f>
        <v>0</v>
      </c>
      <c r="BH124" s="221">
        <f>IF(N124="sníž. přenesená",J124,0)</f>
        <v>0</v>
      </c>
      <c r="BI124" s="221">
        <f>IF(N124="nulová",J124,0)</f>
        <v>0</v>
      </c>
      <c r="BJ124" s="18" t="s">
        <v>86</v>
      </c>
      <c r="BK124" s="221">
        <f>ROUND(I124*H124,1)</f>
        <v>0</v>
      </c>
      <c r="BL124" s="18" t="s">
        <v>207</v>
      </c>
      <c r="BM124" s="220" t="s">
        <v>575</v>
      </c>
    </row>
    <row r="125" s="2" customFormat="1" ht="16.5" customHeight="1">
      <c r="A125" s="40"/>
      <c r="B125" s="41"/>
      <c r="C125" s="209" t="s">
        <v>402</v>
      </c>
      <c r="D125" s="209" t="s">
        <v>202</v>
      </c>
      <c r="E125" s="210" t="s">
        <v>2697</v>
      </c>
      <c r="F125" s="211" t="s">
        <v>2698</v>
      </c>
      <c r="G125" s="212" t="s">
        <v>1436</v>
      </c>
      <c r="H125" s="213">
        <v>2</v>
      </c>
      <c r="I125" s="214"/>
      <c r="J125" s="215">
        <f>ROUND(I125*H125,1)</f>
        <v>0</v>
      </c>
      <c r="K125" s="211" t="s">
        <v>32</v>
      </c>
      <c r="L125" s="46"/>
      <c r="M125" s="216" t="s">
        <v>32</v>
      </c>
      <c r="N125" s="217" t="s">
        <v>49</v>
      </c>
      <c r="O125" s="86"/>
      <c r="P125" s="218">
        <f>O125*H125</f>
        <v>0</v>
      </c>
      <c r="Q125" s="218">
        <v>22.5</v>
      </c>
      <c r="R125" s="218">
        <f>Q125*H125</f>
        <v>45</v>
      </c>
      <c r="S125" s="218">
        <v>0</v>
      </c>
      <c r="T125" s="219">
        <f>S125*H125</f>
        <v>0</v>
      </c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0" t="s">
        <v>207</v>
      </c>
      <c r="AT125" s="220" t="s">
        <v>202</v>
      </c>
      <c r="AU125" s="220" t="s">
        <v>86</v>
      </c>
      <c r="AY125" s="18" t="s">
        <v>200</v>
      </c>
      <c r="BE125" s="221">
        <f>IF(N125="základní",J125,0)</f>
        <v>0</v>
      </c>
      <c r="BF125" s="221">
        <f>IF(N125="snížená",J125,0)</f>
        <v>0</v>
      </c>
      <c r="BG125" s="221">
        <f>IF(N125="zákl. přenesená",J125,0)</f>
        <v>0</v>
      </c>
      <c r="BH125" s="221">
        <f>IF(N125="sníž. přenesená",J125,0)</f>
        <v>0</v>
      </c>
      <c r="BI125" s="221">
        <f>IF(N125="nulová",J125,0)</f>
        <v>0</v>
      </c>
      <c r="BJ125" s="18" t="s">
        <v>86</v>
      </c>
      <c r="BK125" s="221">
        <f>ROUND(I125*H125,1)</f>
        <v>0</v>
      </c>
      <c r="BL125" s="18" t="s">
        <v>207</v>
      </c>
      <c r="BM125" s="220" t="s">
        <v>587</v>
      </c>
    </row>
    <row r="126" s="2" customFormat="1" ht="16.5" customHeight="1">
      <c r="A126" s="40"/>
      <c r="B126" s="41"/>
      <c r="C126" s="209" t="s">
        <v>409</v>
      </c>
      <c r="D126" s="209" t="s">
        <v>202</v>
      </c>
      <c r="E126" s="210" t="s">
        <v>2699</v>
      </c>
      <c r="F126" s="211" t="s">
        <v>2700</v>
      </c>
      <c r="G126" s="212" t="s">
        <v>1436</v>
      </c>
      <c r="H126" s="213">
        <v>5</v>
      </c>
      <c r="I126" s="214"/>
      <c r="J126" s="215">
        <f>ROUND(I126*H126,1)</f>
        <v>0</v>
      </c>
      <c r="K126" s="211" t="s">
        <v>32</v>
      </c>
      <c r="L126" s="46"/>
      <c r="M126" s="216" t="s">
        <v>32</v>
      </c>
      <c r="N126" s="217" t="s">
        <v>49</v>
      </c>
      <c r="O126" s="86"/>
      <c r="P126" s="218">
        <f>O126*H126</f>
        <v>0</v>
      </c>
      <c r="Q126" s="218">
        <v>8.1999999999999993</v>
      </c>
      <c r="R126" s="218">
        <f>Q126*H126</f>
        <v>41</v>
      </c>
      <c r="S126" s="218">
        <v>0</v>
      </c>
      <c r="T126" s="219">
        <f>S126*H126</f>
        <v>0</v>
      </c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R126" s="220" t="s">
        <v>207</v>
      </c>
      <c r="AT126" s="220" t="s">
        <v>202</v>
      </c>
      <c r="AU126" s="220" t="s">
        <v>86</v>
      </c>
      <c r="AY126" s="18" t="s">
        <v>200</v>
      </c>
      <c r="BE126" s="221">
        <f>IF(N126="základní",J126,0)</f>
        <v>0</v>
      </c>
      <c r="BF126" s="221">
        <f>IF(N126="snížená",J126,0)</f>
        <v>0</v>
      </c>
      <c r="BG126" s="221">
        <f>IF(N126="zákl. přenesená",J126,0)</f>
        <v>0</v>
      </c>
      <c r="BH126" s="221">
        <f>IF(N126="sníž. přenesená",J126,0)</f>
        <v>0</v>
      </c>
      <c r="BI126" s="221">
        <f>IF(N126="nulová",J126,0)</f>
        <v>0</v>
      </c>
      <c r="BJ126" s="18" t="s">
        <v>86</v>
      </c>
      <c r="BK126" s="221">
        <f>ROUND(I126*H126,1)</f>
        <v>0</v>
      </c>
      <c r="BL126" s="18" t="s">
        <v>207</v>
      </c>
      <c r="BM126" s="220" t="s">
        <v>599</v>
      </c>
    </row>
    <row r="127" s="2" customFormat="1" ht="16.5" customHeight="1">
      <c r="A127" s="40"/>
      <c r="B127" s="41"/>
      <c r="C127" s="209" t="s">
        <v>416</v>
      </c>
      <c r="D127" s="209" t="s">
        <v>202</v>
      </c>
      <c r="E127" s="210" t="s">
        <v>2701</v>
      </c>
      <c r="F127" s="211" t="s">
        <v>2702</v>
      </c>
      <c r="G127" s="212" t="s">
        <v>1436</v>
      </c>
      <c r="H127" s="213">
        <v>3</v>
      </c>
      <c r="I127" s="214"/>
      <c r="J127" s="215">
        <f>ROUND(I127*H127,1)</f>
        <v>0</v>
      </c>
      <c r="K127" s="211" t="s">
        <v>32</v>
      </c>
      <c r="L127" s="46"/>
      <c r="M127" s="216" t="s">
        <v>32</v>
      </c>
      <c r="N127" s="217" t="s">
        <v>49</v>
      </c>
      <c r="O127" s="86"/>
      <c r="P127" s="218">
        <f>O127*H127</f>
        <v>0</v>
      </c>
      <c r="Q127" s="218">
        <v>0.90000000000000002</v>
      </c>
      <c r="R127" s="218">
        <f>Q127*H127</f>
        <v>2.7000000000000002</v>
      </c>
      <c r="S127" s="218">
        <v>0</v>
      </c>
      <c r="T127" s="219">
        <f>S127*H127</f>
        <v>0</v>
      </c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0" t="s">
        <v>207</v>
      </c>
      <c r="AT127" s="220" t="s">
        <v>202</v>
      </c>
      <c r="AU127" s="220" t="s">
        <v>86</v>
      </c>
      <c r="AY127" s="18" t="s">
        <v>200</v>
      </c>
      <c r="BE127" s="221">
        <f>IF(N127="základní",J127,0)</f>
        <v>0</v>
      </c>
      <c r="BF127" s="221">
        <f>IF(N127="snížená",J127,0)</f>
        <v>0</v>
      </c>
      <c r="BG127" s="221">
        <f>IF(N127="zákl. přenesená",J127,0)</f>
        <v>0</v>
      </c>
      <c r="BH127" s="221">
        <f>IF(N127="sníž. přenesená",J127,0)</f>
        <v>0</v>
      </c>
      <c r="BI127" s="221">
        <f>IF(N127="nulová",J127,0)</f>
        <v>0</v>
      </c>
      <c r="BJ127" s="18" t="s">
        <v>86</v>
      </c>
      <c r="BK127" s="221">
        <f>ROUND(I127*H127,1)</f>
        <v>0</v>
      </c>
      <c r="BL127" s="18" t="s">
        <v>207</v>
      </c>
      <c r="BM127" s="220" t="s">
        <v>609</v>
      </c>
    </row>
    <row r="128" s="2" customFormat="1" ht="16.5" customHeight="1">
      <c r="A128" s="40"/>
      <c r="B128" s="41"/>
      <c r="C128" s="209" t="s">
        <v>422</v>
      </c>
      <c r="D128" s="209" t="s">
        <v>202</v>
      </c>
      <c r="E128" s="210" t="s">
        <v>2703</v>
      </c>
      <c r="F128" s="211" t="s">
        <v>2704</v>
      </c>
      <c r="G128" s="212" t="s">
        <v>1436</v>
      </c>
      <c r="H128" s="213">
        <v>1</v>
      </c>
      <c r="I128" s="214"/>
      <c r="J128" s="215">
        <f>ROUND(I128*H128,1)</f>
        <v>0</v>
      </c>
      <c r="K128" s="211" t="s">
        <v>32</v>
      </c>
      <c r="L128" s="46"/>
      <c r="M128" s="216" t="s">
        <v>32</v>
      </c>
      <c r="N128" s="217" t="s">
        <v>49</v>
      </c>
      <c r="O128" s="86"/>
      <c r="P128" s="218">
        <f>O128*H128</f>
        <v>0</v>
      </c>
      <c r="Q128" s="218">
        <v>1.8</v>
      </c>
      <c r="R128" s="218">
        <f>Q128*H128</f>
        <v>1.8</v>
      </c>
      <c r="S128" s="218">
        <v>0</v>
      </c>
      <c r="T128" s="219">
        <f>S128*H128</f>
        <v>0</v>
      </c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0" t="s">
        <v>207</v>
      </c>
      <c r="AT128" s="220" t="s">
        <v>202</v>
      </c>
      <c r="AU128" s="220" t="s">
        <v>86</v>
      </c>
      <c r="AY128" s="18" t="s">
        <v>200</v>
      </c>
      <c r="BE128" s="221">
        <f>IF(N128="základní",J128,0)</f>
        <v>0</v>
      </c>
      <c r="BF128" s="221">
        <f>IF(N128="snížená",J128,0)</f>
        <v>0</v>
      </c>
      <c r="BG128" s="221">
        <f>IF(N128="zákl. přenesená",J128,0)</f>
        <v>0</v>
      </c>
      <c r="BH128" s="221">
        <f>IF(N128="sníž. přenesená",J128,0)</f>
        <v>0</v>
      </c>
      <c r="BI128" s="221">
        <f>IF(N128="nulová",J128,0)</f>
        <v>0</v>
      </c>
      <c r="BJ128" s="18" t="s">
        <v>86</v>
      </c>
      <c r="BK128" s="221">
        <f>ROUND(I128*H128,1)</f>
        <v>0</v>
      </c>
      <c r="BL128" s="18" t="s">
        <v>207</v>
      </c>
      <c r="BM128" s="220" t="s">
        <v>638</v>
      </c>
    </row>
    <row r="129" s="2" customFormat="1">
      <c r="A129" s="40"/>
      <c r="B129" s="41"/>
      <c r="C129" s="42"/>
      <c r="D129" s="229" t="s">
        <v>355</v>
      </c>
      <c r="E129" s="42"/>
      <c r="F129" s="281" t="s">
        <v>2705</v>
      </c>
      <c r="G129" s="42"/>
      <c r="H129" s="42"/>
      <c r="I129" s="224"/>
      <c r="J129" s="42"/>
      <c r="K129" s="42"/>
      <c r="L129" s="46"/>
      <c r="M129" s="225"/>
      <c r="N129" s="226"/>
      <c r="O129" s="86"/>
      <c r="P129" s="86"/>
      <c r="Q129" s="86"/>
      <c r="R129" s="86"/>
      <c r="S129" s="86"/>
      <c r="T129" s="87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T129" s="18" t="s">
        <v>355</v>
      </c>
      <c r="AU129" s="18" t="s">
        <v>86</v>
      </c>
    </row>
    <row r="130" s="2" customFormat="1" ht="16.5" customHeight="1">
      <c r="A130" s="40"/>
      <c r="B130" s="41"/>
      <c r="C130" s="209" t="s">
        <v>429</v>
      </c>
      <c r="D130" s="209" t="s">
        <v>202</v>
      </c>
      <c r="E130" s="210" t="s">
        <v>2706</v>
      </c>
      <c r="F130" s="211" t="s">
        <v>2707</v>
      </c>
      <c r="G130" s="212" t="s">
        <v>1436</v>
      </c>
      <c r="H130" s="213">
        <v>1</v>
      </c>
      <c r="I130" s="214"/>
      <c r="J130" s="215">
        <f>ROUND(I130*H130,1)</f>
        <v>0</v>
      </c>
      <c r="K130" s="211" t="s">
        <v>32</v>
      </c>
      <c r="L130" s="46"/>
      <c r="M130" s="216" t="s">
        <v>32</v>
      </c>
      <c r="N130" s="217" t="s">
        <v>49</v>
      </c>
      <c r="O130" s="86"/>
      <c r="P130" s="218">
        <f>O130*H130</f>
        <v>0</v>
      </c>
      <c r="Q130" s="218">
        <v>6.2999999999999998</v>
      </c>
      <c r="R130" s="218">
        <f>Q130*H130</f>
        <v>6.2999999999999998</v>
      </c>
      <c r="S130" s="218">
        <v>0</v>
      </c>
      <c r="T130" s="219">
        <f>S130*H130</f>
        <v>0</v>
      </c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0" t="s">
        <v>207</v>
      </c>
      <c r="AT130" s="220" t="s">
        <v>202</v>
      </c>
      <c r="AU130" s="220" t="s">
        <v>86</v>
      </c>
      <c r="AY130" s="18" t="s">
        <v>200</v>
      </c>
      <c r="BE130" s="221">
        <f>IF(N130="základní",J130,0)</f>
        <v>0</v>
      </c>
      <c r="BF130" s="221">
        <f>IF(N130="snížená",J130,0)</f>
        <v>0</v>
      </c>
      <c r="BG130" s="221">
        <f>IF(N130="zákl. přenesená",J130,0)</f>
        <v>0</v>
      </c>
      <c r="BH130" s="221">
        <f>IF(N130="sníž. přenesená",J130,0)</f>
        <v>0</v>
      </c>
      <c r="BI130" s="221">
        <f>IF(N130="nulová",J130,0)</f>
        <v>0</v>
      </c>
      <c r="BJ130" s="18" t="s">
        <v>86</v>
      </c>
      <c r="BK130" s="221">
        <f>ROUND(I130*H130,1)</f>
        <v>0</v>
      </c>
      <c r="BL130" s="18" t="s">
        <v>207</v>
      </c>
      <c r="BM130" s="220" t="s">
        <v>651</v>
      </c>
    </row>
    <row r="131" s="2" customFormat="1" ht="16.5" customHeight="1">
      <c r="A131" s="40"/>
      <c r="B131" s="41"/>
      <c r="C131" s="209" t="s">
        <v>434</v>
      </c>
      <c r="D131" s="209" t="s">
        <v>202</v>
      </c>
      <c r="E131" s="210" t="s">
        <v>2708</v>
      </c>
      <c r="F131" s="211" t="s">
        <v>2709</v>
      </c>
      <c r="G131" s="212" t="s">
        <v>1436</v>
      </c>
      <c r="H131" s="213">
        <v>1</v>
      </c>
      <c r="I131" s="214"/>
      <c r="J131" s="215">
        <f>ROUND(I131*H131,1)</f>
        <v>0</v>
      </c>
      <c r="K131" s="211" t="s">
        <v>32</v>
      </c>
      <c r="L131" s="46"/>
      <c r="M131" s="216" t="s">
        <v>32</v>
      </c>
      <c r="N131" s="217" t="s">
        <v>49</v>
      </c>
      <c r="O131" s="86"/>
      <c r="P131" s="218">
        <f>O131*H131</f>
        <v>0</v>
      </c>
      <c r="Q131" s="218">
        <v>30</v>
      </c>
      <c r="R131" s="218">
        <f>Q131*H131</f>
        <v>30</v>
      </c>
      <c r="S131" s="218">
        <v>0</v>
      </c>
      <c r="T131" s="219">
        <f>S131*H131</f>
        <v>0</v>
      </c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0" t="s">
        <v>207</v>
      </c>
      <c r="AT131" s="220" t="s">
        <v>202</v>
      </c>
      <c r="AU131" s="220" t="s">
        <v>86</v>
      </c>
      <c r="AY131" s="18" t="s">
        <v>200</v>
      </c>
      <c r="BE131" s="221">
        <f>IF(N131="základní",J131,0)</f>
        <v>0</v>
      </c>
      <c r="BF131" s="221">
        <f>IF(N131="snížená",J131,0)</f>
        <v>0</v>
      </c>
      <c r="BG131" s="221">
        <f>IF(N131="zákl. přenesená",J131,0)</f>
        <v>0</v>
      </c>
      <c r="BH131" s="221">
        <f>IF(N131="sníž. přenesená",J131,0)</f>
        <v>0</v>
      </c>
      <c r="BI131" s="221">
        <f>IF(N131="nulová",J131,0)</f>
        <v>0</v>
      </c>
      <c r="BJ131" s="18" t="s">
        <v>86</v>
      </c>
      <c r="BK131" s="221">
        <f>ROUND(I131*H131,1)</f>
        <v>0</v>
      </c>
      <c r="BL131" s="18" t="s">
        <v>207</v>
      </c>
      <c r="BM131" s="220" t="s">
        <v>665</v>
      </c>
    </row>
    <row r="132" s="2" customFormat="1" ht="16.5" customHeight="1">
      <c r="A132" s="40"/>
      <c r="B132" s="41"/>
      <c r="C132" s="209" t="s">
        <v>440</v>
      </c>
      <c r="D132" s="209" t="s">
        <v>202</v>
      </c>
      <c r="E132" s="210" t="s">
        <v>2710</v>
      </c>
      <c r="F132" s="211" t="s">
        <v>2711</v>
      </c>
      <c r="G132" s="212" t="s">
        <v>1436</v>
      </c>
      <c r="H132" s="213">
        <v>3</v>
      </c>
      <c r="I132" s="214"/>
      <c r="J132" s="215">
        <f>ROUND(I132*H132,1)</f>
        <v>0</v>
      </c>
      <c r="K132" s="211" t="s">
        <v>32</v>
      </c>
      <c r="L132" s="46"/>
      <c r="M132" s="216" t="s">
        <v>32</v>
      </c>
      <c r="N132" s="217" t="s">
        <v>49</v>
      </c>
      <c r="O132" s="86"/>
      <c r="P132" s="218">
        <f>O132*H132</f>
        <v>0</v>
      </c>
      <c r="Q132" s="218">
        <v>0.90000000000000002</v>
      </c>
      <c r="R132" s="218">
        <f>Q132*H132</f>
        <v>2.7000000000000002</v>
      </c>
      <c r="S132" s="218">
        <v>0</v>
      </c>
      <c r="T132" s="219">
        <f>S132*H132</f>
        <v>0</v>
      </c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R132" s="220" t="s">
        <v>207</v>
      </c>
      <c r="AT132" s="220" t="s">
        <v>202</v>
      </c>
      <c r="AU132" s="220" t="s">
        <v>86</v>
      </c>
      <c r="AY132" s="18" t="s">
        <v>200</v>
      </c>
      <c r="BE132" s="221">
        <f>IF(N132="základní",J132,0)</f>
        <v>0</v>
      </c>
      <c r="BF132" s="221">
        <f>IF(N132="snížená",J132,0)</f>
        <v>0</v>
      </c>
      <c r="BG132" s="221">
        <f>IF(N132="zákl. přenesená",J132,0)</f>
        <v>0</v>
      </c>
      <c r="BH132" s="221">
        <f>IF(N132="sníž. přenesená",J132,0)</f>
        <v>0</v>
      </c>
      <c r="BI132" s="221">
        <f>IF(N132="nulová",J132,0)</f>
        <v>0</v>
      </c>
      <c r="BJ132" s="18" t="s">
        <v>86</v>
      </c>
      <c r="BK132" s="221">
        <f>ROUND(I132*H132,1)</f>
        <v>0</v>
      </c>
      <c r="BL132" s="18" t="s">
        <v>207</v>
      </c>
      <c r="BM132" s="220" t="s">
        <v>676</v>
      </c>
    </row>
    <row r="133" s="2" customFormat="1" ht="16.5" customHeight="1">
      <c r="A133" s="40"/>
      <c r="B133" s="41"/>
      <c r="C133" s="209" t="s">
        <v>446</v>
      </c>
      <c r="D133" s="209" t="s">
        <v>202</v>
      </c>
      <c r="E133" s="210" t="s">
        <v>2712</v>
      </c>
      <c r="F133" s="211" t="s">
        <v>2713</v>
      </c>
      <c r="G133" s="212" t="s">
        <v>1436</v>
      </c>
      <c r="H133" s="213">
        <v>3</v>
      </c>
      <c r="I133" s="214"/>
      <c r="J133" s="215">
        <f>ROUND(I133*H133,1)</f>
        <v>0</v>
      </c>
      <c r="K133" s="211" t="s">
        <v>32</v>
      </c>
      <c r="L133" s="46"/>
      <c r="M133" s="216" t="s">
        <v>32</v>
      </c>
      <c r="N133" s="217" t="s">
        <v>49</v>
      </c>
      <c r="O133" s="86"/>
      <c r="P133" s="218">
        <f>O133*H133</f>
        <v>0</v>
      </c>
      <c r="Q133" s="218">
        <v>0.59999999999999998</v>
      </c>
      <c r="R133" s="218">
        <f>Q133*H133</f>
        <v>1.7999999999999998</v>
      </c>
      <c r="S133" s="218">
        <v>0</v>
      </c>
      <c r="T133" s="219">
        <f>S133*H133</f>
        <v>0</v>
      </c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0" t="s">
        <v>207</v>
      </c>
      <c r="AT133" s="220" t="s">
        <v>202</v>
      </c>
      <c r="AU133" s="220" t="s">
        <v>86</v>
      </c>
      <c r="AY133" s="18" t="s">
        <v>200</v>
      </c>
      <c r="BE133" s="221">
        <f>IF(N133="základní",J133,0)</f>
        <v>0</v>
      </c>
      <c r="BF133" s="221">
        <f>IF(N133="snížená",J133,0)</f>
        <v>0</v>
      </c>
      <c r="BG133" s="221">
        <f>IF(N133="zákl. přenesená",J133,0)</f>
        <v>0</v>
      </c>
      <c r="BH133" s="221">
        <f>IF(N133="sníž. přenesená",J133,0)</f>
        <v>0</v>
      </c>
      <c r="BI133" s="221">
        <f>IF(N133="nulová",J133,0)</f>
        <v>0</v>
      </c>
      <c r="BJ133" s="18" t="s">
        <v>86</v>
      </c>
      <c r="BK133" s="221">
        <f>ROUND(I133*H133,1)</f>
        <v>0</v>
      </c>
      <c r="BL133" s="18" t="s">
        <v>207</v>
      </c>
      <c r="BM133" s="220" t="s">
        <v>693</v>
      </c>
    </row>
    <row r="134" s="2" customFormat="1" ht="16.5" customHeight="1">
      <c r="A134" s="40"/>
      <c r="B134" s="41"/>
      <c r="C134" s="209" t="s">
        <v>453</v>
      </c>
      <c r="D134" s="209" t="s">
        <v>202</v>
      </c>
      <c r="E134" s="210" t="s">
        <v>2714</v>
      </c>
      <c r="F134" s="211" t="s">
        <v>2715</v>
      </c>
      <c r="G134" s="212" t="s">
        <v>1436</v>
      </c>
      <c r="H134" s="213">
        <v>1</v>
      </c>
      <c r="I134" s="214"/>
      <c r="J134" s="215">
        <f>ROUND(I134*H134,1)</f>
        <v>0</v>
      </c>
      <c r="K134" s="211" t="s">
        <v>32</v>
      </c>
      <c r="L134" s="46"/>
      <c r="M134" s="216" t="s">
        <v>32</v>
      </c>
      <c r="N134" s="217" t="s">
        <v>49</v>
      </c>
      <c r="O134" s="86"/>
      <c r="P134" s="218">
        <f>O134*H134</f>
        <v>0</v>
      </c>
      <c r="Q134" s="218">
        <v>4</v>
      </c>
      <c r="R134" s="218">
        <f>Q134*H134</f>
        <v>4</v>
      </c>
      <c r="S134" s="218">
        <v>0</v>
      </c>
      <c r="T134" s="219">
        <f>S134*H134</f>
        <v>0</v>
      </c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0" t="s">
        <v>207</v>
      </c>
      <c r="AT134" s="220" t="s">
        <v>202</v>
      </c>
      <c r="AU134" s="220" t="s">
        <v>86</v>
      </c>
      <c r="AY134" s="18" t="s">
        <v>200</v>
      </c>
      <c r="BE134" s="221">
        <f>IF(N134="základní",J134,0)</f>
        <v>0</v>
      </c>
      <c r="BF134" s="221">
        <f>IF(N134="snížená",J134,0)</f>
        <v>0</v>
      </c>
      <c r="BG134" s="221">
        <f>IF(N134="zákl. přenesená",J134,0)</f>
        <v>0</v>
      </c>
      <c r="BH134" s="221">
        <f>IF(N134="sníž. přenesená",J134,0)</f>
        <v>0</v>
      </c>
      <c r="BI134" s="221">
        <f>IF(N134="nulová",J134,0)</f>
        <v>0</v>
      </c>
      <c r="BJ134" s="18" t="s">
        <v>86</v>
      </c>
      <c r="BK134" s="221">
        <f>ROUND(I134*H134,1)</f>
        <v>0</v>
      </c>
      <c r="BL134" s="18" t="s">
        <v>207</v>
      </c>
      <c r="BM134" s="220" t="s">
        <v>703</v>
      </c>
    </row>
    <row r="135" s="2" customFormat="1" ht="16.5" customHeight="1">
      <c r="A135" s="40"/>
      <c r="B135" s="41"/>
      <c r="C135" s="209" t="s">
        <v>459</v>
      </c>
      <c r="D135" s="209" t="s">
        <v>202</v>
      </c>
      <c r="E135" s="210" t="s">
        <v>2716</v>
      </c>
      <c r="F135" s="211" t="s">
        <v>2717</v>
      </c>
      <c r="G135" s="212" t="s">
        <v>2670</v>
      </c>
      <c r="H135" s="213">
        <v>2</v>
      </c>
      <c r="I135" s="214"/>
      <c r="J135" s="215">
        <f>ROUND(I135*H135,1)</f>
        <v>0</v>
      </c>
      <c r="K135" s="211" t="s">
        <v>32</v>
      </c>
      <c r="L135" s="46"/>
      <c r="M135" s="216" t="s">
        <v>32</v>
      </c>
      <c r="N135" s="217" t="s">
        <v>49</v>
      </c>
      <c r="O135" s="86"/>
      <c r="P135" s="218">
        <f>O135*H135</f>
        <v>0</v>
      </c>
      <c r="Q135" s="218">
        <v>2.2000000000000002</v>
      </c>
      <c r="R135" s="218">
        <f>Q135*H135</f>
        <v>4.4000000000000004</v>
      </c>
      <c r="S135" s="218">
        <v>0</v>
      </c>
      <c r="T135" s="219">
        <f>S135*H135</f>
        <v>0</v>
      </c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R135" s="220" t="s">
        <v>207</v>
      </c>
      <c r="AT135" s="220" t="s">
        <v>202</v>
      </c>
      <c r="AU135" s="220" t="s">
        <v>86</v>
      </c>
      <c r="AY135" s="18" t="s">
        <v>200</v>
      </c>
      <c r="BE135" s="221">
        <f>IF(N135="základní",J135,0)</f>
        <v>0</v>
      </c>
      <c r="BF135" s="221">
        <f>IF(N135="snížená",J135,0)</f>
        <v>0</v>
      </c>
      <c r="BG135" s="221">
        <f>IF(N135="zákl. přenesená",J135,0)</f>
        <v>0</v>
      </c>
      <c r="BH135" s="221">
        <f>IF(N135="sníž. přenesená",J135,0)</f>
        <v>0</v>
      </c>
      <c r="BI135" s="221">
        <f>IF(N135="nulová",J135,0)</f>
        <v>0</v>
      </c>
      <c r="BJ135" s="18" t="s">
        <v>86</v>
      </c>
      <c r="BK135" s="221">
        <f>ROUND(I135*H135,1)</f>
        <v>0</v>
      </c>
      <c r="BL135" s="18" t="s">
        <v>207</v>
      </c>
      <c r="BM135" s="220" t="s">
        <v>717</v>
      </c>
    </row>
    <row r="136" s="2" customFormat="1" ht="16.5" customHeight="1">
      <c r="A136" s="40"/>
      <c r="B136" s="41"/>
      <c r="C136" s="209" t="s">
        <v>465</v>
      </c>
      <c r="D136" s="209" t="s">
        <v>202</v>
      </c>
      <c r="E136" s="210" t="s">
        <v>2718</v>
      </c>
      <c r="F136" s="211" t="s">
        <v>2719</v>
      </c>
      <c r="G136" s="212" t="s">
        <v>2670</v>
      </c>
      <c r="H136" s="213">
        <v>8</v>
      </c>
      <c r="I136" s="214"/>
      <c r="J136" s="215">
        <f>ROUND(I136*H136,1)</f>
        <v>0</v>
      </c>
      <c r="K136" s="211" t="s">
        <v>32</v>
      </c>
      <c r="L136" s="46"/>
      <c r="M136" s="216" t="s">
        <v>32</v>
      </c>
      <c r="N136" s="217" t="s">
        <v>49</v>
      </c>
      <c r="O136" s="86"/>
      <c r="P136" s="218">
        <f>O136*H136</f>
        <v>0</v>
      </c>
      <c r="Q136" s="218">
        <v>4.7999999999999998</v>
      </c>
      <c r="R136" s="218">
        <f>Q136*H136</f>
        <v>38.399999999999999</v>
      </c>
      <c r="S136" s="218">
        <v>0</v>
      </c>
      <c r="T136" s="219">
        <f>S136*H136</f>
        <v>0</v>
      </c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0" t="s">
        <v>207</v>
      </c>
      <c r="AT136" s="220" t="s">
        <v>202</v>
      </c>
      <c r="AU136" s="220" t="s">
        <v>86</v>
      </c>
      <c r="AY136" s="18" t="s">
        <v>200</v>
      </c>
      <c r="BE136" s="221">
        <f>IF(N136="základní",J136,0)</f>
        <v>0</v>
      </c>
      <c r="BF136" s="221">
        <f>IF(N136="snížená",J136,0)</f>
        <v>0</v>
      </c>
      <c r="BG136" s="221">
        <f>IF(N136="zákl. přenesená",J136,0)</f>
        <v>0</v>
      </c>
      <c r="BH136" s="221">
        <f>IF(N136="sníž. přenesená",J136,0)</f>
        <v>0</v>
      </c>
      <c r="BI136" s="221">
        <f>IF(N136="nulová",J136,0)</f>
        <v>0</v>
      </c>
      <c r="BJ136" s="18" t="s">
        <v>86</v>
      </c>
      <c r="BK136" s="221">
        <f>ROUND(I136*H136,1)</f>
        <v>0</v>
      </c>
      <c r="BL136" s="18" t="s">
        <v>207</v>
      </c>
      <c r="BM136" s="220" t="s">
        <v>732</v>
      </c>
    </row>
    <row r="137" s="2" customFormat="1" ht="16.5" customHeight="1">
      <c r="A137" s="40"/>
      <c r="B137" s="41"/>
      <c r="C137" s="209" t="s">
        <v>471</v>
      </c>
      <c r="D137" s="209" t="s">
        <v>202</v>
      </c>
      <c r="E137" s="210" t="s">
        <v>2720</v>
      </c>
      <c r="F137" s="211" t="s">
        <v>2721</v>
      </c>
      <c r="G137" s="212" t="s">
        <v>2670</v>
      </c>
      <c r="H137" s="213">
        <v>9</v>
      </c>
      <c r="I137" s="214"/>
      <c r="J137" s="215">
        <f>ROUND(I137*H137,1)</f>
        <v>0</v>
      </c>
      <c r="K137" s="211" t="s">
        <v>32</v>
      </c>
      <c r="L137" s="46"/>
      <c r="M137" s="216" t="s">
        <v>32</v>
      </c>
      <c r="N137" s="217" t="s">
        <v>49</v>
      </c>
      <c r="O137" s="86"/>
      <c r="P137" s="218">
        <f>O137*H137</f>
        <v>0</v>
      </c>
      <c r="Q137" s="218">
        <v>6.5</v>
      </c>
      <c r="R137" s="218">
        <f>Q137*H137</f>
        <v>58.5</v>
      </c>
      <c r="S137" s="218">
        <v>0</v>
      </c>
      <c r="T137" s="219">
        <f>S137*H137</f>
        <v>0</v>
      </c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R137" s="220" t="s">
        <v>207</v>
      </c>
      <c r="AT137" s="220" t="s">
        <v>202</v>
      </c>
      <c r="AU137" s="220" t="s">
        <v>86</v>
      </c>
      <c r="AY137" s="18" t="s">
        <v>200</v>
      </c>
      <c r="BE137" s="221">
        <f>IF(N137="základní",J137,0)</f>
        <v>0</v>
      </c>
      <c r="BF137" s="221">
        <f>IF(N137="snížená",J137,0)</f>
        <v>0</v>
      </c>
      <c r="BG137" s="221">
        <f>IF(N137="zákl. přenesená",J137,0)</f>
        <v>0</v>
      </c>
      <c r="BH137" s="221">
        <f>IF(N137="sníž. přenesená",J137,0)</f>
        <v>0</v>
      </c>
      <c r="BI137" s="221">
        <f>IF(N137="nulová",J137,0)</f>
        <v>0</v>
      </c>
      <c r="BJ137" s="18" t="s">
        <v>86</v>
      </c>
      <c r="BK137" s="221">
        <f>ROUND(I137*H137,1)</f>
        <v>0</v>
      </c>
      <c r="BL137" s="18" t="s">
        <v>207</v>
      </c>
      <c r="BM137" s="220" t="s">
        <v>743</v>
      </c>
    </row>
    <row r="138" s="2" customFormat="1" ht="16.5" customHeight="1">
      <c r="A138" s="40"/>
      <c r="B138" s="41"/>
      <c r="C138" s="209" t="s">
        <v>476</v>
      </c>
      <c r="D138" s="209" t="s">
        <v>202</v>
      </c>
      <c r="E138" s="210" t="s">
        <v>2722</v>
      </c>
      <c r="F138" s="211" t="s">
        <v>2723</v>
      </c>
      <c r="G138" s="212" t="s">
        <v>2670</v>
      </c>
      <c r="H138" s="213">
        <v>27</v>
      </c>
      <c r="I138" s="214"/>
      <c r="J138" s="215">
        <f>ROUND(I138*H138,1)</f>
        <v>0</v>
      </c>
      <c r="K138" s="211" t="s">
        <v>32</v>
      </c>
      <c r="L138" s="46"/>
      <c r="M138" s="216" t="s">
        <v>32</v>
      </c>
      <c r="N138" s="217" t="s">
        <v>49</v>
      </c>
      <c r="O138" s="86"/>
      <c r="P138" s="218">
        <f>O138*H138</f>
        <v>0</v>
      </c>
      <c r="Q138" s="218">
        <v>10</v>
      </c>
      <c r="R138" s="218">
        <f>Q138*H138</f>
        <v>270</v>
      </c>
      <c r="S138" s="218">
        <v>0</v>
      </c>
      <c r="T138" s="219">
        <f>S138*H138</f>
        <v>0</v>
      </c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0" t="s">
        <v>207</v>
      </c>
      <c r="AT138" s="220" t="s">
        <v>202</v>
      </c>
      <c r="AU138" s="220" t="s">
        <v>86</v>
      </c>
      <c r="AY138" s="18" t="s">
        <v>200</v>
      </c>
      <c r="BE138" s="221">
        <f>IF(N138="základní",J138,0)</f>
        <v>0</v>
      </c>
      <c r="BF138" s="221">
        <f>IF(N138="snížená",J138,0)</f>
        <v>0</v>
      </c>
      <c r="BG138" s="221">
        <f>IF(N138="zákl. přenesená",J138,0)</f>
        <v>0</v>
      </c>
      <c r="BH138" s="221">
        <f>IF(N138="sníž. přenesená",J138,0)</f>
        <v>0</v>
      </c>
      <c r="BI138" s="221">
        <f>IF(N138="nulová",J138,0)</f>
        <v>0</v>
      </c>
      <c r="BJ138" s="18" t="s">
        <v>86</v>
      </c>
      <c r="BK138" s="221">
        <f>ROUND(I138*H138,1)</f>
        <v>0</v>
      </c>
      <c r="BL138" s="18" t="s">
        <v>207</v>
      </c>
      <c r="BM138" s="220" t="s">
        <v>755</v>
      </c>
    </row>
    <row r="139" s="2" customFormat="1" ht="16.5" customHeight="1">
      <c r="A139" s="40"/>
      <c r="B139" s="41"/>
      <c r="C139" s="209" t="s">
        <v>482</v>
      </c>
      <c r="D139" s="209" t="s">
        <v>202</v>
      </c>
      <c r="E139" s="210" t="s">
        <v>2724</v>
      </c>
      <c r="F139" s="211" t="s">
        <v>2725</v>
      </c>
      <c r="G139" s="212" t="s">
        <v>2670</v>
      </c>
      <c r="H139" s="213">
        <v>28</v>
      </c>
      <c r="I139" s="214"/>
      <c r="J139" s="215">
        <f>ROUND(I139*H139,1)</f>
        <v>0</v>
      </c>
      <c r="K139" s="211" t="s">
        <v>32</v>
      </c>
      <c r="L139" s="46"/>
      <c r="M139" s="216" t="s">
        <v>32</v>
      </c>
      <c r="N139" s="217" t="s">
        <v>49</v>
      </c>
      <c r="O139" s="86"/>
      <c r="P139" s="218">
        <f>O139*H139</f>
        <v>0</v>
      </c>
      <c r="Q139" s="218">
        <v>14</v>
      </c>
      <c r="R139" s="218">
        <f>Q139*H139</f>
        <v>392</v>
      </c>
      <c r="S139" s="218">
        <v>0</v>
      </c>
      <c r="T139" s="219">
        <f>S139*H139</f>
        <v>0</v>
      </c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0" t="s">
        <v>207</v>
      </c>
      <c r="AT139" s="220" t="s">
        <v>202</v>
      </c>
      <c r="AU139" s="220" t="s">
        <v>86</v>
      </c>
      <c r="AY139" s="18" t="s">
        <v>200</v>
      </c>
      <c r="BE139" s="221">
        <f>IF(N139="základní",J139,0)</f>
        <v>0</v>
      </c>
      <c r="BF139" s="221">
        <f>IF(N139="snížená",J139,0)</f>
        <v>0</v>
      </c>
      <c r="BG139" s="221">
        <f>IF(N139="zákl. přenesená",J139,0)</f>
        <v>0</v>
      </c>
      <c r="BH139" s="221">
        <f>IF(N139="sníž. přenesená",J139,0)</f>
        <v>0</v>
      </c>
      <c r="BI139" s="221">
        <f>IF(N139="nulová",J139,0)</f>
        <v>0</v>
      </c>
      <c r="BJ139" s="18" t="s">
        <v>86</v>
      </c>
      <c r="BK139" s="221">
        <f>ROUND(I139*H139,1)</f>
        <v>0</v>
      </c>
      <c r="BL139" s="18" t="s">
        <v>207</v>
      </c>
      <c r="BM139" s="220" t="s">
        <v>766</v>
      </c>
    </row>
    <row r="140" s="2" customFormat="1" ht="16.5" customHeight="1">
      <c r="A140" s="40"/>
      <c r="B140" s="41"/>
      <c r="C140" s="209" t="s">
        <v>511</v>
      </c>
      <c r="D140" s="209" t="s">
        <v>202</v>
      </c>
      <c r="E140" s="210" t="s">
        <v>2683</v>
      </c>
      <c r="F140" s="211" t="s">
        <v>2684</v>
      </c>
      <c r="G140" s="212" t="s">
        <v>2670</v>
      </c>
      <c r="H140" s="213">
        <v>17</v>
      </c>
      <c r="I140" s="214"/>
      <c r="J140" s="215">
        <f>ROUND(I140*H140,1)</f>
        <v>0</v>
      </c>
      <c r="K140" s="211" t="s">
        <v>32</v>
      </c>
      <c r="L140" s="46"/>
      <c r="M140" s="216" t="s">
        <v>32</v>
      </c>
      <c r="N140" s="217" t="s">
        <v>49</v>
      </c>
      <c r="O140" s="86"/>
      <c r="P140" s="218">
        <f>O140*H140</f>
        <v>0</v>
      </c>
      <c r="Q140" s="218">
        <v>33</v>
      </c>
      <c r="R140" s="218">
        <f>Q140*H140</f>
        <v>561</v>
      </c>
      <c r="S140" s="218">
        <v>0</v>
      </c>
      <c r="T140" s="219">
        <f>S140*H140</f>
        <v>0</v>
      </c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R140" s="220" t="s">
        <v>207</v>
      </c>
      <c r="AT140" s="220" t="s">
        <v>202</v>
      </c>
      <c r="AU140" s="220" t="s">
        <v>86</v>
      </c>
      <c r="AY140" s="18" t="s">
        <v>200</v>
      </c>
      <c r="BE140" s="221">
        <f>IF(N140="základní",J140,0)</f>
        <v>0</v>
      </c>
      <c r="BF140" s="221">
        <f>IF(N140="snížená",J140,0)</f>
        <v>0</v>
      </c>
      <c r="BG140" s="221">
        <f>IF(N140="zákl. přenesená",J140,0)</f>
        <v>0</v>
      </c>
      <c r="BH140" s="221">
        <f>IF(N140="sníž. přenesená",J140,0)</f>
        <v>0</v>
      </c>
      <c r="BI140" s="221">
        <f>IF(N140="nulová",J140,0)</f>
        <v>0</v>
      </c>
      <c r="BJ140" s="18" t="s">
        <v>86</v>
      </c>
      <c r="BK140" s="221">
        <f>ROUND(I140*H140,1)</f>
        <v>0</v>
      </c>
      <c r="BL140" s="18" t="s">
        <v>207</v>
      </c>
      <c r="BM140" s="220" t="s">
        <v>779</v>
      </c>
    </row>
    <row r="141" s="2" customFormat="1" ht="16.5" customHeight="1">
      <c r="A141" s="40"/>
      <c r="B141" s="41"/>
      <c r="C141" s="209" t="s">
        <v>523</v>
      </c>
      <c r="D141" s="209" t="s">
        <v>202</v>
      </c>
      <c r="E141" s="210" t="s">
        <v>2726</v>
      </c>
      <c r="F141" s="211" t="s">
        <v>2727</v>
      </c>
      <c r="G141" s="212" t="s">
        <v>2670</v>
      </c>
      <c r="H141" s="213">
        <v>9</v>
      </c>
      <c r="I141" s="214"/>
      <c r="J141" s="215">
        <f>ROUND(I141*H141,1)</f>
        <v>0</v>
      </c>
      <c r="K141" s="211" t="s">
        <v>32</v>
      </c>
      <c r="L141" s="46"/>
      <c r="M141" s="216" t="s">
        <v>32</v>
      </c>
      <c r="N141" s="217" t="s">
        <v>49</v>
      </c>
      <c r="O141" s="86"/>
      <c r="P141" s="218">
        <f>O141*H141</f>
        <v>0</v>
      </c>
      <c r="Q141" s="218">
        <v>10</v>
      </c>
      <c r="R141" s="218">
        <f>Q141*H141</f>
        <v>90</v>
      </c>
      <c r="S141" s="218">
        <v>0</v>
      </c>
      <c r="T141" s="219">
        <f>S141*H141</f>
        <v>0</v>
      </c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0" t="s">
        <v>207</v>
      </c>
      <c r="AT141" s="220" t="s">
        <v>202</v>
      </c>
      <c r="AU141" s="220" t="s">
        <v>86</v>
      </c>
      <c r="AY141" s="18" t="s">
        <v>200</v>
      </c>
      <c r="BE141" s="221">
        <f>IF(N141="základní",J141,0)</f>
        <v>0</v>
      </c>
      <c r="BF141" s="221">
        <f>IF(N141="snížená",J141,0)</f>
        <v>0</v>
      </c>
      <c r="BG141" s="221">
        <f>IF(N141="zákl. přenesená",J141,0)</f>
        <v>0</v>
      </c>
      <c r="BH141" s="221">
        <f>IF(N141="sníž. přenesená",J141,0)</f>
        <v>0</v>
      </c>
      <c r="BI141" s="221">
        <f>IF(N141="nulová",J141,0)</f>
        <v>0</v>
      </c>
      <c r="BJ141" s="18" t="s">
        <v>86</v>
      </c>
      <c r="BK141" s="221">
        <f>ROUND(I141*H141,1)</f>
        <v>0</v>
      </c>
      <c r="BL141" s="18" t="s">
        <v>207</v>
      </c>
      <c r="BM141" s="220" t="s">
        <v>791</v>
      </c>
    </row>
    <row r="142" s="12" customFormat="1" ht="25.92" customHeight="1">
      <c r="A142" s="12"/>
      <c r="B142" s="193"/>
      <c r="C142" s="194"/>
      <c r="D142" s="195" t="s">
        <v>77</v>
      </c>
      <c r="E142" s="196" t="s">
        <v>148</v>
      </c>
      <c r="F142" s="196" t="s">
        <v>2728</v>
      </c>
      <c r="G142" s="194"/>
      <c r="H142" s="194"/>
      <c r="I142" s="197"/>
      <c r="J142" s="198">
        <f>BK142</f>
        <v>0</v>
      </c>
      <c r="K142" s="194"/>
      <c r="L142" s="199"/>
      <c r="M142" s="200"/>
      <c r="N142" s="201"/>
      <c r="O142" s="201"/>
      <c r="P142" s="202">
        <f>SUM(P143:P158)</f>
        <v>0</v>
      </c>
      <c r="Q142" s="201"/>
      <c r="R142" s="202">
        <f>SUM(R143:R158)</f>
        <v>470.90000000000003</v>
      </c>
      <c r="S142" s="201"/>
      <c r="T142" s="203">
        <f>SUM(T143:T158)</f>
        <v>0</v>
      </c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R142" s="204" t="s">
        <v>86</v>
      </c>
      <c r="AT142" s="205" t="s">
        <v>77</v>
      </c>
      <c r="AU142" s="205" t="s">
        <v>78</v>
      </c>
      <c r="AY142" s="204" t="s">
        <v>200</v>
      </c>
      <c r="BK142" s="206">
        <f>SUM(BK143:BK158)</f>
        <v>0</v>
      </c>
    </row>
    <row r="143" s="2" customFormat="1" ht="16.5" customHeight="1">
      <c r="A143" s="40"/>
      <c r="B143" s="41"/>
      <c r="C143" s="209" t="s">
        <v>528</v>
      </c>
      <c r="D143" s="209" t="s">
        <v>202</v>
      </c>
      <c r="E143" s="210" t="s">
        <v>2729</v>
      </c>
      <c r="F143" s="211" t="s">
        <v>2730</v>
      </c>
      <c r="G143" s="212" t="s">
        <v>1436</v>
      </c>
      <c r="H143" s="213">
        <v>3</v>
      </c>
      <c r="I143" s="214"/>
      <c r="J143" s="215">
        <f>ROUND(I143*H143,1)</f>
        <v>0</v>
      </c>
      <c r="K143" s="211" t="s">
        <v>32</v>
      </c>
      <c r="L143" s="46"/>
      <c r="M143" s="216" t="s">
        <v>32</v>
      </c>
      <c r="N143" s="217" t="s">
        <v>49</v>
      </c>
      <c r="O143" s="86"/>
      <c r="P143" s="218">
        <f>O143*H143</f>
        <v>0</v>
      </c>
      <c r="Q143" s="218">
        <v>2.7000000000000002</v>
      </c>
      <c r="R143" s="218">
        <f>Q143*H143</f>
        <v>8.1000000000000014</v>
      </c>
      <c r="S143" s="218">
        <v>0</v>
      </c>
      <c r="T143" s="219">
        <f>S143*H143</f>
        <v>0</v>
      </c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R143" s="220" t="s">
        <v>207</v>
      </c>
      <c r="AT143" s="220" t="s">
        <v>202</v>
      </c>
      <c r="AU143" s="220" t="s">
        <v>86</v>
      </c>
      <c r="AY143" s="18" t="s">
        <v>200</v>
      </c>
      <c r="BE143" s="221">
        <f>IF(N143="základní",J143,0)</f>
        <v>0</v>
      </c>
      <c r="BF143" s="221">
        <f>IF(N143="snížená",J143,0)</f>
        <v>0</v>
      </c>
      <c r="BG143" s="221">
        <f>IF(N143="zákl. přenesená",J143,0)</f>
        <v>0</v>
      </c>
      <c r="BH143" s="221">
        <f>IF(N143="sníž. přenesená",J143,0)</f>
        <v>0</v>
      </c>
      <c r="BI143" s="221">
        <f>IF(N143="nulová",J143,0)</f>
        <v>0</v>
      </c>
      <c r="BJ143" s="18" t="s">
        <v>86</v>
      </c>
      <c r="BK143" s="221">
        <f>ROUND(I143*H143,1)</f>
        <v>0</v>
      </c>
      <c r="BL143" s="18" t="s">
        <v>207</v>
      </c>
      <c r="BM143" s="220" t="s">
        <v>803</v>
      </c>
    </row>
    <row r="144" s="2" customFormat="1">
      <c r="A144" s="40"/>
      <c r="B144" s="41"/>
      <c r="C144" s="42"/>
      <c r="D144" s="229" t="s">
        <v>355</v>
      </c>
      <c r="E144" s="42"/>
      <c r="F144" s="281" t="s">
        <v>2731</v>
      </c>
      <c r="G144" s="42"/>
      <c r="H144" s="42"/>
      <c r="I144" s="224"/>
      <c r="J144" s="42"/>
      <c r="K144" s="42"/>
      <c r="L144" s="46"/>
      <c r="M144" s="225"/>
      <c r="N144" s="226"/>
      <c r="O144" s="86"/>
      <c r="P144" s="86"/>
      <c r="Q144" s="86"/>
      <c r="R144" s="86"/>
      <c r="S144" s="86"/>
      <c r="T144" s="87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T144" s="18" t="s">
        <v>355</v>
      </c>
      <c r="AU144" s="18" t="s">
        <v>86</v>
      </c>
    </row>
    <row r="145" s="2" customFormat="1" ht="16.5" customHeight="1">
      <c r="A145" s="40"/>
      <c r="B145" s="41"/>
      <c r="C145" s="209" t="s">
        <v>534</v>
      </c>
      <c r="D145" s="209" t="s">
        <v>202</v>
      </c>
      <c r="E145" s="210" t="s">
        <v>2732</v>
      </c>
      <c r="F145" s="211" t="s">
        <v>2733</v>
      </c>
      <c r="G145" s="212" t="s">
        <v>1436</v>
      </c>
      <c r="H145" s="213">
        <v>6</v>
      </c>
      <c r="I145" s="214"/>
      <c r="J145" s="215">
        <f>ROUND(I145*H145,1)</f>
        <v>0</v>
      </c>
      <c r="K145" s="211" t="s">
        <v>32</v>
      </c>
      <c r="L145" s="46"/>
      <c r="M145" s="216" t="s">
        <v>32</v>
      </c>
      <c r="N145" s="217" t="s">
        <v>49</v>
      </c>
      <c r="O145" s="86"/>
      <c r="P145" s="218">
        <f>O145*H145</f>
        <v>0</v>
      </c>
      <c r="Q145" s="218">
        <v>0.10000000000000001</v>
      </c>
      <c r="R145" s="218">
        <f>Q145*H145</f>
        <v>0.60000000000000009</v>
      </c>
      <c r="S145" s="218">
        <v>0</v>
      </c>
      <c r="T145" s="219">
        <f>S145*H145</f>
        <v>0</v>
      </c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0" t="s">
        <v>207</v>
      </c>
      <c r="AT145" s="220" t="s">
        <v>202</v>
      </c>
      <c r="AU145" s="220" t="s">
        <v>86</v>
      </c>
      <c r="AY145" s="18" t="s">
        <v>200</v>
      </c>
      <c r="BE145" s="221">
        <f>IF(N145="základní",J145,0)</f>
        <v>0</v>
      </c>
      <c r="BF145" s="221">
        <f>IF(N145="snížená",J145,0)</f>
        <v>0</v>
      </c>
      <c r="BG145" s="221">
        <f>IF(N145="zákl. přenesená",J145,0)</f>
        <v>0</v>
      </c>
      <c r="BH145" s="221">
        <f>IF(N145="sníž. přenesená",J145,0)</f>
        <v>0</v>
      </c>
      <c r="BI145" s="221">
        <f>IF(N145="nulová",J145,0)</f>
        <v>0</v>
      </c>
      <c r="BJ145" s="18" t="s">
        <v>86</v>
      </c>
      <c r="BK145" s="221">
        <f>ROUND(I145*H145,1)</f>
        <v>0</v>
      </c>
      <c r="BL145" s="18" t="s">
        <v>207</v>
      </c>
      <c r="BM145" s="220" t="s">
        <v>835</v>
      </c>
    </row>
    <row r="146" s="2" customFormat="1" ht="16.5" customHeight="1">
      <c r="A146" s="40"/>
      <c r="B146" s="41"/>
      <c r="C146" s="209" t="s">
        <v>542</v>
      </c>
      <c r="D146" s="209" t="s">
        <v>202</v>
      </c>
      <c r="E146" s="210" t="s">
        <v>2734</v>
      </c>
      <c r="F146" s="211" t="s">
        <v>2735</v>
      </c>
      <c r="G146" s="212" t="s">
        <v>1436</v>
      </c>
      <c r="H146" s="213">
        <v>3</v>
      </c>
      <c r="I146" s="214"/>
      <c r="J146" s="215">
        <f>ROUND(I146*H146,1)</f>
        <v>0</v>
      </c>
      <c r="K146" s="211" t="s">
        <v>32</v>
      </c>
      <c r="L146" s="46"/>
      <c r="M146" s="216" t="s">
        <v>32</v>
      </c>
      <c r="N146" s="217" t="s">
        <v>49</v>
      </c>
      <c r="O146" s="86"/>
      <c r="P146" s="218">
        <f>O146*H146</f>
        <v>0</v>
      </c>
      <c r="Q146" s="218">
        <v>0.10000000000000001</v>
      </c>
      <c r="R146" s="218">
        <f>Q146*H146</f>
        <v>0.30000000000000004</v>
      </c>
      <c r="S146" s="218">
        <v>0</v>
      </c>
      <c r="T146" s="219">
        <f>S146*H146</f>
        <v>0</v>
      </c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R146" s="220" t="s">
        <v>207</v>
      </c>
      <c r="AT146" s="220" t="s">
        <v>202</v>
      </c>
      <c r="AU146" s="220" t="s">
        <v>86</v>
      </c>
      <c r="AY146" s="18" t="s">
        <v>200</v>
      </c>
      <c r="BE146" s="221">
        <f>IF(N146="základní",J146,0)</f>
        <v>0</v>
      </c>
      <c r="BF146" s="221">
        <f>IF(N146="snížená",J146,0)</f>
        <v>0</v>
      </c>
      <c r="BG146" s="221">
        <f>IF(N146="zákl. přenesená",J146,0)</f>
        <v>0</v>
      </c>
      <c r="BH146" s="221">
        <f>IF(N146="sníž. přenesená",J146,0)</f>
        <v>0</v>
      </c>
      <c r="BI146" s="221">
        <f>IF(N146="nulová",J146,0)</f>
        <v>0</v>
      </c>
      <c r="BJ146" s="18" t="s">
        <v>86</v>
      </c>
      <c r="BK146" s="221">
        <f>ROUND(I146*H146,1)</f>
        <v>0</v>
      </c>
      <c r="BL146" s="18" t="s">
        <v>207</v>
      </c>
      <c r="BM146" s="220" t="s">
        <v>844</v>
      </c>
    </row>
    <row r="147" s="2" customFormat="1" ht="16.5" customHeight="1">
      <c r="A147" s="40"/>
      <c r="B147" s="41"/>
      <c r="C147" s="209" t="s">
        <v>549</v>
      </c>
      <c r="D147" s="209" t="s">
        <v>202</v>
      </c>
      <c r="E147" s="210" t="s">
        <v>2736</v>
      </c>
      <c r="F147" s="211" t="s">
        <v>2737</v>
      </c>
      <c r="G147" s="212" t="s">
        <v>1436</v>
      </c>
      <c r="H147" s="213">
        <v>2</v>
      </c>
      <c r="I147" s="214"/>
      <c r="J147" s="215">
        <f>ROUND(I147*H147,1)</f>
        <v>0</v>
      </c>
      <c r="K147" s="211" t="s">
        <v>32</v>
      </c>
      <c r="L147" s="46"/>
      <c r="M147" s="216" t="s">
        <v>32</v>
      </c>
      <c r="N147" s="217" t="s">
        <v>49</v>
      </c>
      <c r="O147" s="86"/>
      <c r="P147" s="218">
        <f>O147*H147</f>
        <v>0</v>
      </c>
      <c r="Q147" s="218">
        <v>6.2999999999999998</v>
      </c>
      <c r="R147" s="218">
        <f>Q147*H147</f>
        <v>12.6</v>
      </c>
      <c r="S147" s="218">
        <v>0</v>
      </c>
      <c r="T147" s="219">
        <f>S147*H147</f>
        <v>0</v>
      </c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R147" s="220" t="s">
        <v>207</v>
      </c>
      <c r="AT147" s="220" t="s">
        <v>202</v>
      </c>
      <c r="AU147" s="220" t="s">
        <v>86</v>
      </c>
      <c r="AY147" s="18" t="s">
        <v>200</v>
      </c>
      <c r="BE147" s="221">
        <f>IF(N147="základní",J147,0)</f>
        <v>0</v>
      </c>
      <c r="BF147" s="221">
        <f>IF(N147="snížená",J147,0)</f>
        <v>0</v>
      </c>
      <c r="BG147" s="221">
        <f>IF(N147="zákl. přenesená",J147,0)</f>
        <v>0</v>
      </c>
      <c r="BH147" s="221">
        <f>IF(N147="sníž. přenesená",J147,0)</f>
        <v>0</v>
      </c>
      <c r="BI147" s="221">
        <f>IF(N147="nulová",J147,0)</f>
        <v>0</v>
      </c>
      <c r="BJ147" s="18" t="s">
        <v>86</v>
      </c>
      <c r="BK147" s="221">
        <f>ROUND(I147*H147,1)</f>
        <v>0</v>
      </c>
      <c r="BL147" s="18" t="s">
        <v>207</v>
      </c>
      <c r="BM147" s="220" t="s">
        <v>856</v>
      </c>
    </row>
    <row r="148" s="2" customFormat="1" ht="16.5" customHeight="1">
      <c r="A148" s="40"/>
      <c r="B148" s="41"/>
      <c r="C148" s="209" t="s">
        <v>555</v>
      </c>
      <c r="D148" s="209" t="s">
        <v>202</v>
      </c>
      <c r="E148" s="210" t="s">
        <v>2738</v>
      </c>
      <c r="F148" s="211" t="s">
        <v>2739</v>
      </c>
      <c r="G148" s="212" t="s">
        <v>1436</v>
      </c>
      <c r="H148" s="213">
        <v>3</v>
      </c>
      <c r="I148" s="214"/>
      <c r="J148" s="215">
        <f>ROUND(I148*H148,1)</f>
        <v>0</v>
      </c>
      <c r="K148" s="211" t="s">
        <v>32</v>
      </c>
      <c r="L148" s="46"/>
      <c r="M148" s="216" t="s">
        <v>32</v>
      </c>
      <c r="N148" s="217" t="s">
        <v>49</v>
      </c>
      <c r="O148" s="86"/>
      <c r="P148" s="218">
        <f>O148*H148</f>
        <v>0</v>
      </c>
      <c r="Q148" s="218">
        <v>1.5</v>
      </c>
      <c r="R148" s="218">
        <f>Q148*H148</f>
        <v>4.5</v>
      </c>
      <c r="S148" s="218">
        <v>0</v>
      </c>
      <c r="T148" s="219">
        <f>S148*H148</f>
        <v>0</v>
      </c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R148" s="220" t="s">
        <v>207</v>
      </c>
      <c r="AT148" s="220" t="s">
        <v>202</v>
      </c>
      <c r="AU148" s="220" t="s">
        <v>86</v>
      </c>
      <c r="AY148" s="18" t="s">
        <v>200</v>
      </c>
      <c r="BE148" s="221">
        <f>IF(N148="základní",J148,0)</f>
        <v>0</v>
      </c>
      <c r="BF148" s="221">
        <f>IF(N148="snížená",J148,0)</f>
        <v>0</v>
      </c>
      <c r="BG148" s="221">
        <f>IF(N148="zákl. přenesená",J148,0)</f>
        <v>0</v>
      </c>
      <c r="BH148" s="221">
        <f>IF(N148="sníž. přenesená",J148,0)</f>
        <v>0</v>
      </c>
      <c r="BI148" s="221">
        <f>IF(N148="nulová",J148,0)</f>
        <v>0</v>
      </c>
      <c r="BJ148" s="18" t="s">
        <v>86</v>
      </c>
      <c r="BK148" s="221">
        <f>ROUND(I148*H148,1)</f>
        <v>0</v>
      </c>
      <c r="BL148" s="18" t="s">
        <v>207</v>
      </c>
      <c r="BM148" s="220" t="s">
        <v>872</v>
      </c>
    </row>
    <row r="149" s="2" customFormat="1" ht="16.5" customHeight="1">
      <c r="A149" s="40"/>
      <c r="B149" s="41"/>
      <c r="C149" s="209" t="s">
        <v>560</v>
      </c>
      <c r="D149" s="209" t="s">
        <v>202</v>
      </c>
      <c r="E149" s="210" t="s">
        <v>2740</v>
      </c>
      <c r="F149" s="211" t="s">
        <v>2741</v>
      </c>
      <c r="G149" s="212" t="s">
        <v>1436</v>
      </c>
      <c r="H149" s="213">
        <v>2</v>
      </c>
      <c r="I149" s="214"/>
      <c r="J149" s="215">
        <f>ROUND(I149*H149,1)</f>
        <v>0</v>
      </c>
      <c r="K149" s="211" t="s">
        <v>32</v>
      </c>
      <c r="L149" s="46"/>
      <c r="M149" s="216" t="s">
        <v>32</v>
      </c>
      <c r="N149" s="217" t="s">
        <v>49</v>
      </c>
      <c r="O149" s="86"/>
      <c r="P149" s="218">
        <f>O149*H149</f>
        <v>0</v>
      </c>
      <c r="Q149" s="218">
        <v>3.6000000000000001</v>
      </c>
      <c r="R149" s="218">
        <f>Q149*H149</f>
        <v>7.2000000000000002</v>
      </c>
      <c r="S149" s="218">
        <v>0</v>
      </c>
      <c r="T149" s="219">
        <f>S149*H149</f>
        <v>0</v>
      </c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R149" s="220" t="s">
        <v>207</v>
      </c>
      <c r="AT149" s="220" t="s">
        <v>202</v>
      </c>
      <c r="AU149" s="220" t="s">
        <v>86</v>
      </c>
      <c r="AY149" s="18" t="s">
        <v>200</v>
      </c>
      <c r="BE149" s="221">
        <f>IF(N149="základní",J149,0)</f>
        <v>0</v>
      </c>
      <c r="BF149" s="221">
        <f>IF(N149="snížená",J149,0)</f>
        <v>0</v>
      </c>
      <c r="BG149" s="221">
        <f>IF(N149="zákl. přenesená",J149,0)</f>
        <v>0</v>
      </c>
      <c r="BH149" s="221">
        <f>IF(N149="sníž. přenesená",J149,0)</f>
        <v>0</v>
      </c>
      <c r="BI149" s="221">
        <f>IF(N149="nulová",J149,0)</f>
        <v>0</v>
      </c>
      <c r="BJ149" s="18" t="s">
        <v>86</v>
      </c>
      <c r="BK149" s="221">
        <f>ROUND(I149*H149,1)</f>
        <v>0</v>
      </c>
      <c r="BL149" s="18" t="s">
        <v>207</v>
      </c>
      <c r="BM149" s="220" t="s">
        <v>889</v>
      </c>
    </row>
    <row r="150" s="2" customFormat="1" ht="16.5" customHeight="1">
      <c r="A150" s="40"/>
      <c r="B150" s="41"/>
      <c r="C150" s="209" t="s">
        <v>565</v>
      </c>
      <c r="D150" s="209" t="s">
        <v>202</v>
      </c>
      <c r="E150" s="210" t="s">
        <v>2742</v>
      </c>
      <c r="F150" s="211" t="s">
        <v>2743</v>
      </c>
      <c r="G150" s="212" t="s">
        <v>1436</v>
      </c>
      <c r="H150" s="213">
        <v>2</v>
      </c>
      <c r="I150" s="214"/>
      <c r="J150" s="215">
        <f>ROUND(I150*H150,1)</f>
        <v>0</v>
      </c>
      <c r="K150" s="211" t="s">
        <v>32</v>
      </c>
      <c r="L150" s="46"/>
      <c r="M150" s="216" t="s">
        <v>32</v>
      </c>
      <c r="N150" s="217" t="s">
        <v>49</v>
      </c>
      <c r="O150" s="86"/>
      <c r="P150" s="218">
        <f>O150*H150</f>
        <v>0</v>
      </c>
      <c r="Q150" s="218">
        <v>3.6000000000000001</v>
      </c>
      <c r="R150" s="218">
        <f>Q150*H150</f>
        <v>7.2000000000000002</v>
      </c>
      <c r="S150" s="218">
        <v>0</v>
      </c>
      <c r="T150" s="219">
        <f>S150*H150</f>
        <v>0</v>
      </c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R150" s="220" t="s">
        <v>207</v>
      </c>
      <c r="AT150" s="220" t="s">
        <v>202</v>
      </c>
      <c r="AU150" s="220" t="s">
        <v>86</v>
      </c>
      <c r="AY150" s="18" t="s">
        <v>200</v>
      </c>
      <c r="BE150" s="221">
        <f>IF(N150="základní",J150,0)</f>
        <v>0</v>
      </c>
      <c r="BF150" s="221">
        <f>IF(N150="snížená",J150,0)</f>
        <v>0</v>
      </c>
      <c r="BG150" s="221">
        <f>IF(N150="zákl. přenesená",J150,0)</f>
        <v>0</v>
      </c>
      <c r="BH150" s="221">
        <f>IF(N150="sníž. přenesená",J150,0)</f>
        <v>0</v>
      </c>
      <c r="BI150" s="221">
        <f>IF(N150="nulová",J150,0)</f>
        <v>0</v>
      </c>
      <c r="BJ150" s="18" t="s">
        <v>86</v>
      </c>
      <c r="BK150" s="221">
        <f>ROUND(I150*H150,1)</f>
        <v>0</v>
      </c>
      <c r="BL150" s="18" t="s">
        <v>207</v>
      </c>
      <c r="BM150" s="220" t="s">
        <v>904</v>
      </c>
    </row>
    <row r="151" s="2" customFormat="1" ht="16.5" customHeight="1">
      <c r="A151" s="40"/>
      <c r="B151" s="41"/>
      <c r="C151" s="209" t="s">
        <v>570</v>
      </c>
      <c r="D151" s="209" t="s">
        <v>202</v>
      </c>
      <c r="E151" s="210" t="s">
        <v>2744</v>
      </c>
      <c r="F151" s="211" t="s">
        <v>2745</v>
      </c>
      <c r="G151" s="212" t="s">
        <v>1436</v>
      </c>
      <c r="H151" s="213">
        <v>5</v>
      </c>
      <c r="I151" s="214"/>
      <c r="J151" s="215">
        <f>ROUND(I151*H151,1)</f>
        <v>0</v>
      </c>
      <c r="K151" s="211" t="s">
        <v>32</v>
      </c>
      <c r="L151" s="46"/>
      <c r="M151" s="216" t="s">
        <v>32</v>
      </c>
      <c r="N151" s="217" t="s">
        <v>49</v>
      </c>
      <c r="O151" s="86"/>
      <c r="P151" s="218">
        <f>O151*H151</f>
        <v>0</v>
      </c>
      <c r="Q151" s="218">
        <v>0.40000000000000002</v>
      </c>
      <c r="R151" s="218">
        <f>Q151*H151</f>
        <v>2</v>
      </c>
      <c r="S151" s="218">
        <v>0</v>
      </c>
      <c r="T151" s="219">
        <f>S151*H151</f>
        <v>0</v>
      </c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R151" s="220" t="s">
        <v>207</v>
      </c>
      <c r="AT151" s="220" t="s">
        <v>202</v>
      </c>
      <c r="AU151" s="220" t="s">
        <v>86</v>
      </c>
      <c r="AY151" s="18" t="s">
        <v>200</v>
      </c>
      <c r="BE151" s="221">
        <f>IF(N151="základní",J151,0)</f>
        <v>0</v>
      </c>
      <c r="BF151" s="221">
        <f>IF(N151="snížená",J151,0)</f>
        <v>0</v>
      </c>
      <c r="BG151" s="221">
        <f>IF(N151="zákl. přenesená",J151,0)</f>
        <v>0</v>
      </c>
      <c r="BH151" s="221">
        <f>IF(N151="sníž. přenesená",J151,0)</f>
        <v>0</v>
      </c>
      <c r="BI151" s="221">
        <f>IF(N151="nulová",J151,0)</f>
        <v>0</v>
      </c>
      <c r="BJ151" s="18" t="s">
        <v>86</v>
      </c>
      <c r="BK151" s="221">
        <f>ROUND(I151*H151,1)</f>
        <v>0</v>
      </c>
      <c r="BL151" s="18" t="s">
        <v>207</v>
      </c>
      <c r="BM151" s="220" t="s">
        <v>916</v>
      </c>
    </row>
    <row r="152" s="2" customFormat="1" ht="16.5" customHeight="1">
      <c r="A152" s="40"/>
      <c r="B152" s="41"/>
      <c r="C152" s="209" t="s">
        <v>575</v>
      </c>
      <c r="D152" s="209" t="s">
        <v>202</v>
      </c>
      <c r="E152" s="210" t="s">
        <v>2746</v>
      </c>
      <c r="F152" s="211" t="s">
        <v>2747</v>
      </c>
      <c r="G152" s="212" t="s">
        <v>1436</v>
      </c>
      <c r="H152" s="213">
        <v>10</v>
      </c>
      <c r="I152" s="214"/>
      <c r="J152" s="215">
        <f>ROUND(I152*H152,1)</f>
        <v>0</v>
      </c>
      <c r="K152" s="211" t="s">
        <v>32</v>
      </c>
      <c r="L152" s="46"/>
      <c r="M152" s="216" t="s">
        <v>32</v>
      </c>
      <c r="N152" s="217" t="s">
        <v>49</v>
      </c>
      <c r="O152" s="86"/>
      <c r="P152" s="218">
        <f>O152*H152</f>
        <v>0</v>
      </c>
      <c r="Q152" s="218">
        <v>0.40000000000000002</v>
      </c>
      <c r="R152" s="218">
        <f>Q152*H152</f>
        <v>4</v>
      </c>
      <c r="S152" s="218">
        <v>0</v>
      </c>
      <c r="T152" s="219">
        <f>S152*H152</f>
        <v>0</v>
      </c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R152" s="220" t="s">
        <v>207</v>
      </c>
      <c r="AT152" s="220" t="s">
        <v>202</v>
      </c>
      <c r="AU152" s="220" t="s">
        <v>86</v>
      </c>
      <c r="AY152" s="18" t="s">
        <v>200</v>
      </c>
      <c r="BE152" s="221">
        <f>IF(N152="základní",J152,0)</f>
        <v>0</v>
      </c>
      <c r="BF152" s="221">
        <f>IF(N152="snížená",J152,0)</f>
        <v>0</v>
      </c>
      <c r="BG152" s="221">
        <f>IF(N152="zákl. přenesená",J152,0)</f>
        <v>0</v>
      </c>
      <c r="BH152" s="221">
        <f>IF(N152="sníž. přenesená",J152,0)</f>
        <v>0</v>
      </c>
      <c r="BI152" s="221">
        <f>IF(N152="nulová",J152,0)</f>
        <v>0</v>
      </c>
      <c r="BJ152" s="18" t="s">
        <v>86</v>
      </c>
      <c r="BK152" s="221">
        <f>ROUND(I152*H152,1)</f>
        <v>0</v>
      </c>
      <c r="BL152" s="18" t="s">
        <v>207</v>
      </c>
      <c r="BM152" s="220" t="s">
        <v>926</v>
      </c>
    </row>
    <row r="153" s="2" customFormat="1" ht="16.5" customHeight="1">
      <c r="A153" s="40"/>
      <c r="B153" s="41"/>
      <c r="C153" s="209" t="s">
        <v>581</v>
      </c>
      <c r="D153" s="209" t="s">
        <v>202</v>
      </c>
      <c r="E153" s="210" t="s">
        <v>2748</v>
      </c>
      <c r="F153" s="211" t="s">
        <v>2713</v>
      </c>
      <c r="G153" s="212" t="s">
        <v>1436</v>
      </c>
      <c r="H153" s="213">
        <v>2</v>
      </c>
      <c r="I153" s="214"/>
      <c r="J153" s="215">
        <f>ROUND(I153*H153,1)</f>
        <v>0</v>
      </c>
      <c r="K153" s="211" t="s">
        <v>32</v>
      </c>
      <c r="L153" s="46"/>
      <c r="M153" s="216" t="s">
        <v>32</v>
      </c>
      <c r="N153" s="217" t="s">
        <v>49</v>
      </c>
      <c r="O153" s="86"/>
      <c r="P153" s="218">
        <f>O153*H153</f>
        <v>0</v>
      </c>
      <c r="Q153" s="218">
        <v>0.59999999999999998</v>
      </c>
      <c r="R153" s="218">
        <f>Q153*H153</f>
        <v>1.2</v>
      </c>
      <c r="S153" s="218">
        <v>0</v>
      </c>
      <c r="T153" s="219">
        <f>S153*H153</f>
        <v>0</v>
      </c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0" t="s">
        <v>207</v>
      </c>
      <c r="AT153" s="220" t="s">
        <v>202</v>
      </c>
      <c r="AU153" s="220" t="s">
        <v>86</v>
      </c>
      <c r="AY153" s="18" t="s">
        <v>200</v>
      </c>
      <c r="BE153" s="221">
        <f>IF(N153="základní",J153,0)</f>
        <v>0</v>
      </c>
      <c r="BF153" s="221">
        <f>IF(N153="snížená",J153,0)</f>
        <v>0</v>
      </c>
      <c r="BG153" s="221">
        <f>IF(N153="zákl. přenesená",J153,0)</f>
        <v>0</v>
      </c>
      <c r="BH153" s="221">
        <f>IF(N153="sníž. přenesená",J153,0)</f>
        <v>0</v>
      </c>
      <c r="BI153" s="221">
        <f>IF(N153="nulová",J153,0)</f>
        <v>0</v>
      </c>
      <c r="BJ153" s="18" t="s">
        <v>86</v>
      </c>
      <c r="BK153" s="221">
        <f>ROUND(I153*H153,1)</f>
        <v>0</v>
      </c>
      <c r="BL153" s="18" t="s">
        <v>207</v>
      </c>
      <c r="BM153" s="220" t="s">
        <v>937</v>
      </c>
    </row>
    <row r="154" s="2" customFormat="1" ht="16.5" customHeight="1">
      <c r="A154" s="40"/>
      <c r="B154" s="41"/>
      <c r="C154" s="209" t="s">
        <v>587</v>
      </c>
      <c r="D154" s="209" t="s">
        <v>202</v>
      </c>
      <c r="E154" s="210" t="s">
        <v>2749</v>
      </c>
      <c r="F154" s="211" t="s">
        <v>2750</v>
      </c>
      <c r="G154" s="212" t="s">
        <v>1436</v>
      </c>
      <c r="H154" s="213">
        <v>10</v>
      </c>
      <c r="I154" s="214"/>
      <c r="J154" s="215">
        <f>ROUND(I154*H154,1)</f>
        <v>0</v>
      </c>
      <c r="K154" s="211" t="s">
        <v>32</v>
      </c>
      <c r="L154" s="46"/>
      <c r="M154" s="216" t="s">
        <v>32</v>
      </c>
      <c r="N154" s="217" t="s">
        <v>49</v>
      </c>
      <c r="O154" s="86"/>
      <c r="P154" s="218">
        <f>O154*H154</f>
        <v>0</v>
      </c>
      <c r="Q154" s="218">
        <v>0.34999999999999998</v>
      </c>
      <c r="R154" s="218">
        <f>Q154*H154</f>
        <v>3.5</v>
      </c>
      <c r="S154" s="218">
        <v>0</v>
      </c>
      <c r="T154" s="219">
        <f>S154*H154</f>
        <v>0</v>
      </c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0" t="s">
        <v>207</v>
      </c>
      <c r="AT154" s="220" t="s">
        <v>202</v>
      </c>
      <c r="AU154" s="220" t="s">
        <v>86</v>
      </c>
      <c r="AY154" s="18" t="s">
        <v>200</v>
      </c>
      <c r="BE154" s="221">
        <f>IF(N154="základní",J154,0)</f>
        <v>0</v>
      </c>
      <c r="BF154" s="221">
        <f>IF(N154="snížená",J154,0)</f>
        <v>0</v>
      </c>
      <c r="BG154" s="221">
        <f>IF(N154="zákl. přenesená",J154,0)</f>
        <v>0</v>
      </c>
      <c r="BH154" s="221">
        <f>IF(N154="sníž. přenesená",J154,0)</f>
        <v>0</v>
      </c>
      <c r="BI154" s="221">
        <f>IF(N154="nulová",J154,0)</f>
        <v>0</v>
      </c>
      <c r="BJ154" s="18" t="s">
        <v>86</v>
      </c>
      <c r="BK154" s="221">
        <f>ROUND(I154*H154,1)</f>
        <v>0</v>
      </c>
      <c r="BL154" s="18" t="s">
        <v>207</v>
      </c>
      <c r="BM154" s="220" t="s">
        <v>946</v>
      </c>
    </row>
    <row r="155" s="2" customFormat="1" ht="16.5" customHeight="1">
      <c r="A155" s="40"/>
      <c r="B155" s="41"/>
      <c r="C155" s="209" t="s">
        <v>593</v>
      </c>
      <c r="D155" s="209" t="s">
        <v>202</v>
      </c>
      <c r="E155" s="210" t="s">
        <v>2751</v>
      </c>
      <c r="F155" s="211" t="s">
        <v>2752</v>
      </c>
      <c r="G155" s="212" t="s">
        <v>1436</v>
      </c>
      <c r="H155" s="213">
        <v>1</v>
      </c>
      <c r="I155" s="214"/>
      <c r="J155" s="215">
        <f>ROUND(I155*H155,1)</f>
        <v>0</v>
      </c>
      <c r="K155" s="211" t="s">
        <v>32</v>
      </c>
      <c r="L155" s="46"/>
      <c r="M155" s="216" t="s">
        <v>32</v>
      </c>
      <c r="N155" s="217" t="s">
        <v>49</v>
      </c>
      <c r="O155" s="86"/>
      <c r="P155" s="218">
        <f>O155*H155</f>
        <v>0</v>
      </c>
      <c r="Q155" s="218">
        <v>12.1</v>
      </c>
      <c r="R155" s="218">
        <f>Q155*H155</f>
        <v>12.1</v>
      </c>
      <c r="S155" s="218">
        <v>0</v>
      </c>
      <c r="T155" s="219">
        <f>S155*H155</f>
        <v>0</v>
      </c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R155" s="220" t="s">
        <v>207</v>
      </c>
      <c r="AT155" s="220" t="s">
        <v>202</v>
      </c>
      <c r="AU155" s="220" t="s">
        <v>86</v>
      </c>
      <c r="AY155" s="18" t="s">
        <v>200</v>
      </c>
      <c r="BE155" s="221">
        <f>IF(N155="základní",J155,0)</f>
        <v>0</v>
      </c>
      <c r="BF155" s="221">
        <f>IF(N155="snížená",J155,0)</f>
        <v>0</v>
      </c>
      <c r="BG155" s="221">
        <f>IF(N155="zákl. přenesená",J155,0)</f>
        <v>0</v>
      </c>
      <c r="BH155" s="221">
        <f>IF(N155="sníž. přenesená",J155,0)</f>
        <v>0</v>
      </c>
      <c r="BI155" s="221">
        <f>IF(N155="nulová",J155,0)</f>
        <v>0</v>
      </c>
      <c r="BJ155" s="18" t="s">
        <v>86</v>
      </c>
      <c r="BK155" s="221">
        <f>ROUND(I155*H155,1)</f>
        <v>0</v>
      </c>
      <c r="BL155" s="18" t="s">
        <v>207</v>
      </c>
      <c r="BM155" s="220" t="s">
        <v>961</v>
      </c>
    </row>
    <row r="156" s="2" customFormat="1" ht="16.5" customHeight="1">
      <c r="A156" s="40"/>
      <c r="B156" s="41"/>
      <c r="C156" s="209" t="s">
        <v>599</v>
      </c>
      <c r="D156" s="209" t="s">
        <v>202</v>
      </c>
      <c r="E156" s="210" t="s">
        <v>2753</v>
      </c>
      <c r="F156" s="211" t="s">
        <v>2754</v>
      </c>
      <c r="G156" s="212" t="s">
        <v>2670</v>
      </c>
      <c r="H156" s="213">
        <v>68</v>
      </c>
      <c r="I156" s="214"/>
      <c r="J156" s="215">
        <f>ROUND(I156*H156,1)</f>
        <v>0</v>
      </c>
      <c r="K156" s="211" t="s">
        <v>32</v>
      </c>
      <c r="L156" s="46"/>
      <c r="M156" s="216" t="s">
        <v>32</v>
      </c>
      <c r="N156" s="217" t="s">
        <v>49</v>
      </c>
      <c r="O156" s="86"/>
      <c r="P156" s="218">
        <f>O156*H156</f>
        <v>0</v>
      </c>
      <c r="Q156" s="218">
        <v>2.2000000000000002</v>
      </c>
      <c r="R156" s="218">
        <f>Q156*H156</f>
        <v>149.60000000000002</v>
      </c>
      <c r="S156" s="218">
        <v>0</v>
      </c>
      <c r="T156" s="219">
        <f>S156*H156</f>
        <v>0</v>
      </c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R156" s="220" t="s">
        <v>207</v>
      </c>
      <c r="AT156" s="220" t="s">
        <v>202</v>
      </c>
      <c r="AU156" s="220" t="s">
        <v>86</v>
      </c>
      <c r="AY156" s="18" t="s">
        <v>200</v>
      </c>
      <c r="BE156" s="221">
        <f>IF(N156="základní",J156,0)</f>
        <v>0</v>
      </c>
      <c r="BF156" s="221">
        <f>IF(N156="snížená",J156,0)</f>
        <v>0</v>
      </c>
      <c r="BG156" s="221">
        <f>IF(N156="zákl. přenesená",J156,0)</f>
        <v>0</v>
      </c>
      <c r="BH156" s="221">
        <f>IF(N156="sníž. přenesená",J156,0)</f>
        <v>0</v>
      </c>
      <c r="BI156" s="221">
        <f>IF(N156="nulová",J156,0)</f>
        <v>0</v>
      </c>
      <c r="BJ156" s="18" t="s">
        <v>86</v>
      </c>
      <c r="BK156" s="221">
        <f>ROUND(I156*H156,1)</f>
        <v>0</v>
      </c>
      <c r="BL156" s="18" t="s">
        <v>207</v>
      </c>
      <c r="BM156" s="220" t="s">
        <v>977</v>
      </c>
    </row>
    <row r="157" s="2" customFormat="1" ht="16.5" customHeight="1">
      <c r="A157" s="40"/>
      <c r="B157" s="41"/>
      <c r="C157" s="209" t="s">
        <v>604</v>
      </c>
      <c r="D157" s="209" t="s">
        <v>202</v>
      </c>
      <c r="E157" s="210" t="s">
        <v>2755</v>
      </c>
      <c r="F157" s="211" t="s">
        <v>2682</v>
      </c>
      <c r="G157" s="212" t="s">
        <v>2670</v>
      </c>
      <c r="H157" s="213">
        <v>16</v>
      </c>
      <c r="I157" s="214"/>
      <c r="J157" s="215">
        <f>ROUND(I157*H157,1)</f>
        <v>0</v>
      </c>
      <c r="K157" s="211" t="s">
        <v>32</v>
      </c>
      <c r="L157" s="46"/>
      <c r="M157" s="216" t="s">
        <v>32</v>
      </c>
      <c r="N157" s="217" t="s">
        <v>49</v>
      </c>
      <c r="O157" s="86"/>
      <c r="P157" s="218">
        <f>O157*H157</f>
        <v>0</v>
      </c>
      <c r="Q157" s="218">
        <v>14</v>
      </c>
      <c r="R157" s="218">
        <f>Q157*H157</f>
        <v>224</v>
      </c>
      <c r="S157" s="218">
        <v>0</v>
      </c>
      <c r="T157" s="219">
        <f>S157*H157</f>
        <v>0</v>
      </c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R157" s="220" t="s">
        <v>207</v>
      </c>
      <c r="AT157" s="220" t="s">
        <v>202</v>
      </c>
      <c r="AU157" s="220" t="s">
        <v>86</v>
      </c>
      <c r="AY157" s="18" t="s">
        <v>200</v>
      </c>
      <c r="BE157" s="221">
        <f>IF(N157="základní",J157,0)</f>
        <v>0</v>
      </c>
      <c r="BF157" s="221">
        <f>IF(N157="snížená",J157,0)</f>
        <v>0</v>
      </c>
      <c r="BG157" s="221">
        <f>IF(N157="zákl. přenesená",J157,0)</f>
        <v>0</v>
      </c>
      <c r="BH157" s="221">
        <f>IF(N157="sníž. přenesená",J157,0)</f>
        <v>0</v>
      </c>
      <c r="BI157" s="221">
        <f>IF(N157="nulová",J157,0)</f>
        <v>0</v>
      </c>
      <c r="BJ157" s="18" t="s">
        <v>86</v>
      </c>
      <c r="BK157" s="221">
        <f>ROUND(I157*H157,1)</f>
        <v>0</v>
      </c>
      <c r="BL157" s="18" t="s">
        <v>207</v>
      </c>
      <c r="BM157" s="220" t="s">
        <v>988</v>
      </c>
    </row>
    <row r="158" s="2" customFormat="1" ht="16.5" customHeight="1">
      <c r="A158" s="40"/>
      <c r="B158" s="41"/>
      <c r="C158" s="209" t="s">
        <v>609</v>
      </c>
      <c r="D158" s="209" t="s">
        <v>202</v>
      </c>
      <c r="E158" s="210" t="s">
        <v>2756</v>
      </c>
      <c r="F158" s="211" t="s">
        <v>2757</v>
      </c>
      <c r="G158" s="212" t="s">
        <v>2670</v>
      </c>
      <c r="H158" s="213">
        <v>2</v>
      </c>
      <c r="I158" s="214"/>
      <c r="J158" s="215">
        <f>ROUND(I158*H158,1)</f>
        <v>0</v>
      </c>
      <c r="K158" s="211" t="s">
        <v>32</v>
      </c>
      <c r="L158" s="46"/>
      <c r="M158" s="216" t="s">
        <v>32</v>
      </c>
      <c r="N158" s="217" t="s">
        <v>49</v>
      </c>
      <c r="O158" s="86"/>
      <c r="P158" s="218">
        <f>O158*H158</f>
        <v>0</v>
      </c>
      <c r="Q158" s="218">
        <v>17</v>
      </c>
      <c r="R158" s="218">
        <f>Q158*H158</f>
        <v>34</v>
      </c>
      <c r="S158" s="218">
        <v>0</v>
      </c>
      <c r="T158" s="219">
        <f>S158*H158</f>
        <v>0</v>
      </c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R158" s="220" t="s">
        <v>207</v>
      </c>
      <c r="AT158" s="220" t="s">
        <v>202</v>
      </c>
      <c r="AU158" s="220" t="s">
        <v>86</v>
      </c>
      <c r="AY158" s="18" t="s">
        <v>200</v>
      </c>
      <c r="BE158" s="221">
        <f>IF(N158="základní",J158,0)</f>
        <v>0</v>
      </c>
      <c r="BF158" s="221">
        <f>IF(N158="snížená",J158,0)</f>
        <v>0</v>
      </c>
      <c r="BG158" s="221">
        <f>IF(N158="zákl. přenesená",J158,0)</f>
        <v>0</v>
      </c>
      <c r="BH158" s="221">
        <f>IF(N158="sníž. přenesená",J158,0)</f>
        <v>0</v>
      </c>
      <c r="BI158" s="221">
        <f>IF(N158="nulová",J158,0)</f>
        <v>0</v>
      </c>
      <c r="BJ158" s="18" t="s">
        <v>86</v>
      </c>
      <c r="BK158" s="221">
        <f>ROUND(I158*H158,1)</f>
        <v>0</v>
      </c>
      <c r="BL158" s="18" t="s">
        <v>207</v>
      </c>
      <c r="BM158" s="220" t="s">
        <v>1001</v>
      </c>
    </row>
    <row r="159" s="12" customFormat="1" ht="25.92" customHeight="1">
      <c r="A159" s="12"/>
      <c r="B159" s="193"/>
      <c r="C159" s="194"/>
      <c r="D159" s="195" t="s">
        <v>77</v>
      </c>
      <c r="E159" s="196" t="s">
        <v>207</v>
      </c>
      <c r="F159" s="196" t="s">
        <v>2758</v>
      </c>
      <c r="G159" s="194"/>
      <c r="H159" s="194"/>
      <c r="I159" s="197"/>
      <c r="J159" s="198">
        <f>BK159</f>
        <v>0</v>
      </c>
      <c r="K159" s="194"/>
      <c r="L159" s="199"/>
      <c r="M159" s="200"/>
      <c r="N159" s="201"/>
      <c r="O159" s="201"/>
      <c r="P159" s="202">
        <f>SUM(P160:P168)</f>
        <v>0</v>
      </c>
      <c r="Q159" s="201"/>
      <c r="R159" s="202">
        <f>SUM(R160:R168)</f>
        <v>32.800000000000004</v>
      </c>
      <c r="S159" s="201"/>
      <c r="T159" s="203">
        <f>SUM(T160:T168)</f>
        <v>0</v>
      </c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R159" s="204" t="s">
        <v>86</v>
      </c>
      <c r="AT159" s="205" t="s">
        <v>77</v>
      </c>
      <c r="AU159" s="205" t="s">
        <v>78</v>
      </c>
      <c r="AY159" s="204" t="s">
        <v>200</v>
      </c>
      <c r="BK159" s="206">
        <f>SUM(BK160:BK168)</f>
        <v>0</v>
      </c>
    </row>
    <row r="160" s="2" customFormat="1" ht="16.5" customHeight="1">
      <c r="A160" s="40"/>
      <c r="B160" s="41"/>
      <c r="C160" s="209" t="s">
        <v>632</v>
      </c>
      <c r="D160" s="209" t="s">
        <v>202</v>
      </c>
      <c r="E160" s="210" t="s">
        <v>2759</v>
      </c>
      <c r="F160" s="211" t="s">
        <v>2730</v>
      </c>
      <c r="G160" s="212" t="s">
        <v>1436</v>
      </c>
      <c r="H160" s="213">
        <v>1</v>
      </c>
      <c r="I160" s="214"/>
      <c r="J160" s="215">
        <f>ROUND(I160*H160,1)</f>
        <v>0</v>
      </c>
      <c r="K160" s="211" t="s">
        <v>32</v>
      </c>
      <c r="L160" s="46"/>
      <c r="M160" s="216" t="s">
        <v>32</v>
      </c>
      <c r="N160" s="217" t="s">
        <v>49</v>
      </c>
      <c r="O160" s="86"/>
      <c r="P160" s="218">
        <f>O160*H160</f>
        <v>0</v>
      </c>
      <c r="Q160" s="218">
        <v>2.7000000000000002</v>
      </c>
      <c r="R160" s="218">
        <f>Q160*H160</f>
        <v>2.7000000000000002</v>
      </c>
      <c r="S160" s="218">
        <v>0</v>
      </c>
      <c r="T160" s="219">
        <f>S160*H160</f>
        <v>0</v>
      </c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R160" s="220" t="s">
        <v>207</v>
      </c>
      <c r="AT160" s="220" t="s">
        <v>202</v>
      </c>
      <c r="AU160" s="220" t="s">
        <v>86</v>
      </c>
      <c r="AY160" s="18" t="s">
        <v>200</v>
      </c>
      <c r="BE160" s="221">
        <f>IF(N160="základní",J160,0)</f>
        <v>0</v>
      </c>
      <c r="BF160" s="221">
        <f>IF(N160="snížená",J160,0)</f>
        <v>0</v>
      </c>
      <c r="BG160" s="221">
        <f>IF(N160="zákl. přenesená",J160,0)</f>
        <v>0</v>
      </c>
      <c r="BH160" s="221">
        <f>IF(N160="sníž. přenesená",J160,0)</f>
        <v>0</v>
      </c>
      <c r="BI160" s="221">
        <f>IF(N160="nulová",J160,0)</f>
        <v>0</v>
      </c>
      <c r="BJ160" s="18" t="s">
        <v>86</v>
      </c>
      <c r="BK160" s="221">
        <f>ROUND(I160*H160,1)</f>
        <v>0</v>
      </c>
      <c r="BL160" s="18" t="s">
        <v>207</v>
      </c>
      <c r="BM160" s="220" t="s">
        <v>1013</v>
      </c>
    </row>
    <row r="161" s="2" customFormat="1">
      <c r="A161" s="40"/>
      <c r="B161" s="41"/>
      <c r="C161" s="42"/>
      <c r="D161" s="229" t="s">
        <v>355</v>
      </c>
      <c r="E161" s="42"/>
      <c r="F161" s="281" t="s">
        <v>2731</v>
      </c>
      <c r="G161" s="42"/>
      <c r="H161" s="42"/>
      <c r="I161" s="224"/>
      <c r="J161" s="42"/>
      <c r="K161" s="42"/>
      <c r="L161" s="46"/>
      <c r="M161" s="225"/>
      <c r="N161" s="226"/>
      <c r="O161" s="86"/>
      <c r="P161" s="86"/>
      <c r="Q161" s="86"/>
      <c r="R161" s="86"/>
      <c r="S161" s="86"/>
      <c r="T161" s="87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T161" s="18" t="s">
        <v>355</v>
      </c>
      <c r="AU161" s="18" t="s">
        <v>86</v>
      </c>
    </row>
    <row r="162" s="2" customFormat="1" ht="16.5" customHeight="1">
      <c r="A162" s="40"/>
      <c r="B162" s="41"/>
      <c r="C162" s="209" t="s">
        <v>638</v>
      </c>
      <c r="D162" s="209" t="s">
        <v>202</v>
      </c>
      <c r="E162" s="210" t="s">
        <v>2760</v>
      </c>
      <c r="F162" s="211" t="s">
        <v>2733</v>
      </c>
      <c r="G162" s="212" t="s">
        <v>1436</v>
      </c>
      <c r="H162" s="213">
        <v>2</v>
      </c>
      <c r="I162" s="214"/>
      <c r="J162" s="215">
        <f>ROUND(I162*H162,1)</f>
        <v>0</v>
      </c>
      <c r="K162" s="211" t="s">
        <v>32</v>
      </c>
      <c r="L162" s="46"/>
      <c r="M162" s="216" t="s">
        <v>32</v>
      </c>
      <c r="N162" s="217" t="s">
        <v>49</v>
      </c>
      <c r="O162" s="86"/>
      <c r="P162" s="218">
        <f>O162*H162</f>
        <v>0</v>
      </c>
      <c r="Q162" s="218">
        <v>0.10000000000000001</v>
      </c>
      <c r="R162" s="218">
        <f>Q162*H162</f>
        <v>0.20000000000000001</v>
      </c>
      <c r="S162" s="218">
        <v>0</v>
      </c>
      <c r="T162" s="219">
        <f>S162*H162</f>
        <v>0</v>
      </c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R162" s="220" t="s">
        <v>207</v>
      </c>
      <c r="AT162" s="220" t="s">
        <v>202</v>
      </c>
      <c r="AU162" s="220" t="s">
        <v>86</v>
      </c>
      <c r="AY162" s="18" t="s">
        <v>200</v>
      </c>
      <c r="BE162" s="221">
        <f>IF(N162="základní",J162,0)</f>
        <v>0</v>
      </c>
      <c r="BF162" s="221">
        <f>IF(N162="snížená",J162,0)</f>
        <v>0</v>
      </c>
      <c r="BG162" s="221">
        <f>IF(N162="zákl. přenesená",J162,0)</f>
        <v>0</v>
      </c>
      <c r="BH162" s="221">
        <f>IF(N162="sníž. přenesená",J162,0)</f>
        <v>0</v>
      </c>
      <c r="BI162" s="221">
        <f>IF(N162="nulová",J162,0)</f>
        <v>0</v>
      </c>
      <c r="BJ162" s="18" t="s">
        <v>86</v>
      </c>
      <c r="BK162" s="221">
        <f>ROUND(I162*H162,1)</f>
        <v>0</v>
      </c>
      <c r="BL162" s="18" t="s">
        <v>207</v>
      </c>
      <c r="BM162" s="220" t="s">
        <v>1025</v>
      </c>
    </row>
    <row r="163" s="2" customFormat="1" ht="16.5" customHeight="1">
      <c r="A163" s="40"/>
      <c r="B163" s="41"/>
      <c r="C163" s="209" t="s">
        <v>644</v>
      </c>
      <c r="D163" s="209" t="s">
        <v>202</v>
      </c>
      <c r="E163" s="210" t="s">
        <v>2761</v>
      </c>
      <c r="F163" s="211" t="s">
        <v>2735</v>
      </c>
      <c r="G163" s="212" t="s">
        <v>1436</v>
      </c>
      <c r="H163" s="213">
        <v>1</v>
      </c>
      <c r="I163" s="214"/>
      <c r="J163" s="215">
        <f>ROUND(I163*H163,1)</f>
        <v>0</v>
      </c>
      <c r="K163" s="211" t="s">
        <v>32</v>
      </c>
      <c r="L163" s="46"/>
      <c r="M163" s="216" t="s">
        <v>32</v>
      </c>
      <c r="N163" s="217" t="s">
        <v>49</v>
      </c>
      <c r="O163" s="86"/>
      <c r="P163" s="218">
        <f>O163*H163</f>
        <v>0</v>
      </c>
      <c r="Q163" s="218">
        <v>0.10000000000000001</v>
      </c>
      <c r="R163" s="218">
        <f>Q163*H163</f>
        <v>0.10000000000000001</v>
      </c>
      <c r="S163" s="218">
        <v>0</v>
      </c>
      <c r="T163" s="219">
        <f>S163*H163</f>
        <v>0</v>
      </c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0" t="s">
        <v>207</v>
      </c>
      <c r="AT163" s="220" t="s">
        <v>202</v>
      </c>
      <c r="AU163" s="220" t="s">
        <v>86</v>
      </c>
      <c r="AY163" s="18" t="s">
        <v>200</v>
      </c>
      <c r="BE163" s="221">
        <f>IF(N163="základní",J163,0)</f>
        <v>0</v>
      </c>
      <c r="BF163" s="221">
        <f>IF(N163="snížená",J163,0)</f>
        <v>0</v>
      </c>
      <c r="BG163" s="221">
        <f>IF(N163="zákl. přenesená",J163,0)</f>
        <v>0</v>
      </c>
      <c r="BH163" s="221">
        <f>IF(N163="sníž. přenesená",J163,0)</f>
        <v>0</v>
      </c>
      <c r="BI163" s="221">
        <f>IF(N163="nulová",J163,0)</f>
        <v>0</v>
      </c>
      <c r="BJ163" s="18" t="s">
        <v>86</v>
      </c>
      <c r="BK163" s="221">
        <f>ROUND(I163*H163,1)</f>
        <v>0</v>
      </c>
      <c r="BL163" s="18" t="s">
        <v>207</v>
      </c>
      <c r="BM163" s="220" t="s">
        <v>1036</v>
      </c>
    </row>
    <row r="164" s="2" customFormat="1" ht="16.5" customHeight="1">
      <c r="A164" s="40"/>
      <c r="B164" s="41"/>
      <c r="C164" s="209" t="s">
        <v>651</v>
      </c>
      <c r="D164" s="209" t="s">
        <v>202</v>
      </c>
      <c r="E164" s="210" t="s">
        <v>2762</v>
      </c>
      <c r="F164" s="211" t="s">
        <v>2737</v>
      </c>
      <c r="G164" s="212" t="s">
        <v>1436</v>
      </c>
      <c r="H164" s="213">
        <v>1</v>
      </c>
      <c r="I164" s="214"/>
      <c r="J164" s="215">
        <f>ROUND(I164*H164,1)</f>
        <v>0</v>
      </c>
      <c r="K164" s="211" t="s">
        <v>32</v>
      </c>
      <c r="L164" s="46"/>
      <c r="M164" s="216" t="s">
        <v>32</v>
      </c>
      <c r="N164" s="217" t="s">
        <v>49</v>
      </c>
      <c r="O164" s="86"/>
      <c r="P164" s="218">
        <f>O164*H164</f>
        <v>0</v>
      </c>
      <c r="Q164" s="218">
        <v>6.2999999999999998</v>
      </c>
      <c r="R164" s="218">
        <f>Q164*H164</f>
        <v>6.2999999999999998</v>
      </c>
      <c r="S164" s="218">
        <v>0</v>
      </c>
      <c r="T164" s="219">
        <f>S164*H164</f>
        <v>0</v>
      </c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R164" s="220" t="s">
        <v>207</v>
      </c>
      <c r="AT164" s="220" t="s">
        <v>202</v>
      </c>
      <c r="AU164" s="220" t="s">
        <v>86</v>
      </c>
      <c r="AY164" s="18" t="s">
        <v>200</v>
      </c>
      <c r="BE164" s="221">
        <f>IF(N164="základní",J164,0)</f>
        <v>0</v>
      </c>
      <c r="BF164" s="221">
        <f>IF(N164="snížená",J164,0)</f>
        <v>0</v>
      </c>
      <c r="BG164" s="221">
        <f>IF(N164="zákl. přenesená",J164,0)</f>
        <v>0</v>
      </c>
      <c r="BH164" s="221">
        <f>IF(N164="sníž. přenesená",J164,0)</f>
        <v>0</v>
      </c>
      <c r="BI164" s="221">
        <f>IF(N164="nulová",J164,0)</f>
        <v>0</v>
      </c>
      <c r="BJ164" s="18" t="s">
        <v>86</v>
      </c>
      <c r="BK164" s="221">
        <f>ROUND(I164*H164,1)</f>
        <v>0</v>
      </c>
      <c r="BL164" s="18" t="s">
        <v>207</v>
      </c>
      <c r="BM164" s="220" t="s">
        <v>1045</v>
      </c>
    </row>
    <row r="165" s="2" customFormat="1" ht="16.5" customHeight="1">
      <c r="A165" s="40"/>
      <c r="B165" s="41"/>
      <c r="C165" s="209" t="s">
        <v>660</v>
      </c>
      <c r="D165" s="209" t="s">
        <v>202</v>
      </c>
      <c r="E165" s="210" t="s">
        <v>2763</v>
      </c>
      <c r="F165" s="211" t="s">
        <v>2739</v>
      </c>
      <c r="G165" s="212" t="s">
        <v>1436</v>
      </c>
      <c r="H165" s="213">
        <v>1</v>
      </c>
      <c r="I165" s="214"/>
      <c r="J165" s="215">
        <f>ROUND(I165*H165,1)</f>
        <v>0</v>
      </c>
      <c r="K165" s="211" t="s">
        <v>32</v>
      </c>
      <c r="L165" s="46"/>
      <c r="M165" s="216" t="s">
        <v>32</v>
      </c>
      <c r="N165" s="217" t="s">
        <v>49</v>
      </c>
      <c r="O165" s="86"/>
      <c r="P165" s="218">
        <f>O165*H165</f>
        <v>0</v>
      </c>
      <c r="Q165" s="218">
        <v>1.5</v>
      </c>
      <c r="R165" s="218">
        <f>Q165*H165</f>
        <v>1.5</v>
      </c>
      <c r="S165" s="218">
        <v>0</v>
      </c>
      <c r="T165" s="219">
        <f>S165*H165</f>
        <v>0</v>
      </c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R165" s="220" t="s">
        <v>207</v>
      </c>
      <c r="AT165" s="220" t="s">
        <v>202</v>
      </c>
      <c r="AU165" s="220" t="s">
        <v>86</v>
      </c>
      <c r="AY165" s="18" t="s">
        <v>200</v>
      </c>
      <c r="BE165" s="221">
        <f>IF(N165="základní",J165,0)</f>
        <v>0</v>
      </c>
      <c r="BF165" s="221">
        <f>IF(N165="snížená",J165,0)</f>
        <v>0</v>
      </c>
      <c r="BG165" s="221">
        <f>IF(N165="zákl. přenesená",J165,0)</f>
        <v>0</v>
      </c>
      <c r="BH165" s="221">
        <f>IF(N165="sníž. přenesená",J165,0)</f>
        <v>0</v>
      </c>
      <c r="BI165" s="221">
        <f>IF(N165="nulová",J165,0)</f>
        <v>0</v>
      </c>
      <c r="BJ165" s="18" t="s">
        <v>86</v>
      </c>
      <c r="BK165" s="221">
        <f>ROUND(I165*H165,1)</f>
        <v>0</v>
      </c>
      <c r="BL165" s="18" t="s">
        <v>207</v>
      </c>
      <c r="BM165" s="220" t="s">
        <v>1054</v>
      </c>
    </row>
    <row r="166" s="2" customFormat="1" ht="16.5" customHeight="1">
      <c r="A166" s="40"/>
      <c r="B166" s="41"/>
      <c r="C166" s="209" t="s">
        <v>665</v>
      </c>
      <c r="D166" s="209" t="s">
        <v>202</v>
      </c>
      <c r="E166" s="210" t="s">
        <v>2764</v>
      </c>
      <c r="F166" s="211" t="s">
        <v>2741</v>
      </c>
      <c r="G166" s="212" t="s">
        <v>1436</v>
      </c>
      <c r="H166" s="213">
        <v>1</v>
      </c>
      <c r="I166" s="214"/>
      <c r="J166" s="215">
        <f>ROUND(I166*H166,1)</f>
        <v>0</v>
      </c>
      <c r="K166" s="211" t="s">
        <v>32</v>
      </c>
      <c r="L166" s="46"/>
      <c r="M166" s="216" t="s">
        <v>32</v>
      </c>
      <c r="N166" s="217" t="s">
        <v>49</v>
      </c>
      <c r="O166" s="86"/>
      <c r="P166" s="218">
        <f>O166*H166</f>
        <v>0</v>
      </c>
      <c r="Q166" s="218">
        <v>3.6000000000000001</v>
      </c>
      <c r="R166" s="218">
        <f>Q166*H166</f>
        <v>3.6000000000000001</v>
      </c>
      <c r="S166" s="218">
        <v>0</v>
      </c>
      <c r="T166" s="219">
        <f>S166*H166</f>
        <v>0</v>
      </c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R166" s="220" t="s">
        <v>207</v>
      </c>
      <c r="AT166" s="220" t="s">
        <v>202</v>
      </c>
      <c r="AU166" s="220" t="s">
        <v>86</v>
      </c>
      <c r="AY166" s="18" t="s">
        <v>200</v>
      </c>
      <c r="BE166" s="221">
        <f>IF(N166="základní",J166,0)</f>
        <v>0</v>
      </c>
      <c r="BF166" s="221">
        <f>IF(N166="snížená",J166,0)</f>
        <v>0</v>
      </c>
      <c r="BG166" s="221">
        <f>IF(N166="zákl. přenesená",J166,0)</f>
        <v>0</v>
      </c>
      <c r="BH166" s="221">
        <f>IF(N166="sníž. přenesená",J166,0)</f>
        <v>0</v>
      </c>
      <c r="BI166" s="221">
        <f>IF(N166="nulová",J166,0)</f>
        <v>0</v>
      </c>
      <c r="BJ166" s="18" t="s">
        <v>86</v>
      </c>
      <c r="BK166" s="221">
        <f>ROUND(I166*H166,1)</f>
        <v>0</v>
      </c>
      <c r="BL166" s="18" t="s">
        <v>207</v>
      </c>
      <c r="BM166" s="220" t="s">
        <v>1064</v>
      </c>
    </row>
    <row r="167" s="2" customFormat="1" ht="16.5" customHeight="1">
      <c r="A167" s="40"/>
      <c r="B167" s="41"/>
      <c r="C167" s="209" t="s">
        <v>671</v>
      </c>
      <c r="D167" s="209" t="s">
        <v>202</v>
      </c>
      <c r="E167" s="210" t="s">
        <v>2765</v>
      </c>
      <c r="F167" s="211" t="s">
        <v>2745</v>
      </c>
      <c r="G167" s="212" t="s">
        <v>1436</v>
      </c>
      <c r="H167" s="213">
        <v>2</v>
      </c>
      <c r="I167" s="214"/>
      <c r="J167" s="215">
        <f>ROUND(I167*H167,1)</f>
        <v>0</v>
      </c>
      <c r="K167" s="211" t="s">
        <v>32</v>
      </c>
      <c r="L167" s="46"/>
      <c r="M167" s="216" t="s">
        <v>32</v>
      </c>
      <c r="N167" s="217" t="s">
        <v>49</v>
      </c>
      <c r="O167" s="86"/>
      <c r="P167" s="218">
        <f>O167*H167</f>
        <v>0</v>
      </c>
      <c r="Q167" s="218">
        <v>0.40000000000000002</v>
      </c>
      <c r="R167" s="218">
        <f>Q167*H167</f>
        <v>0.80000000000000004</v>
      </c>
      <c r="S167" s="218">
        <v>0</v>
      </c>
      <c r="T167" s="219">
        <f>S167*H167</f>
        <v>0</v>
      </c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R167" s="220" t="s">
        <v>207</v>
      </c>
      <c r="AT167" s="220" t="s">
        <v>202</v>
      </c>
      <c r="AU167" s="220" t="s">
        <v>86</v>
      </c>
      <c r="AY167" s="18" t="s">
        <v>200</v>
      </c>
      <c r="BE167" s="221">
        <f>IF(N167="základní",J167,0)</f>
        <v>0</v>
      </c>
      <c r="BF167" s="221">
        <f>IF(N167="snížená",J167,0)</f>
        <v>0</v>
      </c>
      <c r="BG167" s="221">
        <f>IF(N167="zákl. přenesená",J167,0)</f>
        <v>0</v>
      </c>
      <c r="BH167" s="221">
        <f>IF(N167="sníž. přenesená",J167,0)</f>
        <v>0</v>
      </c>
      <c r="BI167" s="221">
        <f>IF(N167="nulová",J167,0)</f>
        <v>0</v>
      </c>
      <c r="BJ167" s="18" t="s">
        <v>86</v>
      </c>
      <c r="BK167" s="221">
        <f>ROUND(I167*H167,1)</f>
        <v>0</v>
      </c>
      <c r="BL167" s="18" t="s">
        <v>207</v>
      </c>
      <c r="BM167" s="220" t="s">
        <v>1074</v>
      </c>
    </row>
    <row r="168" s="2" customFormat="1" ht="16.5" customHeight="1">
      <c r="A168" s="40"/>
      <c r="B168" s="41"/>
      <c r="C168" s="209" t="s">
        <v>676</v>
      </c>
      <c r="D168" s="209" t="s">
        <v>202</v>
      </c>
      <c r="E168" s="210" t="s">
        <v>2766</v>
      </c>
      <c r="F168" s="211" t="s">
        <v>2754</v>
      </c>
      <c r="G168" s="212" t="s">
        <v>2670</v>
      </c>
      <c r="H168" s="213">
        <v>8</v>
      </c>
      <c r="I168" s="214"/>
      <c r="J168" s="215">
        <f>ROUND(I168*H168,1)</f>
        <v>0</v>
      </c>
      <c r="K168" s="211" t="s">
        <v>32</v>
      </c>
      <c r="L168" s="46"/>
      <c r="M168" s="216" t="s">
        <v>32</v>
      </c>
      <c r="N168" s="217" t="s">
        <v>49</v>
      </c>
      <c r="O168" s="86"/>
      <c r="P168" s="218">
        <f>O168*H168</f>
        <v>0</v>
      </c>
      <c r="Q168" s="218">
        <v>2.2000000000000002</v>
      </c>
      <c r="R168" s="218">
        <f>Q168*H168</f>
        <v>17.600000000000001</v>
      </c>
      <c r="S168" s="218">
        <v>0</v>
      </c>
      <c r="T168" s="219">
        <f>S168*H168</f>
        <v>0</v>
      </c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R168" s="220" t="s">
        <v>207</v>
      </c>
      <c r="AT168" s="220" t="s">
        <v>202</v>
      </c>
      <c r="AU168" s="220" t="s">
        <v>86</v>
      </c>
      <c r="AY168" s="18" t="s">
        <v>200</v>
      </c>
      <c r="BE168" s="221">
        <f>IF(N168="základní",J168,0)</f>
        <v>0</v>
      </c>
      <c r="BF168" s="221">
        <f>IF(N168="snížená",J168,0)</f>
        <v>0</v>
      </c>
      <c r="BG168" s="221">
        <f>IF(N168="zákl. přenesená",J168,0)</f>
        <v>0</v>
      </c>
      <c r="BH168" s="221">
        <f>IF(N168="sníž. přenesená",J168,0)</f>
        <v>0</v>
      </c>
      <c r="BI168" s="221">
        <f>IF(N168="nulová",J168,0)</f>
        <v>0</v>
      </c>
      <c r="BJ168" s="18" t="s">
        <v>86</v>
      </c>
      <c r="BK168" s="221">
        <f>ROUND(I168*H168,1)</f>
        <v>0</v>
      </c>
      <c r="BL168" s="18" t="s">
        <v>207</v>
      </c>
      <c r="BM168" s="220" t="s">
        <v>1084</v>
      </c>
    </row>
    <row r="169" s="12" customFormat="1" ht="25.92" customHeight="1">
      <c r="A169" s="12"/>
      <c r="B169" s="193"/>
      <c r="C169" s="194"/>
      <c r="D169" s="195" t="s">
        <v>77</v>
      </c>
      <c r="E169" s="196" t="s">
        <v>234</v>
      </c>
      <c r="F169" s="196" t="s">
        <v>2767</v>
      </c>
      <c r="G169" s="194"/>
      <c r="H169" s="194"/>
      <c r="I169" s="197"/>
      <c r="J169" s="198">
        <f>BK169</f>
        <v>0</v>
      </c>
      <c r="K169" s="194"/>
      <c r="L169" s="199"/>
      <c r="M169" s="200"/>
      <c r="N169" s="201"/>
      <c r="O169" s="201"/>
      <c r="P169" s="202">
        <f>SUM(P170:P178)</f>
        <v>0</v>
      </c>
      <c r="Q169" s="201"/>
      <c r="R169" s="202">
        <f>SUM(R170:R178)</f>
        <v>44</v>
      </c>
      <c r="S169" s="201"/>
      <c r="T169" s="203">
        <f>SUM(T170:T178)</f>
        <v>0</v>
      </c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R169" s="204" t="s">
        <v>86</v>
      </c>
      <c r="AT169" s="205" t="s">
        <v>77</v>
      </c>
      <c r="AU169" s="205" t="s">
        <v>78</v>
      </c>
      <c r="AY169" s="204" t="s">
        <v>200</v>
      </c>
      <c r="BK169" s="206">
        <f>SUM(BK170:BK178)</f>
        <v>0</v>
      </c>
    </row>
    <row r="170" s="2" customFormat="1" ht="16.5" customHeight="1">
      <c r="A170" s="40"/>
      <c r="B170" s="41"/>
      <c r="C170" s="209" t="s">
        <v>688</v>
      </c>
      <c r="D170" s="209" t="s">
        <v>202</v>
      </c>
      <c r="E170" s="210" t="s">
        <v>2768</v>
      </c>
      <c r="F170" s="211" t="s">
        <v>2730</v>
      </c>
      <c r="G170" s="212" t="s">
        <v>1436</v>
      </c>
      <c r="H170" s="213">
        <v>1</v>
      </c>
      <c r="I170" s="214"/>
      <c r="J170" s="215">
        <f>ROUND(I170*H170,1)</f>
        <v>0</v>
      </c>
      <c r="K170" s="211" t="s">
        <v>32</v>
      </c>
      <c r="L170" s="46"/>
      <c r="M170" s="216" t="s">
        <v>32</v>
      </c>
      <c r="N170" s="217" t="s">
        <v>49</v>
      </c>
      <c r="O170" s="86"/>
      <c r="P170" s="218">
        <f>O170*H170</f>
        <v>0</v>
      </c>
      <c r="Q170" s="218">
        <v>2.7000000000000002</v>
      </c>
      <c r="R170" s="218">
        <f>Q170*H170</f>
        <v>2.7000000000000002</v>
      </c>
      <c r="S170" s="218">
        <v>0</v>
      </c>
      <c r="T170" s="219">
        <f>S170*H170</f>
        <v>0</v>
      </c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R170" s="220" t="s">
        <v>207</v>
      </c>
      <c r="AT170" s="220" t="s">
        <v>202</v>
      </c>
      <c r="AU170" s="220" t="s">
        <v>86</v>
      </c>
      <c r="AY170" s="18" t="s">
        <v>200</v>
      </c>
      <c r="BE170" s="221">
        <f>IF(N170="základní",J170,0)</f>
        <v>0</v>
      </c>
      <c r="BF170" s="221">
        <f>IF(N170="snížená",J170,0)</f>
        <v>0</v>
      </c>
      <c r="BG170" s="221">
        <f>IF(N170="zákl. přenesená",J170,0)</f>
        <v>0</v>
      </c>
      <c r="BH170" s="221">
        <f>IF(N170="sníž. přenesená",J170,0)</f>
        <v>0</v>
      </c>
      <c r="BI170" s="221">
        <f>IF(N170="nulová",J170,0)</f>
        <v>0</v>
      </c>
      <c r="BJ170" s="18" t="s">
        <v>86</v>
      </c>
      <c r="BK170" s="221">
        <f>ROUND(I170*H170,1)</f>
        <v>0</v>
      </c>
      <c r="BL170" s="18" t="s">
        <v>207</v>
      </c>
      <c r="BM170" s="220" t="s">
        <v>1101</v>
      </c>
    </row>
    <row r="171" s="2" customFormat="1">
      <c r="A171" s="40"/>
      <c r="B171" s="41"/>
      <c r="C171" s="42"/>
      <c r="D171" s="229" t="s">
        <v>355</v>
      </c>
      <c r="E171" s="42"/>
      <c r="F171" s="281" t="s">
        <v>2731</v>
      </c>
      <c r="G171" s="42"/>
      <c r="H171" s="42"/>
      <c r="I171" s="224"/>
      <c r="J171" s="42"/>
      <c r="K171" s="42"/>
      <c r="L171" s="46"/>
      <c r="M171" s="225"/>
      <c r="N171" s="226"/>
      <c r="O171" s="86"/>
      <c r="P171" s="86"/>
      <c r="Q171" s="86"/>
      <c r="R171" s="86"/>
      <c r="S171" s="86"/>
      <c r="T171" s="87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T171" s="18" t="s">
        <v>355</v>
      </c>
      <c r="AU171" s="18" t="s">
        <v>86</v>
      </c>
    </row>
    <row r="172" s="2" customFormat="1" ht="16.5" customHeight="1">
      <c r="A172" s="40"/>
      <c r="B172" s="41"/>
      <c r="C172" s="209" t="s">
        <v>693</v>
      </c>
      <c r="D172" s="209" t="s">
        <v>202</v>
      </c>
      <c r="E172" s="210" t="s">
        <v>2769</v>
      </c>
      <c r="F172" s="211" t="s">
        <v>2733</v>
      </c>
      <c r="G172" s="212" t="s">
        <v>1436</v>
      </c>
      <c r="H172" s="213">
        <v>2</v>
      </c>
      <c r="I172" s="214"/>
      <c r="J172" s="215">
        <f>ROUND(I172*H172,1)</f>
        <v>0</v>
      </c>
      <c r="K172" s="211" t="s">
        <v>32</v>
      </c>
      <c r="L172" s="46"/>
      <c r="M172" s="216" t="s">
        <v>32</v>
      </c>
      <c r="N172" s="217" t="s">
        <v>49</v>
      </c>
      <c r="O172" s="86"/>
      <c r="P172" s="218">
        <f>O172*H172</f>
        <v>0</v>
      </c>
      <c r="Q172" s="218">
        <v>0.10000000000000001</v>
      </c>
      <c r="R172" s="218">
        <f>Q172*H172</f>
        <v>0.20000000000000001</v>
      </c>
      <c r="S172" s="218">
        <v>0</v>
      </c>
      <c r="T172" s="219">
        <f>S172*H172</f>
        <v>0</v>
      </c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R172" s="220" t="s">
        <v>207</v>
      </c>
      <c r="AT172" s="220" t="s">
        <v>202</v>
      </c>
      <c r="AU172" s="220" t="s">
        <v>86</v>
      </c>
      <c r="AY172" s="18" t="s">
        <v>200</v>
      </c>
      <c r="BE172" s="221">
        <f>IF(N172="základní",J172,0)</f>
        <v>0</v>
      </c>
      <c r="BF172" s="221">
        <f>IF(N172="snížená",J172,0)</f>
        <v>0</v>
      </c>
      <c r="BG172" s="221">
        <f>IF(N172="zákl. přenesená",J172,0)</f>
        <v>0</v>
      </c>
      <c r="BH172" s="221">
        <f>IF(N172="sníž. přenesená",J172,0)</f>
        <v>0</v>
      </c>
      <c r="BI172" s="221">
        <f>IF(N172="nulová",J172,0)</f>
        <v>0</v>
      </c>
      <c r="BJ172" s="18" t="s">
        <v>86</v>
      </c>
      <c r="BK172" s="221">
        <f>ROUND(I172*H172,1)</f>
        <v>0</v>
      </c>
      <c r="BL172" s="18" t="s">
        <v>207</v>
      </c>
      <c r="BM172" s="220" t="s">
        <v>1109</v>
      </c>
    </row>
    <row r="173" s="2" customFormat="1" ht="16.5" customHeight="1">
      <c r="A173" s="40"/>
      <c r="B173" s="41"/>
      <c r="C173" s="209" t="s">
        <v>698</v>
      </c>
      <c r="D173" s="209" t="s">
        <v>202</v>
      </c>
      <c r="E173" s="210" t="s">
        <v>2770</v>
      </c>
      <c r="F173" s="211" t="s">
        <v>2735</v>
      </c>
      <c r="G173" s="212" t="s">
        <v>1436</v>
      </c>
      <c r="H173" s="213">
        <v>1</v>
      </c>
      <c r="I173" s="214"/>
      <c r="J173" s="215">
        <f>ROUND(I173*H173,1)</f>
        <v>0</v>
      </c>
      <c r="K173" s="211" t="s">
        <v>32</v>
      </c>
      <c r="L173" s="46"/>
      <c r="M173" s="216" t="s">
        <v>32</v>
      </c>
      <c r="N173" s="217" t="s">
        <v>49</v>
      </c>
      <c r="O173" s="86"/>
      <c r="P173" s="218">
        <f>O173*H173</f>
        <v>0</v>
      </c>
      <c r="Q173" s="218">
        <v>0.10000000000000001</v>
      </c>
      <c r="R173" s="218">
        <f>Q173*H173</f>
        <v>0.10000000000000001</v>
      </c>
      <c r="S173" s="218">
        <v>0</v>
      </c>
      <c r="T173" s="219">
        <f>S173*H173</f>
        <v>0</v>
      </c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R173" s="220" t="s">
        <v>207</v>
      </c>
      <c r="AT173" s="220" t="s">
        <v>202</v>
      </c>
      <c r="AU173" s="220" t="s">
        <v>86</v>
      </c>
      <c r="AY173" s="18" t="s">
        <v>200</v>
      </c>
      <c r="BE173" s="221">
        <f>IF(N173="základní",J173,0)</f>
        <v>0</v>
      </c>
      <c r="BF173" s="221">
        <f>IF(N173="snížená",J173,0)</f>
        <v>0</v>
      </c>
      <c r="BG173" s="221">
        <f>IF(N173="zákl. přenesená",J173,0)</f>
        <v>0</v>
      </c>
      <c r="BH173" s="221">
        <f>IF(N173="sníž. přenesená",J173,0)</f>
        <v>0</v>
      </c>
      <c r="BI173" s="221">
        <f>IF(N173="nulová",J173,0)</f>
        <v>0</v>
      </c>
      <c r="BJ173" s="18" t="s">
        <v>86</v>
      </c>
      <c r="BK173" s="221">
        <f>ROUND(I173*H173,1)</f>
        <v>0</v>
      </c>
      <c r="BL173" s="18" t="s">
        <v>207</v>
      </c>
      <c r="BM173" s="220" t="s">
        <v>1117</v>
      </c>
    </row>
    <row r="174" s="2" customFormat="1" ht="16.5" customHeight="1">
      <c r="A174" s="40"/>
      <c r="B174" s="41"/>
      <c r="C174" s="209" t="s">
        <v>703</v>
      </c>
      <c r="D174" s="209" t="s">
        <v>202</v>
      </c>
      <c r="E174" s="210" t="s">
        <v>2771</v>
      </c>
      <c r="F174" s="211" t="s">
        <v>2737</v>
      </c>
      <c r="G174" s="212" t="s">
        <v>1436</v>
      </c>
      <c r="H174" s="213">
        <v>1</v>
      </c>
      <c r="I174" s="214"/>
      <c r="J174" s="215">
        <f>ROUND(I174*H174,1)</f>
        <v>0</v>
      </c>
      <c r="K174" s="211" t="s">
        <v>32</v>
      </c>
      <c r="L174" s="46"/>
      <c r="M174" s="216" t="s">
        <v>32</v>
      </c>
      <c r="N174" s="217" t="s">
        <v>49</v>
      </c>
      <c r="O174" s="86"/>
      <c r="P174" s="218">
        <f>O174*H174</f>
        <v>0</v>
      </c>
      <c r="Q174" s="218">
        <v>6.2999999999999998</v>
      </c>
      <c r="R174" s="218">
        <f>Q174*H174</f>
        <v>6.2999999999999998</v>
      </c>
      <c r="S174" s="218">
        <v>0</v>
      </c>
      <c r="T174" s="219">
        <f>S174*H174</f>
        <v>0</v>
      </c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R174" s="220" t="s">
        <v>207</v>
      </c>
      <c r="AT174" s="220" t="s">
        <v>202</v>
      </c>
      <c r="AU174" s="220" t="s">
        <v>86</v>
      </c>
      <c r="AY174" s="18" t="s">
        <v>200</v>
      </c>
      <c r="BE174" s="221">
        <f>IF(N174="základní",J174,0)</f>
        <v>0</v>
      </c>
      <c r="BF174" s="221">
        <f>IF(N174="snížená",J174,0)</f>
        <v>0</v>
      </c>
      <c r="BG174" s="221">
        <f>IF(N174="zákl. přenesená",J174,0)</f>
        <v>0</v>
      </c>
      <c r="BH174" s="221">
        <f>IF(N174="sníž. přenesená",J174,0)</f>
        <v>0</v>
      </c>
      <c r="BI174" s="221">
        <f>IF(N174="nulová",J174,0)</f>
        <v>0</v>
      </c>
      <c r="BJ174" s="18" t="s">
        <v>86</v>
      </c>
      <c r="BK174" s="221">
        <f>ROUND(I174*H174,1)</f>
        <v>0</v>
      </c>
      <c r="BL174" s="18" t="s">
        <v>207</v>
      </c>
      <c r="BM174" s="220" t="s">
        <v>1125</v>
      </c>
    </row>
    <row r="175" s="2" customFormat="1" ht="16.5" customHeight="1">
      <c r="A175" s="40"/>
      <c r="B175" s="41"/>
      <c r="C175" s="209" t="s">
        <v>708</v>
      </c>
      <c r="D175" s="209" t="s">
        <v>202</v>
      </c>
      <c r="E175" s="210" t="s">
        <v>2772</v>
      </c>
      <c r="F175" s="211" t="s">
        <v>2739</v>
      </c>
      <c r="G175" s="212" t="s">
        <v>1436</v>
      </c>
      <c r="H175" s="213">
        <v>1</v>
      </c>
      <c r="I175" s="214"/>
      <c r="J175" s="215">
        <f>ROUND(I175*H175,1)</f>
        <v>0</v>
      </c>
      <c r="K175" s="211" t="s">
        <v>32</v>
      </c>
      <c r="L175" s="46"/>
      <c r="M175" s="216" t="s">
        <v>32</v>
      </c>
      <c r="N175" s="217" t="s">
        <v>49</v>
      </c>
      <c r="O175" s="86"/>
      <c r="P175" s="218">
        <f>O175*H175</f>
        <v>0</v>
      </c>
      <c r="Q175" s="218">
        <v>1.5</v>
      </c>
      <c r="R175" s="218">
        <f>Q175*H175</f>
        <v>1.5</v>
      </c>
      <c r="S175" s="218">
        <v>0</v>
      </c>
      <c r="T175" s="219">
        <f>S175*H175</f>
        <v>0</v>
      </c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R175" s="220" t="s">
        <v>207</v>
      </c>
      <c r="AT175" s="220" t="s">
        <v>202</v>
      </c>
      <c r="AU175" s="220" t="s">
        <v>86</v>
      </c>
      <c r="AY175" s="18" t="s">
        <v>200</v>
      </c>
      <c r="BE175" s="221">
        <f>IF(N175="základní",J175,0)</f>
        <v>0</v>
      </c>
      <c r="BF175" s="221">
        <f>IF(N175="snížená",J175,0)</f>
        <v>0</v>
      </c>
      <c r="BG175" s="221">
        <f>IF(N175="zákl. přenesená",J175,0)</f>
        <v>0</v>
      </c>
      <c r="BH175" s="221">
        <f>IF(N175="sníž. přenesená",J175,0)</f>
        <v>0</v>
      </c>
      <c r="BI175" s="221">
        <f>IF(N175="nulová",J175,0)</f>
        <v>0</v>
      </c>
      <c r="BJ175" s="18" t="s">
        <v>86</v>
      </c>
      <c r="BK175" s="221">
        <f>ROUND(I175*H175,1)</f>
        <v>0</v>
      </c>
      <c r="BL175" s="18" t="s">
        <v>207</v>
      </c>
      <c r="BM175" s="220" t="s">
        <v>1133</v>
      </c>
    </row>
    <row r="176" s="2" customFormat="1" ht="16.5" customHeight="1">
      <c r="A176" s="40"/>
      <c r="B176" s="41"/>
      <c r="C176" s="209" t="s">
        <v>717</v>
      </c>
      <c r="D176" s="209" t="s">
        <v>202</v>
      </c>
      <c r="E176" s="210" t="s">
        <v>2773</v>
      </c>
      <c r="F176" s="211" t="s">
        <v>2774</v>
      </c>
      <c r="G176" s="212" t="s">
        <v>1436</v>
      </c>
      <c r="H176" s="213">
        <v>1</v>
      </c>
      <c r="I176" s="214"/>
      <c r="J176" s="215">
        <f>ROUND(I176*H176,1)</f>
        <v>0</v>
      </c>
      <c r="K176" s="211" t="s">
        <v>32</v>
      </c>
      <c r="L176" s="46"/>
      <c r="M176" s="216" t="s">
        <v>32</v>
      </c>
      <c r="N176" s="217" t="s">
        <v>49</v>
      </c>
      <c r="O176" s="86"/>
      <c r="P176" s="218">
        <f>O176*H176</f>
        <v>0</v>
      </c>
      <c r="Q176" s="218">
        <v>1.1000000000000001</v>
      </c>
      <c r="R176" s="218">
        <f>Q176*H176</f>
        <v>1.1000000000000001</v>
      </c>
      <c r="S176" s="218">
        <v>0</v>
      </c>
      <c r="T176" s="219">
        <f>S176*H176</f>
        <v>0</v>
      </c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R176" s="220" t="s">
        <v>207</v>
      </c>
      <c r="AT176" s="220" t="s">
        <v>202</v>
      </c>
      <c r="AU176" s="220" t="s">
        <v>86</v>
      </c>
      <c r="AY176" s="18" t="s">
        <v>200</v>
      </c>
      <c r="BE176" s="221">
        <f>IF(N176="základní",J176,0)</f>
        <v>0</v>
      </c>
      <c r="BF176" s="221">
        <f>IF(N176="snížená",J176,0)</f>
        <v>0</v>
      </c>
      <c r="BG176" s="221">
        <f>IF(N176="zákl. přenesená",J176,0)</f>
        <v>0</v>
      </c>
      <c r="BH176" s="221">
        <f>IF(N176="sníž. přenesená",J176,0)</f>
        <v>0</v>
      </c>
      <c r="BI176" s="221">
        <f>IF(N176="nulová",J176,0)</f>
        <v>0</v>
      </c>
      <c r="BJ176" s="18" t="s">
        <v>86</v>
      </c>
      <c r="BK176" s="221">
        <f>ROUND(I176*H176,1)</f>
        <v>0</v>
      </c>
      <c r="BL176" s="18" t="s">
        <v>207</v>
      </c>
      <c r="BM176" s="220" t="s">
        <v>1141</v>
      </c>
    </row>
    <row r="177" s="2" customFormat="1" ht="16.5" customHeight="1">
      <c r="A177" s="40"/>
      <c r="B177" s="41"/>
      <c r="C177" s="209" t="s">
        <v>726</v>
      </c>
      <c r="D177" s="209" t="s">
        <v>202</v>
      </c>
      <c r="E177" s="210" t="s">
        <v>2775</v>
      </c>
      <c r="F177" s="211" t="s">
        <v>2750</v>
      </c>
      <c r="G177" s="212" t="s">
        <v>1436</v>
      </c>
      <c r="H177" s="213">
        <v>10</v>
      </c>
      <c r="I177" s="214"/>
      <c r="J177" s="215">
        <f>ROUND(I177*H177,1)</f>
        <v>0</v>
      </c>
      <c r="K177" s="211" t="s">
        <v>32</v>
      </c>
      <c r="L177" s="46"/>
      <c r="M177" s="216" t="s">
        <v>32</v>
      </c>
      <c r="N177" s="217" t="s">
        <v>49</v>
      </c>
      <c r="O177" s="86"/>
      <c r="P177" s="218">
        <f>O177*H177</f>
        <v>0</v>
      </c>
      <c r="Q177" s="218">
        <v>0.34999999999999998</v>
      </c>
      <c r="R177" s="218">
        <f>Q177*H177</f>
        <v>3.5</v>
      </c>
      <c r="S177" s="218">
        <v>0</v>
      </c>
      <c r="T177" s="219">
        <f>S177*H177</f>
        <v>0</v>
      </c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R177" s="220" t="s">
        <v>207</v>
      </c>
      <c r="AT177" s="220" t="s">
        <v>202</v>
      </c>
      <c r="AU177" s="220" t="s">
        <v>86</v>
      </c>
      <c r="AY177" s="18" t="s">
        <v>200</v>
      </c>
      <c r="BE177" s="221">
        <f>IF(N177="základní",J177,0)</f>
        <v>0</v>
      </c>
      <c r="BF177" s="221">
        <f>IF(N177="snížená",J177,0)</f>
        <v>0</v>
      </c>
      <c r="BG177" s="221">
        <f>IF(N177="zákl. přenesená",J177,0)</f>
        <v>0</v>
      </c>
      <c r="BH177" s="221">
        <f>IF(N177="sníž. přenesená",J177,0)</f>
        <v>0</v>
      </c>
      <c r="BI177" s="221">
        <f>IF(N177="nulová",J177,0)</f>
        <v>0</v>
      </c>
      <c r="BJ177" s="18" t="s">
        <v>86</v>
      </c>
      <c r="BK177" s="221">
        <f>ROUND(I177*H177,1)</f>
        <v>0</v>
      </c>
      <c r="BL177" s="18" t="s">
        <v>207</v>
      </c>
      <c r="BM177" s="220" t="s">
        <v>1149</v>
      </c>
    </row>
    <row r="178" s="2" customFormat="1" ht="16.5" customHeight="1">
      <c r="A178" s="40"/>
      <c r="B178" s="41"/>
      <c r="C178" s="209" t="s">
        <v>732</v>
      </c>
      <c r="D178" s="209" t="s">
        <v>202</v>
      </c>
      <c r="E178" s="210" t="s">
        <v>2776</v>
      </c>
      <c r="F178" s="211" t="s">
        <v>2777</v>
      </c>
      <c r="G178" s="212" t="s">
        <v>2670</v>
      </c>
      <c r="H178" s="213">
        <v>13</v>
      </c>
      <c r="I178" s="214"/>
      <c r="J178" s="215">
        <f>ROUND(I178*H178,1)</f>
        <v>0</v>
      </c>
      <c r="K178" s="211" t="s">
        <v>32</v>
      </c>
      <c r="L178" s="46"/>
      <c r="M178" s="216" t="s">
        <v>32</v>
      </c>
      <c r="N178" s="217" t="s">
        <v>49</v>
      </c>
      <c r="O178" s="86"/>
      <c r="P178" s="218">
        <f>O178*H178</f>
        <v>0</v>
      </c>
      <c r="Q178" s="218">
        <v>2.2000000000000002</v>
      </c>
      <c r="R178" s="218">
        <f>Q178*H178</f>
        <v>28.600000000000001</v>
      </c>
      <c r="S178" s="218">
        <v>0</v>
      </c>
      <c r="T178" s="219">
        <f>S178*H178</f>
        <v>0</v>
      </c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R178" s="220" t="s">
        <v>207</v>
      </c>
      <c r="AT178" s="220" t="s">
        <v>202</v>
      </c>
      <c r="AU178" s="220" t="s">
        <v>86</v>
      </c>
      <c r="AY178" s="18" t="s">
        <v>200</v>
      </c>
      <c r="BE178" s="221">
        <f>IF(N178="základní",J178,0)</f>
        <v>0</v>
      </c>
      <c r="BF178" s="221">
        <f>IF(N178="snížená",J178,0)</f>
        <v>0</v>
      </c>
      <c r="BG178" s="221">
        <f>IF(N178="zákl. přenesená",J178,0)</f>
        <v>0</v>
      </c>
      <c r="BH178" s="221">
        <f>IF(N178="sníž. přenesená",J178,0)</f>
        <v>0</v>
      </c>
      <c r="BI178" s="221">
        <f>IF(N178="nulová",J178,0)</f>
        <v>0</v>
      </c>
      <c r="BJ178" s="18" t="s">
        <v>86</v>
      </c>
      <c r="BK178" s="221">
        <f>ROUND(I178*H178,1)</f>
        <v>0</v>
      </c>
      <c r="BL178" s="18" t="s">
        <v>207</v>
      </c>
      <c r="BM178" s="220" t="s">
        <v>1157</v>
      </c>
    </row>
    <row r="179" s="12" customFormat="1" ht="25.92" customHeight="1">
      <c r="A179" s="12"/>
      <c r="B179" s="193"/>
      <c r="C179" s="194"/>
      <c r="D179" s="195" t="s">
        <v>77</v>
      </c>
      <c r="E179" s="196" t="s">
        <v>241</v>
      </c>
      <c r="F179" s="196" t="s">
        <v>2778</v>
      </c>
      <c r="G179" s="194"/>
      <c r="H179" s="194"/>
      <c r="I179" s="197"/>
      <c r="J179" s="198">
        <f>BK179</f>
        <v>0</v>
      </c>
      <c r="K179" s="194"/>
      <c r="L179" s="199"/>
      <c r="M179" s="200"/>
      <c r="N179" s="201"/>
      <c r="O179" s="201"/>
      <c r="P179" s="202">
        <f>SUM(P180:P188)</f>
        <v>0</v>
      </c>
      <c r="Q179" s="201"/>
      <c r="R179" s="202">
        <f>SUM(R180:R188)</f>
        <v>20.199999999999999</v>
      </c>
      <c r="S179" s="201"/>
      <c r="T179" s="203">
        <f>SUM(T180:T188)</f>
        <v>0</v>
      </c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R179" s="204" t="s">
        <v>86</v>
      </c>
      <c r="AT179" s="205" t="s">
        <v>77</v>
      </c>
      <c r="AU179" s="205" t="s">
        <v>78</v>
      </c>
      <c r="AY179" s="204" t="s">
        <v>200</v>
      </c>
      <c r="BK179" s="206">
        <f>SUM(BK180:BK188)</f>
        <v>0</v>
      </c>
    </row>
    <row r="180" s="2" customFormat="1" ht="16.5" customHeight="1">
      <c r="A180" s="40"/>
      <c r="B180" s="41"/>
      <c r="C180" s="209" t="s">
        <v>738</v>
      </c>
      <c r="D180" s="209" t="s">
        <v>202</v>
      </c>
      <c r="E180" s="210" t="s">
        <v>2779</v>
      </c>
      <c r="F180" s="211" t="s">
        <v>2780</v>
      </c>
      <c r="G180" s="212" t="s">
        <v>1436</v>
      </c>
      <c r="H180" s="213">
        <v>1</v>
      </c>
      <c r="I180" s="214"/>
      <c r="J180" s="215">
        <f>ROUND(I180*H180,1)</f>
        <v>0</v>
      </c>
      <c r="K180" s="211" t="s">
        <v>32</v>
      </c>
      <c r="L180" s="46"/>
      <c r="M180" s="216" t="s">
        <v>32</v>
      </c>
      <c r="N180" s="217" t="s">
        <v>49</v>
      </c>
      <c r="O180" s="86"/>
      <c r="P180" s="218">
        <f>O180*H180</f>
        <v>0</v>
      </c>
      <c r="Q180" s="218">
        <v>2.7000000000000002</v>
      </c>
      <c r="R180" s="218">
        <f>Q180*H180</f>
        <v>2.7000000000000002</v>
      </c>
      <c r="S180" s="218">
        <v>0</v>
      </c>
      <c r="T180" s="219">
        <f>S180*H180</f>
        <v>0</v>
      </c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R180" s="220" t="s">
        <v>207</v>
      </c>
      <c r="AT180" s="220" t="s">
        <v>202</v>
      </c>
      <c r="AU180" s="220" t="s">
        <v>86</v>
      </c>
      <c r="AY180" s="18" t="s">
        <v>200</v>
      </c>
      <c r="BE180" s="221">
        <f>IF(N180="základní",J180,0)</f>
        <v>0</v>
      </c>
      <c r="BF180" s="221">
        <f>IF(N180="snížená",J180,0)</f>
        <v>0</v>
      </c>
      <c r="BG180" s="221">
        <f>IF(N180="zákl. přenesená",J180,0)</f>
        <v>0</v>
      </c>
      <c r="BH180" s="221">
        <f>IF(N180="sníž. přenesená",J180,0)</f>
        <v>0</v>
      </c>
      <c r="BI180" s="221">
        <f>IF(N180="nulová",J180,0)</f>
        <v>0</v>
      </c>
      <c r="BJ180" s="18" t="s">
        <v>86</v>
      </c>
      <c r="BK180" s="221">
        <f>ROUND(I180*H180,1)</f>
        <v>0</v>
      </c>
      <c r="BL180" s="18" t="s">
        <v>207</v>
      </c>
      <c r="BM180" s="220" t="s">
        <v>1165</v>
      </c>
    </row>
    <row r="181" s="2" customFormat="1">
      <c r="A181" s="40"/>
      <c r="B181" s="41"/>
      <c r="C181" s="42"/>
      <c r="D181" s="229" t="s">
        <v>355</v>
      </c>
      <c r="E181" s="42"/>
      <c r="F181" s="281" t="s">
        <v>2731</v>
      </c>
      <c r="G181" s="42"/>
      <c r="H181" s="42"/>
      <c r="I181" s="224"/>
      <c r="J181" s="42"/>
      <c r="K181" s="42"/>
      <c r="L181" s="46"/>
      <c r="M181" s="225"/>
      <c r="N181" s="226"/>
      <c r="O181" s="86"/>
      <c r="P181" s="86"/>
      <c r="Q181" s="86"/>
      <c r="R181" s="86"/>
      <c r="S181" s="86"/>
      <c r="T181" s="87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T181" s="18" t="s">
        <v>355</v>
      </c>
      <c r="AU181" s="18" t="s">
        <v>86</v>
      </c>
    </row>
    <row r="182" s="2" customFormat="1" ht="16.5" customHeight="1">
      <c r="A182" s="40"/>
      <c r="B182" s="41"/>
      <c r="C182" s="209" t="s">
        <v>743</v>
      </c>
      <c r="D182" s="209" t="s">
        <v>202</v>
      </c>
      <c r="E182" s="210" t="s">
        <v>2781</v>
      </c>
      <c r="F182" s="211" t="s">
        <v>2782</v>
      </c>
      <c r="G182" s="212" t="s">
        <v>1436</v>
      </c>
      <c r="H182" s="213">
        <v>2</v>
      </c>
      <c r="I182" s="214"/>
      <c r="J182" s="215">
        <f>ROUND(I182*H182,1)</f>
        <v>0</v>
      </c>
      <c r="K182" s="211" t="s">
        <v>32</v>
      </c>
      <c r="L182" s="46"/>
      <c r="M182" s="216" t="s">
        <v>32</v>
      </c>
      <c r="N182" s="217" t="s">
        <v>49</v>
      </c>
      <c r="O182" s="86"/>
      <c r="P182" s="218">
        <f>O182*H182</f>
        <v>0</v>
      </c>
      <c r="Q182" s="218">
        <v>0.10000000000000001</v>
      </c>
      <c r="R182" s="218">
        <f>Q182*H182</f>
        <v>0.20000000000000001</v>
      </c>
      <c r="S182" s="218">
        <v>0</v>
      </c>
      <c r="T182" s="219">
        <f>S182*H182</f>
        <v>0</v>
      </c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R182" s="220" t="s">
        <v>207</v>
      </c>
      <c r="AT182" s="220" t="s">
        <v>202</v>
      </c>
      <c r="AU182" s="220" t="s">
        <v>86</v>
      </c>
      <c r="AY182" s="18" t="s">
        <v>200</v>
      </c>
      <c r="BE182" s="221">
        <f>IF(N182="základní",J182,0)</f>
        <v>0</v>
      </c>
      <c r="BF182" s="221">
        <f>IF(N182="snížená",J182,0)</f>
        <v>0</v>
      </c>
      <c r="BG182" s="221">
        <f>IF(N182="zákl. přenesená",J182,0)</f>
        <v>0</v>
      </c>
      <c r="BH182" s="221">
        <f>IF(N182="sníž. přenesená",J182,0)</f>
        <v>0</v>
      </c>
      <c r="BI182" s="221">
        <f>IF(N182="nulová",J182,0)</f>
        <v>0</v>
      </c>
      <c r="BJ182" s="18" t="s">
        <v>86</v>
      </c>
      <c r="BK182" s="221">
        <f>ROUND(I182*H182,1)</f>
        <v>0</v>
      </c>
      <c r="BL182" s="18" t="s">
        <v>207</v>
      </c>
      <c r="BM182" s="220" t="s">
        <v>1173</v>
      </c>
    </row>
    <row r="183" s="2" customFormat="1" ht="16.5" customHeight="1">
      <c r="A183" s="40"/>
      <c r="B183" s="41"/>
      <c r="C183" s="209" t="s">
        <v>749</v>
      </c>
      <c r="D183" s="209" t="s">
        <v>202</v>
      </c>
      <c r="E183" s="210" t="s">
        <v>2783</v>
      </c>
      <c r="F183" s="211" t="s">
        <v>2784</v>
      </c>
      <c r="G183" s="212" t="s">
        <v>1436</v>
      </c>
      <c r="H183" s="213">
        <v>1</v>
      </c>
      <c r="I183" s="214"/>
      <c r="J183" s="215">
        <f>ROUND(I183*H183,1)</f>
        <v>0</v>
      </c>
      <c r="K183" s="211" t="s">
        <v>32</v>
      </c>
      <c r="L183" s="46"/>
      <c r="M183" s="216" t="s">
        <v>32</v>
      </c>
      <c r="N183" s="217" t="s">
        <v>49</v>
      </c>
      <c r="O183" s="86"/>
      <c r="P183" s="218">
        <f>O183*H183</f>
        <v>0</v>
      </c>
      <c r="Q183" s="218">
        <v>0.10000000000000001</v>
      </c>
      <c r="R183" s="218">
        <f>Q183*H183</f>
        <v>0.10000000000000001</v>
      </c>
      <c r="S183" s="218">
        <v>0</v>
      </c>
      <c r="T183" s="219">
        <f>S183*H183</f>
        <v>0</v>
      </c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R183" s="220" t="s">
        <v>207</v>
      </c>
      <c r="AT183" s="220" t="s">
        <v>202</v>
      </c>
      <c r="AU183" s="220" t="s">
        <v>86</v>
      </c>
      <c r="AY183" s="18" t="s">
        <v>200</v>
      </c>
      <c r="BE183" s="221">
        <f>IF(N183="základní",J183,0)</f>
        <v>0</v>
      </c>
      <c r="BF183" s="221">
        <f>IF(N183="snížená",J183,0)</f>
        <v>0</v>
      </c>
      <c r="BG183" s="221">
        <f>IF(N183="zákl. přenesená",J183,0)</f>
        <v>0</v>
      </c>
      <c r="BH183" s="221">
        <f>IF(N183="sníž. přenesená",J183,0)</f>
        <v>0</v>
      </c>
      <c r="BI183" s="221">
        <f>IF(N183="nulová",J183,0)</f>
        <v>0</v>
      </c>
      <c r="BJ183" s="18" t="s">
        <v>86</v>
      </c>
      <c r="BK183" s="221">
        <f>ROUND(I183*H183,1)</f>
        <v>0</v>
      </c>
      <c r="BL183" s="18" t="s">
        <v>207</v>
      </c>
      <c r="BM183" s="220" t="s">
        <v>1183</v>
      </c>
    </row>
    <row r="184" s="2" customFormat="1" ht="16.5" customHeight="1">
      <c r="A184" s="40"/>
      <c r="B184" s="41"/>
      <c r="C184" s="209" t="s">
        <v>755</v>
      </c>
      <c r="D184" s="209" t="s">
        <v>202</v>
      </c>
      <c r="E184" s="210" t="s">
        <v>2785</v>
      </c>
      <c r="F184" s="211" t="s">
        <v>2786</v>
      </c>
      <c r="G184" s="212" t="s">
        <v>1436</v>
      </c>
      <c r="H184" s="213">
        <v>1</v>
      </c>
      <c r="I184" s="214"/>
      <c r="J184" s="215">
        <f>ROUND(I184*H184,1)</f>
        <v>0</v>
      </c>
      <c r="K184" s="211" t="s">
        <v>32</v>
      </c>
      <c r="L184" s="46"/>
      <c r="M184" s="216" t="s">
        <v>32</v>
      </c>
      <c r="N184" s="217" t="s">
        <v>49</v>
      </c>
      <c r="O184" s="86"/>
      <c r="P184" s="218">
        <f>O184*H184</f>
        <v>0</v>
      </c>
      <c r="Q184" s="218">
        <v>6.2999999999999998</v>
      </c>
      <c r="R184" s="218">
        <f>Q184*H184</f>
        <v>6.2999999999999998</v>
      </c>
      <c r="S184" s="218">
        <v>0</v>
      </c>
      <c r="T184" s="219">
        <f>S184*H184</f>
        <v>0</v>
      </c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R184" s="220" t="s">
        <v>207</v>
      </c>
      <c r="AT184" s="220" t="s">
        <v>202</v>
      </c>
      <c r="AU184" s="220" t="s">
        <v>86</v>
      </c>
      <c r="AY184" s="18" t="s">
        <v>200</v>
      </c>
      <c r="BE184" s="221">
        <f>IF(N184="základní",J184,0)</f>
        <v>0</v>
      </c>
      <c r="BF184" s="221">
        <f>IF(N184="snížená",J184,0)</f>
        <v>0</v>
      </c>
      <c r="BG184" s="221">
        <f>IF(N184="zákl. přenesená",J184,0)</f>
        <v>0</v>
      </c>
      <c r="BH184" s="221">
        <f>IF(N184="sníž. přenesená",J184,0)</f>
        <v>0</v>
      </c>
      <c r="BI184" s="221">
        <f>IF(N184="nulová",J184,0)</f>
        <v>0</v>
      </c>
      <c r="BJ184" s="18" t="s">
        <v>86</v>
      </c>
      <c r="BK184" s="221">
        <f>ROUND(I184*H184,1)</f>
        <v>0</v>
      </c>
      <c r="BL184" s="18" t="s">
        <v>207</v>
      </c>
      <c r="BM184" s="220" t="s">
        <v>1195</v>
      </c>
    </row>
    <row r="185" s="2" customFormat="1" ht="16.5" customHeight="1">
      <c r="A185" s="40"/>
      <c r="B185" s="41"/>
      <c r="C185" s="209" t="s">
        <v>761</v>
      </c>
      <c r="D185" s="209" t="s">
        <v>202</v>
      </c>
      <c r="E185" s="210" t="s">
        <v>2787</v>
      </c>
      <c r="F185" s="211" t="s">
        <v>2788</v>
      </c>
      <c r="G185" s="212" t="s">
        <v>1436</v>
      </c>
      <c r="H185" s="213">
        <v>2</v>
      </c>
      <c r="I185" s="214"/>
      <c r="J185" s="215">
        <f>ROUND(I185*H185,1)</f>
        <v>0</v>
      </c>
      <c r="K185" s="211" t="s">
        <v>32</v>
      </c>
      <c r="L185" s="46"/>
      <c r="M185" s="216" t="s">
        <v>32</v>
      </c>
      <c r="N185" s="217" t="s">
        <v>49</v>
      </c>
      <c r="O185" s="86"/>
      <c r="P185" s="218">
        <f>O185*H185</f>
        <v>0</v>
      </c>
      <c r="Q185" s="218">
        <v>1.5</v>
      </c>
      <c r="R185" s="218">
        <f>Q185*H185</f>
        <v>3</v>
      </c>
      <c r="S185" s="218">
        <v>0</v>
      </c>
      <c r="T185" s="219">
        <f>S185*H185</f>
        <v>0</v>
      </c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R185" s="220" t="s">
        <v>207</v>
      </c>
      <c r="AT185" s="220" t="s">
        <v>202</v>
      </c>
      <c r="AU185" s="220" t="s">
        <v>86</v>
      </c>
      <c r="AY185" s="18" t="s">
        <v>200</v>
      </c>
      <c r="BE185" s="221">
        <f>IF(N185="základní",J185,0)</f>
        <v>0</v>
      </c>
      <c r="BF185" s="221">
        <f>IF(N185="snížená",J185,0)</f>
        <v>0</v>
      </c>
      <c r="BG185" s="221">
        <f>IF(N185="zákl. přenesená",J185,0)</f>
        <v>0</v>
      </c>
      <c r="BH185" s="221">
        <f>IF(N185="sníž. přenesená",J185,0)</f>
        <v>0</v>
      </c>
      <c r="BI185" s="221">
        <f>IF(N185="nulová",J185,0)</f>
        <v>0</v>
      </c>
      <c r="BJ185" s="18" t="s">
        <v>86</v>
      </c>
      <c r="BK185" s="221">
        <f>ROUND(I185*H185,1)</f>
        <v>0</v>
      </c>
      <c r="BL185" s="18" t="s">
        <v>207</v>
      </c>
      <c r="BM185" s="220" t="s">
        <v>1204</v>
      </c>
    </row>
    <row r="186" s="2" customFormat="1" ht="16.5" customHeight="1">
      <c r="A186" s="40"/>
      <c r="B186" s="41"/>
      <c r="C186" s="209" t="s">
        <v>766</v>
      </c>
      <c r="D186" s="209" t="s">
        <v>202</v>
      </c>
      <c r="E186" s="210" t="s">
        <v>2789</v>
      </c>
      <c r="F186" s="211" t="s">
        <v>2790</v>
      </c>
      <c r="G186" s="212" t="s">
        <v>1436</v>
      </c>
      <c r="H186" s="213">
        <v>1</v>
      </c>
      <c r="I186" s="214"/>
      <c r="J186" s="215">
        <f>ROUND(I186*H186,1)</f>
        <v>0</v>
      </c>
      <c r="K186" s="211" t="s">
        <v>32</v>
      </c>
      <c r="L186" s="46"/>
      <c r="M186" s="216" t="s">
        <v>32</v>
      </c>
      <c r="N186" s="217" t="s">
        <v>49</v>
      </c>
      <c r="O186" s="86"/>
      <c r="P186" s="218">
        <f>O186*H186</f>
        <v>0</v>
      </c>
      <c r="Q186" s="218">
        <v>0.10000000000000001</v>
      </c>
      <c r="R186" s="218">
        <f>Q186*H186</f>
        <v>0.10000000000000001</v>
      </c>
      <c r="S186" s="218">
        <v>0</v>
      </c>
      <c r="T186" s="219">
        <f>S186*H186</f>
        <v>0</v>
      </c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R186" s="220" t="s">
        <v>207</v>
      </c>
      <c r="AT186" s="220" t="s">
        <v>202</v>
      </c>
      <c r="AU186" s="220" t="s">
        <v>86</v>
      </c>
      <c r="AY186" s="18" t="s">
        <v>200</v>
      </c>
      <c r="BE186" s="221">
        <f>IF(N186="základní",J186,0)</f>
        <v>0</v>
      </c>
      <c r="BF186" s="221">
        <f>IF(N186="snížená",J186,0)</f>
        <v>0</v>
      </c>
      <c r="BG186" s="221">
        <f>IF(N186="zákl. přenesená",J186,0)</f>
        <v>0</v>
      </c>
      <c r="BH186" s="221">
        <f>IF(N186="sníž. přenesená",J186,0)</f>
        <v>0</v>
      </c>
      <c r="BI186" s="221">
        <f>IF(N186="nulová",J186,0)</f>
        <v>0</v>
      </c>
      <c r="BJ186" s="18" t="s">
        <v>86</v>
      </c>
      <c r="BK186" s="221">
        <f>ROUND(I186*H186,1)</f>
        <v>0</v>
      </c>
      <c r="BL186" s="18" t="s">
        <v>207</v>
      </c>
      <c r="BM186" s="220" t="s">
        <v>1215</v>
      </c>
    </row>
    <row r="187" s="2" customFormat="1" ht="16.5" customHeight="1">
      <c r="A187" s="40"/>
      <c r="B187" s="41"/>
      <c r="C187" s="209" t="s">
        <v>773</v>
      </c>
      <c r="D187" s="209" t="s">
        <v>202</v>
      </c>
      <c r="E187" s="210" t="s">
        <v>2791</v>
      </c>
      <c r="F187" s="211" t="s">
        <v>2792</v>
      </c>
      <c r="G187" s="212" t="s">
        <v>1436</v>
      </c>
      <c r="H187" s="213">
        <v>2</v>
      </c>
      <c r="I187" s="214"/>
      <c r="J187" s="215">
        <f>ROUND(I187*H187,1)</f>
        <v>0</v>
      </c>
      <c r="K187" s="211" t="s">
        <v>32</v>
      </c>
      <c r="L187" s="46"/>
      <c r="M187" s="216" t="s">
        <v>32</v>
      </c>
      <c r="N187" s="217" t="s">
        <v>49</v>
      </c>
      <c r="O187" s="86"/>
      <c r="P187" s="218">
        <f>O187*H187</f>
        <v>0</v>
      </c>
      <c r="Q187" s="218">
        <v>0.59999999999999998</v>
      </c>
      <c r="R187" s="218">
        <f>Q187*H187</f>
        <v>1.2</v>
      </c>
      <c r="S187" s="218">
        <v>0</v>
      </c>
      <c r="T187" s="219">
        <f>S187*H187</f>
        <v>0</v>
      </c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R187" s="220" t="s">
        <v>207</v>
      </c>
      <c r="AT187" s="220" t="s">
        <v>202</v>
      </c>
      <c r="AU187" s="220" t="s">
        <v>86</v>
      </c>
      <c r="AY187" s="18" t="s">
        <v>200</v>
      </c>
      <c r="BE187" s="221">
        <f>IF(N187="základní",J187,0)</f>
        <v>0</v>
      </c>
      <c r="BF187" s="221">
        <f>IF(N187="snížená",J187,0)</f>
        <v>0</v>
      </c>
      <c r="BG187" s="221">
        <f>IF(N187="zákl. přenesená",J187,0)</f>
        <v>0</v>
      </c>
      <c r="BH187" s="221">
        <f>IF(N187="sníž. přenesená",J187,0)</f>
        <v>0</v>
      </c>
      <c r="BI187" s="221">
        <f>IF(N187="nulová",J187,0)</f>
        <v>0</v>
      </c>
      <c r="BJ187" s="18" t="s">
        <v>86</v>
      </c>
      <c r="BK187" s="221">
        <f>ROUND(I187*H187,1)</f>
        <v>0</v>
      </c>
      <c r="BL187" s="18" t="s">
        <v>207</v>
      </c>
      <c r="BM187" s="220" t="s">
        <v>1225</v>
      </c>
    </row>
    <row r="188" s="2" customFormat="1" ht="16.5" customHeight="1">
      <c r="A188" s="40"/>
      <c r="B188" s="41"/>
      <c r="C188" s="209" t="s">
        <v>779</v>
      </c>
      <c r="D188" s="209" t="s">
        <v>202</v>
      </c>
      <c r="E188" s="210" t="s">
        <v>2793</v>
      </c>
      <c r="F188" s="211" t="s">
        <v>2777</v>
      </c>
      <c r="G188" s="212" t="s">
        <v>2670</v>
      </c>
      <c r="H188" s="213">
        <v>3</v>
      </c>
      <c r="I188" s="214"/>
      <c r="J188" s="215">
        <f>ROUND(I188*H188,1)</f>
        <v>0</v>
      </c>
      <c r="K188" s="211" t="s">
        <v>32</v>
      </c>
      <c r="L188" s="46"/>
      <c r="M188" s="216" t="s">
        <v>32</v>
      </c>
      <c r="N188" s="217" t="s">
        <v>49</v>
      </c>
      <c r="O188" s="86"/>
      <c r="P188" s="218">
        <f>O188*H188</f>
        <v>0</v>
      </c>
      <c r="Q188" s="218">
        <v>2.2000000000000002</v>
      </c>
      <c r="R188" s="218">
        <f>Q188*H188</f>
        <v>6.6000000000000005</v>
      </c>
      <c r="S188" s="218">
        <v>0</v>
      </c>
      <c r="T188" s="219">
        <f>S188*H188</f>
        <v>0</v>
      </c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R188" s="220" t="s">
        <v>207</v>
      </c>
      <c r="AT188" s="220" t="s">
        <v>202</v>
      </c>
      <c r="AU188" s="220" t="s">
        <v>86</v>
      </c>
      <c r="AY188" s="18" t="s">
        <v>200</v>
      </c>
      <c r="BE188" s="221">
        <f>IF(N188="základní",J188,0)</f>
        <v>0</v>
      </c>
      <c r="BF188" s="221">
        <f>IF(N188="snížená",J188,0)</f>
        <v>0</v>
      </c>
      <c r="BG188" s="221">
        <f>IF(N188="zákl. přenesená",J188,0)</f>
        <v>0</v>
      </c>
      <c r="BH188" s="221">
        <f>IF(N188="sníž. přenesená",J188,0)</f>
        <v>0</v>
      </c>
      <c r="BI188" s="221">
        <f>IF(N188="nulová",J188,0)</f>
        <v>0</v>
      </c>
      <c r="BJ188" s="18" t="s">
        <v>86</v>
      </c>
      <c r="BK188" s="221">
        <f>ROUND(I188*H188,1)</f>
        <v>0</v>
      </c>
      <c r="BL188" s="18" t="s">
        <v>207</v>
      </c>
      <c r="BM188" s="220" t="s">
        <v>1237</v>
      </c>
    </row>
    <row r="189" s="12" customFormat="1" ht="25.92" customHeight="1">
      <c r="A189" s="12"/>
      <c r="B189" s="193"/>
      <c r="C189" s="194"/>
      <c r="D189" s="195" t="s">
        <v>77</v>
      </c>
      <c r="E189" s="196" t="s">
        <v>247</v>
      </c>
      <c r="F189" s="196" t="s">
        <v>2794</v>
      </c>
      <c r="G189" s="194"/>
      <c r="H189" s="194"/>
      <c r="I189" s="197"/>
      <c r="J189" s="198">
        <f>BK189</f>
        <v>0</v>
      </c>
      <c r="K189" s="194"/>
      <c r="L189" s="199"/>
      <c r="M189" s="200"/>
      <c r="N189" s="201"/>
      <c r="O189" s="201"/>
      <c r="P189" s="202">
        <f>SUM(P190:P197)</f>
        <v>0</v>
      </c>
      <c r="Q189" s="201"/>
      <c r="R189" s="202">
        <f>SUM(R190:R197)</f>
        <v>26.100000000000001</v>
      </c>
      <c r="S189" s="201"/>
      <c r="T189" s="203">
        <f>SUM(T190:T197)</f>
        <v>0</v>
      </c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R189" s="204" t="s">
        <v>86</v>
      </c>
      <c r="AT189" s="205" t="s">
        <v>77</v>
      </c>
      <c r="AU189" s="205" t="s">
        <v>78</v>
      </c>
      <c r="AY189" s="204" t="s">
        <v>200</v>
      </c>
      <c r="BK189" s="206">
        <f>SUM(BK190:BK197)</f>
        <v>0</v>
      </c>
    </row>
    <row r="190" s="2" customFormat="1" ht="16.5" customHeight="1">
      <c r="A190" s="40"/>
      <c r="B190" s="41"/>
      <c r="C190" s="209" t="s">
        <v>784</v>
      </c>
      <c r="D190" s="209" t="s">
        <v>202</v>
      </c>
      <c r="E190" s="210" t="s">
        <v>2795</v>
      </c>
      <c r="F190" s="211" t="s">
        <v>2730</v>
      </c>
      <c r="G190" s="212" t="s">
        <v>1436</v>
      </c>
      <c r="H190" s="213">
        <v>1</v>
      </c>
      <c r="I190" s="214"/>
      <c r="J190" s="215">
        <f>ROUND(I190*H190,1)</f>
        <v>0</v>
      </c>
      <c r="K190" s="211" t="s">
        <v>32</v>
      </c>
      <c r="L190" s="46"/>
      <c r="M190" s="216" t="s">
        <v>32</v>
      </c>
      <c r="N190" s="217" t="s">
        <v>49</v>
      </c>
      <c r="O190" s="86"/>
      <c r="P190" s="218">
        <f>O190*H190</f>
        <v>0</v>
      </c>
      <c r="Q190" s="218">
        <v>2.7000000000000002</v>
      </c>
      <c r="R190" s="218">
        <f>Q190*H190</f>
        <v>2.7000000000000002</v>
      </c>
      <c r="S190" s="218">
        <v>0</v>
      </c>
      <c r="T190" s="219">
        <f>S190*H190</f>
        <v>0</v>
      </c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R190" s="220" t="s">
        <v>207</v>
      </c>
      <c r="AT190" s="220" t="s">
        <v>202</v>
      </c>
      <c r="AU190" s="220" t="s">
        <v>86</v>
      </c>
      <c r="AY190" s="18" t="s">
        <v>200</v>
      </c>
      <c r="BE190" s="221">
        <f>IF(N190="základní",J190,0)</f>
        <v>0</v>
      </c>
      <c r="BF190" s="221">
        <f>IF(N190="snížená",J190,0)</f>
        <v>0</v>
      </c>
      <c r="BG190" s="221">
        <f>IF(N190="zákl. přenesená",J190,0)</f>
        <v>0</v>
      </c>
      <c r="BH190" s="221">
        <f>IF(N190="sníž. přenesená",J190,0)</f>
        <v>0</v>
      </c>
      <c r="BI190" s="221">
        <f>IF(N190="nulová",J190,0)</f>
        <v>0</v>
      </c>
      <c r="BJ190" s="18" t="s">
        <v>86</v>
      </c>
      <c r="BK190" s="221">
        <f>ROUND(I190*H190,1)</f>
        <v>0</v>
      </c>
      <c r="BL190" s="18" t="s">
        <v>207</v>
      </c>
      <c r="BM190" s="220" t="s">
        <v>1247</v>
      </c>
    </row>
    <row r="191" s="2" customFormat="1">
      <c r="A191" s="40"/>
      <c r="B191" s="41"/>
      <c r="C191" s="42"/>
      <c r="D191" s="229" t="s">
        <v>355</v>
      </c>
      <c r="E191" s="42"/>
      <c r="F191" s="281" t="s">
        <v>2731</v>
      </c>
      <c r="G191" s="42"/>
      <c r="H191" s="42"/>
      <c r="I191" s="224"/>
      <c r="J191" s="42"/>
      <c r="K191" s="42"/>
      <c r="L191" s="46"/>
      <c r="M191" s="225"/>
      <c r="N191" s="226"/>
      <c r="O191" s="86"/>
      <c r="P191" s="86"/>
      <c r="Q191" s="86"/>
      <c r="R191" s="86"/>
      <c r="S191" s="86"/>
      <c r="T191" s="87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T191" s="18" t="s">
        <v>355</v>
      </c>
      <c r="AU191" s="18" t="s">
        <v>86</v>
      </c>
    </row>
    <row r="192" s="2" customFormat="1" ht="16.5" customHeight="1">
      <c r="A192" s="40"/>
      <c r="B192" s="41"/>
      <c r="C192" s="209" t="s">
        <v>791</v>
      </c>
      <c r="D192" s="209" t="s">
        <v>202</v>
      </c>
      <c r="E192" s="210" t="s">
        <v>2796</v>
      </c>
      <c r="F192" s="211" t="s">
        <v>2733</v>
      </c>
      <c r="G192" s="212" t="s">
        <v>1436</v>
      </c>
      <c r="H192" s="213">
        <v>2</v>
      </c>
      <c r="I192" s="214"/>
      <c r="J192" s="215">
        <f>ROUND(I192*H192,1)</f>
        <v>0</v>
      </c>
      <c r="K192" s="211" t="s">
        <v>32</v>
      </c>
      <c r="L192" s="46"/>
      <c r="M192" s="216" t="s">
        <v>32</v>
      </c>
      <c r="N192" s="217" t="s">
        <v>49</v>
      </c>
      <c r="O192" s="86"/>
      <c r="P192" s="218">
        <f>O192*H192</f>
        <v>0</v>
      </c>
      <c r="Q192" s="218">
        <v>0.10000000000000001</v>
      </c>
      <c r="R192" s="218">
        <f>Q192*H192</f>
        <v>0.20000000000000001</v>
      </c>
      <c r="S192" s="218">
        <v>0</v>
      </c>
      <c r="T192" s="219">
        <f>S192*H192</f>
        <v>0</v>
      </c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R192" s="220" t="s">
        <v>207</v>
      </c>
      <c r="AT192" s="220" t="s">
        <v>202</v>
      </c>
      <c r="AU192" s="220" t="s">
        <v>86</v>
      </c>
      <c r="AY192" s="18" t="s">
        <v>200</v>
      </c>
      <c r="BE192" s="221">
        <f>IF(N192="základní",J192,0)</f>
        <v>0</v>
      </c>
      <c r="BF192" s="221">
        <f>IF(N192="snížená",J192,0)</f>
        <v>0</v>
      </c>
      <c r="BG192" s="221">
        <f>IF(N192="zákl. přenesená",J192,0)</f>
        <v>0</v>
      </c>
      <c r="BH192" s="221">
        <f>IF(N192="sníž. přenesená",J192,0)</f>
        <v>0</v>
      </c>
      <c r="BI192" s="221">
        <f>IF(N192="nulová",J192,0)</f>
        <v>0</v>
      </c>
      <c r="BJ192" s="18" t="s">
        <v>86</v>
      </c>
      <c r="BK192" s="221">
        <f>ROUND(I192*H192,1)</f>
        <v>0</v>
      </c>
      <c r="BL192" s="18" t="s">
        <v>207</v>
      </c>
      <c r="BM192" s="220" t="s">
        <v>1257</v>
      </c>
    </row>
    <row r="193" s="2" customFormat="1" ht="16.5" customHeight="1">
      <c r="A193" s="40"/>
      <c r="B193" s="41"/>
      <c r="C193" s="209" t="s">
        <v>797</v>
      </c>
      <c r="D193" s="209" t="s">
        <v>202</v>
      </c>
      <c r="E193" s="210" t="s">
        <v>2797</v>
      </c>
      <c r="F193" s="211" t="s">
        <v>2735</v>
      </c>
      <c r="G193" s="212" t="s">
        <v>1436</v>
      </c>
      <c r="H193" s="213">
        <v>1</v>
      </c>
      <c r="I193" s="214"/>
      <c r="J193" s="215">
        <f>ROUND(I193*H193,1)</f>
        <v>0</v>
      </c>
      <c r="K193" s="211" t="s">
        <v>32</v>
      </c>
      <c r="L193" s="46"/>
      <c r="M193" s="216" t="s">
        <v>32</v>
      </c>
      <c r="N193" s="217" t="s">
        <v>49</v>
      </c>
      <c r="O193" s="86"/>
      <c r="P193" s="218">
        <f>O193*H193</f>
        <v>0</v>
      </c>
      <c r="Q193" s="218">
        <v>0.10000000000000001</v>
      </c>
      <c r="R193" s="218">
        <f>Q193*H193</f>
        <v>0.10000000000000001</v>
      </c>
      <c r="S193" s="218">
        <v>0</v>
      </c>
      <c r="T193" s="219">
        <f>S193*H193</f>
        <v>0</v>
      </c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R193" s="220" t="s">
        <v>207</v>
      </c>
      <c r="AT193" s="220" t="s">
        <v>202</v>
      </c>
      <c r="AU193" s="220" t="s">
        <v>86</v>
      </c>
      <c r="AY193" s="18" t="s">
        <v>200</v>
      </c>
      <c r="BE193" s="221">
        <f>IF(N193="základní",J193,0)</f>
        <v>0</v>
      </c>
      <c r="BF193" s="221">
        <f>IF(N193="snížená",J193,0)</f>
        <v>0</v>
      </c>
      <c r="BG193" s="221">
        <f>IF(N193="zákl. přenesená",J193,0)</f>
        <v>0</v>
      </c>
      <c r="BH193" s="221">
        <f>IF(N193="sníž. přenesená",J193,0)</f>
        <v>0</v>
      </c>
      <c r="BI193" s="221">
        <f>IF(N193="nulová",J193,0)</f>
        <v>0</v>
      </c>
      <c r="BJ193" s="18" t="s">
        <v>86</v>
      </c>
      <c r="BK193" s="221">
        <f>ROUND(I193*H193,1)</f>
        <v>0</v>
      </c>
      <c r="BL193" s="18" t="s">
        <v>207</v>
      </c>
      <c r="BM193" s="220" t="s">
        <v>1268</v>
      </c>
    </row>
    <row r="194" s="2" customFormat="1" ht="16.5" customHeight="1">
      <c r="A194" s="40"/>
      <c r="B194" s="41"/>
      <c r="C194" s="209" t="s">
        <v>803</v>
      </c>
      <c r="D194" s="209" t="s">
        <v>202</v>
      </c>
      <c r="E194" s="210" t="s">
        <v>2798</v>
      </c>
      <c r="F194" s="211" t="s">
        <v>2737</v>
      </c>
      <c r="G194" s="212" t="s">
        <v>1436</v>
      </c>
      <c r="H194" s="213">
        <v>1</v>
      </c>
      <c r="I194" s="214"/>
      <c r="J194" s="215">
        <f>ROUND(I194*H194,1)</f>
        <v>0</v>
      </c>
      <c r="K194" s="211" t="s">
        <v>32</v>
      </c>
      <c r="L194" s="46"/>
      <c r="M194" s="216" t="s">
        <v>32</v>
      </c>
      <c r="N194" s="217" t="s">
        <v>49</v>
      </c>
      <c r="O194" s="86"/>
      <c r="P194" s="218">
        <f>O194*H194</f>
        <v>0</v>
      </c>
      <c r="Q194" s="218">
        <v>6.2999999999999998</v>
      </c>
      <c r="R194" s="218">
        <f>Q194*H194</f>
        <v>6.2999999999999998</v>
      </c>
      <c r="S194" s="218">
        <v>0</v>
      </c>
      <c r="T194" s="219">
        <f>S194*H194</f>
        <v>0</v>
      </c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R194" s="220" t="s">
        <v>207</v>
      </c>
      <c r="AT194" s="220" t="s">
        <v>202</v>
      </c>
      <c r="AU194" s="220" t="s">
        <v>86</v>
      </c>
      <c r="AY194" s="18" t="s">
        <v>200</v>
      </c>
      <c r="BE194" s="221">
        <f>IF(N194="základní",J194,0)</f>
        <v>0</v>
      </c>
      <c r="BF194" s="221">
        <f>IF(N194="snížená",J194,0)</f>
        <v>0</v>
      </c>
      <c r="BG194" s="221">
        <f>IF(N194="zákl. přenesená",J194,0)</f>
        <v>0</v>
      </c>
      <c r="BH194" s="221">
        <f>IF(N194="sníž. přenesená",J194,0)</f>
        <v>0</v>
      </c>
      <c r="BI194" s="221">
        <f>IF(N194="nulová",J194,0)</f>
        <v>0</v>
      </c>
      <c r="BJ194" s="18" t="s">
        <v>86</v>
      </c>
      <c r="BK194" s="221">
        <f>ROUND(I194*H194,1)</f>
        <v>0</v>
      </c>
      <c r="BL194" s="18" t="s">
        <v>207</v>
      </c>
      <c r="BM194" s="220" t="s">
        <v>1281</v>
      </c>
    </row>
    <row r="195" s="2" customFormat="1" ht="16.5" customHeight="1">
      <c r="A195" s="40"/>
      <c r="B195" s="41"/>
      <c r="C195" s="209" t="s">
        <v>813</v>
      </c>
      <c r="D195" s="209" t="s">
        <v>202</v>
      </c>
      <c r="E195" s="210" t="s">
        <v>2799</v>
      </c>
      <c r="F195" s="211" t="s">
        <v>2739</v>
      </c>
      <c r="G195" s="212" t="s">
        <v>1436</v>
      </c>
      <c r="H195" s="213">
        <v>2</v>
      </c>
      <c r="I195" s="214"/>
      <c r="J195" s="215">
        <f>ROUND(I195*H195,1)</f>
        <v>0</v>
      </c>
      <c r="K195" s="211" t="s">
        <v>32</v>
      </c>
      <c r="L195" s="46"/>
      <c r="M195" s="216" t="s">
        <v>32</v>
      </c>
      <c r="N195" s="217" t="s">
        <v>49</v>
      </c>
      <c r="O195" s="86"/>
      <c r="P195" s="218">
        <f>O195*H195</f>
        <v>0</v>
      </c>
      <c r="Q195" s="218">
        <v>1.5</v>
      </c>
      <c r="R195" s="218">
        <f>Q195*H195</f>
        <v>3</v>
      </c>
      <c r="S195" s="218">
        <v>0</v>
      </c>
      <c r="T195" s="219">
        <f>S195*H195</f>
        <v>0</v>
      </c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R195" s="220" t="s">
        <v>207</v>
      </c>
      <c r="AT195" s="220" t="s">
        <v>202</v>
      </c>
      <c r="AU195" s="220" t="s">
        <v>86</v>
      </c>
      <c r="AY195" s="18" t="s">
        <v>200</v>
      </c>
      <c r="BE195" s="221">
        <f>IF(N195="základní",J195,0)</f>
        <v>0</v>
      </c>
      <c r="BF195" s="221">
        <f>IF(N195="snížená",J195,0)</f>
        <v>0</v>
      </c>
      <c r="BG195" s="221">
        <f>IF(N195="zákl. přenesená",J195,0)</f>
        <v>0</v>
      </c>
      <c r="BH195" s="221">
        <f>IF(N195="sníž. přenesená",J195,0)</f>
        <v>0</v>
      </c>
      <c r="BI195" s="221">
        <f>IF(N195="nulová",J195,0)</f>
        <v>0</v>
      </c>
      <c r="BJ195" s="18" t="s">
        <v>86</v>
      </c>
      <c r="BK195" s="221">
        <f>ROUND(I195*H195,1)</f>
        <v>0</v>
      </c>
      <c r="BL195" s="18" t="s">
        <v>207</v>
      </c>
      <c r="BM195" s="220" t="s">
        <v>1296</v>
      </c>
    </row>
    <row r="196" s="2" customFormat="1" ht="16.5" customHeight="1">
      <c r="A196" s="40"/>
      <c r="B196" s="41"/>
      <c r="C196" s="209" t="s">
        <v>835</v>
      </c>
      <c r="D196" s="209" t="s">
        <v>202</v>
      </c>
      <c r="E196" s="210" t="s">
        <v>2800</v>
      </c>
      <c r="F196" s="211" t="s">
        <v>2713</v>
      </c>
      <c r="G196" s="212" t="s">
        <v>1436</v>
      </c>
      <c r="H196" s="213">
        <v>1</v>
      </c>
      <c r="I196" s="214"/>
      <c r="J196" s="215">
        <f>ROUND(I196*H196,1)</f>
        <v>0</v>
      </c>
      <c r="K196" s="211" t="s">
        <v>32</v>
      </c>
      <c r="L196" s="46"/>
      <c r="M196" s="216" t="s">
        <v>32</v>
      </c>
      <c r="N196" s="217" t="s">
        <v>49</v>
      </c>
      <c r="O196" s="86"/>
      <c r="P196" s="218">
        <f>O196*H196</f>
        <v>0</v>
      </c>
      <c r="Q196" s="218">
        <v>0.59999999999999998</v>
      </c>
      <c r="R196" s="218">
        <f>Q196*H196</f>
        <v>0.59999999999999998</v>
      </c>
      <c r="S196" s="218">
        <v>0</v>
      </c>
      <c r="T196" s="219">
        <f>S196*H196</f>
        <v>0</v>
      </c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R196" s="220" t="s">
        <v>207</v>
      </c>
      <c r="AT196" s="220" t="s">
        <v>202</v>
      </c>
      <c r="AU196" s="220" t="s">
        <v>86</v>
      </c>
      <c r="AY196" s="18" t="s">
        <v>200</v>
      </c>
      <c r="BE196" s="221">
        <f>IF(N196="základní",J196,0)</f>
        <v>0</v>
      </c>
      <c r="BF196" s="221">
        <f>IF(N196="snížená",J196,0)</f>
        <v>0</v>
      </c>
      <c r="BG196" s="221">
        <f>IF(N196="zákl. přenesená",J196,0)</f>
        <v>0</v>
      </c>
      <c r="BH196" s="221">
        <f>IF(N196="sníž. přenesená",J196,0)</f>
        <v>0</v>
      </c>
      <c r="BI196" s="221">
        <f>IF(N196="nulová",J196,0)</f>
        <v>0</v>
      </c>
      <c r="BJ196" s="18" t="s">
        <v>86</v>
      </c>
      <c r="BK196" s="221">
        <f>ROUND(I196*H196,1)</f>
        <v>0</v>
      </c>
      <c r="BL196" s="18" t="s">
        <v>207</v>
      </c>
      <c r="BM196" s="220" t="s">
        <v>1309</v>
      </c>
    </row>
    <row r="197" s="2" customFormat="1" ht="16.5" customHeight="1">
      <c r="A197" s="40"/>
      <c r="B197" s="41"/>
      <c r="C197" s="209" t="s">
        <v>840</v>
      </c>
      <c r="D197" s="209" t="s">
        <v>202</v>
      </c>
      <c r="E197" s="210" t="s">
        <v>2801</v>
      </c>
      <c r="F197" s="211" t="s">
        <v>2802</v>
      </c>
      <c r="G197" s="212" t="s">
        <v>2670</v>
      </c>
      <c r="H197" s="213">
        <v>6</v>
      </c>
      <c r="I197" s="214"/>
      <c r="J197" s="215">
        <f>ROUND(I197*H197,1)</f>
        <v>0</v>
      </c>
      <c r="K197" s="211" t="s">
        <v>32</v>
      </c>
      <c r="L197" s="46"/>
      <c r="M197" s="216" t="s">
        <v>32</v>
      </c>
      <c r="N197" s="217" t="s">
        <v>49</v>
      </c>
      <c r="O197" s="86"/>
      <c r="P197" s="218">
        <f>O197*H197</f>
        <v>0</v>
      </c>
      <c r="Q197" s="218">
        <v>2.2000000000000002</v>
      </c>
      <c r="R197" s="218">
        <f>Q197*H197</f>
        <v>13.200000000000001</v>
      </c>
      <c r="S197" s="218">
        <v>0</v>
      </c>
      <c r="T197" s="219">
        <f>S197*H197</f>
        <v>0</v>
      </c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0" t="s">
        <v>207</v>
      </c>
      <c r="AT197" s="220" t="s">
        <v>202</v>
      </c>
      <c r="AU197" s="220" t="s">
        <v>86</v>
      </c>
      <c r="AY197" s="18" t="s">
        <v>200</v>
      </c>
      <c r="BE197" s="221">
        <f>IF(N197="základní",J197,0)</f>
        <v>0</v>
      </c>
      <c r="BF197" s="221">
        <f>IF(N197="snížená",J197,0)</f>
        <v>0</v>
      </c>
      <c r="BG197" s="221">
        <f>IF(N197="zákl. přenesená",J197,0)</f>
        <v>0</v>
      </c>
      <c r="BH197" s="221">
        <f>IF(N197="sníž. přenesená",J197,0)</f>
        <v>0</v>
      </c>
      <c r="BI197" s="221">
        <f>IF(N197="nulová",J197,0)</f>
        <v>0</v>
      </c>
      <c r="BJ197" s="18" t="s">
        <v>86</v>
      </c>
      <c r="BK197" s="221">
        <f>ROUND(I197*H197,1)</f>
        <v>0</v>
      </c>
      <c r="BL197" s="18" t="s">
        <v>207</v>
      </c>
      <c r="BM197" s="220" t="s">
        <v>1322</v>
      </c>
    </row>
    <row r="198" s="12" customFormat="1" ht="25.92" customHeight="1">
      <c r="A198" s="12"/>
      <c r="B198" s="193"/>
      <c r="C198" s="194"/>
      <c r="D198" s="195" t="s">
        <v>77</v>
      </c>
      <c r="E198" s="196" t="s">
        <v>254</v>
      </c>
      <c r="F198" s="196" t="s">
        <v>2803</v>
      </c>
      <c r="G198" s="194"/>
      <c r="H198" s="194"/>
      <c r="I198" s="197"/>
      <c r="J198" s="198">
        <f>BK198</f>
        <v>0</v>
      </c>
      <c r="K198" s="194"/>
      <c r="L198" s="199"/>
      <c r="M198" s="200"/>
      <c r="N198" s="201"/>
      <c r="O198" s="201"/>
      <c r="P198" s="202">
        <f>SUM(P199:P204)</f>
        <v>0</v>
      </c>
      <c r="Q198" s="201"/>
      <c r="R198" s="202">
        <f>SUM(R199:R204)</f>
        <v>15.900000000000002</v>
      </c>
      <c r="S198" s="201"/>
      <c r="T198" s="203">
        <f>SUM(T199:T204)</f>
        <v>0</v>
      </c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R198" s="204" t="s">
        <v>86</v>
      </c>
      <c r="AT198" s="205" t="s">
        <v>77</v>
      </c>
      <c r="AU198" s="205" t="s">
        <v>78</v>
      </c>
      <c r="AY198" s="204" t="s">
        <v>200</v>
      </c>
      <c r="BK198" s="206">
        <f>SUM(BK199:BK204)</f>
        <v>0</v>
      </c>
    </row>
    <row r="199" s="2" customFormat="1" ht="16.5" customHeight="1">
      <c r="A199" s="40"/>
      <c r="B199" s="41"/>
      <c r="C199" s="209" t="s">
        <v>844</v>
      </c>
      <c r="D199" s="209" t="s">
        <v>202</v>
      </c>
      <c r="E199" s="210" t="s">
        <v>2804</v>
      </c>
      <c r="F199" s="211" t="s">
        <v>2805</v>
      </c>
      <c r="G199" s="212" t="s">
        <v>1436</v>
      </c>
      <c r="H199" s="213">
        <v>1</v>
      </c>
      <c r="I199" s="214"/>
      <c r="J199" s="215">
        <f>ROUND(I199*H199,1)</f>
        <v>0</v>
      </c>
      <c r="K199" s="211" t="s">
        <v>32</v>
      </c>
      <c r="L199" s="46"/>
      <c r="M199" s="216" t="s">
        <v>32</v>
      </c>
      <c r="N199" s="217" t="s">
        <v>49</v>
      </c>
      <c r="O199" s="86"/>
      <c r="P199" s="218">
        <f>O199*H199</f>
        <v>0</v>
      </c>
      <c r="Q199" s="218">
        <v>2</v>
      </c>
      <c r="R199" s="218">
        <f>Q199*H199</f>
        <v>2</v>
      </c>
      <c r="S199" s="218">
        <v>0</v>
      </c>
      <c r="T199" s="219">
        <f>S199*H199</f>
        <v>0</v>
      </c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R199" s="220" t="s">
        <v>207</v>
      </c>
      <c r="AT199" s="220" t="s">
        <v>202</v>
      </c>
      <c r="AU199" s="220" t="s">
        <v>86</v>
      </c>
      <c r="AY199" s="18" t="s">
        <v>200</v>
      </c>
      <c r="BE199" s="221">
        <f>IF(N199="základní",J199,0)</f>
        <v>0</v>
      </c>
      <c r="BF199" s="221">
        <f>IF(N199="snížená",J199,0)</f>
        <v>0</v>
      </c>
      <c r="BG199" s="221">
        <f>IF(N199="zákl. přenesená",J199,0)</f>
        <v>0</v>
      </c>
      <c r="BH199" s="221">
        <f>IF(N199="sníž. přenesená",J199,0)</f>
        <v>0</v>
      </c>
      <c r="BI199" s="221">
        <f>IF(N199="nulová",J199,0)</f>
        <v>0</v>
      </c>
      <c r="BJ199" s="18" t="s">
        <v>86</v>
      </c>
      <c r="BK199" s="221">
        <f>ROUND(I199*H199,1)</f>
        <v>0</v>
      </c>
      <c r="BL199" s="18" t="s">
        <v>207</v>
      </c>
      <c r="BM199" s="220" t="s">
        <v>1335</v>
      </c>
    </row>
    <row r="200" s="2" customFormat="1">
      <c r="A200" s="40"/>
      <c r="B200" s="41"/>
      <c r="C200" s="42"/>
      <c r="D200" s="229" t="s">
        <v>355</v>
      </c>
      <c r="E200" s="42"/>
      <c r="F200" s="281" t="s">
        <v>2731</v>
      </c>
      <c r="G200" s="42"/>
      <c r="H200" s="42"/>
      <c r="I200" s="224"/>
      <c r="J200" s="42"/>
      <c r="K200" s="42"/>
      <c r="L200" s="46"/>
      <c r="M200" s="225"/>
      <c r="N200" s="226"/>
      <c r="O200" s="86"/>
      <c r="P200" s="86"/>
      <c r="Q200" s="86"/>
      <c r="R200" s="86"/>
      <c r="S200" s="86"/>
      <c r="T200" s="87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T200" s="18" t="s">
        <v>355</v>
      </c>
      <c r="AU200" s="18" t="s">
        <v>86</v>
      </c>
    </row>
    <row r="201" s="2" customFormat="1" ht="16.5" customHeight="1">
      <c r="A201" s="40"/>
      <c r="B201" s="41"/>
      <c r="C201" s="209" t="s">
        <v>851</v>
      </c>
      <c r="D201" s="209" t="s">
        <v>202</v>
      </c>
      <c r="E201" s="210" t="s">
        <v>2806</v>
      </c>
      <c r="F201" s="211" t="s">
        <v>2807</v>
      </c>
      <c r="G201" s="212" t="s">
        <v>1436</v>
      </c>
      <c r="H201" s="213">
        <v>2</v>
      </c>
      <c r="I201" s="214"/>
      <c r="J201" s="215">
        <f>ROUND(I201*H201,1)</f>
        <v>0</v>
      </c>
      <c r="K201" s="211" t="s">
        <v>32</v>
      </c>
      <c r="L201" s="46"/>
      <c r="M201" s="216" t="s">
        <v>32</v>
      </c>
      <c r="N201" s="217" t="s">
        <v>49</v>
      </c>
      <c r="O201" s="86"/>
      <c r="P201" s="218">
        <f>O201*H201</f>
        <v>0</v>
      </c>
      <c r="Q201" s="218">
        <v>0.10000000000000001</v>
      </c>
      <c r="R201" s="218">
        <f>Q201*H201</f>
        <v>0.20000000000000001</v>
      </c>
      <c r="S201" s="218">
        <v>0</v>
      </c>
      <c r="T201" s="219">
        <f>S201*H201</f>
        <v>0</v>
      </c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R201" s="220" t="s">
        <v>207</v>
      </c>
      <c r="AT201" s="220" t="s">
        <v>202</v>
      </c>
      <c r="AU201" s="220" t="s">
        <v>86</v>
      </c>
      <c r="AY201" s="18" t="s">
        <v>200</v>
      </c>
      <c r="BE201" s="221">
        <f>IF(N201="základní",J201,0)</f>
        <v>0</v>
      </c>
      <c r="BF201" s="221">
        <f>IF(N201="snížená",J201,0)</f>
        <v>0</v>
      </c>
      <c r="BG201" s="221">
        <f>IF(N201="zákl. přenesená",J201,0)</f>
        <v>0</v>
      </c>
      <c r="BH201" s="221">
        <f>IF(N201="sníž. přenesená",J201,0)</f>
        <v>0</v>
      </c>
      <c r="BI201" s="221">
        <f>IF(N201="nulová",J201,0)</f>
        <v>0</v>
      </c>
      <c r="BJ201" s="18" t="s">
        <v>86</v>
      </c>
      <c r="BK201" s="221">
        <f>ROUND(I201*H201,1)</f>
        <v>0</v>
      </c>
      <c r="BL201" s="18" t="s">
        <v>207</v>
      </c>
      <c r="BM201" s="220" t="s">
        <v>1347</v>
      </c>
    </row>
    <row r="202" s="2" customFormat="1" ht="16.5" customHeight="1">
      <c r="A202" s="40"/>
      <c r="B202" s="41"/>
      <c r="C202" s="209" t="s">
        <v>856</v>
      </c>
      <c r="D202" s="209" t="s">
        <v>202</v>
      </c>
      <c r="E202" s="210" t="s">
        <v>2808</v>
      </c>
      <c r="F202" s="211" t="s">
        <v>2809</v>
      </c>
      <c r="G202" s="212" t="s">
        <v>1436</v>
      </c>
      <c r="H202" s="213">
        <v>1</v>
      </c>
      <c r="I202" s="214"/>
      <c r="J202" s="215">
        <f>ROUND(I202*H202,1)</f>
        <v>0</v>
      </c>
      <c r="K202" s="211" t="s">
        <v>32</v>
      </c>
      <c r="L202" s="46"/>
      <c r="M202" s="216" t="s">
        <v>32</v>
      </c>
      <c r="N202" s="217" t="s">
        <v>49</v>
      </c>
      <c r="O202" s="86"/>
      <c r="P202" s="218">
        <f>O202*H202</f>
        <v>0</v>
      </c>
      <c r="Q202" s="218">
        <v>0.10000000000000001</v>
      </c>
      <c r="R202" s="218">
        <f>Q202*H202</f>
        <v>0.10000000000000001</v>
      </c>
      <c r="S202" s="218">
        <v>0</v>
      </c>
      <c r="T202" s="219">
        <f>S202*H202</f>
        <v>0</v>
      </c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R202" s="220" t="s">
        <v>207</v>
      </c>
      <c r="AT202" s="220" t="s">
        <v>202</v>
      </c>
      <c r="AU202" s="220" t="s">
        <v>86</v>
      </c>
      <c r="AY202" s="18" t="s">
        <v>200</v>
      </c>
      <c r="BE202" s="221">
        <f>IF(N202="základní",J202,0)</f>
        <v>0</v>
      </c>
      <c r="BF202" s="221">
        <f>IF(N202="snížená",J202,0)</f>
        <v>0</v>
      </c>
      <c r="BG202" s="221">
        <f>IF(N202="zákl. přenesená",J202,0)</f>
        <v>0</v>
      </c>
      <c r="BH202" s="221">
        <f>IF(N202="sníž. přenesená",J202,0)</f>
        <v>0</v>
      </c>
      <c r="BI202" s="221">
        <f>IF(N202="nulová",J202,0)</f>
        <v>0</v>
      </c>
      <c r="BJ202" s="18" t="s">
        <v>86</v>
      </c>
      <c r="BK202" s="221">
        <f>ROUND(I202*H202,1)</f>
        <v>0</v>
      </c>
      <c r="BL202" s="18" t="s">
        <v>207</v>
      </c>
      <c r="BM202" s="220" t="s">
        <v>1364</v>
      </c>
    </row>
    <row r="203" s="2" customFormat="1" ht="16.5" customHeight="1">
      <c r="A203" s="40"/>
      <c r="B203" s="41"/>
      <c r="C203" s="209" t="s">
        <v>867</v>
      </c>
      <c r="D203" s="209" t="s">
        <v>202</v>
      </c>
      <c r="E203" s="210" t="s">
        <v>2810</v>
      </c>
      <c r="F203" s="211" t="s">
        <v>2745</v>
      </c>
      <c r="G203" s="212" t="s">
        <v>1436</v>
      </c>
      <c r="H203" s="213">
        <v>1</v>
      </c>
      <c r="I203" s="214"/>
      <c r="J203" s="215">
        <f>ROUND(I203*H203,1)</f>
        <v>0</v>
      </c>
      <c r="K203" s="211" t="s">
        <v>32</v>
      </c>
      <c r="L203" s="46"/>
      <c r="M203" s="216" t="s">
        <v>32</v>
      </c>
      <c r="N203" s="217" t="s">
        <v>49</v>
      </c>
      <c r="O203" s="86"/>
      <c r="P203" s="218">
        <f>O203*H203</f>
        <v>0</v>
      </c>
      <c r="Q203" s="218">
        <v>0.40000000000000002</v>
      </c>
      <c r="R203" s="218">
        <f>Q203*H203</f>
        <v>0.40000000000000002</v>
      </c>
      <c r="S203" s="218">
        <v>0</v>
      </c>
      <c r="T203" s="219">
        <f>S203*H203</f>
        <v>0</v>
      </c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R203" s="220" t="s">
        <v>207</v>
      </c>
      <c r="AT203" s="220" t="s">
        <v>202</v>
      </c>
      <c r="AU203" s="220" t="s">
        <v>86</v>
      </c>
      <c r="AY203" s="18" t="s">
        <v>200</v>
      </c>
      <c r="BE203" s="221">
        <f>IF(N203="základní",J203,0)</f>
        <v>0</v>
      </c>
      <c r="BF203" s="221">
        <f>IF(N203="snížená",J203,0)</f>
        <v>0</v>
      </c>
      <c r="BG203" s="221">
        <f>IF(N203="zákl. přenesená",J203,0)</f>
        <v>0</v>
      </c>
      <c r="BH203" s="221">
        <f>IF(N203="sníž. přenesená",J203,0)</f>
        <v>0</v>
      </c>
      <c r="BI203" s="221">
        <f>IF(N203="nulová",J203,0)</f>
        <v>0</v>
      </c>
      <c r="BJ203" s="18" t="s">
        <v>86</v>
      </c>
      <c r="BK203" s="221">
        <f>ROUND(I203*H203,1)</f>
        <v>0</v>
      </c>
      <c r="BL203" s="18" t="s">
        <v>207</v>
      </c>
      <c r="BM203" s="220" t="s">
        <v>1376</v>
      </c>
    </row>
    <row r="204" s="2" customFormat="1" ht="16.5" customHeight="1">
      <c r="A204" s="40"/>
      <c r="B204" s="41"/>
      <c r="C204" s="209" t="s">
        <v>872</v>
      </c>
      <c r="D204" s="209" t="s">
        <v>202</v>
      </c>
      <c r="E204" s="210" t="s">
        <v>2811</v>
      </c>
      <c r="F204" s="211" t="s">
        <v>2802</v>
      </c>
      <c r="G204" s="212" t="s">
        <v>2670</v>
      </c>
      <c r="H204" s="213">
        <v>6</v>
      </c>
      <c r="I204" s="214"/>
      <c r="J204" s="215">
        <f>ROUND(I204*H204,1)</f>
        <v>0</v>
      </c>
      <c r="K204" s="211" t="s">
        <v>32</v>
      </c>
      <c r="L204" s="46"/>
      <c r="M204" s="216" t="s">
        <v>32</v>
      </c>
      <c r="N204" s="217" t="s">
        <v>49</v>
      </c>
      <c r="O204" s="86"/>
      <c r="P204" s="218">
        <f>O204*H204</f>
        <v>0</v>
      </c>
      <c r="Q204" s="218">
        <v>2.2000000000000002</v>
      </c>
      <c r="R204" s="218">
        <f>Q204*H204</f>
        <v>13.200000000000001</v>
      </c>
      <c r="S204" s="218">
        <v>0</v>
      </c>
      <c r="T204" s="219">
        <f>S204*H204</f>
        <v>0</v>
      </c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R204" s="220" t="s">
        <v>207</v>
      </c>
      <c r="AT204" s="220" t="s">
        <v>202</v>
      </c>
      <c r="AU204" s="220" t="s">
        <v>86</v>
      </c>
      <c r="AY204" s="18" t="s">
        <v>200</v>
      </c>
      <c r="BE204" s="221">
        <f>IF(N204="základní",J204,0)</f>
        <v>0</v>
      </c>
      <c r="BF204" s="221">
        <f>IF(N204="snížená",J204,0)</f>
        <v>0</v>
      </c>
      <c r="BG204" s="221">
        <f>IF(N204="zákl. přenesená",J204,0)</f>
        <v>0</v>
      </c>
      <c r="BH204" s="221">
        <f>IF(N204="sníž. přenesená",J204,0)</f>
        <v>0</v>
      </c>
      <c r="BI204" s="221">
        <f>IF(N204="nulová",J204,0)</f>
        <v>0</v>
      </c>
      <c r="BJ204" s="18" t="s">
        <v>86</v>
      </c>
      <c r="BK204" s="221">
        <f>ROUND(I204*H204,1)</f>
        <v>0</v>
      </c>
      <c r="BL204" s="18" t="s">
        <v>207</v>
      </c>
      <c r="BM204" s="220" t="s">
        <v>1389</v>
      </c>
    </row>
    <row r="205" s="12" customFormat="1" ht="25.92" customHeight="1">
      <c r="A205" s="12"/>
      <c r="B205" s="193"/>
      <c r="C205" s="194"/>
      <c r="D205" s="195" t="s">
        <v>77</v>
      </c>
      <c r="E205" s="196" t="s">
        <v>261</v>
      </c>
      <c r="F205" s="196" t="s">
        <v>2812</v>
      </c>
      <c r="G205" s="194"/>
      <c r="H205" s="194"/>
      <c r="I205" s="197"/>
      <c r="J205" s="198">
        <f>BK205</f>
        <v>0</v>
      </c>
      <c r="K205" s="194"/>
      <c r="L205" s="199"/>
      <c r="M205" s="200"/>
      <c r="N205" s="201"/>
      <c r="O205" s="201"/>
      <c r="P205" s="202">
        <f>SUM(P206:P211)</f>
        <v>0</v>
      </c>
      <c r="Q205" s="201"/>
      <c r="R205" s="202">
        <f>SUM(R206:R211)</f>
        <v>49.900000000000006</v>
      </c>
      <c r="S205" s="201"/>
      <c r="T205" s="203">
        <f>SUM(T206:T211)</f>
        <v>0</v>
      </c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R205" s="204" t="s">
        <v>86</v>
      </c>
      <c r="AT205" s="205" t="s">
        <v>77</v>
      </c>
      <c r="AU205" s="205" t="s">
        <v>78</v>
      </c>
      <c r="AY205" s="204" t="s">
        <v>200</v>
      </c>
      <c r="BK205" s="206">
        <f>SUM(BK206:BK211)</f>
        <v>0</v>
      </c>
    </row>
    <row r="206" s="2" customFormat="1" ht="16.5" customHeight="1">
      <c r="A206" s="40"/>
      <c r="B206" s="41"/>
      <c r="C206" s="209" t="s">
        <v>884</v>
      </c>
      <c r="D206" s="209" t="s">
        <v>202</v>
      </c>
      <c r="E206" s="210" t="s">
        <v>2813</v>
      </c>
      <c r="F206" s="211" t="s">
        <v>2805</v>
      </c>
      <c r="G206" s="212" t="s">
        <v>1436</v>
      </c>
      <c r="H206" s="213">
        <v>1</v>
      </c>
      <c r="I206" s="214"/>
      <c r="J206" s="215">
        <f>ROUND(I206*H206,1)</f>
        <v>0</v>
      </c>
      <c r="K206" s="211" t="s">
        <v>32</v>
      </c>
      <c r="L206" s="46"/>
      <c r="M206" s="216" t="s">
        <v>32</v>
      </c>
      <c r="N206" s="217" t="s">
        <v>49</v>
      </c>
      <c r="O206" s="86"/>
      <c r="P206" s="218">
        <f>O206*H206</f>
        <v>0</v>
      </c>
      <c r="Q206" s="218">
        <v>2</v>
      </c>
      <c r="R206" s="218">
        <f>Q206*H206</f>
        <v>2</v>
      </c>
      <c r="S206" s="218">
        <v>0</v>
      </c>
      <c r="T206" s="219">
        <f>S206*H206</f>
        <v>0</v>
      </c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R206" s="220" t="s">
        <v>207</v>
      </c>
      <c r="AT206" s="220" t="s">
        <v>202</v>
      </c>
      <c r="AU206" s="220" t="s">
        <v>86</v>
      </c>
      <c r="AY206" s="18" t="s">
        <v>200</v>
      </c>
      <c r="BE206" s="221">
        <f>IF(N206="základní",J206,0)</f>
        <v>0</v>
      </c>
      <c r="BF206" s="221">
        <f>IF(N206="snížená",J206,0)</f>
        <v>0</v>
      </c>
      <c r="BG206" s="221">
        <f>IF(N206="zákl. přenesená",J206,0)</f>
        <v>0</v>
      </c>
      <c r="BH206" s="221">
        <f>IF(N206="sníž. přenesená",J206,0)</f>
        <v>0</v>
      </c>
      <c r="BI206" s="221">
        <f>IF(N206="nulová",J206,0)</f>
        <v>0</v>
      </c>
      <c r="BJ206" s="18" t="s">
        <v>86</v>
      </c>
      <c r="BK206" s="221">
        <f>ROUND(I206*H206,1)</f>
        <v>0</v>
      </c>
      <c r="BL206" s="18" t="s">
        <v>207</v>
      </c>
      <c r="BM206" s="220" t="s">
        <v>1401</v>
      </c>
    </row>
    <row r="207" s="2" customFormat="1">
      <c r="A207" s="40"/>
      <c r="B207" s="41"/>
      <c r="C207" s="42"/>
      <c r="D207" s="229" t="s">
        <v>355</v>
      </c>
      <c r="E207" s="42"/>
      <c r="F207" s="281" t="s">
        <v>2731</v>
      </c>
      <c r="G207" s="42"/>
      <c r="H207" s="42"/>
      <c r="I207" s="224"/>
      <c r="J207" s="42"/>
      <c r="K207" s="42"/>
      <c r="L207" s="46"/>
      <c r="M207" s="225"/>
      <c r="N207" s="226"/>
      <c r="O207" s="86"/>
      <c r="P207" s="86"/>
      <c r="Q207" s="86"/>
      <c r="R207" s="86"/>
      <c r="S207" s="86"/>
      <c r="T207" s="87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T207" s="18" t="s">
        <v>355</v>
      </c>
      <c r="AU207" s="18" t="s">
        <v>86</v>
      </c>
    </row>
    <row r="208" s="2" customFormat="1" ht="16.5" customHeight="1">
      <c r="A208" s="40"/>
      <c r="B208" s="41"/>
      <c r="C208" s="209" t="s">
        <v>889</v>
      </c>
      <c r="D208" s="209" t="s">
        <v>202</v>
      </c>
      <c r="E208" s="210" t="s">
        <v>2814</v>
      </c>
      <c r="F208" s="211" t="s">
        <v>2807</v>
      </c>
      <c r="G208" s="212" t="s">
        <v>1436</v>
      </c>
      <c r="H208" s="213">
        <v>2</v>
      </c>
      <c r="I208" s="214"/>
      <c r="J208" s="215">
        <f>ROUND(I208*H208,1)</f>
        <v>0</v>
      </c>
      <c r="K208" s="211" t="s">
        <v>32</v>
      </c>
      <c r="L208" s="46"/>
      <c r="M208" s="216" t="s">
        <v>32</v>
      </c>
      <c r="N208" s="217" t="s">
        <v>49</v>
      </c>
      <c r="O208" s="86"/>
      <c r="P208" s="218">
        <f>O208*H208</f>
        <v>0</v>
      </c>
      <c r="Q208" s="218">
        <v>0.10000000000000001</v>
      </c>
      <c r="R208" s="218">
        <f>Q208*H208</f>
        <v>0.20000000000000001</v>
      </c>
      <c r="S208" s="218">
        <v>0</v>
      </c>
      <c r="T208" s="219">
        <f>S208*H208</f>
        <v>0</v>
      </c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R208" s="220" t="s">
        <v>207</v>
      </c>
      <c r="AT208" s="220" t="s">
        <v>202</v>
      </c>
      <c r="AU208" s="220" t="s">
        <v>86</v>
      </c>
      <c r="AY208" s="18" t="s">
        <v>200</v>
      </c>
      <c r="BE208" s="221">
        <f>IF(N208="základní",J208,0)</f>
        <v>0</v>
      </c>
      <c r="BF208" s="221">
        <f>IF(N208="snížená",J208,0)</f>
        <v>0</v>
      </c>
      <c r="BG208" s="221">
        <f>IF(N208="zákl. přenesená",J208,0)</f>
        <v>0</v>
      </c>
      <c r="BH208" s="221">
        <f>IF(N208="sníž. přenesená",J208,0)</f>
        <v>0</v>
      </c>
      <c r="BI208" s="221">
        <f>IF(N208="nulová",J208,0)</f>
        <v>0</v>
      </c>
      <c r="BJ208" s="18" t="s">
        <v>86</v>
      </c>
      <c r="BK208" s="221">
        <f>ROUND(I208*H208,1)</f>
        <v>0</v>
      </c>
      <c r="BL208" s="18" t="s">
        <v>207</v>
      </c>
      <c r="BM208" s="220" t="s">
        <v>1410</v>
      </c>
    </row>
    <row r="209" s="2" customFormat="1" ht="16.5" customHeight="1">
      <c r="A209" s="40"/>
      <c r="B209" s="41"/>
      <c r="C209" s="209" t="s">
        <v>899</v>
      </c>
      <c r="D209" s="209" t="s">
        <v>202</v>
      </c>
      <c r="E209" s="210" t="s">
        <v>2815</v>
      </c>
      <c r="F209" s="211" t="s">
        <v>2816</v>
      </c>
      <c r="G209" s="212" t="s">
        <v>1436</v>
      </c>
      <c r="H209" s="213">
        <v>1</v>
      </c>
      <c r="I209" s="214"/>
      <c r="J209" s="215">
        <f>ROUND(I209*H209,1)</f>
        <v>0</v>
      </c>
      <c r="K209" s="211" t="s">
        <v>32</v>
      </c>
      <c r="L209" s="46"/>
      <c r="M209" s="216" t="s">
        <v>32</v>
      </c>
      <c r="N209" s="217" t="s">
        <v>49</v>
      </c>
      <c r="O209" s="86"/>
      <c r="P209" s="218">
        <f>O209*H209</f>
        <v>0</v>
      </c>
      <c r="Q209" s="218">
        <v>1.1000000000000001</v>
      </c>
      <c r="R209" s="218">
        <f>Q209*H209</f>
        <v>1.1000000000000001</v>
      </c>
      <c r="S209" s="218">
        <v>0</v>
      </c>
      <c r="T209" s="219">
        <f>S209*H209</f>
        <v>0</v>
      </c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R209" s="220" t="s">
        <v>207</v>
      </c>
      <c r="AT209" s="220" t="s">
        <v>202</v>
      </c>
      <c r="AU209" s="220" t="s">
        <v>86</v>
      </c>
      <c r="AY209" s="18" t="s">
        <v>200</v>
      </c>
      <c r="BE209" s="221">
        <f>IF(N209="základní",J209,0)</f>
        <v>0</v>
      </c>
      <c r="BF209" s="221">
        <f>IF(N209="snížená",J209,0)</f>
        <v>0</v>
      </c>
      <c r="BG209" s="221">
        <f>IF(N209="zákl. přenesená",J209,0)</f>
        <v>0</v>
      </c>
      <c r="BH209" s="221">
        <f>IF(N209="sníž. přenesená",J209,0)</f>
        <v>0</v>
      </c>
      <c r="BI209" s="221">
        <f>IF(N209="nulová",J209,0)</f>
        <v>0</v>
      </c>
      <c r="BJ209" s="18" t="s">
        <v>86</v>
      </c>
      <c r="BK209" s="221">
        <f>ROUND(I209*H209,1)</f>
        <v>0</v>
      </c>
      <c r="BL209" s="18" t="s">
        <v>207</v>
      </c>
      <c r="BM209" s="220" t="s">
        <v>1420</v>
      </c>
    </row>
    <row r="210" s="2" customFormat="1" ht="16.5" customHeight="1">
      <c r="A210" s="40"/>
      <c r="B210" s="41"/>
      <c r="C210" s="209" t="s">
        <v>904</v>
      </c>
      <c r="D210" s="209" t="s">
        <v>202</v>
      </c>
      <c r="E210" s="210" t="s">
        <v>2817</v>
      </c>
      <c r="F210" s="211" t="s">
        <v>2745</v>
      </c>
      <c r="G210" s="212" t="s">
        <v>1436</v>
      </c>
      <c r="H210" s="213">
        <v>1</v>
      </c>
      <c r="I210" s="214"/>
      <c r="J210" s="215">
        <f>ROUND(I210*H210,1)</f>
        <v>0</v>
      </c>
      <c r="K210" s="211" t="s">
        <v>32</v>
      </c>
      <c r="L210" s="46"/>
      <c r="M210" s="216" t="s">
        <v>32</v>
      </c>
      <c r="N210" s="217" t="s">
        <v>49</v>
      </c>
      <c r="O210" s="86"/>
      <c r="P210" s="218">
        <f>O210*H210</f>
        <v>0</v>
      </c>
      <c r="Q210" s="218">
        <v>0.40000000000000002</v>
      </c>
      <c r="R210" s="218">
        <f>Q210*H210</f>
        <v>0.40000000000000002</v>
      </c>
      <c r="S210" s="218">
        <v>0</v>
      </c>
      <c r="T210" s="219">
        <f>S210*H210</f>
        <v>0</v>
      </c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R210" s="220" t="s">
        <v>207</v>
      </c>
      <c r="AT210" s="220" t="s">
        <v>202</v>
      </c>
      <c r="AU210" s="220" t="s">
        <v>86</v>
      </c>
      <c r="AY210" s="18" t="s">
        <v>200</v>
      </c>
      <c r="BE210" s="221">
        <f>IF(N210="základní",J210,0)</f>
        <v>0</v>
      </c>
      <c r="BF210" s="221">
        <f>IF(N210="snížená",J210,0)</f>
        <v>0</v>
      </c>
      <c r="BG210" s="221">
        <f>IF(N210="zákl. přenesená",J210,0)</f>
        <v>0</v>
      </c>
      <c r="BH210" s="221">
        <f>IF(N210="sníž. přenesená",J210,0)</f>
        <v>0</v>
      </c>
      <c r="BI210" s="221">
        <f>IF(N210="nulová",J210,0)</f>
        <v>0</v>
      </c>
      <c r="BJ210" s="18" t="s">
        <v>86</v>
      </c>
      <c r="BK210" s="221">
        <f>ROUND(I210*H210,1)</f>
        <v>0</v>
      </c>
      <c r="BL210" s="18" t="s">
        <v>207</v>
      </c>
      <c r="BM210" s="220" t="s">
        <v>1433</v>
      </c>
    </row>
    <row r="211" s="2" customFormat="1" ht="16.5" customHeight="1">
      <c r="A211" s="40"/>
      <c r="B211" s="41"/>
      <c r="C211" s="209" t="s">
        <v>909</v>
      </c>
      <c r="D211" s="209" t="s">
        <v>202</v>
      </c>
      <c r="E211" s="210" t="s">
        <v>2818</v>
      </c>
      <c r="F211" s="211" t="s">
        <v>2777</v>
      </c>
      <c r="G211" s="212" t="s">
        <v>2670</v>
      </c>
      <c r="H211" s="213">
        <v>21</v>
      </c>
      <c r="I211" s="214"/>
      <c r="J211" s="215">
        <f>ROUND(I211*H211,1)</f>
        <v>0</v>
      </c>
      <c r="K211" s="211" t="s">
        <v>32</v>
      </c>
      <c r="L211" s="46"/>
      <c r="M211" s="216" t="s">
        <v>32</v>
      </c>
      <c r="N211" s="217" t="s">
        <v>49</v>
      </c>
      <c r="O211" s="86"/>
      <c r="P211" s="218">
        <f>O211*H211</f>
        <v>0</v>
      </c>
      <c r="Q211" s="218">
        <v>2.2000000000000002</v>
      </c>
      <c r="R211" s="218">
        <f>Q211*H211</f>
        <v>46.200000000000003</v>
      </c>
      <c r="S211" s="218">
        <v>0</v>
      </c>
      <c r="T211" s="219">
        <f>S211*H211</f>
        <v>0</v>
      </c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R211" s="220" t="s">
        <v>207</v>
      </c>
      <c r="AT211" s="220" t="s">
        <v>202</v>
      </c>
      <c r="AU211" s="220" t="s">
        <v>86</v>
      </c>
      <c r="AY211" s="18" t="s">
        <v>200</v>
      </c>
      <c r="BE211" s="221">
        <f>IF(N211="základní",J211,0)</f>
        <v>0</v>
      </c>
      <c r="BF211" s="221">
        <f>IF(N211="snížená",J211,0)</f>
        <v>0</v>
      </c>
      <c r="BG211" s="221">
        <f>IF(N211="zákl. přenesená",J211,0)</f>
        <v>0</v>
      </c>
      <c r="BH211" s="221">
        <f>IF(N211="sníž. přenesená",J211,0)</f>
        <v>0</v>
      </c>
      <c r="BI211" s="221">
        <f>IF(N211="nulová",J211,0)</f>
        <v>0</v>
      </c>
      <c r="BJ211" s="18" t="s">
        <v>86</v>
      </c>
      <c r="BK211" s="221">
        <f>ROUND(I211*H211,1)</f>
        <v>0</v>
      </c>
      <c r="BL211" s="18" t="s">
        <v>207</v>
      </c>
      <c r="BM211" s="220" t="s">
        <v>1443</v>
      </c>
    </row>
    <row r="212" s="12" customFormat="1" ht="25.92" customHeight="1">
      <c r="A212" s="12"/>
      <c r="B212" s="193"/>
      <c r="C212" s="194"/>
      <c r="D212" s="195" t="s">
        <v>77</v>
      </c>
      <c r="E212" s="196" t="s">
        <v>269</v>
      </c>
      <c r="F212" s="196" t="s">
        <v>2819</v>
      </c>
      <c r="G212" s="194"/>
      <c r="H212" s="194"/>
      <c r="I212" s="197"/>
      <c r="J212" s="198">
        <f>BK212</f>
        <v>0</v>
      </c>
      <c r="K212" s="194"/>
      <c r="L212" s="199"/>
      <c r="M212" s="200"/>
      <c r="N212" s="201"/>
      <c r="O212" s="201"/>
      <c r="P212" s="202">
        <f>P213</f>
        <v>0</v>
      </c>
      <c r="Q212" s="201"/>
      <c r="R212" s="202">
        <f>R213</f>
        <v>110</v>
      </c>
      <c r="S212" s="201"/>
      <c r="T212" s="203">
        <f>T213</f>
        <v>0</v>
      </c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R212" s="204" t="s">
        <v>86</v>
      </c>
      <c r="AT212" s="205" t="s">
        <v>77</v>
      </c>
      <c r="AU212" s="205" t="s">
        <v>78</v>
      </c>
      <c r="AY212" s="204" t="s">
        <v>200</v>
      </c>
      <c r="BK212" s="206">
        <f>BK213</f>
        <v>0</v>
      </c>
    </row>
    <row r="213" s="2" customFormat="1" ht="16.5" customHeight="1">
      <c r="A213" s="40"/>
      <c r="B213" s="41"/>
      <c r="C213" s="209" t="s">
        <v>916</v>
      </c>
      <c r="D213" s="209" t="s">
        <v>202</v>
      </c>
      <c r="E213" s="210" t="s">
        <v>2820</v>
      </c>
      <c r="F213" s="211" t="s">
        <v>2821</v>
      </c>
      <c r="G213" s="212" t="s">
        <v>1732</v>
      </c>
      <c r="H213" s="213">
        <v>110</v>
      </c>
      <c r="I213" s="214"/>
      <c r="J213" s="215">
        <f>ROUND(I213*H213,1)</f>
        <v>0</v>
      </c>
      <c r="K213" s="211" t="s">
        <v>32</v>
      </c>
      <c r="L213" s="46"/>
      <c r="M213" s="216" t="s">
        <v>32</v>
      </c>
      <c r="N213" s="217" t="s">
        <v>49</v>
      </c>
      <c r="O213" s="86"/>
      <c r="P213" s="218">
        <f>O213*H213</f>
        <v>0</v>
      </c>
      <c r="Q213" s="218">
        <v>1</v>
      </c>
      <c r="R213" s="218">
        <f>Q213*H213</f>
        <v>110</v>
      </c>
      <c r="S213" s="218">
        <v>0</v>
      </c>
      <c r="T213" s="219">
        <f>S213*H213</f>
        <v>0</v>
      </c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R213" s="220" t="s">
        <v>207</v>
      </c>
      <c r="AT213" s="220" t="s">
        <v>202</v>
      </c>
      <c r="AU213" s="220" t="s">
        <v>86</v>
      </c>
      <c r="AY213" s="18" t="s">
        <v>200</v>
      </c>
      <c r="BE213" s="221">
        <f>IF(N213="základní",J213,0)</f>
        <v>0</v>
      </c>
      <c r="BF213" s="221">
        <f>IF(N213="snížená",J213,0)</f>
        <v>0</v>
      </c>
      <c r="BG213" s="221">
        <f>IF(N213="zákl. přenesená",J213,0)</f>
        <v>0</v>
      </c>
      <c r="BH213" s="221">
        <f>IF(N213="sníž. přenesená",J213,0)</f>
        <v>0</v>
      </c>
      <c r="BI213" s="221">
        <f>IF(N213="nulová",J213,0)</f>
        <v>0</v>
      </c>
      <c r="BJ213" s="18" t="s">
        <v>86</v>
      </c>
      <c r="BK213" s="221">
        <f>ROUND(I213*H213,1)</f>
        <v>0</v>
      </c>
      <c r="BL213" s="18" t="s">
        <v>207</v>
      </c>
      <c r="BM213" s="220" t="s">
        <v>1453</v>
      </c>
    </row>
    <row r="214" s="12" customFormat="1" ht="25.92" customHeight="1">
      <c r="A214" s="12"/>
      <c r="B214" s="193"/>
      <c r="C214" s="194"/>
      <c r="D214" s="195" t="s">
        <v>77</v>
      </c>
      <c r="E214" s="196" t="s">
        <v>277</v>
      </c>
      <c r="F214" s="196" t="s">
        <v>2822</v>
      </c>
      <c r="G214" s="194"/>
      <c r="H214" s="194"/>
      <c r="I214" s="197"/>
      <c r="J214" s="198">
        <f>BK214</f>
        <v>0</v>
      </c>
      <c r="K214" s="194"/>
      <c r="L214" s="199"/>
      <c r="M214" s="200"/>
      <c r="N214" s="201"/>
      <c r="O214" s="201"/>
      <c r="P214" s="202">
        <f>P215</f>
        <v>0</v>
      </c>
      <c r="Q214" s="201"/>
      <c r="R214" s="202">
        <f>R215</f>
        <v>14</v>
      </c>
      <c r="S214" s="201"/>
      <c r="T214" s="203">
        <f>T215</f>
        <v>0</v>
      </c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R214" s="204" t="s">
        <v>86</v>
      </c>
      <c r="AT214" s="205" t="s">
        <v>77</v>
      </c>
      <c r="AU214" s="205" t="s">
        <v>78</v>
      </c>
      <c r="AY214" s="204" t="s">
        <v>200</v>
      </c>
      <c r="BK214" s="206">
        <f>BK215</f>
        <v>0</v>
      </c>
    </row>
    <row r="215" s="2" customFormat="1" ht="16.5" customHeight="1">
      <c r="A215" s="40"/>
      <c r="B215" s="41"/>
      <c r="C215" s="209" t="s">
        <v>921</v>
      </c>
      <c r="D215" s="209" t="s">
        <v>202</v>
      </c>
      <c r="E215" s="210" t="s">
        <v>2823</v>
      </c>
      <c r="F215" s="211" t="s">
        <v>2824</v>
      </c>
      <c r="G215" s="212" t="s">
        <v>272</v>
      </c>
      <c r="H215" s="213">
        <v>20</v>
      </c>
      <c r="I215" s="214"/>
      <c r="J215" s="215">
        <f>ROUND(I215*H215,1)</f>
        <v>0</v>
      </c>
      <c r="K215" s="211" t="s">
        <v>32</v>
      </c>
      <c r="L215" s="46"/>
      <c r="M215" s="216" t="s">
        <v>32</v>
      </c>
      <c r="N215" s="217" t="s">
        <v>49</v>
      </c>
      <c r="O215" s="86"/>
      <c r="P215" s="218">
        <f>O215*H215</f>
        <v>0</v>
      </c>
      <c r="Q215" s="218">
        <v>0.69999999999999996</v>
      </c>
      <c r="R215" s="218">
        <f>Q215*H215</f>
        <v>14</v>
      </c>
      <c r="S215" s="218">
        <v>0</v>
      </c>
      <c r="T215" s="219">
        <f>S215*H215</f>
        <v>0</v>
      </c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R215" s="220" t="s">
        <v>207</v>
      </c>
      <c r="AT215" s="220" t="s">
        <v>202</v>
      </c>
      <c r="AU215" s="220" t="s">
        <v>86</v>
      </c>
      <c r="AY215" s="18" t="s">
        <v>200</v>
      </c>
      <c r="BE215" s="221">
        <f>IF(N215="základní",J215,0)</f>
        <v>0</v>
      </c>
      <c r="BF215" s="221">
        <f>IF(N215="snížená",J215,0)</f>
        <v>0</v>
      </c>
      <c r="BG215" s="221">
        <f>IF(N215="zákl. přenesená",J215,0)</f>
        <v>0</v>
      </c>
      <c r="BH215" s="221">
        <f>IF(N215="sníž. přenesená",J215,0)</f>
        <v>0</v>
      </c>
      <c r="BI215" s="221">
        <f>IF(N215="nulová",J215,0)</f>
        <v>0</v>
      </c>
      <c r="BJ215" s="18" t="s">
        <v>86</v>
      </c>
      <c r="BK215" s="221">
        <f>ROUND(I215*H215,1)</f>
        <v>0</v>
      </c>
      <c r="BL215" s="18" t="s">
        <v>207</v>
      </c>
      <c r="BM215" s="220" t="s">
        <v>1465</v>
      </c>
    </row>
    <row r="216" s="12" customFormat="1" ht="25.92" customHeight="1">
      <c r="A216" s="12"/>
      <c r="B216" s="193"/>
      <c r="C216" s="194"/>
      <c r="D216" s="195" t="s">
        <v>77</v>
      </c>
      <c r="E216" s="196" t="s">
        <v>285</v>
      </c>
      <c r="F216" s="196" t="s">
        <v>2825</v>
      </c>
      <c r="G216" s="194"/>
      <c r="H216" s="194"/>
      <c r="I216" s="197"/>
      <c r="J216" s="198">
        <f>BK216</f>
        <v>0</v>
      </c>
      <c r="K216" s="194"/>
      <c r="L216" s="199"/>
      <c r="M216" s="200"/>
      <c r="N216" s="201"/>
      <c r="O216" s="201"/>
      <c r="P216" s="202">
        <f>SUM(P217:P219)</f>
        <v>0</v>
      </c>
      <c r="Q216" s="201"/>
      <c r="R216" s="202">
        <f>SUM(R217:R219)</f>
        <v>1219.2000000000001</v>
      </c>
      <c r="S216" s="201"/>
      <c r="T216" s="203">
        <f>SUM(T217:T219)</f>
        <v>0</v>
      </c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R216" s="204" t="s">
        <v>86</v>
      </c>
      <c r="AT216" s="205" t="s">
        <v>77</v>
      </c>
      <c r="AU216" s="205" t="s">
        <v>78</v>
      </c>
      <c r="AY216" s="204" t="s">
        <v>200</v>
      </c>
      <c r="BK216" s="206">
        <f>SUM(BK217:BK219)</f>
        <v>0</v>
      </c>
    </row>
    <row r="217" s="2" customFormat="1" ht="24.15" customHeight="1">
      <c r="A217" s="40"/>
      <c r="B217" s="41"/>
      <c r="C217" s="209" t="s">
        <v>926</v>
      </c>
      <c r="D217" s="209" t="s">
        <v>202</v>
      </c>
      <c r="E217" s="210" t="s">
        <v>2826</v>
      </c>
      <c r="F217" s="211" t="s">
        <v>2827</v>
      </c>
      <c r="G217" s="212" t="s">
        <v>272</v>
      </c>
      <c r="H217" s="213">
        <v>28</v>
      </c>
      <c r="I217" s="214"/>
      <c r="J217" s="215">
        <f>ROUND(I217*H217,1)</f>
        <v>0</v>
      </c>
      <c r="K217" s="211" t="s">
        <v>32</v>
      </c>
      <c r="L217" s="46"/>
      <c r="M217" s="216" t="s">
        <v>32</v>
      </c>
      <c r="N217" s="217" t="s">
        <v>49</v>
      </c>
      <c r="O217" s="86"/>
      <c r="P217" s="218">
        <f>O217*H217</f>
        <v>0</v>
      </c>
      <c r="Q217" s="218">
        <v>22</v>
      </c>
      <c r="R217" s="218">
        <f>Q217*H217</f>
        <v>616</v>
      </c>
      <c r="S217" s="218">
        <v>0</v>
      </c>
      <c r="T217" s="219">
        <f>S217*H217</f>
        <v>0</v>
      </c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R217" s="220" t="s">
        <v>207</v>
      </c>
      <c r="AT217" s="220" t="s">
        <v>202</v>
      </c>
      <c r="AU217" s="220" t="s">
        <v>86</v>
      </c>
      <c r="AY217" s="18" t="s">
        <v>200</v>
      </c>
      <c r="BE217" s="221">
        <f>IF(N217="základní",J217,0)</f>
        <v>0</v>
      </c>
      <c r="BF217" s="221">
        <f>IF(N217="snížená",J217,0)</f>
        <v>0</v>
      </c>
      <c r="BG217" s="221">
        <f>IF(N217="zákl. přenesená",J217,0)</f>
        <v>0</v>
      </c>
      <c r="BH217" s="221">
        <f>IF(N217="sníž. přenesená",J217,0)</f>
        <v>0</v>
      </c>
      <c r="BI217" s="221">
        <f>IF(N217="nulová",J217,0)</f>
        <v>0</v>
      </c>
      <c r="BJ217" s="18" t="s">
        <v>86</v>
      </c>
      <c r="BK217" s="221">
        <f>ROUND(I217*H217,1)</f>
        <v>0</v>
      </c>
      <c r="BL217" s="18" t="s">
        <v>207</v>
      </c>
      <c r="BM217" s="220" t="s">
        <v>1476</v>
      </c>
    </row>
    <row r="218" s="2" customFormat="1" ht="16.5" customHeight="1">
      <c r="A218" s="40"/>
      <c r="B218" s="41"/>
      <c r="C218" s="209" t="s">
        <v>932</v>
      </c>
      <c r="D218" s="209" t="s">
        <v>202</v>
      </c>
      <c r="E218" s="210" t="s">
        <v>2828</v>
      </c>
      <c r="F218" s="211" t="s">
        <v>2829</v>
      </c>
      <c r="G218" s="212" t="s">
        <v>272</v>
      </c>
      <c r="H218" s="213">
        <v>62</v>
      </c>
      <c r="I218" s="214"/>
      <c r="J218" s="215">
        <f>ROUND(I218*H218,1)</f>
        <v>0</v>
      </c>
      <c r="K218" s="211" t="s">
        <v>32</v>
      </c>
      <c r="L218" s="46"/>
      <c r="M218" s="216" t="s">
        <v>32</v>
      </c>
      <c r="N218" s="217" t="s">
        <v>49</v>
      </c>
      <c r="O218" s="86"/>
      <c r="P218" s="218">
        <f>O218*H218</f>
        <v>0</v>
      </c>
      <c r="Q218" s="218">
        <v>5.2000000000000002</v>
      </c>
      <c r="R218" s="218">
        <f>Q218*H218</f>
        <v>322.40000000000003</v>
      </c>
      <c r="S218" s="218">
        <v>0</v>
      </c>
      <c r="T218" s="219">
        <f>S218*H218</f>
        <v>0</v>
      </c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R218" s="220" t="s">
        <v>207</v>
      </c>
      <c r="AT218" s="220" t="s">
        <v>202</v>
      </c>
      <c r="AU218" s="220" t="s">
        <v>86</v>
      </c>
      <c r="AY218" s="18" t="s">
        <v>200</v>
      </c>
      <c r="BE218" s="221">
        <f>IF(N218="základní",J218,0)</f>
        <v>0</v>
      </c>
      <c r="BF218" s="221">
        <f>IF(N218="snížená",J218,0)</f>
        <v>0</v>
      </c>
      <c r="BG218" s="221">
        <f>IF(N218="zákl. přenesená",J218,0)</f>
        <v>0</v>
      </c>
      <c r="BH218" s="221">
        <f>IF(N218="sníž. přenesená",J218,0)</f>
        <v>0</v>
      </c>
      <c r="BI218" s="221">
        <f>IF(N218="nulová",J218,0)</f>
        <v>0</v>
      </c>
      <c r="BJ218" s="18" t="s">
        <v>86</v>
      </c>
      <c r="BK218" s="221">
        <f>ROUND(I218*H218,1)</f>
        <v>0</v>
      </c>
      <c r="BL218" s="18" t="s">
        <v>207</v>
      </c>
      <c r="BM218" s="220" t="s">
        <v>1487</v>
      </c>
    </row>
    <row r="219" s="2" customFormat="1" ht="16.5" customHeight="1">
      <c r="A219" s="40"/>
      <c r="B219" s="41"/>
      <c r="C219" s="209" t="s">
        <v>937</v>
      </c>
      <c r="D219" s="209" t="s">
        <v>202</v>
      </c>
      <c r="E219" s="210" t="s">
        <v>2830</v>
      </c>
      <c r="F219" s="211" t="s">
        <v>2831</v>
      </c>
      <c r="G219" s="212" t="s">
        <v>272</v>
      </c>
      <c r="H219" s="213">
        <v>54</v>
      </c>
      <c r="I219" s="214"/>
      <c r="J219" s="215">
        <f>ROUND(I219*H219,1)</f>
        <v>0</v>
      </c>
      <c r="K219" s="211" t="s">
        <v>32</v>
      </c>
      <c r="L219" s="46"/>
      <c r="M219" s="216" t="s">
        <v>32</v>
      </c>
      <c r="N219" s="217" t="s">
        <v>49</v>
      </c>
      <c r="O219" s="86"/>
      <c r="P219" s="218">
        <f>O219*H219</f>
        <v>0</v>
      </c>
      <c r="Q219" s="218">
        <v>5.2000000000000002</v>
      </c>
      <c r="R219" s="218">
        <f>Q219*H219</f>
        <v>280.80000000000001</v>
      </c>
      <c r="S219" s="218">
        <v>0</v>
      </c>
      <c r="T219" s="219">
        <f>S219*H219</f>
        <v>0</v>
      </c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R219" s="220" t="s">
        <v>207</v>
      </c>
      <c r="AT219" s="220" t="s">
        <v>202</v>
      </c>
      <c r="AU219" s="220" t="s">
        <v>86</v>
      </c>
      <c r="AY219" s="18" t="s">
        <v>200</v>
      </c>
      <c r="BE219" s="221">
        <f>IF(N219="základní",J219,0)</f>
        <v>0</v>
      </c>
      <c r="BF219" s="221">
        <f>IF(N219="snížená",J219,0)</f>
        <v>0</v>
      </c>
      <c r="BG219" s="221">
        <f>IF(N219="zákl. přenesená",J219,0)</f>
        <v>0</v>
      </c>
      <c r="BH219" s="221">
        <f>IF(N219="sníž. přenesená",J219,0)</f>
        <v>0</v>
      </c>
      <c r="BI219" s="221">
        <f>IF(N219="nulová",J219,0)</f>
        <v>0</v>
      </c>
      <c r="BJ219" s="18" t="s">
        <v>86</v>
      </c>
      <c r="BK219" s="221">
        <f>ROUND(I219*H219,1)</f>
        <v>0</v>
      </c>
      <c r="BL219" s="18" t="s">
        <v>207</v>
      </c>
      <c r="BM219" s="220" t="s">
        <v>1497</v>
      </c>
    </row>
    <row r="220" s="12" customFormat="1" ht="25.92" customHeight="1">
      <c r="A220" s="12"/>
      <c r="B220" s="193"/>
      <c r="C220" s="194"/>
      <c r="D220" s="195" t="s">
        <v>77</v>
      </c>
      <c r="E220" s="196" t="s">
        <v>291</v>
      </c>
      <c r="F220" s="196" t="s">
        <v>2832</v>
      </c>
      <c r="G220" s="194"/>
      <c r="H220" s="194"/>
      <c r="I220" s="197"/>
      <c r="J220" s="198">
        <f>BK220</f>
        <v>0</v>
      </c>
      <c r="K220" s="194"/>
      <c r="L220" s="199"/>
      <c r="M220" s="200"/>
      <c r="N220" s="201"/>
      <c r="O220" s="201"/>
      <c r="P220" s="202">
        <f>SUM(P221:P223)</f>
        <v>0</v>
      </c>
      <c r="Q220" s="201"/>
      <c r="R220" s="202">
        <f>SUM(R221:R223)</f>
        <v>0</v>
      </c>
      <c r="S220" s="201"/>
      <c r="T220" s="203">
        <f>SUM(T221:T223)</f>
        <v>0</v>
      </c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R220" s="204" t="s">
        <v>86</v>
      </c>
      <c r="AT220" s="205" t="s">
        <v>77</v>
      </c>
      <c r="AU220" s="205" t="s">
        <v>78</v>
      </c>
      <c r="AY220" s="204" t="s">
        <v>200</v>
      </c>
      <c r="BK220" s="206">
        <f>SUM(BK221:BK223)</f>
        <v>0</v>
      </c>
    </row>
    <row r="221" s="2" customFormat="1" ht="16.5" customHeight="1">
      <c r="A221" s="40"/>
      <c r="B221" s="41"/>
      <c r="C221" s="209" t="s">
        <v>942</v>
      </c>
      <c r="D221" s="209" t="s">
        <v>202</v>
      </c>
      <c r="E221" s="210" t="s">
        <v>2833</v>
      </c>
      <c r="F221" s="211" t="s">
        <v>2834</v>
      </c>
      <c r="G221" s="212" t="s">
        <v>1732</v>
      </c>
      <c r="H221" s="213">
        <v>6989.5</v>
      </c>
      <c r="I221" s="214"/>
      <c r="J221" s="215">
        <f>ROUND(I221*H221,1)</f>
        <v>0</v>
      </c>
      <c r="K221" s="211" t="s">
        <v>32</v>
      </c>
      <c r="L221" s="46"/>
      <c r="M221" s="216" t="s">
        <v>32</v>
      </c>
      <c r="N221" s="217" t="s">
        <v>49</v>
      </c>
      <c r="O221" s="86"/>
      <c r="P221" s="218">
        <f>O221*H221</f>
        <v>0</v>
      </c>
      <c r="Q221" s="218">
        <v>0</v>
      </c>
      <c r="R221" s="218">
        <f>Q221*H221</f>
        <v>0</v>
      </c>
      <c r="S221" s="218">
        <v>0</v>
      </c>
      <c r="T221" s="219">
        <f>S221*H221</f>
        <v>0</v>
      </c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R221" s="220" t="s">
        <v>207</v>
      </c>
      <c r="AT221" s="220" t="s">
        <v>202</v>
      </c>
      <c r="AU221" s="220" t="s">
        <v>86</v>
      </c>
      <c r="AY221" s="18" t="s">
        <v>200</v>
      </c>
      <c r="BE221" s="221">
        <f>IF(N221="základní",J221,0)</f>
        <v>0</v>
      </c>
      <c r="BF221" s="221">
        <f>IF(N221="snížená",J221,0)</f>
        <v>0</v>
      </c>
      <c r="BG221" s="221">
        <f>IF(N221="zákl. přenesená",J221,0)</f>
        <v>0</v>
      </c>
      <c r="BH221" s="221">
        <f>IF(N221="sníž. přenesená",J221,0)</f>
        <v>0</v>
      </c>
      <c r="BI221" s="221">
        <f>IF(N221="nulová",J221,0)</f>
        <v>0</v>
      </c>
      <c r="BJ221" s="18" t="s">
        <v>86</v>
      </c>
      <c r="BK221" s="221">
        <f>ROUND(I221*H221,1)</f>
        <v>0</v>
      </c>
      <c r="BL221" s="18" t="s">
        <v>207</v>
      </c>
      <c r="BM221" s="220" t="s">
        <v>1507</v>
      </c>
    </row>
    <row r="222" s="2" customFormat="1" ht="16.5" customHeight="1">
      <c r="A222" s="40"/>
      <c r="B222" s="41"/>
      <c r="C222" s="209" t="s">
        <v>946</v>
      </c>
      <c r="D222" s="209" t="s">
        <v>202</v>
      </c>
      <c r="E222" s="210" t="s">
        <v>2835</v>
      </c>
      <c r="F222" s="211" t="s">
        <v>2836</v>
      </c>
      <c r="G222" s="212" t="s">
        <v>2837</v>
      </c>
      <c r="H222" s="213">
        <v>1</v>
      </c>
      <c r="I222" s="214"/>
      <c r="J222" s="215">
        <f>ROUND(I222*H222,1)</f>
        <v>0</v>
      </c>
      <c r="K222" s="211" t="s">
        <v>32</v>
      </c>
      <c r="L222" s="46"/>
      <c r="M222" s="216" t="s">
        <v>32</v>
      </c>
      <c r="N222" s="217" t="s">
        <v>49</v>
      </c>
      <c r="O222" s="86"/>
      <c r="P222" s="218">
        <f>O222*H222</f>
        <v>0</v>
      </c>
      <c r="Q222" s="218">
        <v>0</v>
      </c>
      <c r="R222" s="218">
        <f>Q222*H222</f>
        <v>0</v>
      </c>
      <c r="S222" s="218">
        <v>0</v>
      </c>
      <c r="T222" s="219">
        <f>S222*H222</f>
        <v>0</v>
      </c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R222" s="220" t="s">
        <v>207</v>
      </c>
      <c r="AT222" s="220" t="s">
        <v>202</v>
      </c>
      <c r="AU222" s="220" t="s">
        <v>86</v>
      </c>
      <c r="AY222" s="18" t="s">
        <v>200</v>
      </c>
      <c r="BE222" s="221">
        <f>IF(N222="základní",J222,0)</f>
        <v>0</v>
      </c>
      <c r="BF222" s="221">
        <f>IF(N222="snížená",J222,0)</f>
        <v>0</v>
      </c>
      <c r="BG222" s="221">
        <f>IF(N222="zákl. přenesená",J222,0)</f>
        <v>0</v>
      </c>
      <c r="BH222" s="221">
        <f>IF(N222="sníž. přenesená",J222,0)</f>
        <v>0</v>
      </c>
      <c r="BI222" s="221">
        <f>IF(N222="nulová",J222,0)</f>
        <v>0</v>
      </c>
      <c r="BJ222" s="18" t="s">
        <v>86</v>
      </c>
      <c r="BK222" s="221">
        <f>ROUND(I222*H222,1)</f>
        <v>0</v>
      </c>
      <c r="BL222" s="18" t="s">
        <v>207</v>
      </c>
      <c r="BM222" s="220" t="s">
        <v>1517</v>
      </c>
    </row>
    <row r="223" s="2" customFormat="1" ht="16.5" customHeight="1">
      <c r="A223" s="40"/>
      <c r="B223" s="41"/>
      <c r="C223" s="209" t="s">
        <v>954</v>
      </c>
      <c r="D223" s="209" t="s">
        <v>202</v>
      </c>
      <c r="E223" s="210" t="s">
        <v>2838</v>
      </c>
      <c r="F223" s="211" t="s">
        <v>2839</v>
      </c>
      <c r="G223" s="212" t="s">
        <v>2837</v>
      </c>
      <c r="H223" s="213">
        <v>1</v>
      </c>
      <c r="I223" s="214"/>
      <c r="J223" s="215">
        <f>ROUND(I223*H223,1)</f>
        <v>0</v>
      </c>
      <c r="K223" s="211" t="s">
        <v>32</v>
      </c>
      <c r="L223" s="46"/>
      <c r="M223" s="216" t="s">
        <v>32</v>
      </c>
      <c r="N223" s="217" t="s">
        <v>49</v>
      </c>
      <c r="O223" s="86"/>
      <c r="P223" s="218">
        <f>O223*H223</f>
        <v>0</v>
      </c>
      <c r="Q223" s="218">
        <v>0</v>
      </c>
      <c r="R223" s="218">
        <f>Q223*H223</f>
        <v>0</v>
      </c>
      <c r="S223" s="218">
        <v>0</v>
      </c>
      <c r="T223" s="219">
        <f>S223*H223</f>
        <v>0</v>
      </c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R223" s="220" t="s">
        <v>207</v>
      </c>
      <c r="AT223" s="220" t="s">
        <v>202</v>
      </c>
      <c r="AU223" s="220" t="s">
        <v>86</v>
      </c>
      <c r="AY223" s="18" t="s">
        <v>200</v>
      </c>
      <c r="BE223" s="221">
        <f>IF(N223="základní",J223,0)</f>
        <v>0</v>
      </c>
      <c r="BF223" s="221">
        <f>IF(N223="snížená",J223,0)</f>
        <v>0</v>
      </c>
      <c r="BG223" s="221">
        <f>IF(N223="zákl. přenesená",J223,0)</f>
        <v>0</v>
      </c>
      <c r="BH223" s="221">
        <f>IF(N223="sníž. přenesená",J223,0)</f>
        <v>0</v>
      </c>
      <c r="BI223" s="221">
        <f>IF(N223="nulová",J223,0)</f>
        <v>0</v>
      </c>
      <c r="BJ223" s="18" t="s">
        <v>86</v>
      </c>
      <c r="BK223" s="221">
        <f>ROUND(I223*H223,1)</f>
        <v>0</v>
      </c>
      <c r="BL223" s="18" t="s">
        <v>207</v>
      </c>
      <c r="BM223" s="220" t="s">
        <v>1527</v>
      </c>
    </row>
    <row r="224" s="12" customFormat="1" ht="25.92" customHeight="1">
      <c r="A224" s="12"/>
      <c r="B224" s="193"/>
      <c r="C224" s="194"/>
      <c r="D224" s="195" t="s">
        <v>77</v>
      </c>
      <c r="E224" s="196" t="s">
        <v>297</v>
      </c>
      <c r="F224" s="196" t="s">
        <v>2840</v>
      </c>
      <c r="G224" s="194"/>
      <c r="H224" s="194"/>
      <c r="I224" s="197"/>
      <c r="J224" s="198">
        <f>BK224</f>
        <v>0</v>
      </c>
      <c r="K224" s="194"/>
      <c r="L224" s="199"/>
      <c r="M224" s="200"/>
      <c r="N224" s="201"/>
      <c r="O224" s="201"/>
      <c r="P224" s="202">
        <f>SUM(P225:P227)</f>
        <v>0</v>
      </c>
      <c r="Q224" s="201"/>
      <c r="R224" s="202">
        <f>SUM(R225:R227)</f>
        <v>0</v>
      </c>
      <c r="S224" s="201"/>
      <c r="T224" s="203">
        <f>SUM(T225:T227)</f>
        <v>0</v>
      </c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R224" s="204" t="s">
        <v>86</v>
      </c>
      <c r="AT224" s="205" t="s">
        <v>77</v>
      </c>
      <c r="AU224" s="205" t="s">
        <v>78</v>
      </c>
      <c r="AY224" s="204" t="s">
        <v>200</v>
      </c>
      <c r="BK224" s="206">
        <f>SUM(BK225:BK227)</f>
        <v>0</v>
      </c>
    </row>
    <row r="225" s="2" customFormat="1" ht="16.5" customHeight="1">
      <c r="A225" s="40"/>
      <c r="B225" s="41"/>
      <c r="C225" s="209" t="s">
        <v>961</v>
      </c>
      <c r="D225" s="209" t="s">
        <v>202</v>
      </c>
      <c r="E225" s="210" t="s">
        <v>2841</v>
      </c>
      <c r="F225" s="211" t="s">
        <v>2842</v>
      </c>
      <c r="G225" s="212" t="s">
        <v>2503</v>
      </c>
      <c r="H225" s="213">
        <v>80</v>
      </c>
      <c r="I225" s="214"/>
      <c r="J225" s="215">
        <f>ROUND(I225*H225,1)</f>
        <v>0</v>
      </c>
      <c r="K225" s="211" t="s">
        <v>32</v>
      </c>
      <c r="L225" s="46"/>
      <c r="M225" s="216" t="s">
        <v>32</v>
      </c>
      <c r="N225" s="217" t="s">
        <v>49</v>
      </c>
      <c r="O225" s="86"/>
      <c r="P225" s="218">
        <f>O225*H225</f>
        <v>0</v>
      </c>
      <c r="Q225" s="218">
        <v>0</v>
      </c>
      <c r="R225" s="218">
        <f>Q225*H225</f>
        <v>0</v>
      </c>
      <c r="S225" s="218">
        <v>0</v>
      </c>
      <c r="T225" s="219">
        <f>S225*H225</f>
        <v>0</v>
      </c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R225" s="220" t="s">
        <v>207</v>
      </c>
      <c r="AT225" s="220" t="s">
        <v>202</v>
      </c>
      <c r="AU225" s="220" t="s">
        <v>86</v>
      </c>
      <c r="AY225" s="18" t="s">
        <v>200</v>
      </c>
      <c r="BE225" s="221">
        <f>IF(N225="základní",J225,0)</f>
        <v>0</v>
      </c>
      <c r="BF225" s="221">
        <f>IF(N225="snížená",J225,0)</f>
        <v>0</v>
      </c>
      <c r="BG225" s="221">
        <f>IF(N225="zákl. přenesená",J225,0)</f>
        <v>0</v>
      </c>
      <c r="BH225" s="221">
        <f>IF(N225="sníž. přenesená",J225,0)</f>
        <v>0</v>
      </c>
      <c r="BI225" s="221">
        <f>IF(N225="nulová",J225,0)</f>
        <v>0</v>
      </c>
      <c r="BJ225" s="18" t="s">
        <v>86</v>
      </c>
      <c r="BK225" s="221">
        <f>ROUND(I225*H225,1)</f>
        <v>0</v>
      </c>
      <c r="BL225" s="18" t="s">
        <v>207</v>
      </c>
      <c r="BM225" s="220" t="s">
        <v>1538</v>
      </c>
    </row>
    <row r="226" s="2" customFormat="1" ht="16.5" customHeight="1">
      <c r="A226" s="40"/>
      <c r="B226" s="41"/>
      <c r="C226" s="209" t="s">
        <v>970</v>
      </c>
      <c r="D226" s="209" t="s">
        <v>202</v>
      </c>
      <c r="E226" s="210" t="s">
        <v>2843</v>
      </c>
      <c r="F226" s="211" t="s">
        <v>2844</v>
      </c>
      <c r="G226" s="212" t="s">
        <v>2503</v>
      </c>
      <c r="H226" s="213">
        <v>80</v>
      </c>
      <c r="I226" s="214"/>
      <c r="J226" s="215">
        <f>ROUND(I226*H226,1)</f>
        <v>0</v>
      </c>
      <c r="K226" s="211" t="s">
        <v>32</v>
      </c>
      <c r="L226" s="46"/>
      <c r="M226" s="216" t="s">
        <v>32</v>
      </c>
      <c r="N226" s="217" t="s">
        <v>49</v>
      </c>
      <c r="O226" s="86"/>
      <c r="P226" s="218">
        <f>O226*H226</f>
        <v>0</v>
      </c>
      <c r="Q226" s="218">
        <v>0</v>
      </c>
      <c r="R226" s="218">
        <f>Q226*H226</f>
        <v>0</v>
      </c>
      <c r="S226" s="218">
        <v>0</v>
      </c>
      <c r="T226" s="219">
        <f>S226*H226</f>
        <v>0</v>
      </c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R226" s="220" t="s">
        <v>207</v>
      </c>
      <c r="AT226" s="220" t="s">
        <v>202</v>
      </c>
      <c r="AU226" s="220" t="s">
        <v>86</v>
      </c>
      <c r="AY226" s="18" t="s">
        <v>200</v>
      </c>
      <c r="BE226" s="221">
        <f>IF(N226="základní",J226,0)</f>
        <v>0</v>
      </c>
      <c r="BF226" s="221">
        <f>IF(N226="snížená",J226,0)</f>
        <v>0</v>
      </c>
      <c r="BG226" s="221">
        <f>IF(N226="zákl. přenesená",J226,0)</f>
        <v>0</v>
      </c>
      <c r="BH226" s="221">
        <f>IF(N226="sníž. přenesená",J226,0)</f>
        <v>0</v>
      </c>
      <c r="BI226" s="221">
        <f>IF(N226="nulová",J226,0)</f>
        <v>0</v>
      </c>
      <c r="BJ226" s="18" t="s">
        <v>86</v>
      </c>
      <c r="BK226" s="221">
        <f>ROUND(I226*H226,1)</f>
        <v>0</v>
      </c>
      <c r="BL226" s="18" t="s">
        <v>207</v>
      </c>
      <c r="BM226" s="220" t="s">
        <v>1548</v>
      </c>
    </row>
    <row r="227" s="2" customFormat="1" ht="16.5" customHeight="1">
      <c r="A227" s="40"/>
      <c r="B227" s="41"/>
      <c r="C227" s="209" t="s">
        <v>977</v>
      </c>
      <c r="D227" s="209" t="s">
        <v>202</v>
      </c>
      <c r="E227" s="210" t="s">
        <v>2845</v>
      </c>
      <c r="F227" s="211" t="s">
        <v>2846</v>
      </c>
      <c r="G227" s="212" t="s">
        <v>2503</v>
      </c>
      <c r="H227" s="213">
        <v>50</v>
      </c>
      <c r="I227" s="214"/>
      <c r="J227" s="215">
        <f>ROUND(I227*H227,1)</f>
        <v>0</v>
      </c>
      <c r="K227" s="211" t="s">
        <v>32</v>
      </c>
      <c r="L227" s="46"/>
      <c r="M227" s="291" t="s">
        <v>32</v>
      </c>
      <c r="N227" s="292" t="s">
        <v>49</v>
      </c>
      <c r="O227" s="285"/>
      <c r="P227" s="293">
        <f>O227*H227</f>
        <v>0</v>
      </c>
      <c r="Q227" s="293">
        <v>0</v>
      </c>
      <c r="R227" s="293">
        <f>Q227*H227</f>
        <v>0</v>
      </c>
      <c r="S227" s="293">
        <v>0</v>
      </c>
      <c r="T227" s="294">
        <f>S227*H227</f>
        <v>0</v>
      </c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R227" s="220" t="s">
        <v>207</v>
      </c>
      <c r="AT227" s="220" t="s">
        <v>202</v>
      </c>
      <c r="AU227" s="220" t="s">
        <v>86</v>
      </c>
      <c r="AY227" s="18" t="s">
        <v>200</v>
      </c>
      <c r="BE227" s="221">
        <f>IF(N227="základní",J227,0)</f>
        <v>0</v>
      </c>
      <c r="BF227" s="221">
        <f>IF(N227="snížená",J227,0)</f>
        <v>0</v>
      </c>
      <c r="BG227" s="221">
        <f>IF(N227="zákl. přenesená",J227,0)</f>
        <v>0</v>
      </c>
      <c r="BH227" s="221">
        <f>IF(N227="sníž. přenesená",J227,0)</f>
        <v>0</v>
      </c>
      <c r="BI227" s="221">
        <f>IF(N227="nulová",J227,0)</f>
        <v>0</v>
      </c>
      <c r="BJ227" s="18" t="s">
        <v>86</v>
      </c>
      <c r="BK227" s="221">
        <f>ROUND(I227*H227,1)</f>
        <v>0</v>
      </c>
      <c r="BL227" s="18" t="s">
        <v>207</v>
      </c>
      <c r="BM227" s="220" t="s">
        <v>1559</v>
      </c>
    </row>
    <row r="228" s="2" customFormat="1" ht="6.96" customHeight="1">
      <c r="A228" s="40"/>
      <c r="B228" s="61"/>
      <c r="C228" s="62"/>
      <c r="D228" s="62"/>
      <c r="E228" s="62"/>
      <c r="F228" s="62"/>
      <c r="G228" s="62"/>
      <c r="H228" s="62"/>
      <c r="I228" s="62"/>
      <c r="J228" s="62"/>
      <c r="K228" s="62"/>
      <c r="L228" s="46"/>
      <c r="M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</row>
  </sheetData>
  <sheetProtection sheet="1" autoFilter="0" formatColumns="0" formatRows="0" objects="1" scenarios="1" spinCount="100000" saltValue="d7CiP6ptQYEgA0Xas9C4do0ak0TGBxJ9yR/qy4u1HDknDhxCu5cdOO4mHgWGEnDgYbchLzWldQ3OV43NdObHLA==" hashValue="FC/H1v/UQQr8jiiX5AutoPjE+vK22Mggxvgw7cHLg5DjKh1tj0ZJUcv80ge9xaPSNqL93qeMLiwmE6gVzZs2Qg==" algorithmName="SHA-512" password="CC35"/>
  <autoFilter ref="C92:K227"/>
  <mergeCells count="9">
    <mergeCell ref="E7:H7"/>
    <mergeCell ref="E9:H9"/>
    <mergeCell ref="E18:H18"/>
    <mergeCell ref="E27:H27"/>
    <mergeCell ref="E48:H48"/>
    <mergeCell ref="E50:H50"/>
    <mergeCell ref="E83:H83"/>
    <mergeCell ref="E85:H85"/>
    <mergeCell ref="L2:V2"/>
  </mergeCell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8" t="s">
        <v>100</v>
      </c>
    </row>
    <row r="3" hidden="1" s="1" customFormat="1" ht="6.96" customHeight="1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21"/>
      <c r="AT3" s="18" t="s">
        <v>88</v>
      </c>
    </row>
    <row r="4" hidden="1" s="1" customFormat="1" ht="24.96" customHeight="1">
      <c r="B4" s="21"/>
      <c r="D4" s="133" t="s">
        <v>121</v>
      </c>
      <c r="L4" s="21"/>
      <c r="M4" s="134" t="s">
        <v>10</v>
      </c>
      <c r="AT4" s="18" t="s">
        <v>4</v>
      </c>
    </row>
    <row r="5" hidden="1" s="1" customFormat="1" ht="6.96" customHeight="1">
      <c r="B5" s="21"/>
      <c r="L5" s="21"/>
    </row>
    <row r="6" hidden="1" s="1" customFormat="1" ht="12" customHeight="1">
      <c r="B6" s="21"/>
      <c r="D6" s="135" t="s">
        <v>16</v>
      </c>
      <c r="L6" s="21"/>
    </row>
    <row r="7" hidden="1" s="1" customFormat="1" ht="16.5" customHeight="1">
      <c r="B7" s="21"/>
      <c r="E7" s="136" t="str">
        <f>'Rekapitulace stavby'!K6</f>
        <v>Kulturní dům ČP 1, Třemošná- rev 03</v>
      </c>
      <c r="F7" s="135"/>
      <c r="G7" s="135"/>
      <c r="H7" s="135"/>
      <c r="L7" s="21"/>
    </row>
    <row r="8" hidden="1" s="2" customFormat="1" ht="12" customHeight="1">
      <c r="A8" s="40"/>
      <c r="B8" s="46"/>
      <c r="C8" s="40"/>
      <c r="D8" s="135" t="s">
        <v>134</v>
      </c>
      <c r="E8" s="40"/>
      <c r="F8" s="40"/>
      <c r="G8" s="40"/>
      <c r="H8" s="40"/>
      <c r="I8" s="40"/>
      <c r="J8" s="40"/>
      <c r="K8" s="40"/>
      <c r="L8" s="137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hidden="1" s="2" customFormat="1" ht="16.5" customHeight="1">
      <c r="A9" s="40"/>
      <c r="B9" s="46"/>
      <c r="C9" s="40"/>
      <c r="D9" s="40"/>
      <c r="E9" s="138" t="s">
        <v>2847</v>
      </c>
      <c r="F9" s="40"/>
      <c r="G9" s="40"/>
      <c r="H9" s="40"/>
      <c r="I9" s="40"/>
      <c r="J9" s="40"/>
      <c r="K9" s="40"/>
      <c r="L9" s="13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hidden="1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3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hidden="1" s="2" customFormat="1" ht="12" customHeight="1">
      <c r="A11" s="40"/>
      <c r="B11" s="46"/>
      <c r="C11" s="40"/>
      <c r="D11" s="135" t="s">
        <v>18</v>
      </c>
      <c r="E11" s="40"/>
      <c r="F11" s="139" t="s">
        <v>32</v>
      </c>
      <c r="G11" s="40"/>
      <c r="H11" s="40"/>
      <c r="I11" s="135" t="s">
        <v>20</v>
      </c>
      <c r="J11" s="139" t="s">
        <v>32</v>
      </c>
      <c r="K11" s="40"/>
      <c r="L11" s="13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hidden="1" s="2" customFormat="1" ht="12" customHeight="1">
      <c r="A12" s="40"/>
      <c r="B12" s="46"/>
      <c r="C12" s="40"/>
      <c r="D12" s="135" t="s">
        <v>22</v>
      </c>
      <c r="E12" s="40"/>
      <c r="F12" s="139" t="s">
        <v>41</v>
      </c>
      <c r="G12" s="40"/>
      <c r="H12" s="40"/>
      <c r="I12" s="135" t="s">
        <v>24</v>
      </c>
      <c r="J12" s="140" t="str">
        <f>'Rekapitulace stavby'!AN8</f>
        <v>20. 12. 2023</v>
      </c>
      <c r="K12" s="40"/>
      <c r="L12" s="13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hidden="1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3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hidden="1" s="2" customFormat="1" ht="12" customHeight="1">
      <c r="A14" s="40"/>
      <c r="B14" s="46"/>
      <c r="C14" s="40"/>
      <c r="D14" s="135" t="s">
        <v>30</v>
      </c>
      <c r="E14" s="40"/>
      <c r="F14" s="40"/>
      <c r="G14" s="40"/>
      <c r="H14" s="40"/>
      <c r="I14" s="135" t="s">
        <v>31</v>
      </c>
      <c r="J14" s="139" t="str">
        <f>IF('Rekapitulace stavby'!AN10="","",'Rekapitulace stavby'!AN10)</f>
        <v/>
      </c>
      <c r="K14" s="40"/>
      <c r="L14" s="13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hidden="1" s="2" customFormat="1" ht="18" customHeight="1">
      <c r="A15" s="40"/>
      <c r="B15" s="46"/>
      <c r="C15" s="40"/>
      <c r="D15" s="40"/>
      <c r="E15" s="139" t="str">
        <f>IF('Rekapitulace stavby'!E11="","",'Rekapitulace stavby'!E11)</f>
        <v>Město Třemošná, Sídliště 992, 330 01 Třemošná</v>
      </c>
      <c r="F15" s="40"/>
      <c r="G15" s="40"/>
      <c r="H15" s="40"/>
      <c r="I15" s="135" t="s">
        <v>34</v>
      </c>
      <c r="J15" s="139" t="str">
        <f>IF('Rekapitulace stavby'!AN11="","",'Rekapitulace stavby'!AN11)</f>
        <v/>
      </c>
      <c r="K15" s="40"/>
      <c r="L15" s="13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hidden="1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3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hidden="1" s="2" customFormat="1" ht="12" customHeight="1">
      <c r="A17" s="40"/>
      <c r="B17" s="46"/>
      <c r="C17" s="40"/>
      <c r="D17" s="135" t="s">
        <v>35</v>
      </c>
      <c r="E17" s="40"/>
      <c r="F17" s="40"/>
      <c r="G17" s="40"/>
      <c r="H17" s="40"/>
      <c r="I17" s="135" t="s">
        <v>31</v>
      </c>
      <c r="J17" s="34" t="str">
        <f>'Rekapitulace stavby'!AN13</f>
        <v>Vyplň údaj</v>
      </c>
      <c r="K17" s="40"/>
      <c r="L17" s="13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hidden="1" s="2" customFormat="1" ht="18" customHeight="1">
      <c r="A18" s="40"/>
      <c r="B18" s="46"/>
      <c r="C18" s="40"/>
      <c r="D18" s="40"/>
      <c r="E18" s="34" t="str">
        <f>'Rekapitulace stavby'!E14</f>
        <v>Vyplň údaj</v>
      </c>
      <c r="F18" s="139"/>
      <c r="G18" s="139"/>
      <c r="H18" s="139"/>
      <c r="I18" s="135" t="s">
        <v>34</v>
      </c>
      <c r="J18" s="34" t="str">
        <f>'Rekapitulace stavby'!AN14</f>
        <v>Vyplň údaj</v>
      </c>
      <c r="K18" s="40"/>
      <c r="L18" s="13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hidden="1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3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hidden="1" s="2" customFormat="1" ht="12" customHeight="1">
      <c r="A20" s="40"/>
      <c r="B20" s="46"/>
      <c r="C20" s="40"/>
      <c r="D20" s="135" t="s">
        <v>37</v>
      </c>
      <c r="E20" s="40"/>
      <c r="F20" s="40"/>
      <c r="G20" s="40"/>
      <c r="H20" s="40"/>
      <c r="I20" s="135" t="s">
        <v>31</v>
      </c>
      <c r="J20" s="139" t="str">
        <f>IF('Rekapitulace stavby'!AN16="","",'Rekapitulace stavby'!AN16)</f>
        <v>49194852</v>
      </c>
      <c r="K20" s="40"/>
      <c r="L20" s="13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hidden="1" s="2" customFormat="1" ht="18" customHeight="1">
      <c r="A21" s="40"/>
      <c r="B21" s="46"/>
      <c r="C21" s="40"/>
      <c r="D21" s="40"/>
      <c r="E21" s="139" t="str">
        <f>IF('Rekapitulace stavby'!E17="","",'Rekapitulace stavby'!E17)</f>
        <v>RAVAL projekt v. o. s.</v>
      </c>
      <c r="F21" s="40"/>
      <c r="G21" s="40"/>
      <c r="H21" s="40"/>
      <c r="I21" s="135" t="s">
        <v>34</v>
      </c>
      <c r="J21" s="139" t="str">
        <f>IF('Rekapitulace stavby'!AN17="","",'Rekapitulace stavby'!AN17)</f>
        <v/>
      </c>
      <c r="K21" s="40"/>
      <c r="L21" s="13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hidden="1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3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hidden="1" s="2" customFormat="1" ht="12" customHeight="1">
      <c r="A23" s="40"/>
      <c r="B23" s="46"/>
      <c r="C23" s="40"/>
      <c r="D23" s="135" t="s">
        <v>40</v>
      </c>
      <c r="E23" s="40"/>
      <c r="F23" s="40"/>
      <c r="G23" s="40"/>
      <c r="H23" s="40"/>
      <c r="I23" s="135" t="s">
        <v>31</v>
      </c>
      <c r="J23" s="139" t="str">
        <f>IF('Rekapitulace stavby'!AN19="","",'Rekapitulace stavby'!AN19)</f>
        <v/>
      </c>
      <c r="K23" s="40"/>
      <c r="L23" s="13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hidden="1" s="2" customFormat="1" ht="18" customHeight="1">
      <c r="A24" s="40"/>
      <c r="B24" s="46"/>
      <c r="C24" s="40"/>
      <c r="D24" s="40"/>
      <c r="E24" s="139" t="str">
        <f>IF('Rekapitulace stavby'!E20="","",'Rekapitulace stavby'!E20)</f>
        <v xml:space="preserve"> </v>
      </c>
      <c r="F24" s="40"/>
      <c r="G24" s="40"/>
      <c r="H24" s="40"/>
      <c r="I24" s="135" t="s">
        <v>34</v>
      </c>
      <c r="J24" s="139" t="str">
        <f>IF('Rekapitulace stavby'!AN20="","",'Rekapitulace stavby'!AN20)</f>
        <v/>
      </c>
      <c r="K24" s="40"/>
      <c r="L24" s="13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hidden="1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3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hidden="1" s="2" customFormat="1" ht="12" customHeight="1">
      <c r="A26" s="40"/>
      <c r="B26" s="46"/>
      <c r="C26" s="40"/>
      <c r="D26" s="135" t="s">
        <v>42</v>
      </c>
      <c r="E26" s="40"/>
      <c r="F26" s="40"/>
      <c r="G26" s="40"/>
      <c r="H26" s="40"/>
      <c r="I26" s="40"/>
      <c r="J26" s="40"/>
      <c r="K26" s="40"/>
      <c r="L26" s="13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hidden="1" s="8" customFormat="1" ht="16.5" customHeight="1">
      <c r="A27" s="143"/>
      <c r="B27" s="144"/>
      <c r="C27" s="143"/>
      <c r="D27" s="143"/>
      <c r="E27" s="145" t="s">
        <v>32</v>
      </c>
      <c r="F27" s="145"/>
      <c r="G27" s="145"/>
      <c r="H27" s="145"/>
      <c r="I27" s="143"/>
      <c r="J27" s="143"/>
      <c r="K27" s="143"/>
      <c r="L27" s="146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</row>
    <row r="28" hidden="1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3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hidden="1" s="2" customFormat="1" ht="6.96" customHeight="1">
      <c r="A29" s="40"/>
      <c r="B29" s="46"/>
      <c r="C29" s="40"/>
      <c r="D29" s="147"/>
      <c r="E29" s="147"/>
      <c r="F29" s="147"/>
      <c r="G29" s="147"/>
      <c r="H29" s="147"/>
      <c r="I29" s="147"/>
      <c r="J29" s="147"/>
      <c r="K29" s="147"/>
      <c r="L29" s="13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hidden="1" s="2" customFormat="1" ht="25.44" customHeight="1">
      <c r="A30" s="40"/>
      <c r="B30" s="46"/>
      <c r="C30" s="40"/>
      <c r="D30" s="148" t="s">
        <v>44</v>
      </c>
      <c r="E30" s="40"/>
      <c r="F30" s="40"/>
      <c r="G30" s="40"/>
      <c r="H30" s="40"/>
      <c r="I30" s="40"/>
      <c r="J30" s="149">
        <f>ROUND(J115, 1)</f>
        <v>0</v>
      </c>
      <c r="K30" s="40"/>
      <c r="L30" s="13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hidden="1" s="2" customFormat="1" ht="6.96" customHeight="1">
      <c r="A31" s="40"/>
      <c r="B31" s="46"/>
      <c r="C31" s="40"/>
      <c r="D31" s="147"/>
      <c r="E31" s="147"/>
      <c r="F31" s="147"/>
      <c r="G31" s="147"/>
      <c r="H31" s="147"/>
      <c r="I31" s="147"/>
      <c r="J31" s="147"/>
      <c r="K31" s="147"/>
      <c r="L31" s="13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hidden="1" s="2" customFormat="1" ht="14.4" customHeight="1">
      <c r="A32" s="40"/>
      <c r="B32" s="46"/>
      <c r="C32" s="40"/>
      <c r="D32" s="40"/>
      <c r="E32" s="40"/>
      <c r="F32" s="150" t="s">
        <v>46</v>
      </c>
      <c r="G32" s="40"/>
      <c r="H32" s="40"/>
      <c r="I32" s="150" t="s">
        <v>45</v>
      </c>
      <c r="J32" s="150" t="s">
        <v>47</v>
      </c>
      <c r="K32" s="40"/>
      <c r="L32" s="13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hidden="1" s="2" customFormat="1" ht="14.4" customHeight="1">
      <c r="A33" s="40"/>
      <c r="B33" s="46"/>
      <c r="C33" s="40"/>
      <c r="D33" s="151" t="s">
        <v>48</v>
      </c>
      <c r="E33" s="135" t="s">
        <v>49</v>
      </c>
      <c r="F33" s="152">
        <f>ROUND((SUM(BE115:BE238)),  1)</f>
        <v>0</v>
      </c>
      <c r="G33" s="40"/>
      <c r="H33" s="40"/>
      <c r="I33" s="153">
        <v>0.20999999999999999</v>
      </c>
      <c r="J33" s="152">
        <f>ROUND(((SUM(BE115:BE238))*I33),  1)</f>
        <v>0</v>
      </c>
      <c r="K33" s="40"/>
      <c r="L33" s="13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hidden="1" s="2" customFormat="1" ht="14.4" customHeight="1">
      <c r="A34" s="40"/>
      <c r="B34" s="46"/>
      <c r="C34" s="40"/>
      <c r="D34" s="40"/>
      <c r="E34" s="135" t="s">
        <v>50</v>
      </c>
      <c r="F34" s="152">
        <f>ROUND((SUM(BF115:BF238)),  1)</f>
        <v>0</v>
      </c>
      <c r="G34" s="40"/>
      <c r="H34" s="40"/>
      <c r="I34" s="153">
        <v>0.14999999999999999</v>
      </c>
      <c r="J34" s="152">
        <f>ROUND(((SUM(BF115:BF238))*I34),  1)</f>
        <v>0</v>
      </c>
      <c r="K34" s="40"/>
      <c r="L34" s="13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35" t="s">
        <v>51</v>
      </c>
      <c r="F35" s="152">
        <f>ROUND((SUM(BG115:BG238)),  1)</f>
        <v>0</v>
      </c>
      <c r="G35" s="40"/>
      <c r="H35" s="40"/>
      <c r="I35" s="153">
        <v>0.20999999999999999</v>
      </c>
      <c r="J35" s="152">
        <f>0</f>
        <v>0</v>
      </c>
      <c r="K35" s="40"/>
      <c r="L35" s="13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35" t="s">
        <v>52</v>
      </c>
      <c r="F36" s="152">
        <f>ROUND((SUM(BH115:BH238)),  1)</f>
        <v>0</v>
      </c>
      <c r="G36" s="40"/>
      <c r="H36" s="40"/>
      <c r="I36" s="153">
        <v>0.14999999999999999</v>
      </c>
      <c r="J36" s="152">
        <f>0</f>
        <v>0</v>
      </c>
      <c r="K36" s="40"/>
      <c r="L36" s="13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35" t="s">
        <v>53</v>
      </c>
      <c r="F37" s="152">
        <f>ROUND((SUM(BI115:BI238)),  1)</f>
        <v>0</v>
      </c>
      <c r="G37" s="40"/>
      <c r="H37" s="40"/>
      <c r="I37" s="153">
        <v>0</v>
      </c>
      <c r="J37" s="152">
        <f>0</f>
        <v>0</v>
      </c>
      <c r="K37" s="40"/>
      <c r="L37" s="13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3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25.44" customHeight="1">
      <c r="A39" s="40"/>
      <c r="B39" s="46"/>
      <c r="C39" s="154"/>
      <c r="D39" s="155" t="s">
        <v>54</v>
      </c>
      <c r="E39" s="156"/>
      <c r="F39" s="156"/>
      <c r="G39" s="157" t="s">
        <v>55</v>
      </c>
      <c r="H39" s="158" t="s">
        <v>56</v>
      </c>
      <c r="I39" s="156"/>
      <c r="J39" s="159">
        <f>SUM(J30:J37)</f>
        <v>0</v>
      </c>
      <c r="K39" s="160"/>
      <c r="L39" s="13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161"/>
      <c r="C40" s="162"/>
      <c r="D40" s="162"/>
      <c r="E40" s="162"/>
      <c r="F40" s="162"/>
      <c r="G40" s="162"/>
      <c r="H40" s="162"/>
      <c r="I40" s="162"/>
      <c r="J40" s="162"/>
      <c r="K40" s="162"/>
      <c r="L40" s="13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/>
    <row r="42" hidden="1"/>
    <row r="43" hidden="1"/>
    <row r="44" hidden="1" s="2" customFormat="1" ht="6.96" customHeight="1">
      <c r="A44" s="4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3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hidden="1" s="2" customFormat="1" ht="24.96" customHeight="1">
      <c r="A45" s="40"/>
      <c r="B45" s="41"/>
      <c r="C45" s="24" t="s">
        <v>155</v>
      </c>
      <c r="D45" s="42"/>
      <c r="E45" s="42"/>
      <c r="F45" s="42"/>
      <c r="G45" s="42"/>
      <c r="H45" s="42"/>
      <c r="I45" s="42"/>
      <c r="J45" s="42"/>
      <c r="K45" s="42"/>
      <c r="L45" s="137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hidden="1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3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hidden="1" s="2" customFormat="1" ht="12" customHeight="1">
      <c r="A47" s="40"/>
      <c r="B47" s="41"/>
      <c r="C47" s="33" t="s">
        <v>16</v>
      </c>
      <c r="D47" s="42"/>
      <c r="E47" s="42"/>
      <c r="F47" s="42"/>
      <c r="G47" s="42"/>
      <c r="H47" s="42"/>
      <c r="I47" s="42"/>
      <c r="J47" s="42"/>
      <c r="K47" s="42"/>
      <c r="L47" s="13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hidden="1" s="2" customFormat="1" ht="16.5" customHeight="1">
      <c r="A48" s="40"/>
      <c r="B48" s="41"/>
      <c r="C48" s="42"/>
      <c r="D48" s="42"/>
      <c r="E48" s="165" t="str">
        <f>E7</f>
        <v>Kulturní dům ČP 1, Třemošná- rev 03</v>
      </c>
      <c r="F48" s="33"/>
      <c r="G48" s="33"/>
      <c r="H48" s="33"/>
      <c r="I48" s="42"/>
      <c r="J48" s="42"/>
      <c r="K48" s="42"/>
      <c r="L48" s="13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hidden="1" s="2" customFormat="1" ht="12" customHeight="1">
      <c r="A49" s="40"/>
      <c r="B49" s="41"/>
      <c r="C49" s="33" t="s">
        <v>134</v>
      </c>
      <c r="D49" s="42"/>
      <c r="E49" s="42"/>
      <c r="F49" s="42"/>
      <c r="G49" s="42"/>
      <c r="H49" s="42"/>
      <c r="I49" s="42"/>
      <c r="J49" s="42"/>
      <c r="K49" s="42"/>
      <c r="L49" s="13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hidden="1" s="2" customFormat="1" ht="16.5" customHeight="1">
      <c r="A50" s="40"/>
      <c r="B50" s="41"/>
      <c r="C50" s="42"/>
      <c r="D50" s="42"/>
      <c r="E50" s="71" t="str">
        <f>E9</f>
        <v>05 - Elektroinstalace</v>
      </c>
      <c r="F50" s="42"/>
      <c r="G50" s="42"/>
      <c r="H50" s="42"/>
      <c r="I50" s="42"/>
      <c r="J50" s="42"/>
      <c r="K50" s="42"/>
      <c r="L50" s="13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hidden="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3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hidden="1" s="2" customFormat="1" ht="12" customHeight="1">
      <c r="A52" s="40"/>
      <c r="B52" s="41"/>
      <c r="C52" s="33" t="s">
        <v>22</v>
      </c>
      <c r="D52" s="42"/>
      <c r="E52" s="42"/>
      <c r="F52" s="28" t="str">
        <f>F12</f>
        <v xml:space="preserve"> </v>
      </c>
      <c r="G52" s="42"/>
      <c r="H52" s="42"/>
      <c r="I52" s="33" t="s">
        <v>24</v>
      </c>
      <c r="J52" s="74" t="str">
        <f>IF(J12="","",J12)</f>
        <v>20. 12. 2023</v>
      </c>
      <c r="K52" s="42"/>
      <c r="L52" s="13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hidden="1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3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hidden="1" s="2" customFormat="1" ht="25.65" customHeight="1">
      <c r="A54" s="40"/>
      <c r="B54" s="41"/>
      <c r="C54" s="33" t="s">
        <v>30</v>
      </c>
      <c r="D54" s="42"/>
      <c r="E54" s="42"/>
      <c r="F54" s="28" t="str">
        <f>E15</f>
        <v>Město Třemošná, Sídliště 992, 330 01 Třemošná</v>
      </c>
      <c r="G54" s="42"/>
      <c r="H54" s="42"/>
      <c r="I54" s="33" t="s">
        <v>37</v>
      </c>
      <c r="J54" s="38" t="str">
        <f>E21</f>
        <v>RAVAL projekt v. o. s.</v>
      </c>
      <c r="K54" s="42"/>
      <c r="L54" s="13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hidden="1" s="2" customFormat="1" ht="15.15" customHeight="1">
      <c r="A55" s="40"/>
      <c r="B55" s="41"/>
      <c r="C55" s="33" t="s">
        <v>35</v>
      </c>
      <c r="D55" s="42"/>
      <c r="E55" s="42"/>
      <c r="F55" s="28" t="str">
        <f>IF(E18="","",E18)</f>
        <v>Vyplň údaj</v>
      </c>
      <c r="G55" s="42"/>
      <c r="H55" s="42"/>
      <c r="I55" s="33" t="s">
        <v>40</v>
      </c>
      <c r="J55" s="38" t="str">
        <f>E24</f>
        <v xml:space="preserve"> </v>
      </c>
      <c r="K55" s="42"/>
      <c r="L55" s="13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hidden="1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3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hidden="1" s="2" customFormat="1" ht="29.28" customHeight="1">
      <c r="A57" s="40"/>
      <c r="B57" s="41"/>
      <c r="C57" s="166" t="s">
        <v>156</v>
      </c>
      <c r="D57" s="167"/>
      <c r="E57" s="167"/>
      <c r="F57" s="167"/>
      <c r="G57" s="167"/>
      <c r="H57" s="167"/>
      <c r="I57" s="167"/>
      <c r="J57" s="168" t="s">
        <v>157</v>
      </c>
      <c r="K57" s="167"/>
      <c r="L57" s="13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hidden="1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3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hidden="1" s="2" customFormat="1" ht="22.8" customHeight="1">
      <c r="A59" s="40"/>
      <c r="B59" s="41"/>
      <c r="C59" s="169" t="s">
        <v>76</v>
      </c>
      <c r="D59" s="42"/>
      <c r="E59" s="42"/>
      <c r="F59" s="42"/>
      <c r="G59" s="42"/>
      <c r="H59" s="42"/>
      <c r="I59" s="42"/>
      <c r="J59" s="104">
        <f>J115</f>
        <v>0</v>
      </c>
      <c r="K59" s="42"/>
      <c r="L59" s="13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8" t="s">
        <v>158</v>
      </c>
    </row>
    <row r="60" hidden="1" s="9" customFormat="1" ht="24.96" customHeight="1">
      <c r="A60" s="9"/>
      <c r="B60" s="170"/>
      <c r="C60" s="171"/>
      <c r="D60" s="172" t="s">
        <v>2848</v>
      </c>
      <c r="E60" s="173"/>
      <c r="F60" s="173"/>
      <c r="G60" s="173"/>
      <c r="H60" s="173"/>
      <c r="I60" s="173"/>
      <c r="J60" s="174">
        <f>J116</f>
        <v>0</v>
      </c>
      <c r="K60" s="171"/>
      <c r="L60" s="175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idden="1" s="10" customFormat="1" ht="19.92" customHeight="1">
      <c r="A61" s="10"/>
      <c r="B61" s="176"/>
      <c r="C61" s="177"/>
      <c r="D61" s="178" t="s">
        <v>2849</v>
      </c>
      <c r="E61" s="179"/>
      <c r="F61" s="179"/>
      <c r="G61" s="179"/>
      <c r="H61" s="179"/>
      <c r="I61" s="179"/>
      <c r="J61" s="180">
        <f>J117</f>
        <v>0</v>
      </c>
      <c r="K61" s="177"/>
      <c r="L61" s="181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hidden="1" s="10" customFormat="1" ht="19.92" customHeight="1">
      <c r="A62" s="10"/>
      <c r="B62" s="176"/>
      <c r="C62" s="177"/>
      <c r="D62" s="178" t="s">
        <v>2850</v>
      </c>
      <c r="E62" s="179"/>
      <c r="F62" s="179"/>
      <c r="G62" s="179"/>
      <c r="H62" s="179"/>
      <c r="I62" s="179"/>
      <c r="J62" s="180">
        <f>J130</f>
        <v>0</v>
      </c>
      <c r="K62" s="177"/>
      <c r="L62" s="181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hidden="1" s="9" customFormat="1" ht="24.96" customHeight="1">
      <c r="A63" s="9"/>
      <c r="B63" s="170"/>
      <c r="C63" s="171"/>
      <c r="D63" s="172" t="s">
        <v>2851</v>
      </c>
      <c r="E63" s="173"/>
      <c r="F63" s="173"/>
      <c r="G63" s="173"/>
      <c r="H63" s="173"/>
      <c r="I63" s="173"/>
      <c r="J63" s="174">
        <f>J137</f>
        <v>0</v>
      </c>
      <c r="K63" s="171"/>
      <c r="L63" s="175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hidden="1" s="10" customFormat="1" ht="19.92" customHeight="1">
      <c r="A64" s="10"/>
      <c r="B64" s="176"/>
      <c r="C64" s="177"/>
      <c r="D64" s="178" t="s">
        <v>2852</v>
      </c>
      <c r="E64" s="179"/>
      <c r="F64" s="179"/>
      <c r="G64" s="179"/>
      <c r="H64" s="179"/>
      <c r="I64" s="179"/>
      <c r="J64" s="180">
        <f>J138</f>
        <v>0</v>
      </c>
      <c r="K64" s="177"/>
      <c r="L64" s="181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hidden="1" s="10" customFormat="1" ht="19.92" customHeight="1">
      <c r="A65" s="10"/>
      <c r="B65" s="176"/>
      <c r="C65" s="177"/>
      <c r="D65" s="178" t="s">
        <v>2853</v>
      </c>
      <c r="E65" s="179"/>
      <c r="F65" s="179"/>
      <c r="G65" s="179"/>
      <c r="H65" s="179"/>
      <c r="I65" s="179"/>
      <c r="J65" s="180">
        <f>J141</f>
        <v>0</v>
      </c>
      <c r="K65" s="177"/>
      <c r="L65" s="181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hidden="1" s="10" customFormat="1" ht="19.92" customHeight="1">
      <c r="A66" s="10"/>
      <c r="B66" s="176"/>
      <c r="C66" s="177"/>
      <c r="D66" s="178" t="s">
        <v>2854</v>
      </c>
      <c r="E66" s="179"/>
      <c r="F66" s="179"/>
      <c r="G66" s="179"/>
      <c r="H66" s="179"/>
      <c r="I66" s="179"/>
      <c r="J66" s="180">
        <f>J149</f>
        <v>0</v>
      </c>
      <c r="K66" s="177"/>
      <c r="L66" s="181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hidden="1" s="10" customFormat="1" ht="19.92" customHeight="1">
      <c r="A67" s="10"/>
      <c r="B67" s="176"/>
      <c r="C67" s="177"/>
      <c r="D67" s="178" t="s">
        <v>2855</v>
      </c>
      <c r="E67" s="179"/>
      <c r="F67" s="179"/>
      <c r="G67" s="179"/>
      <c r="H67" s="179"/>
      <c r="I67" s="179"/>
      <c r="J67" s="180">
        <f>J151</f>
        <v>0</v>
      </c>
      <c r="K67" s="177"/>
      <c r="L67" s="181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hidden="1" s="10" customFormat="1" ht="19.92" customHeight="1">
      <c r="A68" s="10"/>
      <c r="B68" s="176"/>
      <c r="C68" s="177"/>
      <c r="D68" s="178" t="s">
        <v>2856</v>
      </c>
      <c r="E68" s="179"/>
      <c r="F68" s="179"/>
      <c r="G68" s="179"/>
      <c r="H68" s="179"/>
      <c r="I68" s="179"/>
      <c r="J68" s="180">
        <f>J154</f>
        <v>0</v>
      </c>
      <c r="K68" s="177"/>
      <c r="L68" s="181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hidden="1" s="10" customFormat="1" ht="19.92" customHeight="1">
      <c r="A69" s="10"/>
      <c r="B69" s="176"/>
      <c r="C69" s="177"/>
      <c r="D69" s="178" t="s">
        <v>2857</v>
      </c>
      <c r="E69" s="179"/>
      <c r="F69" s="179"/>
      <c r="G69" s="179"/>
      <c r="H69" s="179"/>
      <c r="I69" s="179"/>
      <c r="J69" s="180">
        <f>J156</f>
        <v>0</v>
      </c>
      <c r="K69" s="177"/>
      <c r="L69" s="181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hidden="1" s="10" customFormat="1" ht="19.92" customHeight="1">
      <c r="A70" s="10"/>
      <c r="B70" s="176"/>
      <c r="C70" s="177"/>
      <c r="D70" s="178" t="s">
        <v>2858</v>
      </c>
      <c r="E70" s="179"/>
      <c r="F70" s="179"/>
      <c r="G70" s="179"/>
      <c r="H70" s="179"/>
      <c r="I70" s="179"/>
      <c r="J70" s="180">
        <f>J158</f>
        <v>0</v>
      </c>
      <c r="K70" s="177"/>
      <c r="L70" s="181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hidden="1" s="10" customFormat="1" ht="19.92" customHeight="1">
      <c r="A71" s="10"/>
      <c r="B71" s="176"/>
      <c r="C71" s="177"/>
      <c r="D71" s="178" t="s">
        <v>2859</v>
      </c>
      <c r="E71" s="179"/>
      <c r="F71" s="179"/>
      <c r="G71" s="179"/>
      <c r="H71" s="179"/>
      <c r="I71" s="179"/>
      <c r="J71" s="180">
        <f>J160</f>
        <v>0</v>
      </c>
      <c r="K71" s="177"/>
      <c r="L71" s="181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hidden="1" s="10" customFormat="1" ht="19.92" customHeight="1">
      <c r="A72" s="10"/>
      <c r="B72" s="176"/>
      <c r="C72" s="177"/>
      <c r="D72" s="178" t="s">
        <v>2860</v>
      </c>
      <c r="E72" s="179"/>
      <c r="F72" s="179"/>
      <c r="G72" s="179"/>
      <c r="H72" s="179"/>
      <c r="I72" s="179"/>
      <c r="J72" s="180">
        <f>J162</f>
        <v>0</v>
      </c>
      <c r="K72" s="177"/>
      <c r="L72" s="181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hidden="1" s="10" customFormat="1" ht="19.92" customHeight="1">
      <c r="A73" s="10"/>
      <c r="B73" s="176"/>
      <c r="C73" s="177"/>
      <c r="D73" s="178" t="s">
        <v>2861</v>
      </c>
      <c r="E73" s="179"/>
      <c r="F73" s="179"/>
      <c r="G73" s="179"/>
      <c r="H73" s="179"/>
      <c r="I73" s="179"/>
      <c r="J73" s="180">
        <f>J164</f>
        <v>0</v>
      </c>
      <c r="K73" s="177"/>
      <c r="L73" s="181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hidden="1" s="10" customFormat="1" ht="19.92" customHeight="1">
      <c r="A74" s="10"/>
      <c r="B74" s="176"/>
      <c r="C74" s="177"/>
      <c r="D74" s="178" t="s">
        <v>2862</v>
      </c>
      <c r="E74" s="179"/>
      <c r="F74" s="179"/>
      <c r="G74" s="179"/>
      <c r="H74" s="179"/>
      <c r="I74" s="179"/>
      <c r="J74" s="180">
        <f>J166</f>
        <v>0</v>
      </c>
      <c r="K74" s="177"/>
      <c r="L74" s="181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hidden="1" s="10" customFormat="1" ht="19.92" customHeight="1">
      <c r="A75" s="10"/>
      <c r="B75" s="176"/>
      <c r="C75" s="177"/>
      <c r="D75" s="178" t="s">
        <v>2863</v>
      </c>
      <c r="E75" s="179"/>
      <c r="F75" s="179"/>
      <c r="G75" s="179"/>
      <c r="H75" s="179"/>
      <c r="I75" s="179"/>
      <c r="J75" s="180">
        <f>J168</f>
        <v>0</v>
      </c>
      <c r="K75" s="177"/>
      <c r="L75" s="181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hidden="1" s="10" customFormat="1" ht="19.92" customHeight="1">
      <c r="A76" s="10"/>
      <c r="B76" s="176"/>
      <c r="C76" s="177"/>
      <c r="D76" s="178" t="s">
        <v>2864</v>
      </c>
      <c r="E76" s="179"/>
      <c r="F76" s="179"/>
      <c r="G76" s="179"/>
      <c r="H76" s="179"/>
      <c r="I76" s="179"/>
      <c r="J76" s="180">
        <f>J170</f>
        <v>0</v>
      </c>
      <c r="K76" s="177"/>
      <c r="L76" s="181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hidden="1" s="10" customFormat="1" ht="19.92" customHeight="1">
      <c r="A77" s="10"/>
      <c r="B77" s="176"/>
      <c r="C77" s="177"/>
      <c r="D77" s="178" t="s">
        <v>2865</v>
      </c>
      <c r="E77" s="179"/>
      <c r="F77" s="179"/>
      <c r="G77" s="179"/>
      <c r="H77" s="179"/>
      <c r="I77" s="179"/>
      <c r="J77" s="180">
        <f>J177</f>
        <v>0</v>
      </c>
      <c r="K77" s="177"/>
      <c r="L77" s="181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hidden="1" s="10" customFormat="1" ht="19.92" customHeight="1">
      <c r="A78" s="10"/>
      <c r="B78" s="176"/>
      <c r="C78" s="177"/>
      <c r="D78" s="178" t="s">
        <v>2866</v>
      </c>
      <c r="E78" s="179"/>
      <c r="F78" s="179"/>
      <c r="G78" s="179"/>
      <c r="H78" s="179"/>
      <c r="I78" s="179"/>
      <c r="J78" s="180">
        <f>J180</f>
        <v>0</v>
      </c>
      <c r="K78" s="177"/>
      <c r="L78" s="181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hidden="1" s="10" customFormat="1" ht="19.92" customHeight="1">
      <c r="A79" s="10"/>
      <c r="B79" s="176"/>
      <c r="C79" s="177"/>
      <c r="D79" s="178" t="s">
        <v>2867</v>
      </c>
      <c r="E79" s="179"/>
      <c r="F79" s="179"/>
      <c r="G79" s="179"/>
      <c r="H79" s="179"/>
      <c r="I79" s="179"/>
      <c r="J79" s="180">
        <f>J183</f>
        <v>0</v>
      </c>
      <c r="K79" s="177"/>
      <c r="L79" s="181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hidden="1" s="10" customFormat="1" ht="19.92" customHeight="1">
      <c r="A80" s="10"/>
      <c r="B80" s="176"/>
      <c r="C80" s="177"/>
      <c r="D80" s="178" t="s">
        <v>2868</v>
      </c>
      <c r="E80" s="179"/>
      <c r="F80" s="179"/>
      <c r="G80" s="179"/>
      <c r="H80" s="179"/>
      <c r="I80" s="179"/>
      <c r="J80" s="180">
        <f>J185</f>
        <v>0</v>
      </c>
      <c r="K80" s="177"/>
      <c r="L80" s="181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hidden="1" s="10" customFormat="1" ht="19.92" customHeight="1">
      <c r="A81" s="10"/>
      <c r="B81" s="176"/>
      <c r="C81" s="177"/>
      <c r="D81" s="178" t="s">
        <v>2869</v>
      </c>
      <c r="E81" s="179"/>
      <c r="F81" s="179"/>
      <c r="G81" s="179"/>
      <c r="H81" s="179"/>
      <c r="I81" s="179"/>
      <c r="J81" s="180">
        <f>J187</f>
        <v>0</v>
      </c>
      <c r="K81" s="177"/>
      <c r="L81" s="181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hidden="1" s="10" customFormat="1" ht="19.92" customHeight="1">
      <c r="A82" s="10"/>
      <c r="B82" s="176"/>
      <c r="C82" s="177"/>
      <c r="D82" s="178" t="s">
        <v>2870</v>
      </c>
      <c r="E82" s="179"/>
      <c r="F82" s="179"/>
      <c r="G82" s="179"/>
      <c r="H82" s="179"/>
      <c r="I82" s="179"/>
      <c r="J82" s="180">
        <f>J189</f>
        <v>0</v>
      </c>
      <c r="K82" s="177"/>
      <c r="L82" s="181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hidden="1" s="10" customFormat="1" ht="19.92" customHeight="1">
      <c r="A83" s="10"/>
      <c r="B83" s="176"/>
      <c r="C83" s="177"/>
      <c r="D83" s="178" t="s">
        <v>2871</v>
      </c>
      <c r="E83" s="179"/>
      <c r="F83" s="179"/>
      <c r="G83" s="179"/>
      <c r="H83" s="179"/>
      <c r="I83" s="179"/>
      <c r="J83" s="180">
        <f>J192</f>
        <v>0</v>
      </c>
      <c r="K83" s="177"/>
      <c r="L83" s="181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hidden="1" s="10" customFormat="1" ht="19.92" customHeight="1">
      <c r="A84" s="10"/>
      <c r="B84" s="176"/>
      <c r="C84" s="177"/>
      <c r="D84" s="178" t="s">
        <v>2872</v>
      </c>
      <c r="E84" s="179"/>
      <c r="F84" s="179"/>
      <c r="G84" s="179"/>
      <c r="H84" s="179"/>
      <c r="I84" s="179"/>
      <c r="J84" s="180">
        <f>J195</f>
        <v>0</v>
      </c>
      <c r="K84" s="177"/>
      <c r="L84" s="181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hidden="1" s="10" customFormat="1" ht="19.92" customHeight="1">
      <c r="A85" s="10"/>
      <c r="B85" s="176"/>
      <c r="C85" s="177"/>
      <c r="D85" s="178" t="s">
        <v>2873</v>
      </c>
      <c r="E85" s="179"/>
      <c r="F85" s="179"/>
      <c r="G85" s="179"/>
      <c r="H85" s="179"/>
      <c r="I85" s="179"/>
      <c r="J85" s="180">
        <f>J198</f>
        <v>0</v>
      </c>
      <c r="K85" s="177"/>
      <c r="L85" s="181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hidden="1" s="10" customFormat="1" ht="19.92" customHeight="1">
      <c r="A86" s="10"/>
      <c r="B86" s="176"/>
      <c r="C86" s="177"/>
      <c r="D86" s="178" t="s">
        <v>2874</v>
      </c>
      <c r="E86" s="179"/>
      <c r="F86" s="179"/>
      <c r="G86" s="179"/>
      <c r="H86" s="179"/>
      <c r="I86" s="179"/>
      <c r="J86" s="180">
        <f>J200</f>
        <v>0</v>
      </c>
      <c r="K86" s="177"/>
      <c r="L86" s="181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 hidden="1" s="10" customFormat="1" ht="19.92" customHeight="1">
      <c r="A87" s="10"/>
      <c r="B87" s="176"/>
      <c r="C87" s="177"/>
      <c r="D87" s="178" t="s">
        <v>2875</v>
      </c>
      <c r="E87" s="179"/>
      <c r="F87" s="179"/>
      <c r="G87" s="179"/>
      <c r="H87" s="179"/>
      <c r="I87" s="179"/>
      <c r="J87" s="180">
        <f>J216</f>
        <v>0</v>
      </c>
      <c r="K87" s="177"/>
      <c r="L87" s="181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hidden="1" s="10" customFormat="1" ht="19.92" customHeight="1">
      <c r="A88" s="10"/>
      <c r="B88" s="176"/>
      <c r="C88" s="177"/>
      <c r="D88" s="178" t="s">
        <v>2876</v>
      </c>
      <c r="E88" s="179"/>
      <c r="F88" s="179"/>
      <c r="G88" s="179"/>
      <c r="H88" s="179"/>
      <c r="I88" s="179"/>
      <c r="J88" s="180">
        <f>J218</f>
        <v>0</v>
      </c>
      <c r="K88" s="177"/>
      <c r="L88" s="181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hidden="1" s="10" customFormat="1" ht="19.92" customHeight="1">
      <c r="A89" s="10"/>
      <c r="B89" s="176"/>
      <c r="C89" s="177"/>
      <c r="D89" s="178" t="s">
        <v>2877</v>
      </c>
      <c r="E89" s="179"/>
      <c r="F89" s="179"/>
      <c r="G89" s="179"/>
      <c r="H89" s="179"/>
      <c r="I89" s="179"/>
      <c r="J89" s="180">
        <f>J221</f>
        <v>0</v>
      </c>
      <c r="K89" s="177"/>
      <c r="L89" s="181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 hidden="1" s="10" customFormat="1" ht="19.92" customHeight="1">
      <c r="A90" s="10"/>
      <c r="B90" s="176"/>
      <c r="C90" s="177"/>
      <c r="D90" s="178" t="s">
        <v>2878</v>
      </c>
      <c r="E90" s="179"/>
      <c r="F90" s="179"/>
      <c r="G90" s="179"/>
      <c r="H90" s="179"/>
      <c r="I90" s="179"/>
      <c r="J90" s="180">
        <f>J223</f>
        <v>0</v>
      </c>
      <c r="K90" s="177"/>
      <c r="L90" s="181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hidden="1" s="10" customFormat="1" ht="19.92" customHeight="1">
      <c r="A91" s="10"/>
      <c r="B91" s="176"/>
      <c r="C91" s="177"/>
      <c r="D91" s="178" t="s">
        <v>2879</v>
      </c>
      <c r="E91" s="179"/>
      <c r="F91" s="179"/>
      <c r="G91" s="179"/>
      <c r="H91" s="179"/>
      <c r="I91" s="179"/>
      <c r="J91" s="180">
        <f>J225</f>
        <v>0</v>
      </c>
      <c r="K91" s="177"/>
      <c r="L91" s="181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 hidden="1" s="10" customFormat="1" ht="19.92" customHeight="1">
      <c r="A92" s="10"/>
      <c r="B92" s="176"/>
      <c r="C92" s="177"/>
      <c r="D92" s="178" t="s">
        <v>2880</v>
      </c>
      <c r="E92" s="179"/>
      <c r="F92" s="179"/>
      <c r="G92" s="179"/>
      <c r="H92" s="179"/>
      <c r="I92" s="179"/>
      <c r="J92" s="180">
        <f>J228</f>
        <v>0</v>
      </c>
      <c r="K92" s="177"/>
      <c r="L92" s="181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 hidden="1" s="10" customFormat="1" ht="19.92" customHeight="1">
      <c r="A93" s="10"/>
      <c r="B93" s="176"/>
      <c r="C93" s="177"/>
      <c r="D93" s="178" t="s">
        <v>2881</v>
      </c>
      <c r="E93" s="179"/>
      <c r="F93" s="179"/>
      <c r="G93" s="179"/>
      <c r="H93" s="179"/>
      <c r="I93" s="179"/>
      <c r="J93" s="180">
        <f>J231</f>
        <v>0</v>
      </c>
      <c r="K93" s="177"/>
      <c r="L93" s="181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 hidden="1" s="10" customFormat="1" ht="19.92" customHeight="1">
      <c r="A94" s="10"/>
      <c r="B94" s="176"/>
      <c r="C94" s="177"/>
      <c r="D94" s="178" t="s">
        <v>2882</v>
      </c>
      <c r="E94" s="179"/>
      <c r="F94" s="179"/>
      <c r="G94" s="179"/>
      <c r="H94" s="179"/>
      <c r="I94" s="179"/>
      <c r="J94" s="180">
        <f>J234</f>
        <v>0</v>
      </c>
      <c r="K94" s="177"/>
      <c r="L94" s="181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hidden="1" s="10" customFormat="1" ht="19.92" customHeight="1">
      <c r="A95" s="10"/>
      <c r="B95" s="176"/>
      <c r="C95" s="177"/>
      <c r="D95" s="178" t="s">
        <v>2883</v>
      </c>
      <c r="E95" s="179"/>
      <c r="F95" s="179"/>
      <c r="G95" s="179"/>
      <c r="H95" s="179"/>
      <c r="I95" s="179"/>
      <c r="J95" s="180">
        <f>J236</f>
        <v>0</v>
      </c>
      <c r="K95" s="177"/>
      <c r="L95" s="181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 hidden="1" s="2" customFormat="1" ht="21.84" customHeight="1">
      <c r="A96" s="40"/>
      <c r="B96" s="41"/>
      <c r="C96" s="42"/>
      <c r="D96" s="42"/>
      <c r="E96" s="42"/>
      <c r="F96" s="42"/>
      <c r="G96" s="42"/>
      <c r="H96" s="42"/>
      <c r="I96" s="42"/>
      <c r="J96" s="42"/>
      <c r="K96" s="42"/>
      <c r="L96" s="137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 hidden="1" s="2" customFormat="1" ht="6.96" customHeight="1">
      <c r="A97" s="40"/>
      <c r="B97" s="61"/>
      <c r="C97" s="62"/>
      <c r="D97" s="62"/>
      <c r="E97" s="62"/>
      <c r="F97" s="62"/>
      <c r="G97" s="62"/>
      <c r="H97" s="62"/>
      <c r="I97" s="62"/>
      <c r="J97" s="62"/>
      <c r="K97" s="62"/>
      <c r="L97" s="137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 hidden="1"/>
    <row r="99" hidden="1"/>
    <row r="100" hidden="1"/>
    <row r="101" s="2" customFormat="1" ht="6.96" customHeight="1">
      <c r="A101" s="40"/>
      <c r="B101" s="63"/>
      <c r="C101" s="64"/>
      <c r="D101" s="64"/>
      <c r="E101" s="64"/>
      <c r="F101" s="64"/>
      <c r="G101" s="64"/>
      <c r="H101" s="64"/>
      <c r="I101" s="64"/>
      <c r="J101" s="64"/>
      <c r="K101" s="64"/>
      <c r="L101" s="137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</row>
    <row r="102" s="2" customFormat="1" ht="24.96" customHeight="1">
      <c r="A102" s="40"/>
      <c r="B102" s="41"/>
      <c r="C102" s="24" t="s">
        <v>185</v>
      </c>
      <c r="D102" s="42"/>
      <c r="E102" s="42"/>
      <c r="F102" s="42"/>
      <c r="G102" s="42"/>
      <c r="H102" s="42"/>
      <c r="I102" s="42"/>
      <c r="J102" s="42"/>
      <c r="K102" s="42"/>
      <c r="L102" s="137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</row>
    <row r="103" s="2" customFormat="1" ht="6.96" customHeight="1">
      <c r="A103" s="40"/>
      <c r="B103" s="41"/>
      <c r="C103" s="42"/>
      <c r="D103" s="42"/>
      <c r="E103" s="42"/>
      <c r="F103" s="42"/>
      <c r="G103" s="42"/>
      <c r="H103" s="42"/>
      <c r="I103" s="42"/>
      <c r="J103" s="42"/>
      <c r="K103" s="42"/>
      <c r="L103" s="137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</row>
    <row r="104" s="2" customFormat="1" ht="12" customHeight="1">
      <c r="A104" s="40"/>
      <c r="B104" s="41"/>
      <c r="C104" s="33" t="s">
        <v>16</v>
      </c>
      <c r="D104" s="42"/>
      <c r="E104" s="42"/>
      <c r="F104" s="42"/>
      <c r="G104" s="42"/>
      <c r="H104" s="42"/>
      <c r="I104" s="42"/>
      <c r="J104" s="42"/>
      <c r="K104" s="42"/>
      <c r="L104" s="137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</row>
    <row r="105" s="2" customFormat="1" ht="16.5" customHeight="1">
      <c r="A105" s="40"/>
      <c r="B105" s="41"/>
      <c r="C105" s="42"/>
      <c r="D105" s="42"/>
      <c r="E105" s="165" t="str">
        <f>E7</f>
        <v>Kulturní dům ČP 1, Třemošná- rev 03</v>
      </c>
      <c r="F105" s="33"/>
      <c r="G105" s="33"/>
      <c r="H105" s="33"/>
      <c r="I105" s="42"/>
      <c r="J105" s="42"/>
      <c r="K105" s="42"/>
      <c r="L105" s="137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</row>
    <row r="106" s="2" customFormat="1" ht="12" customHeight="1">
      <c r="A106" s="40"/>
      <c r="B106" s="41"/>
      <c r="C106" s="33" t="s">
        <v>134</v>
      </c>
      <c r="D106" s="42"/>
      <c r="E106" s="42"/>
      <c r="F106" s="42"/>
      <c r="G106" s="42"/>
      <c r="H106" s="42"/>
      <c r="I106" s="42"/>
      <c r="J106" s="42"/>
      <c r="K106" s="42"/>
      <c r="L106" s="137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</row>
    <row r="107" s="2" customFormat="1" ht="16.5" customHeight="1">
      <c r="A107" s="40"/>
      <c r="B107" s="41"/>
      <c r="C107" s="42"/>
      <c r="D107" s="42"/>
      <c r="E107" s="71" t="str">
        <f>E9</f>
        <v>05 - Elektroinstalace</v>
      </c>
      <c r="F107" s="42"/>
      <c r="G107" s="42"/>
      <c r="H107" s="42"/>
      <c r="I107" s="42"/>
      <c r="J107" s="42"/>
      <c r="K107" s="42"/>
      <c r="L107" s="137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</row>
    <row r="108" s="2" customFormat="1" ht="6.96" customHeight="1">
      <c r="A108" s="40"/>
      <c r="B108" s="41"/>
      <c r="C108" s="42"/>
      <c r="D108" s="42"/>
      <c r="E108" s="42"/>
      <c r="F108" s="42"/>
      <c r="G108" s="42"/>
      <c r="H108" s="42"/>
      <c r="I108" s="42"/>
      <c r="J108" s="42"/>
      <c r="K108" s="42"/>
      <c r="L108" s="137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</row>
    <row r="109" s="2" customFormat="1" ht="12" customHeight="1">
      <c r="A109" s="40"/>
      <c r="B109" s="41"/>
      <c r="C109" s="33" t="s">
        <v>22</v>
      </c>
      <c r="D109" s="42"/>
      <c r="E109" s="42"/>
      <c r="F109" s="28" t="str">
        <f>F12</f>
        <v xml:space="preserve"> </v>
      </c>
      <c r="G109" s="42"/>
      <c r="H109" s="42"/>
      <c r="I109" s="33" t="s">
        <v>24</v>
      </c>
      <c r="J109" s="74" t="str">
        <f>IF(J12="","",J12)</f>
        <v>20. 12. 2023</v>
      </c>
      <c r="K109" s="42"/>
      <c r="L109" s="137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</row>
    <row r="110" s="2" customFormat="1" ht="6.96" customHeight="1">
      <c r="A110" s="40"/>
      <c r="B110" s="41"/>
      <c r="C110" s="42"/>
      <c r="D110" s="42"/>
      <c r="E110" s="42"/>
      <c r="F110" s="42"/>
      <c r="G110" s="42"/>
      <c r="H110" s="42"/>
      <c r="I110" s="42"/>
      <c r="J110" s="42"/>
      <c r="K110" s="42"/>
      <c r="L110" s="137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</row>
    <row r="111" s="2" customFormat="1" ht="25.65" customHeight="1">
      <c r="A111" s="40"/>
      <c r="B111" s="41"/>
      <c r="C111" s="33" t="s">
        <v>30</v>
      </c>
      <c r="D111" s="42"/>
      <c r="E111" s="42"/>
      <c r="F111" s="28" t="str">
        <f>E15</f>
        <v>Město Třemošná, Sídliště 992, 330 01 Třemošná</v>
      </c>
      <c r="G111" s="42"/>
      <c r="H111" s="42"/>
      <c r="I111" s="33" t="s">
        <v>37</v>
      </c>
      <c r="J111" s="38" t="str">
        <f>E21</f>
        <v>RAVAL projekt v. o. s.</v>
      </c>
      <c r="K111" s="42"/>
      <c r="L111" s="137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</row>
    <row r="112" s="2" customFormat="1" ht="15.15" customHeight="1">
      <c r="A112" s="40"/>
      <c r="B112" s="41"/>
      <c r="C112" s="33" t="s">
        <v>35</v>
      </c>
      <c r="D112" s="42"/>
      <c r="E112" s="42"/>
      <c r="F112" s="28" t="str">
        <f>IF(E18="","",E18)</f>
        <v>Vyplň údaj</v>
      </c>
      <c r="G112" s="42"/>
      <c r="H112" s="42"/>
      <c r="I112" s="33" t="s">
        <v>40</v>
      </c>
      <c r="J112" s="38" t="str">
        <f>E24</f>
        <v xml:space="preserve"> </v>
      </c>
      <c r="K112" s="42"/>
      <c r="L112" s="137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</row>
    <row r="113" s="2" customFormat="1" ht="10.32" customHeight="1">
      <c r="A113" s="40"/>
      <c r="B113" s="41"/>
      <c r="C113" s="42"/>
      <c r="D113" s="42"/>
      <c r="E113" s="42"/>
      <c r="F113" s="42"/>
      <c r="G113" s="42"/>
      <c r="H113" s="42"/>
      <c r="I113" s="42"/>
      <c r="J113" s="42"/>
      <c r="K113" s="42"/>
      <c r="L113" s="137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</row>
    <row r="114" s="11" customFormat="1" ht="29.28" customHeight="1">
      <c r="A114" s="182"/>
      <c r="B114" s="183"/>
      <c r="C114" s="184" t="s">
        <v>186</v>
      </c>
      <c r="D114" s="185" t="s">
        <v>63</v>
      </c>
      <c r="E114" s="185" t="s">
        <v>59</v>
      </c>
      <c r="F114" s="185" t="s">
        <v>60</v>
      </c>
      <c r="G114" s="185" t="s">
        <v>187</v>
      </c>
      <c r="H114" s="185" t="s">
        <v>188</v>
      </c>
      <c r="I114" s="185" t="s">
        <v>189</v>
      </c>
      <c r="J114" s="185" t="s">
        <v>157</v>
      </c>
      <c r="K114" s="186" t="s">
        <v>190</v>
      </c>
      <c r="L114" s="187"/>
      <c r="M114" s="94" t="s">
        <v>32</v>
      </c>
      <c r="N114" s="95" t="s">
        <v>48</v>
      </c>
      <c r="O114" s="95" t="s">
        <v>191</v>
      </c>
      <c r="P114" s="95" t="s">
        <v>192</v>
      </c>
      <c r="Q114" s="95" t="s">
        <v>193</v>
      </c>
      <c r="R114" s="95" t="s">
        <v>194</v>
      </c>
      <c r="S114" s="95" t="s">
        <v>195</v>
      </c>
      <c r="T114" s="96" t="s">
        <v>196</v>
      </c>
      <c r="U114" s="182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</row>
    <row r="115" s="2" customFormat="1" ht="22.8" customHeight="1">
      <c r="A115" s="40"/>
      <c r="B115" s="41"/>
      <c r="C115" s="101" t="s">
        <v>197</v>
      </c>
      <c r="D115" s="42"/>
      <c r="E115" s="42"/>
      <c r="F115" s="42"/>
      <c r="G115" s="42"/>
      <c r="H115" s="42"/>
      <c r="I115" s="42"/>
      <c r="J115" s="188">
        <f>BK115</f>
        <v>0</v>
      </c>
      <c r="K115" s="42"/>
      <c r="L115" s="46"/>
      <c r="M115" s="97"/>
      <c r="N115" s="189"/>
      <c r="O115" s="98"/>
      <c r="P115" s="190">
        <f>P116+P137</f>
        <v>0</v>
      </c>
      <c r="Q115" s="98"/>
      <c r="R115" s="190">
        <f>R116+R137</f>
        <v>0</v>
      </c>
      <c r="S115" s="98"/>
      <c r="T115" s="191">
        <f>T116+T137</f>
        <v>0</v>
      </c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8" t="s">
        <v>77</v>
      </c>
      <c r="AU115" s="18" t="s">
        <v>158</v>
      </c>
      <c r="BK115" s="192">
        <f>BK116+BK137</f>
        <v>0</v>
      </c>
    </row>
    <row r="116" s="12" customFormat="1" ht="25.92" customHeight="1">
      <c r="A116" s="12"/>
      <c r="B116" s="193"/>
      <c r="C116" s="194"/>
      <c r="D116" s="195" t="s">
        <v>77</v>
      </c>
      <c r="E116" s="196" t="s">
        <v>2884</v>
      </c>
      <c r="F116" s="196" t="s">
        <v>2885</v>
      </c>
      <c r="G116" s="194"/>
      <c r="H116" s="194"/>
      <c r="I116" s="197"/>
      <c r="J116" s="198">
        <f>BK116</f>
        <v>0</v>
      </c>
      <c r="K116" s="194"/>
      <c r="L116" s="199"/>
      <c r="M116" s="200"/>
      <c r="N116" s="201"/>
      <c r="O116" s="201"/>
      <c r="P116" s="202">
        <f>P117+P130</f>
        <v>0</v>
      </c>
      <c r="Q116" s="201"/>
      <c r="R116" s="202">
        <f>R117+R130</f>
        <v>0</v>
      </c>
      <c r="S116" s="201"/>
      <c r="T116" s="203">
        <f>T117+T130</f>
        <v>0</v>
      </c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R116" s="204" t="s">
        <v>86</v>
      </c>
      <c r="AT116" s="205" t="s">
        <v>77</v>
      </c>
      <c r="AU116" s="205" t="s">
        <v>78</v>
      </c>
      <c r="AY116" s="204" t="s">
        <v>200</v>
      </c>
      <c r="BK116" s="206">
        <f>BK117+BK130</f>
        <v>0</v>
      </c>
    </row>
    <row r="117" s="12" customFormat="1" ht="22.8" customHeight="1">
      <c r="A117" s="12"/>
      <c r="B117" s="193"/>
      <c r="C117" s="194"/>
      <c r="D117" s="195" t="s">
        <v>77</v>
      </c>
      <c r="E117" s="207" t="s">
        <v>2886</v>
      </c>
      <c r="F117" s="207" t="s">
        <v>2887</v>
      </c>
      <c r="G117" s="194"/>
      <c r="H117" s="194"/>
      <c r="I117" s="197"/>
      <c r="J117" s="208">
        <f>BK117</f>
        <v>0</v>
      </c>
      <c r="K117" s="194"/>
      <c r="L117" s="199"/>
      <c r="M117" s="200"/>
      <c r="N117" s="201"/>
      <c r="O117" s="201"/>
      <c r="P117" s="202">
        <f>SUM(P118:P129)</f>
        <v>0</v>
      </c>
      <c r="Q117" s="201"/>
      <c r="R117" s="202">
        <f>SUM(R118:R129)</f>
        <v>0</v>
      </c>
      <c r="S117" s="201"/>
      <c r="T117" s="203">
        <f>SUM(T118:T129)</f>
        <v>0</v>
      </c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R117" s="204" t="s">
        <v>86</v>
      </c>
      <c r="AT117" s="205" t="s">
        <v>77</v>
      </c>
      <c r="AU117" s="205" t="s">
        <v>86</v>
      </c>
      <c r="AY117" s="204" t="s">
        <v>200</v>
      </c>
      <c r="BK117" s="206">
        <f>SUM(BK118:BK129)</f>
        <v>0</v>
      </c>
    </row>
    <row r="118" s="2" customFormat="1" ht="16.5" customHeight="1">
      <c r="A118" s="40"/>
      <c r="B118" s="41"/>
      <c r="C118" s="209" t="s">
        <v>86</v>
      </c>
      <c r="D118" s="209" t="s">
        <v>202</v>
      </c>
      <c r="E118" s="210" t="s">
        <v>2888</v>
      </c>
      <c r="F118" s="211" t="s">
        <v>2889</v>
      </c>
      <c r="G118" s="212" t="s">
        <v>1436</v>
      </c>
      <c r="H118" s="213">
        <v>41</v>
      </c>
      <c r="I118" s="214"/>
      <c r="J118" s="215">
        <f>ROUND(I118*H118,1)</f>
        <v>0</v>
      </c>
      <c r="K118" s="211" t="s">
        <v>32</v>
      </c>
      <c r="L118" s="46"/>
      <c r="M118" s="216" t="s">
        <v>32</v>
      </c>
      <c r="N118" s="217" t="s">
        <v>49</v>
      </c>
      <c r="O118" s="86"/>
      <c r="P118" s="218">
        <f>O118*H118</f>
        <v>0</v>
      </c>
      <c r="Q118" s="218">
        <v>0</v>
      </c>
      <c r="R118" s="218">
        <f>Q118*H118</f>
        <v>0</v>
      </c>
      <c r="S118" s="218">
        <v>0</v>
      </c>
      <c r="T118" s="219">
        <f>S118*H118</f>
        <v>0</v>
      </c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R118" s="220" t="s">
        <v>207</v>
      </c>
      <c r="AT118" s="220" t="s">
        <v>202</v>
      </c>
      <c r="AU118" s="220" t="s">
        <v>88</v>
      </c>
      <c r="AY118" s="18" t="s">
        <v>200</v>
      </c>
      <c r="BE118" s="221">
        <f>IF(N118="základní",J118,0)</f>
        <v>0</v>
      </c>
      <c r="BF118" s="221">
        <f>IF(N118="snížená",J118,0)</f>
        <v>0</v>
      </c>
      <c r="BG118" s="221">
        <f>IF(N118="zákl. přenesená",J118,0)</f>
        <v>0</v>
      </c>
      <c r="BH118" s="221">
        <f>IF(N118="sníž. přenesená",J118,0)</f>
        <v>0</v>
      </c>
      <c r="BI118" s="221">
        <f>IF(N118="nulová",J118,0)</f>
        <v>0</v>
      </c>
      <c r="BJ118" s="18" t="s">
        <v>86</v>
      </c>
      <c r="BK118" s="221">
        <f>ROUND(I118*H118,1)</f>
        <v>0</v>
      </c>
      <c r="BL118" s="18" t="s">
        <v>207</v>
      </c>
      <c r="BM118" s="220" t="s">
        <v>88</v>
      </c>
    </row>
    <row r="119" s="2" customFormat="1" ht="16.5" customHeight="1">
      <c r="A119" s="40"/>
      <c r="B119" s="41"/>
      <c r="C119" s="209" t="s">
        <v>88</v>
      </c>
      <c r="D119" s="209" t="s">
        <v>202</v>
      </c>
      <c r="E119" s="210" t="s">
        <v>2890</v>
      </c>
      <c r="F119" s="211" t="s">
        <v>2891</v>
      </c>
      <c r="G119" s="212" t="s">
        <v>1436</v>
      </c>
      <c r="H119" s="213">
        <v>46</v>
      </c>
      <c r="I119" s="214"/>
      <c r="J119" s="215">
        <f>ROUND(I119*H119,1)</f>
        <v>0</v>
      </c>
      <c r="K119" s="211" t="s">
        <v>32</v>
      </c>
      <c r="L119" s="46"/>
      <c r="M119" s="216" t="s">
        <v>32</v>
      </c>
      <c r="N119" s="217" t="s">
        <v>49</v>
      </c>
      <c r="O119" s="86"/>
      <c r="P119" s="218">
        <f>O119*H119</f>
        <v>0</v>
      </c>
      <c r="Q119" s="218">
        <v>0</v>
      </c>
      <c r="R119" s="218">
        <f>Q119*H119</f>
        <v>0</v>
      </c>
      <c r="S119" s="218">
        <v>0</v>
      </c>
      <c r="T119" s="219">
        <f>S119*H119</f>
        <v>0</v>
      </c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0" t="s">
        <v>207</v>
      </c>
      <c r="AT119" s="220" t="s">
        <v>202</v>
      </c>
      <c r="AU119" s="220" t="s">
        <v>88</v>
      </c>
      <c r="AY119" s="18" t="s">
        <v>200</v>
      </c>
      <c r="BE119" s="221">
        <f>IF(N119="základní",J119,0)</f>
        <v>0</v>
      </c>
      <c r="BF119" s="221">
        <f>IF(N119="snížená",J119,0)</f>
        <v>0</v>
      </c>
      <c r="BG119" s="221">
        <f>IF(N119="zákl. přenesená",J119,0)</f>
        <v>0</v>
      </c>
      <c r="BH119" s="221">
        <f>IF(N119="sníž. přenesená",J119,0)</f>
        <v>0</v>
      </c>
      <c r="BI119" s="221">
        <f>IF(N119="nulová",J119,0)</f>
        <v>0</v>
      </c>
      <c r="BJ119" s="18" t="s">
        <v>86</v>
      </c>
      <c r="BK119" s="221">
        <f>ROUND(I119*H119,1)</f>
        <v>0</v>
      </c>
      <c r="BL119" s="18" t="s">
        <v>207</v>
      </c>
      <c r="BM119" s="220" t="s">
        <v>207</v>
      </c>
    </row>
    <row r="120" s="2" customFormat="1" ht="16.5" customHeight="1">
      <c r="A120" s="40"/>
      <c r="B120" s="41"/>
      <c r="C120" s="209" t="s">
        <v>148</v>
      </c>
      <c r="D120" s="209" t="s">
        <v>202</v>
      </c>
      <c r="E120" s="210" t="s">
        <v>2892</v>
      </c>
      <c r="F120" s="211" t="s">
        <v>2893</v>
      </c>
      <c r="G120" s="212" t="s">
        <v>1436</v>
      </c>
      <c r="H120" s="213">
        <v>16</v>
      </c>
      <c r="I120" s="214"/>
      <c r="J120" s="215">
        <f>ROUND(I120*H120,1)</f>
        <v>0</v>
      </c>
      <c r="K120" s="211" t="s">
        <v>32</v>
      </c>
      <c r="L120" s="46"/>
      <c r="M120" s="216" t="s">
        <v>32</v>
      </c>
      <c r="N120" s="217" t="s">
        <v>49</v>
      </c>
      <c r="O120" s="86"/>
      <c r="P120" s="218">
        <f>O120*H120</f>
        <v>0</v>
      </c>
      <c r="Q120" s="218">
        <v>0</v>
      </c>
      <c r="R120" s="218">
        <f>Q120*H120</f>
        <v>0</v>
      </c>
      <c r="S120" s="218">
        <v>0</v>
      </c>
      <c r="T120" s="219">
        <f>S120*H120</f>
        <v>0</v>
      </c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0" t="s">
        <v>207</v>
      </c>
      <c r="AT120" s="220" t="s">
        <v>202</v>
      </c>
      <c r="AU120" s="220" t="s">
        <v>88</v>
      </c>
      <c r="AY120" s="18" t="s">
        <v>200</v>
      </c>
      <c r="BE120" s="221">
        <f>IF(N120="základní",J120,0)</f>
        <v>0</v>
      </c>
      <c r="BF120" s="221">
        <f>IF(N120="snížená",J120,0)</f>
        <v>0</v>
      </c>
      <c r="BG120" s="221">
        <f>IF(N120="zákl. přenesená",J120,0)</f>
        <v>0</v>
      </c>
      <c r="BH120" s="221">
        <f>IF(N120="sníž. přenesená",J120,0)</f>
        <v>0</v>
      </c>
      <c r="BI120" s="221">
        <f>IF(N120="nulová",J120,0)</f>
        <v>0</v>
      </c>
      <c r="BJ120" s="18" t="s">
        <v>86</v>
      </c>
      <c r="BK120" s="221">
        <f>ROUND(I120*H120,1)</f>
        <v>0</v>
      </c>
      <c r="BL120" s="18" t="s">
        <v>207</v>
      </c>
      <c r="BM120" s="220" t="s">
        <v>241</v>
      </c>
    </row>
    <row r="121" s="2" customFormat="1" ht="16.5" customHeight="1">
      <c r="A121" s="40"/>
      <c r="B121" s="41"/>
      <c r="C121" s="209" t="s">
        <v>207</v>
      </c>
      <c r="D121" s="209" t="s">
        <v>202</v>
      </c>
      <c r="E121" s="210" t="s">
        <v>2894</v>
      </c>
      <c r="F121" s="211" t="s">
        <v>2895</v>
      </c>
      <c r="G121" s="212" t="s">
        <v>1436</v>
      </c>
      <c r="H121" s="213">
        <v>35</v>
      </c>
      <c r="I121" s="214"/>
      <c r="J121" s="215">
        <f>ROUND(I121*H121,1)</f>
        <v>0</v>
      </c>
      <c r="K121" s="211" t="s">
        <v>32</v>
      </c>
      <c r="L121" s="46"/>
      <c r="M121" s="216" t="s">
        <v>32</v>
      </c>
      <c r="N121" s="217" t="s">
        <v>49</v>
      </c>
      <c r="O121" s="86"/>
      <c r="P121" s="218">
        <f>O121*H121</f>
        <v>0</v>
      </c>
      <c r="Q121" s="218">
        <v>0</v>
      </c>
      <c r="R121" s="218">
        <f>Q121*H121</f>
        <v>0</v>
      </c>
      <c r="S121" s="218">
        <v>0</v>
      </c>
      <c r="T121" s="219">
        <f>S121*H121</f>
        <v>0</v>
      </c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R121" s="220" t="s">
        <v>207</v>
      </c>
      <c r="AT121" s="220" t="s">
        <v>202</v>
      </c>
      <c r="AU121" s="220" t="s">
        <v>88</v>
      </c>
      <c r="AY121" s="18" t="s">
        <v>200</v>
      </c>
      <c r="BE121" s="221">
        <f>IF(N121="základní",J121,0)</f>
        <v>0</v>
      </c>
      <c r="BF121" s="221">
        <f>IF(N121="snížená",J121,0)</f>
        <v>0</v>
      </c>
      <c r="BG121" s="221">
        <f>IF(N121="zákl. přenesená",J121,0)</f>
        <v>0</v>
      </c>
      <c r="BH121" s="221">
        <f>IF(N121="sníž. přenesená",J121,0)</f>
        <v>0</v>
      </c>
      <c r="BI121" s="221">
        <f>IF(N121="nulová",J121,0)</f>
        <v>0</v>
      </c>
      <c r="BJ121" s="18" t="s">
        <v>86</v>
      </c>
      <c r="BK121" s="221">
        <f>ROUND(I121*H121,1)</f>
        <v>0</v>
      </c>
      <c r="BL121" s="18" t="s">
        <v>207</v>
      </c>
      <c r="BM121" s="220" t="s">
        <v>254</v>
      </c>
    </row>
    <row r="122" s="2" customFormat="1" ht="16.5" customHeight="1">
      <c r="A122" s="40"/>
      <c r="B122" s="41"/>
      <c r="C122" s="209" t="s">
        <v>234</v>
      </c>
      <c r="D122" s="209" t="s">
        <v>202</v>
      </c>
      <c r="E122" s="210" t="s">
        <v>2896</v>
      </c>
      <c r="F122" s="211" t="s">
        <v>2897</v>
      </c>
      <c r="G122" s="212" t="s">
        <v>32</v>
      </c>
      <c r="H122" s="213">
        <v>12</v>
      </c>
      <c r="I122" s="214"/>
      <c r="J122" s="215">
        <f>ROUND(I122*H122,1)</f>
        <v>0</v>
      </c>
      <c r="K122" s="211" t="s">
        <v>32</v>
      </c>
      <c r="L122" s="46"/>
      <c r="M122" s="216" t="s">
        <v>32</v>
      </c>
      <c r="N122" s="217" t="s">
        <v>49</v>
      </c>
      <c r="O122" s="86"/>
      <c r="P122" s="218">
        <f>O122*H122</f>
        <v>0</v>
      </c>
      <c r="Q122" s="218">
        <v>0</v>
      </c>
      <c r="R122" s="218">
        <f>Q122*H122</f>
        <v>0</v>
      </c>
      <c r="S122" s="218">
        <v>0</v>
      </c>
      <c r="T122" s="219">
        <f>S122*H122</f>
        <v>0</v>
      </c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0" t="s">
        <v>207</v>
      </c>
      <c r="AT122" s="220" t="s">
        <v>202</v>
      </c>
      <c r="AU122" s="220" t="s">
        <v>88</v>
      </c>
      <c r="AY122" s="18" t="s">
        <v>200</v>
      </c>
      <c r="BE122" s="221">
        <f>IF(N122="základní",J122,0)</f>
        <v>0</v>
      </c>
      <c r="BF122" s="221">
        <f>IF(N122="snížená",J122,0)</f>
        <v>0</v>
      </c>
      <c r="BG122" s="221">
        <f>IF(N122="zákl. přenesená",J122,0)</f>
        <v>0</v>
      </c>
      <c r="BH122" s="221">
        <f>IF(N122="sníž. přenesená",J122,0)</f>
        <v>0</v>
      </c>
      <c r="BI122" s="221">
        <f>IF(N122="nulová",J122,0)</f>
        <v>0</v>
      </c>
      <c r="BJ122" s="18" t="s">
        <v>86</v>
      </c>
      <c r="BK122" s="221">
        <f>ROUND(I122*H122,1)</f>
        <v>0</v>
      </c>
      <c r="BL122" s="18" t="s">
        <v>207</v>
      </c>
      <c r="BM122" s="220" t="s">
        <v>269</v>
      </c>
    </row>
    <row r="123" s="2" customFormat="1" ht="16.5" customHeight="1">
      <c r="A123" s="40"/>
      <c r="B123" s="41"/>
      <c r="C123" s="209" t="s">
        <v>241</v>
      </c>
      <c r="D123" s="209" t="s">
        <v>202</v>
      </c>
      <c r="E123" s="210" t="s">
        <v>2898</v>
      </c>
      <c r="F123" s="211" t="s">
        <v>2899</v>
      </c>
      <c r="G123" s="212" t="s">
        <v>1436</v>
      </c>
      <c r="H123" s="213">
        <v>46</v>
      </c>
      <c r="I123" s="214"/>
      <c r="J123" s="215">
        <f>ROUND(I123*H123,1)</f>
        <v>0</v>
      </c>
      <c r="K123" s="211" t="s">
        <v>32</v>
      </c>
      <c r="L123" s="46"/>
      <c r="M123" s="216" t="s">
        <v>32</v>
      </c>
      <c r="N123" s="217" t="s">
        <v>49</v>
      </c>
      <c r="O123" s="86"/>
      <c r="P123" s="218">
        <f>O123*H123</f>
        <v>0</v>
      </c>
      <c r="Q123" s="218">
        <v>0</v>
      </c>
      <c r="R123" s="218">
        <f>Q123*H123</f>
        <v>0</v>
      </c>
      <c r="S123" s="218">
        <v>0</v>
      </c>
      <c r="T123" s="219">
        <f>S123*H123</f>
        <v>0</v>
      </c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0" t="s">
        <v>207</v>
      </c>
      <c r="AT123" s="220" t="s">
        <v>202</v>
      </c>
      <c r="AU123" s="220" t="s">
        <v>88</v>
      </c>
      <c r="AY123" s="18" t="s">
        <v>200</v>
      </c>
      <c r="BE123" s="221">
        <f>IF(N123="základní",J123,0)</f>
        <v>0</v>
      </c>
      <c r="BF123" s="221">
        <f>IF(N123="snížená",J123,0)</f>
        <v>0</v>
      </c>
      <c r="BG123" s="221">
        <f>IF(N123="zákl. přenesená",J123,0)</f>
        <v>0</v>
      </c>
      <c r="BH123" s="221">
        <f>IF(N123="sníž. přenesená",J123,0)</f>
        <v>0</v>
      </c>
      <c r="BI123" s="221">
        <f>IF(N123="nulová",J123,0)</f>
        <v>0</v>
      </c>
      <c r="BJ123" s="18" t="s">
        <v>86</v>
      </c>
      <c r="BK123" s="221">
        <f>ROUND(I123*H123,1)</f>
        <v>0</v>
      </c>
      <c r="BL123" s="18" t="s">
        <v>207</v>
      </c>
      <c r="BM123" s="220" t="s">
        <v>285</v>
      </c>
    </row>
    <row r="124" s="2" customFormat="1" ht="16.5" customHeight="1">
      <c r="A124" s="40"/>
      <c r="B124" s="41"/>
      <c r="C124" s="209" t="s">
        <v>247</v>
      </c>
      <c r="D124" s="209" t="s">
        <v>202</v>
      </c>
      <c r="E124" s="210" t="s">
        <v>2900</v>
      </c>
      <c r="F124" s="211" t="s">
        <v>2901</v>
      </c>
      <c r="G124" s="212" t="s">
        <v>1436</v>
      </c>
      <c r="H124" s="213">
        <v>6</v>
      </c>
      <c r="I124" s="214"/>
      <c r="J124" s="215">
        <f>ROUND(I124*H124,1)</f>
        <v>0</v>
      </c>
      <c r="K124" s="211" t="s">
        <v>32</v>
      </c>
      <c r="L124" s="46"/>
      <c r="M124" s="216" t="s">
        <v>32</v>
      </c>
      <c r="N124" s="217" t="s">
        <v>49</v>
      </c>
      <c r="O124" s="86"/>
      <c r="P124" s="218">
        <f>O124*H124</f>
        <v>0</v>
      </c>
      <c r="Q124" s="218">
        <v>0</v>
      </c>
      <c r="R124" s="218">
        <f>Q124*H124</f>
        <v>0</v>
      </c>
      <c r="S124" s="218">
        <v>0</v>
      </c>
      <c r="T124" s="219">
        <f>S124*H124</f>
        <v>0</v>
      </c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0" t="s">
        <v>207</v>
      </c>
      <c r="AT124" s="220" t="s">
        <v>202</v>
      </c>
      <c r="AU124" s="220" t="s">
        <v>88</v>
      </c>
      <c r="AY124" s="18" t="s">
        <v>200</v>
      </c>
      <c r="BE124" s="221">
        <f>IF(N124="základní",J124,0)</f>
        <v>0</v>
      </c>
      <c r="BF124" s="221">
        <f>IF(N124="snížená",J124,0)</f>
        <v>0</v>
      </c>
      <c r="BG124" s="221">
        <f>IF(N124="zákl. přenesená",J124,0)</f>
        <v>0</v>
      </c>
      <c r="BH124" s="221">
        <f>IF(N124="sníž. přenesená",J124,0)</f>
        <v>0</v>
      </c>
      <c r="BI124" s="221">
        <f>IF(N124="nulová",J124,0)</f>
        <v>0</v>
      </c>
      <c r="BJ124" s="18" t="s">
        <v>86</v>
      </c>
      <c r="BK124" s="221">
        <f>ROUND(I124*H124,1)</f>
        <v>0</v>
      </c>
      <c r="BL124" s="18" t="s">
        <v>207</v>
      </c>
      <c r="BM124" s="220" t="s">
        <v>297</v>
      </c>
    </row>
    <row r="125" s="2" customFormat="1" ht="16.5" customHeight="1">
      <c r="A125" s="40"/>
      <c r="B125" s="41"/>
      <c r="C125" s="209" t="s">
        <v>254</v>
      </c>
      <c r="D125" s="209" t="s">
        <v>202</v>
      </c>
      <c r="E125" s="210" t="s">
        <v>2902</v>
      </c>
      <c r="F125" s="211" t="s">
        <v>2903</v>
      </c>
      <c r="G125" s="212" t="s">
        <v>1436</v>
      </c>
      <c r="H125" s="213">
        <v>4</v>
      </c>
      <c r="I125" s="214"/>
      <c r="J125" s="215">
        <f>ROUND(I125*H125,1)</f>
        <v>0</v>
      </c>
      <c r="K125" s="211" t="s">
        <v>32</v>
      </c>
      <c r="L125" s="46"/>
      <c r="M125" s="216" t="s">
        <v>32</v>
      </c>
      <c r="N125" s="217" t="s">
        <v>49</v>
      </c>
      <c r="O125" s="86"/>
      <c r="P125" s="218">
        <f>O125*H125</f>
        <v>0</v>
      </c>
      <c r="Q125" s="218">
        <v>0</v>
      </c>
      <c r="R125" s="218">
        <f>Q125*H125</f>
        <v>0</v>
      </c>
      <c r="S125" s="218">
        <v>0</v>
      </c>
      <c r="T125" s="219">
        <f>S125*H125</f>
        <v>0</v>
      </c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0" t="s">
        <v>207</v>
      </c>
      <c r="AT125" s="220" t="s">
        <v>202</v>
      </c>
      <c r="AU125" s="220" t="s">
        <v>88</v>
      </c>
      <c r="AY125" s="18" t="s">
        <v>200</v>
      </c>
      <c r="BE125" s="221">
        <f>IF(N125="základní",J125,0)</f>
        <v>0</v>
      </c>
      <c r="BF125" s="221">
        <f>IF(N125="snížená",J125,0)</f>
        <v>0</v>
      </c>
      <c r="BG125" s="221">
        <f>IF(N125="zákl. přenesená",J125,0)</f>
        <v>0</v>
      </c>
      <c r="BH125" s="221">
        <f>IF(N125="sníž. přenesená",J125,0)</f>
        <v>0</v>
      </c>
      <c r="BI125" s="221">
        <f>IF(N125="nulová",J125,0)</f>
        <v>0</v>
      </c>
      <c r="BJ125" s="18" t="s">
        <v>86</v>
      </c>
      <c r="BK125" s="221">
        <f>ROUND(I125*H125,1)</f>
        <v>0</v>
      </c>
      <c r="BL125" s="18" t="s">
        <v>207</v>
      </c>
      <c r="BM125" s="220" t="s">
        <v>310</v>
      </c>
    </row>
    <row r="126" s="2" customFormat="1" ht="16.5" customHeight="1">
      <c r="A126" s="40"/>
      <c r="B126" s="41"/>
      <c r="C126" s="209" t="s">
        <v>261</v>
      </c>
      <c r="D126" s="209" t="s">
        <v>202</v>
      </c>
      <c r="E126" s="210" t="s">
        <v>2904</v>
      </c>
      <c r="F126" s="211" t="s">
        <v>2905</v>
      </c>
      <c r="G126" s="212" t="s">
        <v>1436</v>
      </c>
      <c r="H126" s="213">
        <v>8</v>
      </c>
      <c r="I126" s="214"/>
      <c r="J126" s="215">
        <f>ROUND(I126*H126,1)</f>
        <v>0</v>
      </c>
      <c r="K126" s="211" t="s">
        <v>32</v>
      </c>
      <c r="L126" s="46"/>
      <c r="M126" s="216" t="s">
        <v>32</v>
      </c>
      <c r="N126" s="217" t="s">
        <v>49</v>
      </c>
      <c r="O126" s="86"/>
      <c r="P126" s="218">
        <f>O126*H126</f>
        <v>0</v>
      </c>
      <c r="Q126" s="218">
        <v>0</v>
      </c>
      <c r="R126" s="218">
        <f>Q126*H126</f>
        <v>0</v>
      </c>
      <c r="S126" s="218">
        <v>0</v>
      </c>
      <c r="T126" s="219">
        <f>S126*H126</f>
        <v>0</v>
      </c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R126" s="220" t="s">
        <v>207</v>
      </c>
      <c r="AT126" s="220" t="s">
        <v>202</v>
      </c>
      <c r="AU126" s="220" t="s">
        <v>88</v>
      </c>
      <c r="AY126" s="18" t="s">
        <v>200</v>
      </c>
      <c r="BE126" s="221">
        <f>IF(N126="základní",J126,0)</f>
        <v>0</v>
      </c>
      <c r="BF126" s="221">
        <f>IF(N126="snížená",J126,0)</f>
        <v>0</v>
      </c>
      <c r="BG126" s="221">
        <f>IF(N126="zákl. přenesená",J126,0)</f>
        <v>0</v>
      </c>
      <c r="BH126" s="221">
        <f>IF(N126="sníž. přenesená",J126,0)</f>
        <v>0</v>
      </c>
      <c r="BI126" s="221">
        <f>IF(N126="nulová",J126,0)</f>
        <v>0</v>
      </c>
      <c r="BJ126" s="18" t="s">
        <v>86</v>
      </c>
      <c r="BK126" s="221">
        <f>ROUND(I126*H126,1)</f>
        <v>0</v>
      </c>
      <c r="BL126" s="18" t="s">
        <v>207</v>
      </c>
      <c r="BM126" s="220" t="s">
        <v>326</v>
      </c>
    </row>
    <row r="127" s="2" customFormat="1" ht="16.5" customHeight="1">
      <c r="A127" s="40"/>
      <c r="B127" s="41"/>
      <c r="C127" s="209" t="s">
        <v>269</v>
      </c>
      <c r="D127" s="209" t="s">
        <v>202</v>
      </c>
      <c r="E127" s="210" t="s">
        <v>2906</v>
      </c>
      <c r="F127" s="211" t="s">
        <v>2907</v>
      </c>
      <c r="G127" s="212" t="s">
        <v>1436</v>
      </c>
      <c r="H127" s="213">
        <v>4</v>
      </c>
      <c r="I127" s="214"/>
      <c r="J127" s="215">
        <f>ROUND(I127*H127,1)</f>
        <v>0</v>
      </c>
      <c r="K127" s="211" t="s">
        <v>32</v>
      </c>
      <c r="L127" s="46"/>
      <c r="M127" s="216" t="s">
        <v>32</v>
      </c>
      <c r="N127" s="217" t="s">
        <v>49</v>
      </c>
      <c r="O127" s="86"/>
      <c r="P127" s="218">
        <f>O127*H127</f>
        <v>0</v>
      </c>
      <c r="Q127" s="218">
        <v>0</v>
      </c>
      <c r="R127" s="218">
        <f>Q127*H127</f>
        <v>0</v>
      </c>
      <c r="S127" s="218">
        <v>0</v>
      </c>
      <c r="T127" s="219">
        <f>S127*H127</f>
        <v>0</v>
      </c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0" t="s">
        <v>207</v>
      </c>
      <c r="AT127" s="220" t="s">
        <v>202</v>
      </c>
      <c r="AU127" s="220" t="s">
        <v>88</v>
      </c>
      <c r="AY127" s="18" t="s">
        <v>200</v>
      </c>
      <c r="BE127" s="221">
        <f>IF(N127="základní",J127,0)</f>
        <v>0</v>
      </c>
      <c r="BF127" s="221">
        <f>IF(N127="snížená",J127,0)</f>
        <v>0</v>
      </c>
      <c r="BG127" s="221">
        <f>IF(N127="zákl. přenesená",J127,0)</f>
        <v>0</v>
      </c>
      <c r="BH127" s="221">
        <f>IF(N127="sníž. přenesená",J127,0)</f>
        <v>0</v>
      </c>
      <c r="BI127" s="221">
        <f>IF(N127="nulová",J127,0)</f>
        <v>0</v>
      </c>
      <c r="BJ127" s="18" t="s">
        <v>86</v>
      </c>
      <c r="BK127" s="221">
        <f>ROUND(I127*H127,1)</f>
        <v>0</v>
      </c>
      <c r="BL127" s="18" t="s">
        <v>207</v>
      </c>
      <c r="BM127" s="220" t="s">
        <v>342</v>
      </c>
    </row>
    <row r="128" s="2" customFormat="1" ht="16.5" customHeight="1">
      <c r="A128" s="40"/>
      <c r="B128" s="41"/>
      <c r="C128" s="209" t="s">
        <v>277</v>
      </c>
      <c r="D128" s="209" t="s">
        <v>202</v>
      </c>
      <c r="E128" s="210" t="s">
        <v>2908</v>
      </c>
      <c r="F128" s="211" t="s">
        <v>2909</v>
      </c>
      <c r="G128" s="212" t="s">
        <v>1436</v>
      </c>
      <c r="H128" s="213">
        <v>17</v>
      </c>
      <c r="I128" s="214"/>
      <c r="J128" s="215">
        <f>ROUND(I128*H128,1)</f>
        <v>0</v>
      </c>
      <c r="K128" s="211" t="s">
        <v>32</v>
      </c>
      <c r="L128" s="46"/>
      <c r="M128" s="216" t="s">
        <v>32</v>
      </c>
      <c r="N128" s="217" t="s">
        <v>49</v>
      </c>
      <c r="O128" s="86"/>
      <c r="P128" s="218">
        <f>O128*H128</f>
        <v>0</v>
      </c>
      <c r="Q128" s="218">
        <v>0</v>
      </c>
      <c r="R128" s="218">
        <f>Q128*H128</f>
        <v>0</v>
      </c>
      <c r="S128" s="218">
        <v>0</v>
      </c>
      <c r="T128" s="219">
        <f>S128*H128</f>
        <v>0</v>
      </c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0" t="s">
        <v>207</v>
      </c>
      <c r="AT128" s="220" t="s">
        <v>202</v>
      </c>
      <c r="AU128" s="220" t="s">
        <v>88</v>
      </c>
      <c r="AY128" s="18" t="s">
        <v>200</v>
      </c>
      <c r="BE128" s="221">
        <f>IF(N128="základní",J128,0)</f>
        <v>0</v>
      </c>
      <c r="BF128" s="221">
        <f>IF(N128="snížená",J128,0)</f>
        <v>0</v>
      </c>
      <c r="BG128" s="221">
        <f>IF(N128="zákl. přenesená",J128,0)</f>
        <v>0</v>
      </c>
      <c r="BH128" s="221">
        <f>IF(N128="sníž. přenesená",J128,0)</f>
        <v>0</v>
      </c>
      <c r="BI128" s="221">
        <f>IF(N128="nulová",J128,0)</f>
        <v>0</v>
      </c>
      <c r="BJ128" s="18" t="s">
        <v>86</v>
      </c>
      <c r="BK128" s="221">
        <f>ROUND(I128*H128,1)</f>
        <v>0</v>
      </c>
      <c r="BL128" s="18" t="s">
        <v>207</v>
      </c>
      <c r="BM128" s="220" t="s">
        <v>363</v>
      </c>
    </row>
    <row r="129" s="2" customFormat="1" ht="16.5" customHeight="1">
      <c r="A129" s="40"/>
      <c r="B129" s="41"/>
      <c r="C129" s="209" t="s">
        <v>285</v>
      </c>
      <c r="D129" s="209" t="s">
        <v>202</v>
      </c>
      <c r="E129" s="210" t="s">
        <v>2910</v>
      </c>
      <c r="F129" s="211" t="s">
        <v>2911</v>
      </c>
      <c r="G129" s="212" t="s">
        <v>1436</v>
      </c>
      <c r="H129" s="213">
        <v>1</v>
      </c>
      <c r="I129" s="214"/>
      <c r="J129" s="215">
        <f>ROUND(I129*H129,1)</f>
        <v>0</v>
      </c>
      <c r="K129" s="211" t="s">
        <v>32</v>
      </c>
      <c r="L129" s="46"/>
      <c r="M129" s="216" t="s">
        <v>32</v>
      </c>
      <c r="N129" s="217" t="s">
        <v>49</v>
      </c>
      <c r="O129" s="86"/>
      <c r="P129" s="218">
        <f>O129*H129</f>
        <v>0</v>
      </c>
      <c r="Q129" s="218">
        <v>0</v>
      </c>
      <c r="R129" s="218">
        <f>Q129*H129</f>
        <v>0</v>
      </c>
      <c r="S129" s="218">
        <v>0</v>
      </c>
      <c r="T129" s="219">
        <f>S129*H129</f>
        <v>0</v>
      </c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R129" s="220" t="s">
        <v>207</v>
      </c>
      <c r="AT129" s="220" t="s">
        <v>202</v>
      </c>
      <c r="AU129" s="220" t="s">
        <v>88</v>
      </c>
      <c r="AY129" s="18" t="s">
        <v>200</v>
      </c>
      <c r="BE129" s="221">
        <f>IF(N129="základní",J129,0)</f>
        <v>0</v>
      </c>
      <c r="BF129" s="221">
        <f>IF(N129="snížená",J129,0)</f>
        <v>0</v>
      </c>
      <c r="BG129" s="221">
        <f>IF(N129="zákl. přenesená",J129,0)</f>
        <v>0</v>
      </c>
      <c r="BH129" s="221">
        <f>IF(N129="sníž. přenesená",J129,0)</f>
        <v>0</v>
      </c>
      <c r="BI129" s="221">
        <f>IF(N129="nulová",J129,0)</f>
        <v>0</v>
      </c>
      <c r="BJ129" s="18" t="s">
        <v>86</v>
      </c>
      <c r="BK129" s="221">
        <f>ROUND(I129*H129,1)</f>
        <v>0</v>
      </c>
      <c r="BL129" s="18" t="s">
        <v>207</v>
      </c>
      <c r="BM129" s="220" t="s">
        <v>379</v>
      </c>
    </row>
    <row r="130" s="12" customFormat="1" ht="22.8" customHeight="1">
      <c r="A130" s="12"/>
      <c r="B130" s="193"/>
      <c r="C130" s="194"/>
      <c r="D130" s="195" t="s">
        <v>77</v>
      </c>
      <c r="E130" s="207" t="s">
        <v>2912</v>
      </c>
      <c r="F130" s="207" t="s">
        <v>2913</v>
      </c>
      <c r="G130" s="194"/>
      <c r="H130" s="194"/>
      <c r="I130" s="197"/>
      <c r="J130" s="208">
        <f>BK130</f>
        <v>0</v>
      </c>
      <c r="K130" s="194"/>
      <c r="L130" s="199"/>
      <c r="M130" s="200"/>
      <c r="N130" s="201"/>
      <c r="O130" s="201"/>
      <c r="P130" s="202">
        <f>SUM(P131:P136)</f>
        <v>0</v>
      </c>
      <c r="Q130" s="201"/>
      <c r="R130" s="202">
        <f>SUM(R131:R136)</f>
        <v>0</v>
      </c>
      <c r="S130" s="201"/>
      <c r="T130" s="203">
        <f>SUM(T131:T136)</f>
        <v>0</v>
      </c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R130" s="204" t="s">
        <v>86</v>
      </c>
      <c r="AT130" s="205" t="s">
        <v>77</v>
      </c>
      <c r="AU130" s="205" t="s">
        <v>86</v>
      </c>
      <c r="AY130" s="204" t="s">
        <v>200</v>
      </c>
      <c r="BK130" s="206">
        <f>SUM(BK131:BK136)</f>
        <v>0</v>
      </c>
    </row>
    <row r="131" s="2" customFormat="1" ht="16.5" customHeight="1">
      <c r="A131" s="40"/>
      <c r="B131" s="41"/>
      <c r="C131" s="209" t="s">
        <v>291</v>
      </c>
      <c r="D131" s="209" t="s">
        <v>202</v>
      </c>
      <c r="E131" s="210" t="s">
        <v>2914</v>
      </c>
      <c r="F131" s="211" t="s">
        <v>2915</v>
      </c>
      <c r="G131" s="212" t="s">
        <v>1436</v>
      </c>
      <c r="H131" s="213">
        <v>24</v>
      </c>
      <c r="I131" s="214"/>
      <c r="J131" s="215">
        <f>ROUND(I131*H131,1)</f>
        <v>0</v>
      </c>
      <c r="K131" s="211" t="s">
        <v>32</v>
      </c>
      <c r="L131" s="46"/>
      <c r="M131" s="216" t="s">
        <v>32</v>
      </c>
      <c r="N131" s="217" t="s">
        <v>49</v>
      </c>
      <c r="O131" s="86"/>
      <c r="P131" s="218">
        <f>O131*H131</f>
        <v>0</v>
      </c>
      <c r="Q131" s="218">
        <v>0</v>
      </c>
      <c r="R131" s="218">
        <f>Q131*H131</f>
        <v>0</v>
      </c>
      <c r="S131" s="218">
        <v>0</v>
      </c>
      <c r="T131" s="219">
        <f>S131*H131</f>
        <v>0</v>
      </c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0" t="s">
        <v>207</v>
      </c>
      <c r="AT131" s="220" t="s">
        <v>202</v>
      </c>
      <c r="AU131" s="220" t="s">
        <v>88</v>
      </c>
      <c r="AY131" s="18" t="s">
        <v>200</v>
      </c>
      <c r="BE131" s="221">
        <f>IF(N131="základní",J131,0)</f>
        <v>0</v>
      </c>
      <c r="BF131" s="221">
        <f>IF(N131="snížená",J131,0)</f>
        <v>0</v>
      </c>
      <c r="BG131" s="221">
        <f>IF(N131="zákl. přenesená",J131,0)</f>
        <v>0</v>
      </c>
      <c r="BH131" s="221">
        <f>IF(N131="sníž. přenesená",J131,0)</f>
        <v>0</v>
      </c>
      <c r="BI131" s="221">
        <f>IF(N131="nulová",J131,0)</f>
        <v>0</v>
      </c>
      <c r="BJ131" s="18" t="s">
        <v>86</v>
      </c>
      <c r="BK131" s="221">
        <f>ROUND(I131*H131,1)</f>
        <v>0</v>
      </c>
      <c r="BL131" s="18" t="s">
        <v>207</v>
      </c>
      <c r="BM131" s="220" t="s">
        <v>391</v>
      </c>
    </row>
    <row r="132" s="2" customFormat="1">
      <c r="A132" s="40"/>
      <c r="B132" s="41"/>
      <c r="C132" s="42"/>
      <c r="D132" s="229" t="s">
        <v>355</v>
      </c>
      <c r="E132" s="42"/>
      <c r="F132" s="281" t="s">
        <v>2916</v>
      </c>
      <c r="G132" s="42"/>
      <c r="H132" s="42"/>
      <c r="I132" s="224"/>
      <c r="J132" s="42"/>
      <c r="K132" s="42"/>
      <c r="L132" s="46"/>
      <c r="M132" s="225"/>
      <c r="N132" s="226"/>
      <c r="O132" s="86"/>
      <c r="P132" s="86"/>
      <c r="Q132" s="86"/>
      <c r="R132" s="86"/>
      <c r="S132" s="86"/>
      <c r="T132" s="87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8" t="s">
        <v>355</v>
      </c>
      <c r="AU132" s="18" t="s">
        <v>88</v>
      </c>
    </row>
    <row r="133" s="2" customFormat="1" ht="16.5" customHeight="1">
      <c r="A133" s="40"/>
      <c r="B133" s="41"/>
      <c r="C133" s="209" t="s">
        <v>297</v>
      </c>
      <c r="D133" s="209" t="s">
        <v>202</v>
      </c>
      <c r="E133" s="210" t="s">
        <v>2917</v>
      </c>
      <c r="F133" s="211" t="s">
        <v>2918</v>
      </c>
      <c r="G133" s="212" t="s">
        <v>1436</v>
      </c>
      <c r="H133" s="213">
        <v>36</v>
      </c>
      <c r="I133" s="214"/>
      <c r="J133" s="215">
        <f>ROUND(I133*H133,1)</f>
        <v>0</v>
      </c>
      <c r="K133" s="211" t="s">
        <v>32</v>
      </c>
      <c r="L133" s="46"/>
      <c r="M133" s="216" t="s">
        <v>32</v>
      </c>
      <c r="N133" s="217" t="s">
        <v>49</v>
      </c>
      <c r="O133" s="86"/>
      <c r="P133" s="218">
        <f>O133*H133</f>
        <v>0</v>
      </c>
      <c r="Q133" s="218">
        <v>0</v>
      </c>
      <c r="R133" s="218">
        <f>Q133*H133</f>
        <v>0</v>
      </c>
      <c r="S133" s="218">
        <v>0</v>
      </c>
      <c r="T133" s="219">
        <f>S133*H133</f>
        <v>0</v>
      </c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R133" s="220" t="s">
        <v>207</v>
      </c>
      <c r="AT133" s="220" t="s">
        <v>202</v>
      </c>
      <c r="AU133" s="220" t="s">
        <v>88</v>
      </c>
      <c r="AY133" s="18" t="s">
        <v>200</v>
      </c>
      <c r="BE133" s="221">
        <f>IF(N133="základní",J133,0)</f>
        <v>0</v>
      </c>
      <c r="BF133" s="221">
        <f>IF(N133="snížená",J133,0)</f>
        <v>0</v>
      </c>
      <c r="BG133" s="221">
        <f>IF(N133="zákl. přenesená",J133,0)</f>
        <v>0</v>
      </c>
      <c r="BH133" s="221">
        <f>IF(N133="sníž. přenesená",J133,0)</f>
        <v>0</v>
      </c>
      <c r="BI133" s="221">
        <f>IF(N133="nulová",J133,0)</f>
        <v>0</v>
      </c>
      <c r="BJ133" s="18" t="s">
        <v>86</v>
      </c>
      <c r="BK133" s="221">
        <f>ROUND(I133*H133,1)</f>
        <v>0</v>
      </c>
      <c r="BL133" s="18" t="s">
        <v>207</v>
      </c>
      <c r="BM133" s="220" t="s">
        <v>402</v>
      </c>
    </row>
    <row r="134" s="2" customFormat="1">
      <c r="A134" s="40"/>
      <c r="B134" s="41"/>
      <c r="C134" s="42"/>
      <c r="D134" s="229" t="s">
        <v>355</v>
      </c>
      <c r="E134" s="42"/>
      <c r="F134" s="281" t="s">
        <v>2919</v>
      </c>
      <c r="G134" s="42"/>
      <c r="H134" s="42"/>
      <c r="I134" s="224"/>
      <c r="J134" s="42"/>
      <c r="K134" s="42"/>
      <c r="L134" s="46"/>
      <c r="M134" s="225"/>
      <c r="N134" s="226"/>
      <c r="O134" s="86"/>
      <c r="P134" s="86"/>
      <c r="Q134" s="86"/>
      <c r="R134" s="86"/>
      <c r="S134" s="86"/>
      <c r="T134" s="87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T134" s="18" t="s">
        <v>355</v>
      </c>
      <c r="AU134" s="18" t="s">
        <v>88</v>
      </c>
    </row>
    <row r="135" s="2" customFormat="1" ht="16.5" customHeight="1">
      <c r="A135" s="40"/>
      <c r="B135" s="41"/>
      <c r="C135" s="209" t="s">
        <v>8</v>
      </c>
      <c r="D135" s="209" t="s">
        <v>202</v>
      </c>
      <c r="E135" s="210" t="s">
        <v>2920</v>
      </c>
      <c r="F135" s="211" t="s">
        <v>2921</v>
      </c>
      <c r="G135" s="212" t="s">
        <v>1436</v>
      </c>
      <c r="H135" s="213">
        <v>2</v>
      </c>
      <c r="I135" s="214"/>
      <c r="J135" s="215">
        <f>ROUND(I135*H135,1)</f>
        <v>0</v>
      </c>
      <c r="K135" s="211" t="s">
        <v>32</v>
      </c>
      <c r="L135" s="46"/>
      <c r="M135" s="216" t="s">
        <v>32</v>
      </c>
      <c r="N135" s="217" t="s">
        <v>49</v>
      </c>
      <c r="O135" s="86"/>
      <c r="P135" s="218">
        <f>O135*H135</f>
        <v>0</v>
      </c>
      <c r="Q135" s="218">
        <v>0</v>
      </c>
      <c r="R135" s="218">
        <f>Q135*H135</f>
        <v>0</v>
      </c>
      <c r="S135" s="218">
        <v>0</v>
      </c>
      <c r="T135" s="219">
        <f>S135*H135</f>
        <v>0</v>
      </c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R135" s="220" t="s">
        <v>207</v>
      </c>
      <c r="AT135" s="220" t="s">
        <v>202</v>
      </c>
      <c r="AU135" s="220" t="s">
        <v>88</v>
      </c>
      <c r="AY135" s="18" t="s">
        <v>200</v>
      </c>
      <c r="BE135" s="221">
        <f>IF(N135="základní",J135,0)</f>
        <v>0</v>
      </c>
      <c r="BF135" s="221">
        <f>IF(N135="snížená",J135,0)</f>
        <v>0</v>
      </c>
      <c r="BG135" s="221">
        <f>IF(N135="zákl. přenesená",J135,0)</f>
        <v>0</v>
      </c>
      <c r="BH135" s="221">
        <f>IF(N135="sníž. přenesená",J135,0)</f>
        <v>0</v>
      </c>
      <c r="BI135" s="221">
        <f>IF(N135="nulová",J135,0)</f>
        <v>0</v>
      </c>
      <c r="BJ135" s="18" t="s">
        <v>86</v>
      </c>
      <c r="BK135" s="221">
        <f>ROUND(I135*H135,1)</f>
        <v>0</v>
      </c>
      <c r="BL135" s="18" t="s">
        <v>207</v>
      </c>
      <c r="BM135" s="220" t="s">
        <v>416</v>
      </c>
    </row>
    <row r="136" s="2" customFormat="1">
      <c r="A136" s="40"/>
      <c r="B136" s="41"/>
      <c r="C136" s="42"/>
      <c r="D136" s="229" t="s">
        <v>355</v>
      </c>
      <c r="E136" s="42"/>
      <c r="F136" s="281" t="s">
        <v>2922</v>
      </c>
      <c r="G136" s="42"/>
      <c r="H136" s="42"/>
      <c r="I136" s="224"/>
      <c r="J136" s="42"/>
      <c r="K136" s="42"/>
      <c r="L136" s="46"/>
      <c r="M136" s="225"/>
      <c r="N136" s="226"/>
      <c r="O136" s="86"/>
      <c r="P136" s="86"/>
      <c r="Q136" s="86"/>
      <c r="R136" s="86"/>
      <c r="S136" s="86"/>
      <c r="T136" s="87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T136" s="18" t="s">
        <v>355</v>
      </c>
      <c r="AU136" s="18" t="s">
        <v>88</v>
      </c>
    </row>
    <row r="137" s="12" customFormat="1" ht="25.92" customHeight="1">
      <c r="A137" s="12"/>
      <c r="B137" s="193"/>
      <c r="C137" s="194"/>
      <c r="D137" s="195" t="s">
        <v>77</v>
      </c>
      <c r="E137" s="196" t="s">
        <v>2923</v>
      </c>
      <c r="F137" s="196" t="s">
        <v>2924</v>
      </c>
      <c r="G137" s="194"/>
      <c r="H137" s="194"/>
      <c r="I137" s="197"/>
      <c r="J137" s="198">
        <f>BK137</f>
        <v>0</v>
      </c>
      <c r="K137" s="194"/>
      <c r="L137" s="199"/>
      <c r="M137" s="200"/>
      <c r="N137" s="201"/>
      <c r="O137" s="201"/>
      <c r="P137" s="202">
        <f>P138+P141+P149+P151+P154+P156+P158+P160+P162+P164+P166+P168+P170+P177+P180+P183+P185+P187+P189+P192+P195+P198+P200+P216+P218+P221+P223+P225+P228+P231+P234+P236</f>
        <v>0</v>
      </c>
      <c r="Q137" s="201"/>
      <c r="R137" s="202">
        <f>R138+R141+R149+R151+R154+R156+R158+R160+R162+R164+R166+R168+R170+R177+R180+R183+R185+R187+R189+R192+R195+R198+R200+R216+R218+R221+R223+R225+R228+R231+R234+R236</f>
        <v>0</v>
      </c>
      <c r="S137" s="201"/>
      <c r="T137" s="203">
        <f>T138+T141+T149+T151+T154+T156+T158+T160+T162+T164+T166+T168+T170+T177+T180+T183+T185+T187+T189+T192+T195+T198+T200+T216+T218+T221+T223+T225+T228+T231+T234+T236</f>
        <v>0</v>
      </c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R137" s="204" t="s">
        <v>86</v>
      </c>
      <c r="AT137" s="205" t="s">
        <v>77</v>
      </c>
      <c r="AU137" s="205" t="s">
        <v>78</v>
      </c>
      <c r="AY137" s="204" t="s">
        <v>200</v>
      </c>
      <c r="BK137" s="206">
        <f>BK138+BK141+BK149+BK151+BK154+BK156+BK158+BK160+BK162+BK164+BK166+BK168+BK170+BK177+BK180+BK183+BK185+BK187+BK189+BK192+BK195+BK198+BK200+BK216+BK218+BK221+BK223+BK225+BK228+BK231+BK234+BK236</f>
        <v>0</v>
      </c>
    </row>
    <row r="138" s="12" customFormat="1" ht="22.8" customHeight="1">
      <c r="A138" s="12"/>
      <c r="B138" s="193"/>
      <c r="C138" s="194"/>
      <c r="D138" s="195" t="s">
        <v>77</v>
      </c>
      <c r="E138" s="207" t="s">
        <v>2925</v>
      </c>
      <c r="F138" s="207" t="s">
        <v>2926</v>
      </c>
      <c r="G138" s="194"/>
      <c r="H138" s="194"/>
      <c r="I138" s="197"/>
      <c r="J138" s="208">
        <f>BK138</f>
        <v>0</v>
      </c>
      <c r="K138" s="194"/>
      <c r="L138" s="199"/>
      <c r="M138" s="200"/>
      <c r="N138" s="201"/>
      <c r="O138" s="201"/>
      <c r="P138" s="202">
        <f>SUM(P139:P140)</f>
        <v>0</v>
      </c>
      <c r="Q138" s="201"/>
      <c r="R138" s="202">
        <f>SUM(R139:R140)</f>
        <v>0</v>
      </c>
      <c r="S138" s="201"/>
      <c r="T138" s="203">
        <f>SUM(T139:T140)</f>
        <v>0</v>
      </c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R138" s="204" t="s">
        <v>86</v>
      </c>
      <c r="AT138" s="205" t="s">
        <v>77</v>
      </c>
      <c r="AU138" s="205" t="s">
        <v>86</v>
      </c>
      <c r="AY138" s="204" t="s">
        <v>200</v>
      </c>
      <c r="BK138" s="206">
        <f>SUM(BK139:BK140)</f>
        <v>0</v>
      </c>
    </row>
    <row r="139" s="2" customFormat="1" ht="16.5" customHeight="1">
      <c r="A139" s="40"/>
      <c r="B139" s="41"/>
      <c r="C139" s="209" t="s">
        <v>310</v>
      </c>
      <c r="D139" s="209" t="s">
        <v>202</v>
      </c>
      <c r="E139" s="210" t="s">
        <v>2927</v>
      </c>
      <c r="F139" s="211" t="s">
        <v>2928</v>
      </c>
      <c r="G139" s="212" t="s">
        <v>1436</v>
      </c>
      <c r="H139" s="213">
        <v>235</v>
      </c>
      <c r="I139" s="214"/>
      <c r="J139" s="215">
        <f>ROUND(I139*H139,1)</f>
        <v>0</v>
      </c>
      <c r="K139" s="211" t="s">
        <v>32</v>
      </c>
      <c r="L139" s="46"/>
      <c r="M139" s="216" t="s">
        <v>32</v>
      </c>
      <c r="N139" s="217" t="s">
        <v>49</v>
      </c>
      <c r="O139" s="86"/>
      <c r="P139" s="218">
        <f>O139*H139</f>
        <v>0</v>
      </c>
      <c r="Q139" s="218">
        <v>0</v>
      </c>
      <c r="R139" s="218">
        <f>Q139*H139</f>
        <v>0</v>
      </c>
      <c r="S139" s="218">
        <v>0</v>
      </c>
      <c r="T139" s="219">
        <f>S139*H139</f>
        <v>0</v>
      </c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R139" s="220" t="s">
        <v>207</v>
      </c>
      <c r="AT139" s="220" t="s">
        <v>202</v>
      </c>
      <c r="AU139" s="220" t="s">
        <v>88</v>
      </c>
      <c r="AY139" s="18" t="s">
        <v>200</v>
      </c>
      <c r="BE139" s="221">
        <f>IF(N139="základní",J139,0)</f>
        <v>0</v>
      </c>
      <c r="BF139" s="221">
        <f>IF(N139="snížená",J139,0)</f>
        <v>0</v>
      </c>
      <c r="BG139" s="221">
        <f>IF(N139="zákl. přenesená",J139,0)</f>
        <v>0</v>
      </c>
      <c r="BH139" s="221">
        <f>IF(N139="sníž. přenesená",J139,0)</f>
        <v>0</v>
      </c>
      <c r="BI139" s="221">
        <f>IF(N139="nulová",J139,0)</f>
        <v>0</v>
      </c>
      <c r="BJ139" s="18" t="s">
        <v>86</v>
      </c>
      <c r="BK139" s="221">
        <f>ROUND(I139*H139,1)</f>
        <v>0</v>
      </c>
      <c r="BL139" s="18" t="s">
        <v>207</v>
      </c>
      <c r="BM139" s="220" t="s">
        <v>429</v>
      </c>
    </row>
    <row r="140" s="2" customFormat="1" ht="16.5" customHeight="1">
      <c r="A140" s="40"/>
      <c r="B140" s="41"/>
      <c r="C140" s="209" t="s">
        <v>320</v>
      </c>
      <c r="D140" s="209" t="s">
        <v>202</v>
      </c>
      <c r="E140" s="210" t="s">
        <v>2929</v>
      </c>
      <c r="F140" s="211" t="s">
        <v>2930</v>
      </c>
      <c r="G140" s="212" t="s">
        <v>1436</v>
      </c>
      <c r="H140" s="213">
        <v>62</v>
      </c>
      <c r="I140" s="214"/>
      <c r="J140" s="215">
        <f>ROUND(I140*H140,1)</f>
        <v>0</v>
      </c>
      <c r="K140" s="211" t="s">
        <v>32</v>
      </c>
      <c r="L140" s="46"/>
      <c r="M140" s="216" t="s">
        <v>32</v>
      </c>
      <c r="N140" s="217" t="s">
        <v>49</v>
      </c>
      <c r="O140" s="86"/>
      <c r="P140" s="218">
        <f>O140*H140</f>
        <v>0</v>
      </c>
      <c r="Q140" s="218">
        <v>0</v>
      </c>
      <c r="R140" s="218">
        <f>Q140*H140</f>
        <v>0</v>
      </c>
      <c r="S140" s="218">
        <v>0</v>
      </c>
      <c r="T140" s="219">
        <f>S140*H140</f>
        <v>0</v>
      </c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R140" s="220" t="s">
        <v>207</v>
      </c>
      <c r="AT140" s="220" t="s">
        <v>202</v>
      </c>
      <c r="AU140" s="220" t="s">
        <v>88</v>
      </c>
      <c r="AY140" s="18" t="s">
        <v>200</v>
      </c>
      <c r="BE140" s="221">
        <f>IF(N140="základní",J140,0)</f>
        <v>0</v>
      </c>
      <c r="BF140" s="221">
        <f>IF(N140="snížená",J140,0)</f>
        <v>0</v>
      </c>
      <c r="BG140" s="221">
        <f>IF(N140="zákl. přenesená",J140,0)</f>
        <v>0</v>
      </c>
      <c r="BH140" s="221">
        <f>IF(N140="sníž. přenesená",J140,0)</f>
        <v>0</v>
      </c>
      <c r="BI140" s="221">
        <f>IF(N140="nulová",J140,0)</f>
        <v>0</v>
      </c>
      <c r="BJ140" s="18" t="s">
        <v>86</v>
      </c>
      <c r="BK140" s="221">
        <f>ROUND(I140*H140,1)</f>
        <v>0</v>
      </c>
      <c r="BL140" s="18" t="s">
        <v>207</v>
      </c>
      <c r="BM140" s="220" t="s">
        <v>440</v>
      </c>
    </row>
    <row r="141" s="12" customFormat="1" ht="22.8" customHeight="1">
      <c r="A141" s="12"/>
      <c r="B141" s="193"/>
      <c r="C141" s="194"/>
      <c r="D141" s="195" t="s">
        <v>77</v>
      </c>
      <c r="E141" s="207" t="s">
        <v>2931</v>
      </c>
      <c r="F141" s="207" t="s">
        <v>2932</v>
      </c>
      <c r="G141" s="194"/>
      <c r="H141" s="194"/>
      <c r="I141" s="197"/>
      <c r="J141" s="208">
        <f>BK141</f>
        <v>0</v>
      </c>
      <c r="K141" s="194"/>
      <c r="L141" s="199"/>
      <c r="M141" s="200"/>
      <c r="N141" s="201"/>
      <c r="O141" s="201"/>
      <c r="P141" s="202">
        <f>SUM(P142:P148)</f>
        <v>0</v>
      </c>
      <c r="Q141" s="201"/>
      <c r="R141" s="202">
        <f>SUM(R142:R148)</f>
        <v>0</v>
      </c>
      <c r="S141" s="201"/>
      <c r="T141" s="203">
        <f>SUM(T142:T148)</f>
        <v>0</v>
      </c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R141" s="204" t="s">
        <v>86</v>
      </c>
      <c r="AT141" s="205" t="s">
        <v>77</v>
      </c>
      <c r="AU141" s="205" t="s">
        <v>86</v>
      </c>
      <c r="AY141" s="204" t="s">
        <v>200</v>
      </c>
      <c r="BK141" s="206">
        <f>SUM(BK142:BK148)</f>
        <v>0</v>
      </c>
    </row>
    <row r="142" s="2" customFormat="1" ht="16.5" customHeight="1">
      <c r="A142" s="40"/>
      <c r="B142" s="41"/>
      <c r="C142" s="209" t="s">
        <v>326</v>
      </c>
      <c r="D142" s="209" t="s">
        <v>202</v>
      </c>
      <c r="E142" s="210" t="s">
        <v>2933</v>
      </c>
      <c r="F142" s="211" t="s">
        <v>2934</v>
      </c>
      <c r="G142" s="212" t="s">
        <v>280</v>
      </c>
      <c r="H142" s="213">
        <v>160</v>
      </c>
      <c r="I142" s="214"/>
      <c r="J142" s="215">
        <f>ROUND(I142*H142,1)</f>
        <v>0</v>
      </c>
      <c r="K142" s="211" t="s">
        <v>32</v>
      </c>
      <c r="L142" s="46"/>
      <c r="M142" s="216" t="s">
        <v>32</v>
      </c>
      <c r="N142" s="217" t="s">
        <v>49</v>
      </c>
      <c r="O142" s="86"/>
      <c r="P142" s="218">
        <f>O142*H142</f>
        <v>0</v>
      </c>
      <c r="Q142" s="218">
        <v>0</v>
      </c>
      <c r="R142" s="218">
        <f>Q142*H142</f>
        <v>0</v>
      </c>
      <c r="S142" s="218">
        <v>0</v>
      </c>
      <c r="T142" s="219">
        <f>S142*H142</f>
        <v>0</v>
      </c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R142" s="220" t="s">
        <v>207</v>
      </c>
      <c r="AT142" s="220" t="s">
        <v>202</v>
      </c>
      <c r="AU142" s="220" t="s">
        <v>88</v>
      </c>
      <c r="AY142" s="18" t="s">
        <v>200</v>
      </c>
      <c r="BE142" s="221">
        <f>IF(N142="základní",J142,0)</f>
        <v>0</v>
      </c>
      <c r="BF142" s="221">
        <f>IF(N142="snížená",J142,0)</f>
        <v>0</v>
      </c>
      <c r="BG142" s="221">
        <f>IF(N142="zákl. přenesená",J142,0)</f>
        <v>0</v>
      </c>
      <c r="BH142" s="221">
        <f>IF(N142="sníž. přenesená",J142,0)</f>
        <v>0</v>
      </c>
      <c r="BI142" s="221">
        <f>IF(N142="nulová",J142,0)</f>
        <v>0</v>
      </c>
      <c r="BJ142" s="18" t="s">
        <v>86</v>
      </c>
      <c r="BK142" s="221">
        <f>ROUND(I142*H142,1)</f>
        <v>0</v>
      </c>
      <c r="BL142" s="18" t="s">
        <v>207</v>
      </c>
      <c r="BM142" s="220" t="s">
        <v>453</v>
      </c>
    </row>
    <row r="143" s="2" customFormat="1" ht="16.5" customHeight="1">
      <c r="A143" s="40"/>
      <c r="B143" s="41"/>
      <c r="C143" s="209" t="s">
        <v>337</v>
      </c>
      <c r="D143" s="209" t="s">
        <v>202</v>
      </c>
      <c r="E143" s="210" t="s">
        <v>2935</v>
      </c>
      <c r="F143" s="211" t="s">
        <v>2936</v>
      </c>
      <c r="G143" s="212" t="s">
        <v>280</v>
      </c>
      <c r="H143" s="213">
        <v>2700</v>
      </c>
      <c r="I143" s="214"/>
      <c r="J143" s="215">
        <f>ROUND(I143*H143,1)</f>
        <v>0</v>
      </c>
      <c r="K143" s="211" t="s">
        <v>32</v>
      </c>
      <c r="L143" s="46"/>
      <c r="M143" s="216" t="s">
        <v>32</v>
      </c>
      <c r="N143" s="217" t="s">
        <v>49</v>
      </c>
      <c r="O143" s="86"/>
      <c r="P143" s="218">
        <f>O143*H143</f>
        <v>0</v>
      </c>
      <c r="Q143" s="218">
        <v>0</v>
      </c>
      <c r="R143" s="218">
        <f>Q143*H143</f>
        <v>0</v>
      </c>
      <c r="S143" s="218">
        <v>0</v>
      </c>
      <c r="T143" s="219">
        <f>S143*H143</f>
        <v>0</v>
      </c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R143" s="220" t="s">
        <v>207</v>
      </c>
      <c r="AT143" s="220" t="s">
        <v>202</v>
      </c>
      <c r="AU143" s="220" t="s">
        <v>88</v>
      </c>
      <c r="AY143" s="18" t="s">
        <v>200</v>
      </c>
      <c r="BE143" s="221">
        <f>IF(N143="základní",J143,0)</f>
        <v>0</v>
      </c>
      <c r="BF143" s="221">
        <f>IF(N143="snížená",J143,0)</f>
        <v>0</v>
      </c>
      <c r="BG143" s="221">
        <f>IF(N143="zákl. přenesená",J143,0)</f>
        <v>0</v>
      </c>
      <c r="BH143" s="221">
        <f>IF(N143="sníž. přenesená",J143,0)</f>
        <v>0</v>
      </c>
      <c r="BI143" s="221">
        <f>IF(N143="nulová",J143,0)</f>
        <v>0</v>
      </c>
      <c r="BJ143" s="18" t="s">
        <v>86</v>
      </c>
      <c r="BK143" s="221">
        <f>ROUND(I143*H143,1)</f>
        <v>0</v>
      </c>
      <c r="BL143" s="18" t="s">
        <v>207</v>
      </c>
      <c r="BM143" s="220" t="s">
        <v>465</v>
      </c>
    </row>
    <row r="144" s="2" customFormat="1" ht="16.5" customHeight="1">
      <c r="A144" s="40"/>
      <c r="B144" s="41"/>
      <c r="C144" s="209" t="s">
        <v>342</v>
      </c>
      <c r="D144" s="209" t="s">
        <v>202</v>
      </c>
      <c r="E144" s="210" t="s">
        <v>2937</v>
      </c>
      <c r="F144" s="211" t="s">
        <v>2938</v>
      </c>
      <c r="G144" s="212" t="s">
        <v>280</v>
      </c>
      <c r="H144" s="213">
        <v>1800</v>
      </c>
      <c r="I144" s="214"/>
      <c r="J144" s="215">
        <f>ROUND(I144*H144,1)</f>
        <v>0</v>
      </c>
      <c r="K144" s="211" t="s">
        <v>32</v>
      </c>
      <c r="L144" s="46"/>
      <c r="M144" s="216" t="s">
        <v>32</v>
      </c>
      <c r="N144" s="217" t="s">
        <v>49</v>
      </c>
      <c r="O144" s="86"/>
      <c r="P144" s="218">
        <f>O144*H144</f>
        <v>0</v>
      </c>
      <c r="Q144" s="218">
        <v>0</v>
      </c>
      <c r="R144" s="218">
        <f>Q144*H144</f>
        <v>0</v>
      </c>
      <c r="S144" s="218">
        <v>0</v>
      </c>
      <c r="T144" s="219">
        <f>S144*H144</f>
        <v>0</v>
      </c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R144" s="220" t="s">
        <v>207</v>
      </c>
      <c r="AT144" s="220" t="s">
        <v>202</v>
      </c>
      <c r="AU144" s="220" t="s">
        <v>88</v>
      </c>
      <c r="AY144" s="18" t="s">
        <v>200</v>
      </c>
      <c r="BE144" s="221">
        <f>IF(N144="základní",J144,0)</f>
        <v>0</v>
      </c>
      <c r="BF144" s="221">
        <f>IF(N144="snížená",J144,0)</f>
        <v>0</v>
      </c>
      <c r="BG144" s="221">
        <f>IF(N144="zákl. přenesená",J144,0)</f>
        <v>0</v>
      </c>
      <c r="BH144" s="221">
        <f>IF(N144="sníž. přenesená",J144,0)</f>
        <v>0</v>
      </c>
      <c r="BI144" s="221">
        <f>IF(N144="nulová",J144,0)</f>
        <v>0</v>
      </c>
      <c r="BJ144" s="18" t="s">
        <v>86</v>
      </c>
      <c r="BK144" s="221">
        <f>ROUND(I144*H144,1)</f>
        <v>0</v>
      </c>
      <c r="BL144" s="18" t="s">
        <v>207</v>
      </c>
      <c r="BM144" s="220" t="s">
        <v>476</v>
      </c>
    </row>
    <row r="145" s="2" customFormat="1" ht="16.5" customHeight="1">
      <c r="A145" s="40"/>
      <c r="B145" s="41"/>
      <c r="C145" s="209" t="s">
        <v>7</v>
      </c>
      <c r="D145" s="209" t="s">
        <v>202</v>
      </c>
      <c r="E145" s="210" t="s">
        <v>2939</v>
      </c>
      <c r="F145" s="211" t="s">
        <v>2940</v>
      </c>
      <c r="G145" s="212" t="s">
        <v>280</v>
      </c>
      <c r="H145" s="213">
        <v>80</v>
      </c>
      <c r="I145" s="214"/>
      <c r="J145" s="215">
        <f>ROUND(I145*H145,1)</f>
        <v>0</v>
      </c>
      <c r="K145" s="211" t="s">
        <v>32</v>
      </c>
      <c r="L145" s="46"/>
      <c r="M145" s="216" t="s">
        <v>32</v>
      </c>
      <c r="N145" s="217" t="s">
        <v>49</v>
      </c>
      <c r="O145" s="86"/>
      <c r="P145" s="218">
        <f>O145*H145</f>
        <v>0</v>
      </c>
      <c r="Q145" s="218">
        <v>0</v>
      </c>
      <c r="R145" s="218">
        <f>Q145*H145</f>
        <v>0</v>
      </c>
      <c r="S145" s="218">
        <v>0</v>
      </c>
      <c r="T145" s="219">
        <f>S145*H145</f>
        <v>0</v>
      </c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0" t="s">
        <v>207</v>
      </c>
      <c r="AT145" s="220" t="s">
        <v>202</v>
      </c>
      <c r="AU145" s="220" t="s">
        <v>88</v>
      </c>
      <c r="AY145" s="18" t="s">
        <v>200</v>
      </c>
      <c r="BE145" s="221">
        <f>IF(N145="základní",J145,0)</f>
        <v>0</v>
      </c>
      <c r="BF145" s="221">
        <f>IF(N145="snížená",J145,0)</f>
        <v>0</v>
      </c>
      <c r="BG145" s="221">
        <f>IF(N145="zákl. přenesená",J145,0)</f>
        <v>0</v>
      </c>
      <c r="BH145" s="221">
        <f>IF(N145="sníž. přenesená",J145,0)</f>
        <v>0</v>
      </c>
      <c r="BI145" s="221">
        <f>IF(N145="nulová",J145,0)</f>
        <v>0</v>
      </c>
      <c r="BJ145" s="18" t="s">
        <v>86</v>
      </c>
      <c r="BK145" s="221">
        <f>ROUND(I145*H145,1)</f>
        <v>0</v>
      </c>
      <c r="BL145" s="18" t="s">
        <v>207</v>
      </c>
      <c r="BM145" s="220" t="s">
        <v>511</v>
      </c>
    </row>
    <row r="146" s="2" customFormat="1" ht="16.5" customHeight="1">
      <c r="A146" s="40"/>
      <c r="B146" s="41"/>
      <c r="C146" s="209" t="s">
        <v>363</v>
      </c>
      <c r="D146" s="209" t="s">
        <v>202</v>
      </c>
      <c r="E146" s="210" t="s">
        <v>2941</v>
      </c>
      <c r="F146" s="211" t="s">
        <v>2942</v>
      </c>
      <c r="G146" s="212" t="s">
        <v>280</v>
      </c>
      <c r="H146" s="213">
        <v>110</v>
      </c>
      <c r="I146" s="214"/>
      <c r="J146" s="215">
        <f>ROUND(I146*H146,1)</f>
        <v>0</v>
      </c>
      <c r="K146" s="211" t="s">
        <v>32</v>
      </c>
      <c r="L146" s="46"/>
      <c r="M146" s="216" t="s">
        <v>32</v>
      </c>
      <c r="N146" s="217" t="s">
        <v>49</v>
      </c>
      <c r="O146" s="86"/>
      <c r="P146" s="218">
        <f>O146*H146</f>
        <v>0</v>
      </c>
      <c r="Q146" s="218">
        <v>0</v>
      </c>
      <c r="R146" s="218">
        <f>Q146*H146</f>
        <v>0</v>
      </c>
      <c r="S146" s="218">
        <v>0</v>
      </c>
      <c r="T146" s="219">
        <f>S146*H146</f>
        <v>0</v>
      </c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R146" s="220" t="s">
        <v>207</v>
      </c>
      <c r="AT146" s="220" t="s">
        <v>202</v>
      </c>
      <c r="AU146" s="220" t="s">
        <v>88</v>
      </c>
      <c r="AY146" s="18" t="s">
        <v>200</v>
      </c>
      <c r="BE146" s="221">
        <f>IF(N146="základní",J146,0)</f>
        <v>0</v>
      </c>
      <c r="BF146" s="221">
        <f>IF(N146="snížená",J146,0)</f>
        <v>0</v>
      </c>
      <c r="BG146" s="221">
        <f>IF(N146="zákl. přenesená",J146,0)</f>
        <v>0</v>
      </c>
      <c r="BH146" s="221">
        <f>IF(N146="sníž. přenesená",J146,0)</f>
        <v>0</v>
      </c>
      <c r="BI146" s="221">
        <f>IF(N146="nulová",J146,0)</f>
        <v>0</v>
      </c>
      <c r="BJ146" s="18" t="s">
        <v>86</v>
      </c>
      <c r="BK146" s="221">
        <f>ROUND(I146*H146,1)</f>
        <v>0</v>
      </c>
      <c r="BL146" s="18" t="s">
        <v>207</v>
      </c>
      <c r="BM146" s="220" t="s">
        <v>528</v>
      </c>
    </row>
    <row r="147" s="2" customFormat="1" ht="16.5" customHeight="1">
      <c r="A147" s="40"/>
      <c r="B147" s="41"/>
      <c r="C147" s="209" t="s">
        <v>374</v>
      </c>
      <c r="D147" s="209" t="s">
        <v>202</v>
      </c>
      <c r="E147" s="210" t="s">
        <v>2943</v>
      </c>
      <c r="F147" s="211" t="s">
        <v>2944</v>
      </c>
      <c r="G147" s="212" t="s">
        <v>280</v>
      </c>
      <c r="H147" s="213">
        <v>35</v>
      </c>
      <c r="I147" s="214"/>
      <c r="J147" s="215">
        <f>ROUND(I147*H147,1)</f>
        <v>0</v>
      </c>
      <c r="K147" s="211" t="s">
        <v>32</v>
      </c>
      <c r="L147" s="46"/>
      <c r="M147" s="216" t="s">
        <v>32</v>
      </c>
      <c r="N147" s="217" t="s">
        <v>49</v>
      </c>
      <c r="O147" s="86"/>
      <c r="P147" s="218">
        <f>O147*H147</f>
        <v>0</v>
      </c>
      <c r="Q147" s="218">
        <v>0</v>
      </c>
      <c r="R147" s="218">
        <f>Q147*H147</f>
        <v>0</v>
      </c>
      <c r="S147" s="218">
        <v>0</v>
      </c>
      <c r="T147" s="219">
        <f>S147*H147</f>
        <v>0</v>
      </c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R147" s="220" t="s">
        <v>207</v>
      </c>
      <c r="AT147" s="220" t="s">
        <v>202</v>
      </c>
      <c r="AU147" s="220" t="s">
        <v>88</v>
      </c>
      <c r="AY147" s="18" t="s">
        <v>200</v>
      </c>
      <c r="BE147" s="221">
        <f>IF(N147="základní",J147,0)</f>
        <v>0</v>
      </c>
      <c r="BF147" s="221">
        <f>IF(N147="snížená",J147,0)</f>
        <v>0</v>
      </c>
      <c r="BG147" s="221">
        <f>IF(N147="zákl. přenesená",J147,0)</f>
        <v>0</v>
      </c>
      <c r="BH147" s="221">
        <f>IF(N147="sníž. přenesená",J147,0)</f>
        <v>0</v>
      </c>
      <c r="BI147" s="221">
        <f>IF(N147="nulová",J147,0)</f>
        <v>0</v>
      </c>
      <c r="BJ147" s="18" t="s">
        <v>86</v>
      </c>
      <c r="BK147" s="221">
        <f>ROUND(I147*H147,1)</f>
        <v>0</v>
      </c>
      <c r="BL147" s="18" t="s">
        <v>207</v>
      </c>
      <c r="BM147" s="220" t="s">
        <v>542</v>
      </c>
    </row>
    <row r="148" s="2" customFormat="1" ht="16.5" customHeight="1">
      <c r="A148" s="40"/>
      <c r="B148" s="41"/>
      <c r="C148" s="209" t="s">
        <v>379</v>
      </c>
      <c r="D148" s="209" t="s">
        <v>202</v>
      </c>
      <c r="E148" s="210" t="s">
        <v>2945</v>
      </c>
      <c r="F148" s="211" t="s">
        <v>2946</v>
      </c>
      <c r="G148" s="212" t="s">
        <v>280</v>
      </c>
      <c r="H148" s="213">
        <v>50</v>
      </c>
      <c r="I148" s="214"/>
      <c r="J148" s="215">
        <f>ROUND(I148*H148,1)</f>
        <v>0</v>
      </c>
      <c r="K148" s="211" t="s">
        <v>32</v>
      </c>
      <c r="L148" s="46"/>
      <c r="M148" s="216" t="s">
        <v>32</v>
      </c>
      <c r="N148" s="217" t="s">
        <v>49</v>
      </c>
      <c r="O148" s="86"/>
      <c r="P148" s="218">
        <f>O148*H148</f>
        <v>0</v>
      </c>
      <c r="Q148" s="218">
        <v>0</v>
      </c>
      <c r="R148" s="218">
        <f>Q148*H148</f>
        <v>0</v>
      </c>
      <c r="S148" s="218">
        <v>0</v>
      </c>
      <c r="T148" s="219">
        <f>S148*H148</f>
        <v>0</v>
      </c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R148" s="220" t="s">
        <v>207</v>
      </c>
      <c r="AT148" s="220" t="s">
        <v>202</v>
      </c>
      <c r="AU148" s="220" t="s">
        <v>88</v>
      </c>
      <c r="AY148" s="18" t="s">
        <v>200</v>
      </c>
      <c r="BE148" s="221">
        <f>IF(N148="základní",J148,0)</f>
        <v>0</v>
      </c>
      <c r="BF148" s="221">
        <f>IF(N148="snížená",J148,0)</f>
        <v>0</v>
      </c>
      <c r="BG148" s="221">
        <f>IF(N148="zákl. přenesená",J148,0)</f>
        <v>0</v>
      </c>
      <c r="BH148" s="221">
        <f>IF(N148="sníž. přenesená",J148,0)</f>
        <v>0</v>
      </c>
      <c r="BI148" s="221">
        <f>IF(N148="nulová",J148,0)</f>
        <v>0</v>
      </c>
      <c r="BJ148" s="18" t="s">
        <v>86</v>
      </c>
      <c r="BK148" s="221">
        <f>ROUND(I148*H148,1)</f>
        <v>0</v>
      </c>
      <c r="BL148" s="18" t="s">
        <v>207</v>
      </c>
      <c r="BM148" s="220" t="s">
        <v>555</v>
      </c>
    </row>
    <row r="149" s="12" customFormat="1" ht="22.8" customHeight="1">
      <c r="A149" s="12"/>
      <c r="B149" s="193"/>
      <c r="C149" s="194"/>
      <c r="D149" s="195" t="s">
        <v>77</v>
      </c>
      <c r="E149" s="207" t="s">
        <v>2947</v>
      </c>
      <c r="F149" s="207" t="s">
        <v>2948</v>
      </c>
      <c r="G149" s="194"/>
      <c r="H149" s="194"/>
      <c r="I149" s="197"/>
      <c r="J149" s="208">
        <f>BK149</f>
        <v>0</v>
      </c>
      <c r="K149" s="194"/>
      <c r="L149" s="199"/>
      <c r="M149" s="200"/>
      <c r="N149" s="201"/>
      <c r="O149" s="201"/>
      <c r="P149" s="202">
        <f>P150</f>
        <v>0</v>
      </c>
      <c r="Q149" s="201"/>
      <c r="R149" s="202">
        <f>R150</f>
        <v>0</v>
      </c>
      <c r="S149" s="201"/>
      <c r="T149" s="203">
        <f>T150</f>
        <v>0</v>
      </c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R149" s="204" t="s">
        <v>86</v>
      </c>
      <c r="AT149" s="205" t="s">
        <v>77</v>
      </c>
      <c r="AU149" s="205" t="s">
        <v>86</v>
      </c>
      <c r="AY149" s="204" t="s">
        <v>200</v>
      </c>
      <c r="BK149" s="206">
        <f>BK150</f>
        <v>0</v>
      </c>
    </row>
    <row r="150" s="2" customFormat="1" ht="16.5" customHeight="1">
      <c r="A150" s="40"/>
      <c r="B150" s="41"/>
      <c r="C150" s="209" t="s">
        <v>385</v>
      </c>
      <c r="D150" s="209" t="s">
        <v>202</v>
      </c>
      <c r="E150" s="210" t="s">
        <v>2949</v>
      </c>
      <c r="F150" s="211" t="s">
        <v>2950</v>
      </c>
      <c r="G150" s="212" t="s">
        <v>280</v>
      </c>
      <c r="H150" s="213">
        <v>120</v>
      </c>
      <c r="I150" s="214"/>
      <c r="J150" s="215">
        <f>ROUND(I150*H150,1)</f>
        <v>0</v>
      </c>
      <c r="K150" s="211" t="s">
        <v>32</v>
      </c>
      <c r="L150" s="46"/>
      <c r="M150" s="216" t="s">
        <v>32</v>
      </c>
      <c r="N150" s="217" t="s">
        <v>49</v>
      </c>
      <c r="O150" s="86"/>
      <c r="P150" s="218">
        <f>O150*H150</f>
        <v>0</v>
      </c>
      <c r="Q150" s="218">
        <v>0</v>
      </c>
      <c r="R150" s="218">
        <f>Q150*H150</f>
        <v>0</v>
      </c>
      <c r="S150" s="218">
        <v>0</v>
      </c>
      <c r="T150" s="219">
        <f>S150*H150</f>
        <v>0</v>
      </c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R150" s="220" t="s">
        <v>207</v>
      </c>
      <c r="AT150" s="220" t="s">
        <v>202</v>
      </c>
      <c r="AU150" s="220" t="s">
        <v>88</v>
      </c>
      <c r="AY150" s="18" t="s">
        <v>200</v>
      </c>
      <c r="BE150" s="221">
        <f>IF(N150="základní",J150,0)</f>
        <v>0</v>
      </c>
      <c r="BF150" s="221">
        <f>IF(N150="snížená",J150,0)</f>
        <v>0</v>
      </c>
      <c r="BG150" s="221">
        <f>IF(N150="zákl. přenesená",J150,0)</f>
        <v>0</v>
      </c>
      <c r="BH150" s="221">
        <f>IF(N150="sníž. přenesená",J150,0)</f>
        <v>0</v>
      </c>
      <c r="BI150" s="221">
        <f>IF(N150="nulová",J150,0)</f>
        <v>0</v>
      </c>
      <c r="BJ150" s="18" t="s">
        <v>86</v>
      </c>
      <c r="BK150" s="221">
        <f>ROUND(I150*H150,1)</f>
        <v>0</v>
      </c>
      <c r="BL150" s="18" t="s">
        <v>207</v>
      </c>
      <c r="BM150" s="220" t="s">
        <v>565</v>
      </c>
    </row>
    <row r="151" s="12" customFormat="1" ht="22.8" customHeight="1">
      <c r="A151" s="12"/>
      <c r="B151" s="193"/>
      <c r="C151" s="194"/>
      <c r="D151" s="195" t="s">
        <v>77</v>
      </c>
      <c r="E151" s="207" t="s">
        <v>2951</v>
      </c>
      <c r="F151" s="207" t="s">
        <v>2952</v>
      </c>
      <c r="G151" s="194"/>
      <c r="H151" s="194"/>
      <c r="I151" s="197"/>
      <c r="J151" s="208">
        <f>BK151</f>
        <v>0</v>
      </c>
      <c r="K151" s="194"/>
      <c r="L151" s="199"/>
      <c r="M151" s="200"/>
      <c r="N151" s="201"/>
      <c r="O151" s="201"/>
      <c r="P151" s="202">
        <f>SUM(P152:P153)</f>
        <v>0</v>
      </c>
      <c r="Q151" s="201"/>
      <c r="R151" s="202">
        <f>SUM(R152:R153)</f>
        <v>0</v>
      </c>
      <c r="S151" s="201"/>
      <c r="T151" s="203">
        <f>SUM(T152:T153)</f>
        <v>0</v>
      </c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R151" s="204" t="s">
        <v>86</v>
      </c>
      <c r="AT151" s="205" t="s">
        <v>77</v>
      </c>
      <c r="AU151" s="205" t="s">
        <v>86</v>
      </c>
      <c r="AY151" s="204" t="s">
        <v>200</v>
      </c>
      <c r="BK151" s="206">
        <f>SUM(BK152:BK153)</f>
        <v>0</v>
      </c>
    </row>
    <row r="152" s="2" customFormat="1" ht="16.5" customHeight="1">
      <c r="A152" s="40"/>
      <c r="B152" s="41"/>
      <c r="C152" s="209" t="s">
        <v>391</v>
      </c>
      <c r="D152" s="209" t="s">
        <v>202</v>
      </c>
      <c r="E152" s="210" t="s">
        <v>2953</v>
      </c>
      <c r="F152" s="211" t="s">
        <v>2954</v>
      </c>
      <c r="G152" s="212" t="s">
        <v>280</v>
      </c>
      <c r="H152" s="213">
        <v>300</v>
      </c>
      <c r="I152" s="214"/>
      <c r="J152" s="215">
        <f>ROUND(I152*H152,1)</f>
        <v>0</v>
      </c>
      <c r="K152" s="211" t="s">
        <v>32</v>
      </c>
      <c r="L152" s="46"/>
      <c r="M152" s="216" t="s">
        <v>32</v>
      </c>
      <c r="N152" s="217" t="s">
        <v>49</v>
      </c>
      <c r="O152" s="86"/>
      <c r="P152" s="218">
        <f>O152*H152</f>
        <v>0</v>
      </c>
      <c r="Q152" s="218">
        <v>0</v>
      </c>
      <c r="R152" s="218">
        <f>Q152*H152</f>
        <v>0</v>
      </c>
      <c r="S152" s="218">
        <v>0</v>
      </c>
      <c r="T152" s="219">
        <f>S152*H152</f>
        <v>0</v>
      </c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R152" s="220" t="s">
        <v>207</v>
      </c>
      <c r="AT152" s="220" t="s">
        <v>202</v>
      </c>
      <c r="AU152" s="220" t="s">
        <v>88</v>
      </c>
      <c r="AY152" s="18" t="s">
        <v>200</v>
      </c>
      <c r="BE152" s="221">
        <f>IF(N152="základní",J152,0)</f>
        <v>0</v>
      </c>
      <c r="BF152" s="221">
        <f>IF(N152="snížená",J152,0)</f>
        <v>0</v>
      </c>
      <c r="BG152" s="221">
        <f>IF(N152="zákl. přenesená",J152,0)</f>
        <v>0</v>
      </c>
      <c r="BH152" s="221">
        <f>IF(N152="sníž. přenesená",J152,0)</f>
        <v>0</v>
      </c>
      <c r="BI152" s="221">
        <f>IF(N152="nulová",J152,0)</f>
        <v>0</v>
      </c>
      <c r="BJ152" s="18" t="s">
        <v>86</v>
      </c>
      <c r="BK152" s="221">
        <f>ROUND(I152*H152,1)</f>
        <v>0</v>
      </c>
      <c r="BL152" s="18" t="s">
        <v>207</v>
      </c>
      <c r="BM152" s="220" t="s">
        <v>575</v>
      </c>
    </row>
    <row r="153" s="2" customFormat="1" ht="16.5" customHeight="1">
      <c r="A153" s="40"/>
      <c r="B153" s="41"/>
      <c r="C153" s="209" t="s">
        <v>397</v>
      </c>
      <c r="D153" s="209" t="s">
        <v>202</v>
      </c>
      <c r="E153" s="210" t="s">
        <v>2955</v>
      </c>
      <c r="F153" s="211" t="s">
        <v>2956</v>
      </c>
      <c r="G153" s="212" t="s">
        <v>280</v>
      </c>
      <c r="H153" s="213">
        <v>100</v>
      </c>
      <c r="I153" s="214"/>
      <c r="J153" s="215">
        <f>ROUND(I153*H153,1)</f>
        <v>0</v>
      </c>
      <c r="K153" s="211" t="s">
        <v>32</v>
      </c>
      <c r="L153" s="46"/>
      <c r="M153" s="216" t="s">
        <v>32</v>
      </c>
      <c r="N153" s="217" t="s">
        <v>49</v>
      </c>
      <c r="O153" s="86"/>
      <c r="P153" s="218">
        <f>O153*H153</f>
        <v>0</v>
      </c>
      <c r="Q153" s="218">
        <v>0</v>
      </c>
      <c r="R153" s="218">
        <f>Q153*H153</f>
        <v>0</v>
      </c>
      <c r="S153" s="218">
        <v>0</v>
      </c>
      <c r="T153" s="219">
        <f>S153*H153</f>
        <v>0</v>
      </c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0" t="s">
        <v>207</v>
      </c>
      <c r="AT153" s="220" t="s">
        <v>202</v>
      </c>
      <c r="AU153" s="220" t="s">
        <v>88</v>
      </c>
      <c r="AY153" s="18" t="s">
        <v>200</v>
      </c>
      <c r="BE153" s="221">
        <f>IF(N153="základní",J153,0)</f>
        <v>0</v>
      </c>
      <c r="BF153" s="221">
        <f>IF(N153="snížená",J153,0)</f>
        <v>0</v>
      </c>
      <c r="BG153" s="221">
        <f>IF(N153="zákl. přenesená",J153,0)</f>
        <v>0</v>
      </c>
      <c r="BH153" s="221">
        <f>IF(N153="sníž. přenesená",J153,0)</f>
        <v>0</v>
      </c>
      <c r="BI153" s="221">
        <f>IF(N153="nulová",J153,0)</f>
        <v>0</v>
      </c>
      <c r="BJ153" s="18" t="s">
        <v>86</v>
      </c>
      <c r="BK153" s="221">
        <f>ROUND(I153*H153,1)</f>
        <v>0</v>
      </c>
      <c r="BL153" s="18" t="s">
        <v>207</v>
      </c>
      <c r="BM153" s="220" t="s">
        <v>587</v>
      </c>
    </row>
    <row r="154" s="12" customFormat="1" ht="22.8" customHeight="1">
      <c r="A154" s="12"/>
      <c r="B154" s="193"/>
      <c r="C154" s="194"/>
      <c r="D154" s="195" t="s">
        <v>77</v>
      </c>
      <c r="E154" s="207" t="s">
        <v>2957</v>
      </c>
      <c r="F154" s="207" t="s">
        <v>2958</v>
      </c>
      <c r="G154" s="194"/>
      <c r="H154" s="194"/>
      <c r="I154" s="197"/>
      <c r="J154" s="208">
        <f>BK154</f>
        <v>0</v>
      </c>
      <c r="K154" s="194"/>
      <c r="L154" s="199"/>
      <c r="M154" s="200"/>
      <c r="N154" s="201"/>
      <c r="O154" s="201"/>
      <c r="P154" s="202">
        <f>P155</f>
        <v>0</v>
      </c>
      <c r="Q154" s="201"/>
      <c r="R154" s="202">
        <f>R155</f>
        <v>0</v>
      </c>
      <c r="S154" s="201"/>
      <c r="T154" s="203">
        <f>T155</f>
        <v>0</v>
      </c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R154" s="204" t="s">
        <v>86</v>
      </c>
      <c r="AT154" s="205" t="s">
        <v>77</v>
      </c>
      <c r="AU154" s="205" t="s">
        <v>86</v>
      </c>
      <c r="AY154" s="204" t="s">
        <v>200</v>
      </c>
      <c r="BK154" s="206">
        <f>BK155</f>
        <v>0</v>
      </c>
    </row>
    <row r="155" s="2" customFormat="1" ht="16.5" customHeight="1">
      <c r="A155" s="40"/>
      <c r="B155" s="41"/>
      <c r="C155" s="209" t="s">
        <v>402</v>
      </c>
      <c r="D155" s="209" t="s">
        <v>202</v>
      </c>
      <c r="E155" s="210" t="s">
        <v>2959</v>
      </c>
      <c r="F155" s="211" t="s">
        <v>2960</v>
      </c>
      <c r="G155" s="212" t="s">
        <v>1436</v>
      </c>
      <c r="H155" s="213">
        <v>3</v>
      </c>
      <c r="I155" s="214"/>
      <c r="J155" s="215">
        <f>ROUND(I155*H155,1)</f>
        <v>0</v>
      </c>
      <c r="K155" s="211" t="s">
        <v>32</v>
      </c>
      <c r="L155" s="46"/>
      <c r="M155" s="216" t="s">
        <v>32</v>
      </c>
      <c r="N155" s="217" t="s">
        <v>49</v>
      </c>
      <c r="O155" s="86"/>
      <c r="P155" s="218">
        <f>O155*H155</f>
        <v>0</v>
      </c>
      <c r="Q155" s="218">
        <v>0</v>
      </c>
      <c r="R155" s="218">
        <f>Q155*H155</f>
        <v>0</v>
      </c>
      <c r="S155" s="218">
        <v>0</v>
      </c>
      <c r="T155" s="219">
        <f>S155*H155</f>
        <v>0</v>
      </c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R155" s="220" t="s">
        <v>207</v>
      </c>
      <c r="AT155" s="220" t="s">
        <v>202</v>
      </c>
      <c r="AU155" s="220" t="s">
        <v>88</v>
      </c>
      <c r="AY155" s="18" t="s">
        <v>200</v>
      </c>
      <c r="BE155" s="221">
        <f>IF(N155="základní",J155,0)</f>
        <v>0</v>
      </c>
      <c r="BF155" s="221">
        <f>IF(N155="snížená",J155,0)</f>
        <v>0</v>
      </c>
      <c r="BG155" s="221">
        <f>IF(N155="zákl. přenesená",J155,0)</f>
        <v>0</v>
      </c>
      <c r="BH155" s="221">
        <f>IF(N155="sníž. přenesená",J155,0)</f>
        <v>0</v>
      </c>
      <c r="BI155" s="221">
        <f>IF(N155="nulová",J155,0)</f>
        <v>0</v>
      </c>
      <c r="BJ155" s="18" t="s">
        <v>86</v>
      </c>
      <c r="BK155" s="221">
        <f>ROUND(I155*H155,1)</f>
        <v>0</v>
      </c>
      <c r="BL155" s="18" t="s">
        <v>207</v>
      </c>
      <c r="BM155" s="220" t="s">
        <v>599</v>
      </c>
    </row>
    <row r="156" s="12" customFormat="1" ht="22.8" customHeight="1">
      <c r="A156" s="12"/>
      <c r="B156" s="193"/>
      <c r="C156" s="194"/>
      <c r="D156" s="195" t="s">
        <v>77</v>
      </c>
      <c r="E156" s="207" t="s">
        <v>2961</v>
      </c>
      <c r="F156" s="207" t="s">
        <v>2962</v>
      </c>
      <c r="G156" s="194"/>
      <c r="H156" s="194"/>
      <c r="I156" s="197"/>
      <c r="J156" s="208">
        <f>BK156</f>
        <v>0</v>
      </c>
      <c r="K156" s="194"/>
      <c r="L156" s="199"/>
      <c r="M156" s="200"/>
      <c r="N156" s="201"/>
      <c r="O156" s="201"/>
      <c r="P156" s="202">
        <f>P157</f>
        <v>0</v>
      </c>
      <c r="Q156" s="201"/>
      <c r="R156" s="202">
        <f>R157</f>
        <v>0</v>
      </c>
      <c r="S156" s="201"/>
      <c r="T156" s="203">
        <f>T157</f>
        <v>0</v>
      </c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R156" s="204" t="s">
        <v>86</v>
      </c>
      <c r="AT156" s="205" t="s">
        <v>77</v>
      </c>
      <c r="AU156" s="205" t="s">
        <v>86</v>
      </c>
      <c r="AY156" s="204" t="s">
        <v>200</v>
      </c>
      <c r="BK156" s="206">
        <f>BK157</f>
        <v>0</v>
      </c>
    </row>
    <row r="157" s="2" customFormat="1" ht="16.5" customHeight="1">
      <c r="A157" s="40"/>
      <c r="B157" s="41"/>
      <c r="C157" s="209" t="s">
        <v>409</v>
      </c>
      <c r="D157" s="209" t="s">
        <v>202</v>
      </c>
      <c r="E157" s="210" t="s">
        <v>2963</v>
      </c>
      <c r="F157" s="211" t="s">
        <v>2964</v>
      </c>
      <c r="G157" s="212" t="s">
        <v>1436</v>
      </c>
      <c r="H157" s="213">
        <v>3</v>
      </c>
      <c r="I157" s="214"/>
      <c r="J157" s="215">
        <f>ROUND(I157*H157,1)</f>
        <v>0</v>
      </c>
      <c r="K157" s="211" t="s">
        <v>32</v>
      </c>
      <c r="L157" s="46"/>
      <c r="M157" s="216" t="s">
        <v>32</v>
      </c>
      <c r="N157" s="217" t="s">
        <v>49</v>
      </c>
      <c r="O157" s="86"/>
      <c r="P157" s="218">
        <f>O157*H157</f>
        <v>0</v>
      </c>
      <c r="Q157" s="218">
        <v>0</v>
      </c>
      <c r="R157" s="218">
        <f>Q157*H157</f>
        <v>0</v>
      </c>
      <c r="S157" s="218">
        <v>0</v>
      </c>
      <c r="T157" s="219">
        <f>S157*H157</f>
        <v>0</v>
      </c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R157" s="220" t="s">
        <v>207</v>
      </c>
      <c r="AT157" s="220" t="s">
        <v>202</v>
      </c>
      <c r="AU157" s="220" t="s">
        <v>88</v>
      </c>
      <c r="AY157" s="18" t="s">
        <v>200</v>
      </c>
      <c r="BE157" s="221">
        <f>IF(N157="základní",J157,0)</f>
        <v>0</v>
      </c>
      <c r="BF157" s="221">
        <f>IF(N157="snížená",J157,0)</f>
        <v>0</v>
      </c>
      <c r="BG157" s="221">
        <f>IF(N157="zákl. přenesená",J157,0)</f>
        <v>0</v>
      </c>
      <c r="BH157" s="221">
        <f>IF(N157="sníž. přenesená",J157,0)</f>
        <v>0</v>
      </c>
      <c r="BI157" s="221">
        <f>IF(N157="nulová",J157,0)</f>
        <v>0</v>
      </c>
      <c r="BJ157" s="18" t="s">
        <v>86</v>
      </c>
      <c r="BK157" s="221">
        <f>ROUND(I157*H157,1)</f>
        <v>0</v>
      </c>
      <c r="BL157" s="18" t="s">
        <v>207</v>
      </c>
      <c r="BM157" s="220" t="s">
        <v>609</v>
      </c>
    </row>
    <row r="158" s="12" customFormat="1" ht="22.8" customHeight="1">
      <c r="A158" s="12"/>
      <c r="B158" s="193"/>
      <c r="C158" s="194"/>
      <c r="D158" s="195" t="s">
        <v>77</v>
      </c>
      <c r="E158" s="207" t="s">
        <v>2965</v>
      </c>
      <c r="F158" s="207" t="s">
        <v>2966</v>
      </c>
      <c r="G158" s="194"/>
      <c r="H158" s="194"/>
      <c r="I158" s="197"/>
      <c r="J158" s="208">
        <f>BK158</f>
        <v>0</v>
      </c>
      <c r="K158" s="194"/>
      <c r="L158" s="199"/>
      <c r="M158" s="200"/>
      <c r="N158" s="201"/>
      <c r="O158" s="201"/>
      <c r="P158" s="202">
        <f>P159</f>
        <v>0</v>
      </c>
      <c r="Q158" s="201"/>
      <c r="R158" s="202">
        <f>R159</f>
        <v>0</v>
      </c>
      <c r="S158" s="201"/>
      <c r="T158" s="203">
        <f>T159</f>
        <v>0</v>
      </c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R158" s="204" t="s">
        <v>86</v>
      </c>
      <c r="AT158" s="205" t="s">
        <v>77</v>
      </c>
      <c r="AU158" s="205" t="s">
        <v>86</v>
      </c>
      <c r="AY158" s="204" t="s">
        <v>200</v>
      </c>
      <c r="BK158" s="206">
        <f>BK159</f>
        <v>0</v>
      </c>
    </row>
    <row r="159" s="2" customFormat="1" ht="16.5" customHeight="1">
      <c r="A159" s="40"/>
      <c r="B159" s="41"/>
      <c r="C159" s="209" t="s">
        <v>416</v>
      </c>
      <c r="D159" s="209" t="s">
        <v>202</v>
      </c>
      <c r="E159" s="210" t="s">
        <v>2967</v>
      </c>
      <c r="F159" s="211" t="s">
        <v>2968</v>
      </c>
      <c r="G159" s="212" t="s">
        <v>1436</v>
      </c>
      <c r="H159" s="213">
        <v>3</v>
      </c>
      <c r="I159" s="214"/>
      <c r="J159" s="215">
        <f>ROUND(I159*H159,1)</f>
        <v>0</v>
      </c>
      <c r="K159" s="211" t="s">
        <v>32</v>
      </c>
      <c r="L159" s="46"/>
      <c r="M159" s="216" t="s">
        <v>32</v>
      </c>
      <c r="N159" s="217" t="s">
        <v>49</v>
      </c>
      <c r="O159" s="86"/>
      <c r="P159" s="218">
        <f>O159*H159</f>
        <v>0</v>
      </c>
      <c r="Q159" s="218">
        <v>0</v>
      </c>
      <c r="R159" s="218">
        <f>Q159*H159</f>
        <v>0</v>
      </c>
      <c r="S159" s="218">
        <v>0</v>
      </c>
      <c r="T159" s="219">
        <f>S159*H159</f>
        <v>0</v>
      </c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R159" s="220" t="s">
        <v>207</v>
      </c>
      <c r="AT159" s="220" t="s">
        <v>202</v>
      </c>
      <c r="AU159" s="220" t="s">
        <v>88</v>
      </c>
      <c r="AY159" s="18" t="s">
        <v>200</v>
      </c>
      <c r="BE159" s="221">
        <f>IF(N159="základní",J159,0)</f>
        <v>0</v>
      </c>
      <c r="BF159" s="221">
        <f>IF(N159="snížená",J159,0)</f>
        <v>0</v>
      </c>
      <c r="BG159" s="221">
        <f>IF(N159="zákl. přenesená",J159,0)</f>
        <v>0</v>
      </c>
      <c r="BH159" s="221">
        <f>IF(N159="sníž. přenesená",J159,0)</f>
        <v>0</v>
      </c>
      <c r="BI159" s="221">
        <f>IF(N159="nulová",J159,0)</f>
        <v>0</v>
      </c>
      <c r="BJ159" s="18" t="s">
        <v>86</v>
      </c>
      <c r="BK159" s="221">
        <f>ROUND(I159*H159,1)</f>
        <v>0</v>
      </c>
      <c r="BL159" s="18" t="s">
        <v>207</v>
      </c>
      <c r="BM159" s="220" t="s">
        <v>638</v>
      </c>
    </row>
    <row r="160" s="12" customFormat="1" ht="22.8" customHeight="1">
      <c r="A160" s="12"/>
      <c r="B160" s="193"/>
      <c r="C160" s="194"/>
      <c r="D160" s="195" t="s">
        <v>77</v>
      </c>
      <c r="E160" s="207" t="s">
        <v>2969</v>
      </c>
      <c r="F160" s="207" t="s">
        <v>2970</v>
      </c>
      <c r="G160" s="194"/>
      <c r="H160" s="194"/>
      <c r="I160" s="197"/>
      <c r="J160" s="208">
        <f>BK160</f>
        <v>0</v>
      </c>
      <c r="K160" s="194"/>
      <c r="L160" s="199"/>
      <c r="M160" s="200"/>
      <c r="N160" s="201"/>
      <c r="O160" s="201"/>
      <c r="P160" s="202">
        <f>P161</f>
        <v>0</v>
      </c>
      <c r="Q160" s="201"/>
      <c r="R160" s="202">
        <f>R161</f>
        <v>0</v>
      </c>
      <c r="S160" s="201"/>
      <c r="T160" s="203">
        <f>T161</f>
        <v>0</v>
      </c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R160" s="204" t="s">
        <v>86</v>
      </c>
      <c r="AT160" s="205" t="s">
        <v>77</v>
      </c>
      <c r="AU160" s="205" t="s">
        <v>86</v>
      </c>
      <c r="AY160" s="204" t="s">
        <v>200</v>
      </c>
      <c r="BK160" s="206">
        <f>BK161</f>
        <v>0</v>
      </c>
    </row>
    <row r="161" s="2" customFormat="1" ht="16.5" customHeight="1">
      <c r="A161" s="40"/>
      <c r="B161" s="41"/>
      <c r="C161" s="209" t="s">
        <v>422</v>
      </c>
      <c r="D161" s="209" t="s">
        <v>202</v>
      </c>
      <c r="E161" s="210" t="s">
        <v>2971</v>
      </c>
      <c r="F161" s="211" t="s">
        <v>2972</v>
      </c>
      <c r="G161" s="212" t="s">
        <v>1436</v>
      </c>
      <c r="H161" s="213">
        <v>3</v>
      </c>
      <c r="I161" s="214"/>
      <c r="J161" s="215">
        <f>ROUND(I161*H161,1)</f>
        <v>0</v>
      </c>
      <c r="K161" s="211" t="s">
        <v>32</v>
      </c>
      <c r="L161" s="46"/>
      <c r="M161" s="216" t="s">
        <v>32</v>
      </c>
      <c r="N161" s="217" t="s">
        <v>49</v>
      </c>
      <c r="O161" s="86"/>
      <c r="P161" s="218">
        <f>O161*H161</f>
        <v>0</v>
      </c>
      <c r="Q161" s="218">
        <v>0</v>
      </c>
      <c r="R161" s="218">
        <f>Q161*H161</f>
        <v>0</v>
      </c>
      <c r="S161" s="218">
        <v>0</v>
      </c>
      <c r="T161" s="219">
        <f>S161*H161</f>
        <v>0</v>
      </c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R161" s="220" t="s">
        <v>207</v>
      </c>
      <c r="AT161" s="220" t="s">
        <v>202</v>
      </c>
      <c r="AU161" s="220" t="s">
        <v>88</v>
      </c>
      <c r="AY161" s="18" t="s">
        <v>200</v>
      </c>
      <c r="BE161" s="221">
        <f>IF(N161="základní",J161,0)</f>
        <v>0</v>
      </c>
      <c r="BF161" s="221">
        <f>IF(N161="snížená",J161,0)</f>
        <v>0</v>
      </c>
      <c r="BG161" s="221">
        <f>IF(N161="zákl. přenesená",J161,0)</f>
        <v>0</v>
      </c>
      <c r="BH161" s="221">
        <f>IF(N161="sníž. přenesená",J161,0)</f>
        <v>0</v>
      </c>
      <c r="BI161" s="221">
        <f>IF(N161="nulová",J161,0)</f>
        <v>0</v>
      </c>
      <c r="BJ161" s="18" t="s">
        <v>86</v>
      </c>
      <c r="BK161" s="221">
        <f>ROUND(I161*H161,1)</f>
        <v>0</v>
      </c>
      <c r="BL161" s="18" t="s">
        <v>207</v>
      </c>
      <c r="BM161" s="220" t="s">
        <v>651</v>
      </c>
    </row>
    <row r="162" s="12" customFormat="1" ht="22.8" customHeight="1">
      <c r="A162" s="12"/>
      <c r="B162" s="193"/>
      <c r="C162" s="194"/>
      <c r="D162" s="195" t="s">
        <v>77</v>
      </c>
      <c r="E162" s="207" t="s">
        <v>2973</v>
      </c>
      <c r="F162" s="207" t="s">
        <v>2974</v>
      </c>
      <c r="G162" s="194"/>
      <c r="H162" s="194"/>
      <c r="I162" s="197"/>
      <c r="J162" s="208">
        <f>BK162</f>
        <v>0</v>
      </c>
      <c r="K162" s="194"/>
      <c r="L162" s="199"/>
      <c r="M162" s="200"/>
      <c r="N162" s="201"/>
      <c r="O162" s="201"/>
      <c r="P162" s="202">
        <f>P163</f>
        <v>0</v>
      </c>
      <c r="Q162" s="201"/>
      <c r="R162" s="202">
        <f>R163</f>
        <v>0</v>
      </c>
      <c r="S162" s="201"/>
      <c r="T162" s="203">
        <f>T163</f>
        <v>0</v>
      </c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R162" s="204" t="s">
        <v>86</v>
      </c>
      <c r="AT162" s="205" t="s">
        <v>77</v>
      </c>
      <c r="AU162" s="205" t="s">
        <v>86</v>
      </c>
      <c r="AY162" s="204" t="s">
        <v>200</v>
      </c>
      <c r="BK162" s="206">
        <f>BK163</f>
        <v>0</v>
      </c>
    </row>
    <row r="163" s="2" customFormat="1" ht="16.5" customHeight="1">
      <c r="A163" s="40"/>
      <c r="B163" s="41"/>
      <c r="C163" s="209" t="s">
        <v>429</v>
      </c>
      <c r="D163" s="209" t="s">
        <v>202</v>
      </c>
      <c r="E163" s="210" t="s">
        <v>2975</v>
      </c>
      <c r="F163" s="211" t="s">
        <v>2976</v>
      </c>
      <c r="G163" s="212" t="s">
        <v>1436</v>
      </c>
      <c r="H163" s="213">
        <v>1</v>
      </c>
      <c r="I163" s="214"/>
      <c r="J163" s="215">
        <f>ROUND(I163*H163,1)</f>
        <v>0</v>
      </c>
      <c r="K163" s="211" t="s">
        <v>32</v>
      </c>
      <c r="L163" s="46"/>
      <c r="M163" s="216" t="s">
        <v>32</v>
      </c>
      <c r="N163" s="217" t="s">
        <v>49</v>
      </c>
      <c r="O163" s="86"/>
      <c r="P163" s="218">
        <f>O163*H163</f>
        <v>0</v>
      </c>
      <c r="Q163" s="218">
        <v>0</v>
      </c>
      <c r="R163" s="218">
        <f>Q163*H163</f>
        <v>0</v>
      </c>
      <c r="S163" s="218">
        <v>0</v>
      </c>
      <c r="T163" s="219">
        <f>S163*H163</f>
        <v>0</v>
      </c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0" t="s">
        <v>207</v>
      </c>
      <c r="AT163" s="220" t="s">
        <v>202</v>
      </c>
      <c r="AU163" s="220" t="s">
        <v>88</v>
      </c>
      <c r="AY163" s="18" t="s">
        <v>200</v>
      </c>
      <c r="BE163" s="221">
        <f>IF(N163="základní",J163,0)</f>
        <v>0</v>
      </c>
      <c r="BF163" s="221">
        <f>IF(N163="snížená",J163,0)</f>
        <v>0</v>
      </c>
      <c r="BG163" s="221">
        <f>IF(N163="zákl. přenesená",J163,0)</f>
        <v>0</v>
      </c>
      <c r="BH163" s="221">
        <f>IF(N163="sníž. přenesená",J163,0)</f>
        <v>0</v>
      </c>
      <c r="BI163" s="221">
        <f>IF(N163="nulová",J163,0)</f>
        <v>0</v>
      </c>
      <c r="BJ163" s="18" t="s">
        <v>86</v>
      </c>
      <c r="BK163" s="221">
        <f>ROUND(I163*H163,1)</f>
        <v>0</v>
      </c>
      <c r="BL163" s="18" t="s">
        <v>207</v>
      </c>
      <c r="BM163" s="220" t="s">
        <v>665</v>
      </c>
    </row>
    <row r="164" s="12" customFormat="1" ht="22.8" customHeight="1">
      <c r="A164" s="12"/>
      <c r="B164" s="193"/>
      <c r="C164" s="194"/>
      <c r="D164" s="195" t="s">
        <v>77</v>
      </c>
      <c r="E164" s="207" t="s">
        <v>2977</v>
      </c>
      <c r="F164" s="207" t="s">
        <v>2978</v>
      </c>
      <c r="G164" s="194"/>
      <c r="H164" s="194"/>
      <c r="I164" s="197"/>
      <c r="J164" s="208">
        <f>BK164</f>
        <v>0</v>
      </c>
      <c r="K164" s="194"/>
      <c r="L164" s="199"/>
      <c r="M164" s="200"/>
      <c r="N164" s="201"/>
      <c r="O164" s="201"/>
      <c r="P164" s="202">
        <f>P165</f>
        <v>0</v>
      </c>
      <c r="Q164" s="201"/>
      <c r="R164" s="202">
        <f>R165</f>
        <v>0</v>
      </c>
      <c r="S164" s="201"/>
      <c r="T164" s="203">
        <f>T165</f>
        <v>0</v>
      </c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R164" s="204" t="s">
        <v>86</v>
      </c>
      <c r="AT164" s="205" t="s">
        <v>77</v>
      </c>
      <c r="AU164" s="205" t="s">
        <v>86</v>
      </c>
      <c r="AY164" s="204" t="s">
        <v>200</v>
      </c>
      <c r="BK164" s="206">
        <f>BK165</f>
        <v>0</v>
      </c>
    </row>
    <row r="165" s="2" customFormat="1" ht="16.5" customHeight="1">
      <c r="A165" s="40"/>
      <c r="B165" s="41"/>
      <c r="C165" s="209" t="s">
        <v>434</v>
      </c>
      <c r="D165" s="209" t="s">
        <v>202</v>
      </c>
      <c r="E165" s="210" t="s">
        <v>2979</v>
      </c>
      <c r="F165" s="211" t="s">
        <v>2980</v>
      </c>
      <c r="G165" s="212" t="s">
        <v>1436</v>
      </c>
      <c r="H165" s="213">
        <v>7</v>
      </c>
      <c r="I165" s="214"/>
      <c r="J165" s="215">
        <f>ROUND(I165*H165,1)</f>
        <v>0</v>
      </c>
      <c r="K165" s="211" t="s">
        <v>32</v>
      </c>
      <c r="L165" s="46"/>
      <c r="M165" s="216" t="s">
        <v>32</v>
      </c>
      <c r="N165" s="217" t="s">
        <v>49</v>
      </c>
      <c r="O165" s="86"/>
      <c r="P165" s="218">
        <f>O165*H165</f>
        <v>0</v>
      </c>
      <c r="Q165" s="218">
        <v>0</v>
      </c>
      <c r="R165" s="218">
        <f>Q165*H165</f>
        <v>0</v>
      </c>
      <c r="S165" s="218">
        <v>0</v>
      </c>
      <c r="T165" s="219">
        <f>S165*H165</f>
        <v>0</v>
      </c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R165" s="220" t="s">
        <v>207</v>
      </c>
      <c r="AT165" s="220" t="s">
        <v>202</v>
      </c>
      <c r="AU165" s="220" t="s">
        <v>88</v>
      </c>
      <c r="AY165" s="18" t="s">
        <v>200</v>
      </c>
      <c r="BE165" s="221">
        <f>IF(N165="základní",J165,0)</f>
        <v>0</v>
      </c>
      <c r="BF165" s="221">
        <f>IF(N165="snížená",J165,0)</f>
        <v>0</v>
      </c>
      <c r="BG165" s="221">
        <f>IF(N165="zákl. přenesená",J165,0)</f>
        <v>0</v>
      </c>
      <c r="BH165" s="221">
        <f>IF(N165="sníž. přenesená",J165,0)</f>
        <v>0</v>
      </c>
      <c r="BI165" s="221">
        <f>IF(N165="nulová",J165,0)</f>
        <v>0</v>
      </c>
      <c r="BJ165" s="18" t="s">
        <v>86</v>
      </c>
      <c r="BK165" s="221">
        <f>ROUND(I165*H165,1)</f>
        <v>0</v>
      </c>
      <c r="BL165" s="18" t="s">
        <v>207</v>
      </c>
      <c r="BM165" s="220" t="s">
        <v>676</v>
      </c>
    </row>
    <row r="166" s="12" customFormat="1" ht="22.8" customHeight="1">
      <c r="A166" s="12"/>
      <c r="B166" s="193"/>
      <c r="C166" s="194"/>
      <c r="D166" s="195" t="s">
        <v>77</v>
      </c>
      <c r="E166" s="207" t="s">
        <v>2981</v>
      </c>
      <c r="F166" s="207" t="s">
        <v>2982</v>
      </c>
      <c r="G166" s="194"/>
      <c r="H166" s="194"/>
      <c r="I166" s="197"/>
      <c r="J166" s="208">
        <f>BK166</f>
        <v>0</v>
      </c>
      <c r="K166" s="194"/>
      <c r="L166" s="199"/>
      <c r="M166" s="200"/>
      <c r="N166" s="201"/>
      <c r="O166" s="201"/>
      <c r="P166" s="202">
        <f>P167</f>
        <v>0</v>
      </c>
      <c r="Q166" s="201"/>
      <c r="R166" s="202">
        <f>R167</f>
        <v>0</v>
      </c>
      <c r="S166" s="201"/>
      <c r="T166" s="203">
        <f>T167</f>
        <v>0</v>
      </c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R166" s="204" t="s">
        <v>86</v>
      </c>
      <c r="AT166" s="205" t="s">
        <v>77</v>
      </c>
      <c r="AU166" s="205" t="s">
        <v>86</v>
      </c>
      <c r="AY166" s="204" t="s">
        <v>200</v>
      </c>
      <c r="BK166" s="206">
        <f>BK167</f>
        <v>0</v>
      </c>
    </row>
    <row r="167" s="2" customFormat="1" ht="16.5" customHeight="1">
      <c r="A167" s="40"/>
      <c r="B167" s="41"/>
      <c r="C167" s="209" t="s">
        <v>440</v>
      </c>
      <c r="D167" s="209" t="s">
        <v>202</v>
      </c>
      <c r="E167" s="210" t="s">
        <v>2983</v>
      </c>
      <c r="F167" s="211" t="s">
        <v>2984</v>
      </c>
      <c r="G167" s="212" t="s">
        <v>1436</v>
      </c>
      <c r="H167" s="213">
        <v>2</v>
      </c>
      <c r="I167" s="214"/>
      <c r="J167" s="215">
        <f>ROUND(I167*H167,1)</f>
        <v>0</v>
      </c>
      <c r="K167" s="211" t="s">
        <v>32</v>
      </c>
      <c r="L167" s="46"/>
      <c r="M167" s="216" t="s">
        <v>32</v>
      </c>
      <c r="N167" s="217" t="s">
        <v>49</v>
      </c>
      <c r="O167" s="86"/>
      <c r="P167" s="218">
        <f>O167*H167</f>
        <v>0</v>
      </c>
      <c r="Q167" s="218">
        <v>0</v>
      </c>
      <c r="R167" s="218">
        <f>Q167*H167</f>
        <v>0</v>
      </c>
      <c r="S167" s="218">
        <v>0</v>
      </c>
      <c r="T167" s="219">
        <f>S167*H167</f>
        <v>0</v>
      </c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R167" s="220" t="s">
        <v>207</v>
      </c>
      <c r="AT167" s="220" t="s">
        <v>202</v>
      </c>
      <c r="AU167" s="220" t="s">
        <v>88</v>
      </c>
      <c r="AY167" s="18" t="s">
        <v>200</v>
      </c>
      <c r="BE167" s="221">
        <f>IF(N167="základní",J167,0)</f>
        <v>0</v>
      </c>
      <c r="BF167" s="221">
        <f>IF(N167="snížená",J167,0)</f>
        <v>0</v>
      </c>
      <c r="BG167" s="221">
        <f>IF(N167="zákl. přenesená",J167,0)</f>
        <v>0</v>
      </c>
      <c r="BH167" s="221">
        <f>IF(N167="sníž. přenesená",J167,0)</f>
        <v>0</v>
      </c>
      <c r="BI167" s="221">
        <f>IF(N167="nulová",J167,0)</f>
        <v>0</v>
      </c>
      <c r="BJ167" s="18" t="s">
        <v>86</v>
      </c>
      <c r="BK167" s="221">
        <f>ROUND(I167*H167,1)</f>
        <v>0</v>
      </c>
      <c r="BL167" s="18" t="s">
        <v>207</v>
      </c>
      <c r="BM167" s="220" t="s">
        <v>693</v>
      </c>
    </row>
    <row r="168" s="12" customFormat="1" ht="22.8" customHeight="1">
      <c r="A168" s="12"/>
      <c r="B168" s="193"/>
      <c r="C168" s="194"/>
      <c r="D168" s="195" t="s">
        <v>77</v>
      </c>
      <c r="E168" s="207" t="s">
        <v>2985</v>
      </c>
      <c r="F168" s="207" t="s">
        <v>2986</v>
      </c>
      <c r="G168" s="194"/>
      <c r="H168" s="194"/>
      <c r="I168" s="197"/>
      <c r="J168" s="208">
        <f>BK168</f>
        <v>0</v>
      </c>
      <c r="K168" s="194"/>
      <c r="L168" s="199"/>
      <c r="M168" s="200"/>
      <c r="N168" s="201"/>
      <c r="O168" s="201"/>
      <c r="P168" s="202">
        <f>P169</f>
        <v>0</v>
      </c>
      <c r="Q168" s="201"/>
      <c r="R168" s="202">
        <f>R169</f>
        <v>0</v>
      </c>
      <c r="S168" s="201"/>
      <c r="T168" s="203">
        <f>T169</f>
        <v>0</v>
      </c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R168" s="204" t="s">
        <v>86</v>
      </c>
      <c r="AT168" s="205" t="s">
        <v>77</v>
      </c>
      <c r="AU168" s="205" t="s">
        <v>86</v>
      </c>
      <c r="AY168" s="204" t="s">
        <v>200</v>
      </c>
      <c r="BK168" s="206">
        <f>BK169</f>
        <v>0</v>
      </c>
    </row>
    <row r="169" s="2" customFormat="1" ht="16.5" customHeight="1">
      <c r="A169" s="40"/>
      <c r="B169" s="41"/>
      <c r="C169" s="209" t="s">
        <v>446</v>
      </c>
      <c r="D169" s="295" t="s">
        <v>202</v>
      </c>
      <c r="E169" s="210" t="s">
        <v>2987</v>
      </c>
      <c r="F169" s="211" t="s">
        <v>2988</v>
      </c>
      <c r="G169" s="212" t="s">
        <v>1436</v>
      </c>
      <c r="H169" s="213">
        <v>1</v>
      </c>
      <c r="I169" s="214"/>
      <c r="J169" s="215">
        <f>ROUND(I169*H169,1)</f>
        <v>0</v>
      </c>
      <c r="K169" s="211" t="s">
        <v>32</v>
      </c>
      <c r="L169" s="46"/>
      <c r="M169" s="216" t="s">
        <v>32</v>
      </c>
      <c r="N169" s="217" t="s">
        <v>49</v>
      </c>
      <c r="O169" s="86"/>
      <c r="P169" s="218">
        <f>O169*H169</f>
        <v>0</v>
      </c>
      <c r="Q169" s="218">
        <v>0</v>
      </c>
      <c r="R169" s="218">
        <f>Q169*H169</f>
        <v>0</v>
      </c>
      <c r="S169" s="218">
        <v>0</v>
      </c>
      <c r="T169" s="219">
        <f>S169*H169</f>
        <v>0</v>
      </c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0" t="s">
        <v>207</v>
      </c>
      <c r="AT169" s="220" t="s">
        <v>202</v>
      </c>
      <c r="AU169" s="220" t="s">
        <v>88</v>
      </c>
      <c r="AY169" s="18" t="s">
        <v>200</v>
      </c>
      <c r="BE169" s="221">
        <f>IF(N169="základní",J169,0)</f>
        <v>0</v>
      </c>
      <c r="BF169" s="221">
        <f>IF(N169="snížená",J169,0)</f>
        <v>0</v>
      </c>
      <c r="BG169" s="221">
        <f>IF(N169="zákl. přenesená",J169,0)</f>
        <v>0</v>
      </c>
      <c r="BH169" s="221">
        <f>IF(N169="sníž. přenesená",J169,0)</f>
        <v>0</v>
      </c>
      <c r="BI169" s="221">
        <f>IF(N169="nulová",J169,0)</f>
        <v>0</v>
      </c>
      <c r="BJ169" s="18" t="s">
        <v>86</v>
      </c>
      <c r="BK169" s="221">
        <f>ROUND(I169*H169,1)</f>
        <v>0</v>
      </c>
      <c r="BL169" s="18" t="s">
        <v>207</v>
      </c>
      <c r="BM169" s="220" t="s">
        <v>2989</v>
      </c>
    </row>
    <row r="170" s="12" customFormat="1" ht="22.8" customHeight="1">
      <c r="A170" s="12"/>
      <c r="B170" s="193"/>
      <c r="C170" s="194"/>
      <c r="D170" s="195" t="s">
        <v>77</v>
      </c>
      <c r="E170" s="207" t="s">
        <v>2990</v>
      </c>
      <c r="F170" s="207" t="s">
        <v>2991</v>
      </c>
      <c r="G170" s="194"/>
      <c r="H170" s="194"/>
      <c r="I170" s="197"/>
      <c r="J170" s="208">
        <f>BK170</f>
        <v>0</v>
      </c>
      <c r="K170" s="194"/>
      <c r="L170" s="199"/>
      <c r="M170" s="200"/>
      <c r="N170" s="201"/>
      <c r="O170" s="201"/>
      <c r="P170" s="202">
        <f>SUM(P171:P176)</f>
        <v>0</v>
      </c>
      <c r="Q170" s="201"/>
      <c r="R170" s="202">
        <f>SUM(R171:R176)</f>
        <v>0</v>
      </c>
      <c r="S170" s="201"/>
      <c r="T170" s="203">
        <f>SUM(T171:T176)</f>
        <v>0</v>
      </c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R170" s="204" t="s">
        <v>86</v>
      </c>
      <c r="AT170" s="205" t="s">
        <v>77</v>
      </c>
      <c r="AU170" s="205" t="s">
        <v>86</v>
      </c>
      <c r="AY170" s="204" t="s">
        <v>200</v>
      </c>
      <c r="BK170" s="206">
        <f>SUM(BK171:BK176)</f>
        <v>0</v>
      </c>
    </row>
    <row r="171" s="2" customFormat="1" ht="16.5" customHeight="1">
      <c r="A171" s="40"/>
      <c r="B171" s="41"/>
      <c r="C171" s="209" t="s">
        <v>453</v>
      </c>
      <c r="D171" s="209" t="s">
        <v>202</v>
      </c>
      <c r="E171" s="210" t="s">
        <v>2992</v>
      </c>
      <c r="F171" s="211" t="s">
        <v>2993</v>
      </c>
      <c r="G171" s="212" t="s">
        <v>1436</v>
      </c>
      <c r="H171" s="213">
        <v>22</v>
      </c>
      <c r="I171" s="214"/>
      <c r="J171" s="215">
        <f>ROUND(I171*H171,1)</f>
        <v>0</v>
      </c>
      <c r="K171" s="211" t="s">
        <v>32</v>
      </c>
      <c r="L171" s="46"/>
      <c r="M171" s="216" t="s">
        <v>32</v>
      </c>
      <c r="N171" s="217" t="s">
        <v>49</v>
      </c>
      <c r="O171" s="86"/>
      <c r="P171" s="218">
        <f>O171*H171</f>
        <v>0</v>
      </c>
      <c r="Q171" s="218">
        <v>0</v>
      </c>
      <c r="R171" s="218">
        <f>Q171*H171</f>
        <v>0</v>
      </c>
      <c r="S171" s="218">
        <v>0</v>
      </c>
      <c r="T171" s="219">
        <f>S171*H171</f>
        <v>0</v>
      </c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0" t="s">
        <v>207</v>
      </c>
      <c r="AT171" s="220" t="s">
        <v>202</v>
      </c>
      <c r="AU171" s="220" t="s">
        <v>88</v>
      </c>
      <c r="AY171" s="18" t="s">
        <v>200</v>
      </c>
      <c r="BE171" s="221">
        <f>IF(N171="základní",J171,0)</f>
        <v>0</v>
      </c>
      <c r="BF171" s="221">
        <f>IF(N171="snížená",J171,0)</f>
        <v>0</v>
      </c>
      <c r="BG171" s="221">
        <f>IF(N171="zákl. přenesená",J171,0)</f>
        <v>0</v>
      </c>
      <c r="BH171" s="221">
        <f>IF(N171="sníž. přenesená",J171,0)</f>
        <v>0</v>
      </c>
      <c r="BI171" s="221">
        <f>IF(N171="nulová",J171,0)</f>
        <v>0</v>
      </c>
      <c r="BJ171" s="18" t="s">
        <v>86</v>
      </c>
      <c r="BK171" s="221">
        <f>ROUND(I171*H171,1)</f>
        <v>0</v>
      </c>
      <c r="BL171" s="18" t="s">
        <v>207</v>
      </c>
      <c r="BM171" s="220" t="s">
        <v>703</v>
      </c>
    </row>
    <row r="172" s="2" customFormat="1" ht="16.5" customHeight="1">
      <c r="A172" s="40"/>
      <c r="B172" s="41"/>
      <c r="C172" s="209" t="s">
        <v>459</v>
      </c>
      <c r="D172" s="209" t="s">
        <v>202</v>
      </c>
      <c r="E172" s="210" t="s">
        <v>2994</v>
      </c>
      <c r="F172" s="211" t="s">
        <v>2995</v>
      </c>
      <c r="G172" s="212" t="s">
        <v>1436</v>
      </c>
      <c r="H172" s="213">
        <v>2</v>
      </c>
      <c r="I172" s="214"/>
      <c r="J172" s="215">
        <f>ROUND(I172*H172,1)</f>
        <v>0</v>
      </c>
      <c r="K172" s="211" t="s">
        <v>32</v>
      </c>
      <c r="L172" s="46"/>
      <c r="M172" s="216" t="s">
        <v>32</v>
      </c>
      <c r="N172" s="217" t="s">
        <v>49</v>
      </c>
      <c r="O172" s="86"/>
      <c r="P172" s="218">
        <f>O172*H172</f>
        <v>0</v>
      </c>
      <c r="Q172" s="218">
        <v>0</v>
      </c>
      <c r="R172" s="218">
        <f>Q172*H172</f>
        <v>0</v>
      </c>
      <c r="S172" s="218">
        <v>0</v>
      </c>
      <c r="T172" s="219">
        <f>S172*H172</f>
        <v>0</v>
      </c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R172" s="220" t="s">
        <v>207</v>
      </c>
      <c r="AT172" s="220" t="s">
        <v>202</v>
      </c>
      <c r="AU172" s="220" t="s">
        <v>88</v>
      </c>
      <c r="AY172" s="18" t="s">
        <v>200</v>
      </c>
      <c r="BE172" s="221">
        <f>IF(N172="základní",J172,0)</f>
        <v>0</v>
      </c>
      <c r="BF172" s="221">
        <f>IF(N172="snížená",J172,0)</f>
        <v>0</v>
      </c>
      <c r="BG172" s="221">
        <f>IF(N172="zákl. přenesená",J172,0)</f>
        <v>0</v>
      </c>
      <c r="BH172" s="221">
        <f>IF(N172="sníž. přenesená",J172,0)</f>
        <v>0</v>
      </c>
      <c r="BI172" s="221">
        <f>IF(N172="nulová",J172,0)</f>
        <v>0</v>
      </c>
      <c r="BJ172" s="18" t="s">
        <v>86</v>
      </c>
      <c r="BK172" s="221">
        <f>ROUND(I172*H172,1)</f>
        <v>0</v>
      </c>
      <c r="BL172" s="18" t="s">
        <v>207</v>
      </c>
      <c r="BM172" s="220" t="s">
        <v>717</v>
      </c>
    </row>
    <row r="173" s="2" customFormat="1" ht="16.5" customHeight="1">
      <c r="A173" s="40"/>
      <c r="B173" s="41"/>
      <c r="C173" s="209" t="s">
        <v>465</v>
      </c>
      <c r="D173" s="209" t="s">
        <v>202</v>
      </c>
      <c r="E173" s="210" t="s">
        <v>2996</v>
      </c>
      <c r="F173" s="211" t="s">
        <v>2997</v>
      </c>
      <c r="G173" s="212" t="s">
        <v>1436</v>
      </c>
      <c r="H173" s="213">
        <v>14</v>
      </c>
      <c r="I173" s="214"/>
      <c r="J173" s="215">
        <f>ROUND(I173*H173,1)</f>
        <v>0</v>
      </c>
      <c r="K173" s="211" t="s">
        <v>32</v>
      </c>
      <c r="L173" s="46"/>
      <c r="M173" s="216" t="s">
        <v>32</v>
      </c>
      <c r="N173" s="217" t="s">
        <v>49</v>
      </c>
      <c r="O173" s="86"/>
      <c r="P173" s="218">
        <f>O173*H173</f>
        <v>0</v>
      </c>
      <c r="Q173" s="218">
        <v>0</v>
      </c>
      <c r="R173" s="218">
        <f>Q173*H173</f>
        <v>0</v>
      </c>
      <c r="S173" s="218">
        <v>0</v>
      </c>
      <c r="T173" s="219">
        <f>S173*H173</f>
        <v>0</v>
      </c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R173" s="220" t="s">
        <v>207</v>
      </c>
      <c r="AT173" s="220" t="s">
        <v>202</v>
      </c>
      <c r="AU173" s="220" t="s">
        <v>88</v>
      </c>
      <c r="AY173" s="18" t="s">
        <v>200</v>
      </c>
      <c r="BE173" s="221">
        <f>IF(N173="základní",J173,0)</f>
        <v>0</v>
      </c>
      <c r="BF173" s="221">
        <f>IF(N173="snížená",J173,0)</f>
        <v>0</v>
      </c>
      <c r="BG173" s="221">
        <f>IF(N173="zákl. přenesená",J173,0)</f>
        <v>0</v>
      </c>
      <c r="BH173" s="221">
        <f>IF(N173="sníž. přenesená",J173,0)</f>
        <v>0</v>
      </c>
      <c r="BI173" s="221">
        <f>IF(N173="nulová",J173,0)</f>
        <v>0</v>
      </c>
      <c r="BJ173" s="18" t="s">
        <v>86</v>
      </c>
      <c r="BK173" s="221">
        <f>ROUND(I173*H173,1)</f>
        <v>0</v>
      </c>
      <c r="BL173" s="18" t="s">
        <v>207</v>
      </c>
      <c r="BM173" s="220" t="s">
        <v>732</v>
      </c>
    </row>
    <row r="174" s="2" customFormat="1" ht="16.5" customHeight="1">
      <c r="A174" s="40"/>
      <c r="B174" s="41"/>
      <c r="C174" s="209" t="s">
        <v>471</v>
      </c>
      <c r="D174" s="209" t="s">
        <v>202</v>
      </c>
      <c r="E174" s="210" t="s">
        <v>2998</v>
      </c>
      <c r="F174" s="211" t="s">
        <v>2999</v>
      </c>
      <c r="G174" s="212" t="s">
        <v>1436</v>
      </c>
      <c r="H174" s="213">
        <v>4</v>
      </c>
      <c r="I174" s="214"/>
      <c r="J174" s="215">
        <f>ROUND(I174*H174,1)</f>
        <v>0</v>
      </c>
      <c r="K174" s="211" t="s">
        <v>32</v>
      </c>
      <c r="L174" s="46"/>
      <c r="M174" s="216" t="s">
        <v>32</v>
      </c>
      <c r="N174" s="217" t="s">
        <v>49</v>
      </c>
      <c r="O174" s="86"/>
      <c r="P174" s="218">
        <f>O174*H174</f>
        <v>0</v>
      </c>
      <c r="Q174" s="218">
        <v>0</v>
      </c>
      <c r="R174" s="218">
        <f>Q174*H174</f>
        <v>0</v>
      </c>
      <c r="S174" s="218">
        <v>0</v>
      </c>
      <c r="T174" s="219">
        <f>S174*H174</f>
        <v>0</v>
      </c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R174" s="220" t="s">
        <v>207</v>
      </c>
      <c r="AT174" s="220" t="s">
        <v>202</v>
      </c>
      <c r="AU174" s="220" t="s">
        <v>88</v>
      </c>
      <c r="AY174" s="18" t="s">
        <v>200</v>
      </c>
      <c r="BE174" s="221">
        <f>IF(N174="základní",J174,0)</f>
        <v>0</v>
      </c>
      <c r="BF174" s="221">
        <f>IF(N174="snížená",J174,0)</f>
        <v>0</v>
      </c>
      <c r="BG174" s="221">
        <f>IF(N174="zákl. přenesená",J174,0)</f>
        <v>0</v>
      </c>
      <c r="BH174" s="221">
        <f>IF(N174="sníž. přenesená",J174,0)</f>
        <v>0</v>
      </c>
      <c r="BI174" s="221">
        <f>IF(N174="nulová",J174,0)</f>
        <v>0</v>
      </c>
      <c r="BJ174" s="18" t="s">
        <v>86</v>
      </c>
      <c r="BK174" s="221">
        <f>ROUND(I174*H174,1)</f>
        <v>0</v>
      </c>
      <c r="BL174" s="18" t="s">
        <v>207</v>
      </c>
      <c r="BM174" s="220" t="s">
        <v>743</v>
      </c>
    </row>
    <row r="175" s="2" customFormat="1" ht="16.5" customHeight="1">
      <c r="A175" s="40"/>
      <c r="B175" s="41"/>
      <c r="C175" s="209" t="s">
        <v>476</v>
      </c>
      <c r="D175" s="209" t="s">
        <v>202</v>
      </c>
      <c r="E175" s="210" t="s">
        <v>3000</v>
      </c>
      <c r="F175" s="211" t="s">
        <v>3001</v>
      </c>
      <c r="G175" s="212" t="s">
        <v>1436</v>
      </c>
      <c r="H175" s="213">
        <v>12</v>
      </c>
      <c r="I175" s="214"/>
      <c r="J175" s="215">
        <f>ROUND(I175*H175,1)</f>
        <v>0</v>
      </c>
      <c r="K175" s="211" t="s">
        <v>32</v>
      </c>
      <c r="L175" s="46"/>
      <c r="M175" s="216" t="s">
        <v>32</v>
      </c>
      <c r="N175" s="217" t="s">
        <v>49</v>
      </c>
      <c r="O175" s="86"/>
      <c r="P175" s="218">
        <f>O175*H175</f>
        <v>0</v>
      </c>
      <c r="Q175" s="218">
        <v>0</v>
      </c>
      <c r="R175" s="218">
        <f>Q175*H175</f>
        <v>0</v>
      </c>
      <c r="S175" s="218">
        <v>0</v>
      </c>
      <c r="T175" s="219">
        <f>S175*H175</f>
        <v>0</v>
      </c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R175" s="220" t="s">
        <v>207</v>
      </c>
      <c r="AT175" s="220" t="s">
        <v>202</v>
      </c>
      <c r="AU175" s="220" t="s">
        <v>88</v>
      </c>
      <c r="AY175" s="18" t="s">
        <v>200</v>
      </c>
      <c r="BE175" s="221">
        <f>IF(N175="základní",J175,0)</f>
        <v>0</v>
      </c>
      <c r="BF175" s="221">
        <f>IF(N175="snížená",J175,0)</f>
        <v>0</v>
      </c>
      <c r="BG175" s="221">
        <f>IF(N175="zákl. přenesená",J175,0)</f>
        <v>0</v>
      </c>
      <c r="BH175" s="221">
        <f>IF(N175="sníž. přenesená",J175,0)</f>
        <v>0</v>
      </c>
      <c r="BI175" s="221">
        <f>IF(N175="nulová",J175,0)</f>
        <v>0</v>
      </c>
      <c r="BJ175" s="18" t="s">
        <v>86</v>
      </c>
      <c r="BK175" s="221">
        <f>ROUND(I175*H175,1)</f>
        <v>0</v>
      </c>
      <c r="BL175" s="18" t="s">
        <v>207</v>
      </c>
      <c r="BM175" s="220" t="s">
        <v>755</v>
      </c>
    </row>
    <row r="176" s="2" customFormat="1" ht="16.5" customHeight="1">
      <c r="A176" s="40"/>
      <c r="B176" s="41"/>
      <c r="C176" s="209" t="s">
        <v>482</v>
      </c>
      <c r="D176" s="209" t="s">
        <v>202</v>
      </c>
      <c r="E176" s="210" t="s">
        <v>3002</v>
      </c>
      <c r="F176" s="211" t="s">
        <v>3003</v>
      </c>
      <c r="G176" s="212" t="s">
        <v>1436</v>
      </c>
      <c r="H176" s="213">
        <v>9</v>
      </c>
      <c r="I176" s="214"/>
      <c r="J176" s="215">
        <f>ROUND(I176*H176,1)</f>
        <v>0</v>
      </c>
      <c r="K176" s="211" t="s">
        <v>32</v>
      </c>
      <c r="L176" s="46"/>
      <c r="M176" s="216" t="s">
        <v>32</v>
      </c>
      <c r="N176" s="217" t="s">
        <v>49</v>
      </c>
      <c r="O176" s="86"/>
      <c r="P176" s="218">
        <f>O176*H176</f>
        <v>0</v>
      </c>
      <c r="Q176" s="218">
        <v>0</v>
      </c>
      <c r="R176" s="218">
        <f>Q176*H176</f>
        <v>0</v>
      </c>
      <c r="S176" s="218">
        <v>0</v>
      </c>
      <c r="T176" s="219">
        <f>S176*H176</f>
        <v>0</v>
      </c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R176" s="220" t="s">
        <v>207</v>
      </c>
      <c r="AT176" s="220" t="s">
        <v>202</v>
      </c>
      <c r="AU176" s="220" t="s">
        <v>88</v>
      </c>
      <c r="AY176" s="18" t="s">
        <v>200</v>
      </c>
      <c r="BE176" s="221">
        <f>IF(N176="základní",J176,0)</f>
        <v>0</v>
      </c>
      <c r="BF176" s="221">
        <f>IF(N176="snížená",J176,0)</f>
        <v>0</v>
      </c>
      <c r="BG176" s="221">
        <f>IF(N176="zákl. přenesená",J176,0)</f>
        <v>0</v>
      </c>
      <c r="BH176" s="221">
        <f>IF(N176="sníž. přenesená",J176,0)</f>
        <v>0</v>
      </c>
      <c r="BI176" s="221">
        <f>IF(N176="nulová",J176,0)</f>
        <v>0</v>
      </c>
      <c r="BJ176" s="18" t="s">
        <v>86</v>
      </c>
      <c r="BK176" s="221">
        <f>ROUND(I176*H176,1)</f>
        <v>0</v>
      </c>
      <c r="BL176" s="18" t="s">
        <v>207</v>
      </c>
      <c r="BM176" s="220" t="s">
        <v>766</v>
      </c>
    </row>
    <row r="177" s="12" customFormat="1" ht="22.8" customHeight="1">
      <c r="A177" s="12"/>
      <c r="B177" s="193"/>
      <c r="C177" s="194"/>
      <c r="D177" s="195" t="s">
        <v>77</v>
      </c>
      <c r="E177" s="207" t="s">
        <v>3004</v>
      </c>
      <c r="F177" s="207" t="s">
        <v>3005</v>
      </c>
      <c r="G177" s="194"/>
      <c r="H177" s="194"/>
      <c r="I177" s="197"/>
      <c r="J177" s="208">
        <f>BK177</f>
        <v>0</v>
      </c>
      <c r="K177" s="194"/>
      <c r="L177" s="199"/>
      <c r="M177" s="200"/>
      <c r="N177" s="201"/>
      <c r="O177" s="201"/>
      <c r="P177" s="202">
        <f>SUM(P178:P179)</f>
        <v>0</v>
      </c>
      <c r="Q177" s="201"/>
      <c r="R177" s="202">
        <f>SUM(R178:R179)</f>
        <v>0</v>
      </c>
      <c r="S177" s="201"/>
      <c r="T177" s="203">
        <f>SUM(T178:T179)</f>
        <v>0</v>
      </c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R177" s="204" t="s">
        <v>86</v>
      </c>
      <c r="AT177" s="205" t="s">
        <v>77</v>
      </c>
      <c r="AU177" s="205" t="s">
        <v>86</v>
      </c>
      <c r="AY177" s="204" t="s">
        <v>200</v>
      </c>
      <c r="BK177" s="206">
        <f>SUM(BK178:BK179)</f>
        <v>0</v>
      </c>
    </row>
    <row r="178" s="2" customFormat="1" ht="16.5" customHeight="1">
      <c r="A178" s="40"/>
      <c r="B178" s="41"/>
      <c r="C178" s="209" t="s">
        <v>511</v>
      </c>
      <c r="D178" s="209" t="s">
        <v>202</v>
      </c>
      <c r="E178" s="210" t="s">
        <v>3006</v>
      </c>
      <c r="F178" s="211" t="s">
        <v>3007</v>
      </c>
      <c r="G178" s="212" t="s">
        <v>1436</v>
      </c>
      <c r="H178" s="213">
        <v>49</v>
      </c>
      <c r="I178" s="214"/>
      <c r="J178" s="215">
        <f>ROUND(I178*H178,1)</f>
        <v>0</v>
      </c>
      <c r="K178" s="211" t="s">
        <v>32</v>
      </c>
      <c r="L178" s="46"/>
      <c r="M178" s="216" t="s">
        <v>32</v>
      </c>
      <c r="N178" s="217" t="s">
        <v>49</v>
      </c>
      <c r="O178" s="86"/>
      <c r="P178" s="218">
        <f>O178*H178</f>
        <v>0</v>
      </c>
      <c r="Q178" s="218">
        <v>0</v>
      </c>
      <c r="R178" s="218">
        <f>Q178*H178</f>
        <v>0</v>
      </c>
      <c r="S178" s="218">
        <v>0</v>
      </c>
      <c r="T178" s="219">
        <f>S178*H178</f>
        <v>0</v>
      </c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R178" s="220" t="s">
        <v>207</v>
      </c>
      <c r="AT178" s="220" t="s">
        <v>202</v>
      </c>
      <c r="AU178" s="220" t="s">
        <v>88</v>
      </c>
      <c r="AY178" s="18" t="s">
        <v>200</v>
      </c>
      <c r="BE178" s="221">
        <f>IF(N178="základní",J178,0)</f>
        <v>0</v>
      </c>
      <c r="BF178" s="221">
        <f>IF(N178="snížená",J178,0)</f>
        <v>0</v>
      </c>
      <c r="BG178" s="221">
        <f>IF(N178="zákl. přenesená",J178,0)</f>
        <v>0</v>
      </c>
      <c r="BH178" s="221">
        <f>IF(N178="sníž. přenesená",J178,0)</f>
        <v>0</v>
      </c>
      <c r="BI178" s="221">
        <f>IF(N178="nulová",J178,0)</f>
        <v>0</v>
      </c>
      <c r="BJ178" s="18" t="s">
        <v>86</v>
      </c>
      <c r="BK178" s="221">
        <f>ROUND(I178*H178,1)</f>
        <v>0</v>
      </c>
      <c r="BL178" s="18" t="s">
        <v>207</v>
      </c>
      <c r="BM178" s="220" t="s">
        <v>779</v>
      </c>
    </row>
    <row r="179" s="2" customFormat="1" ht="16.5" customHeight="1">
      <c r="A179" s="40"/>
      <c r="B179" s="41"/>
      <c r="C179" s="209" t="s">
        <v>523</v>
      </c>
      <c r="D179" s="209" t="s">
        <v>202</v>
      </c>
      <c r="E179" s="210" t="s">
        <v>3008</v>
      </c>
      <c r="F179" s="211" t="s">
        <v>3009</v>
      </c>
      <c r="G179" s="212" t="s">
        <v>1436</v>
      </c>
      <c r="H179" s="213">
        <v>14</v>
      </c>
      <c r="I179" s="214"/>
      <c r="J179" s="215">
        <f>ROUND(I179*H179,1)</f>
        <v>0</v>
      </c>
      <c r="K179" s="211" t="s">
        <v>32</v>
      </c>
      <c r="L179" s="46"/>
      <c r="M179" s="216" t="s">
        <v>32</v>
      </c>
      <c r="N179" s="217" t="s">
        <v>49</v>
      </c>
      <c r="O179" s="86"/>
      <c r="P179" s="218">
        <f>O179*H179</f>
        <v>0</v>
      </c>
      <c r="Q179" s="218">
        <v>0</v>
      </c>
      <c r="R179" s="218">
        <f>Q179*H179</f>
        <v>0</v>
      </c>
      <c r="S179" s="218">
        <v>0</v>
      </c>
      <c r="T179" s="219">
        <f>S179*H179</f>
        <v>0</v>
      </c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R179" s="220" t="s">
        <v>207</v>
      </c>
      <c r="AT179" s="220" t="s">
        <v>202</v>
      </c>
      <c r="AU179" s="220" t="s">
        <v>88</v>
      </c>
      <c r="AY179" s="18" t="s">
        <v>200</v>
      </c>
      <c r="BE179" s="221">
        <f>IF(N179="základní",J179,0)</f>
        <v>0</v>
      </c>
      <c r="BF179" s="221">
        <f>IF(N179="snížená",J179,0)</f>
        <v>0</v>
      </c>
      <c r="BG179" s="221">
        <f>IF(N179="zákl. přenesená",J179,0)</f>
        <v>0</v>
      </c>
      <c r="BH179" s="221">
        <f>IF(N179="sníž. přenesená",J179,0)</f>
        <v>0</v>
      </c>
      <c r="BI179" s="221">
        <f>IF(N179="nulová",J179,0)</f>
        <v>0</v>
      </c>
      <c r="BJ179" s="18" t="s">
        <v>86</v>
      </c>
      <c r="BK179" s="221">
        <f>ROUND(I179*H179,1)</f>
        <v>0</v>
      </c>
      <c r="BL179" s="18" t="s">
        <v>207</v>
      </c>
      <c r="BM179" s="220" t="s">
        <v>791</v>
      </c>
    </row>
    <row r="180" s="12" customFormat="1" ht="22.8" customHeight="1">
      <c r="A180" s="12"/>
      <c r="B180" s="193"/>
      <c r="C180" s="194"/>
      <c r="D180" s="195" t="s">
        <v>77</v>
      </c>
      <c r="E180" s="207" t="s">
        <v>3010</v>
      </c>
      <c r="F180" s="207" t="s">
        <v>3011</v>
      </c>
      <c r="G180" s="194"/>
      <c r="H180" s="194"/>
      <c r="I180" s="197"/>
      <c r="J180" s="208">
        <f>BK180</f>
        <v>0</v>
      </c>
      <c r="K180" s="194"/>
      <c r="L180" s="199"/>
      <c r="M180" s="200"/>
      <c r="N180" s="201"/>
      <c r="O180" s="201"/>
      <c r="P180" s="202">
        <f>SUM(P181:P182)</f>
        <v>0</v>
      </c>
      <c r="Q180" s="201"/>
      <c r="R180" s="202">
        <f>SUM(R181:R182)</f>
        <v>0</v>
      </c>
      <c r="S180" s="201"/>
      <c r="T180" s="203">
        <f>SUM(T181:T182)</f>
        <v>0</v>
      </c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R180" s="204" t="s">
        <v>86</v>
      </c>
      <c r="AT180" s="205" t="s">
        <v>77</v>
      </c>
      <c r="AU180" s="205" t="s">
        <v>86</v>
      </c>
      <c r="AY180" s="204" t="s">
        <v>200</v>
      </c>
      <c r="BK180" s="206">
        <f>SUM(BK181:BK182)</f>
        <v>0</v>
      </c>
    </row>
    <row r="181" s="2" customFormat="1" ht="16.5" customHeight="1">
      <c r="A181" s="40"/>
      <c r="B181" s="41"/>
      <c r="C181" s="209" t="s">
        <v>528</v>
      </c>
      <c r="D181" s="209" t="s">
        <v>202</v>
      </c>
      <c r="E181" s="210" t="s">
        <v>3012</v>
      </c>
      <c r="F181" s="211" t="s">
        <v>3013</v>
      </c>
      <c r="G181" s="212" t="s">
        <v>1436</v>
      </c>
      <c r="H181" s="213">
        <v>154</v>
      </c>
      <c r="I181" s="214"/>
      <c r="J181" s="215">
        <f>ROUND(I181*H181,1)</f>
        <v>0</v>
      </c>
      <c r="K181" s="211" t="s">
        <v>32</v>
      </c>
      <c r="L181" s="46"/>
      <c r="M181" s="216" t="s">
        <v>32</v>
      </c>
      <c r="N181" s="217" t="s">
        <v>49</v>
      </c>
      <c r="O181" s="86"/>
      <c r="P181" s="218">
        <f>O181*H181</f>
        <v>0</v>
      </c>
      <c r="Q181" s="218">
        <v>0</v>
      </c>
      <c r="R181" s="218">
        <f>Q181*H181</f>
        <v>0</v>
      </c>
      <c r="S181" s="218">
        <v>0</v>
      </c>
      <c r="T181" s="219">
        <f>S181*H181</f>
        <v>0</v>
      </c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R181" s="220" t="s">
        <v>207</v>
      </c>
      <c r="AT181" s="220" t="s">
        <v>202</v>
      </c>
      <c r="AU181" s="220" t="s">
        <v>88</v>
      </c>
      <c r="AY181" s="18" t="s">
        <v>200</v>
      </c>
      <c r="BE181" s="221">
        <f>IF(N181="základní",J181,0)</f>
        <v>0</v>
      </c>
      <c r="BF181" s="221">
        <f>IF(N181="snížená",J181,0)</f>
        <v>0</v>
      </c>
      <c r="BG181" s="221">
        <f>IF(N181="zákl. přenesená",J181,0)</f>
        <v>0</v>
      </c>
      <c r="BH181" s="221">
        <f>IF(N181="sníž. přenesená",J181,0)</f>
        <v>0</v>
      </c>
      <c r="BI181" s="221">
        <f>IF(N181="nulová",J181,0)</f>
        <v>0</v>
      </c>
      <c r="BJ181" s="18" t="s">
        <v>86</v>
      </c>
      <c r="BK181" s="221">
        <f>ROUND(I181*H181,1)</f>
        <v>0</v>
      </c>
      <c r="BL181" s="18" t="s">
        <v>207</v>
      </c>
      <c r="BM181" s="220" t="s">
        <v>803</v>
      </c>
    </row>
    <row r="182" s="2" customFormat="1" ht="16.5" customHeight="1">
      <c r="A182" s="40"/>
      <c r="B182" s="41"/>
      <c r="C182" s="209" t="s">
        <v>534</v>
      </c>
      <c r="D182" s="209" t="s">
        <v>202</v>
      </c>
      <c r="E182" s="210" t="s">
        <v>3014</v>
      </c>
      <c r="F182" s="211" t="s">
        <v>3015</v>
      </c>
      <c r="G182" s="212" t="s">
        <v>1436</v>
      </c>
      <c r="H182" s="213">
        <v>34</v>
      </c>
      <c r="I182" s="214"/>
      <c r="J182" s="215">
        <f>ROUND(I182*H182,1)</f>
        <v>0</v>
      </c>
      <c r="K182" s="211" t="s">
        <v>32</v>
      </c>
      <c r="L182" s="46"/>
      <c r="M182" s="216" t="s">
        <v>32</v>
      </c>
      <c r="N182" s="217" t="s">
        <v>49</v>
      </c>
      <c r="O182" s="86"/>
      <c r="P182" s="218">
        <f>O182*H182</f>
        <v>0</v>
      </c>
      <c r="Q182" s="218">
        <v>0</v>
      </c>
      <c r="R182" s="218">
        <f>Q182*H182</f>
        <v>0</v>
      </c>
      <c r="S182" s="218">
        <v>0</v>
      </c>
      <c r="T182" s="219">
        <f>S182*H182</f>
        <v>0</v>
      </c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R182" s="220" t="s">
        <v>207</v>
      </c>
      <c r="AT182" s="220" t="s">
        <v>202</v>
      </c>
      <c r="AU182" s="220" t="s">
        <v>88</v>
      </c>
      <c r="AY182" s="18" t="s">
        <v>200</v>
      </c>
      <c r="BE182" s="221">
        <f>IF(N182="základní",J182,0)</f>
        <v>0</v>
      </c>
      <c r="BF182" s="221">
        <f>IF(N182="snížená",J182,0)</f>
        <v>0</v>
      </c>
      <c r="BG182" s="221">
        <f>IF(N182="zákl. přenesená",J182,0)</f>
        <v>0</v>
      </c>
      <c r="BH182" s="221">
        <f>IF(N182="sníž. přenesená",J182,0)</f>
        <v>0</v>
      </c>
      <c r="BI182" s="221">
        <f>IF(N182="nulová",J182,0)</f>
        <v>0</v>
      </c>
      <c r="BJ182" s="18" t="s">
        <v>86</v>
      </c>
      <c r="BK182" s="221">
        <f>ROUND(I182*H182,1)</f>
        <v>0</v>
      </c>
      <c r="BL182" s="18" t="s">
        <v>207</v>
      </c>
      <c r="BM182" s="220" t="s">
        <v>835</v>
      </c>
    </row>
    <row r="183" s="12" customFormat="1" ht="22.8" customHeight="1">
      <c r="A183" s="12"/>
      <c r="B183" s="193"/>
      <c r="C183" s="194"/>
      <c r="D183" s="195" t="s">
        <v>77</v>
      </c>
      <c r="E183" s="207" t="s">
        <v>3016</v>
      </c>
      <c r="F183" s="207" t="s">
        <v>3017</v>
      </c>
      <c r="G183" s="194"/>
      <c r="H183" s="194"/>
      <c r="I183" s="197"/>
      <c r="J183" s="208">
        <f>BK183</f>
        <v>0</v>
      </c>
      <c r="K183" s="194"/>
      <c r="L183" s="199"/>
      <c r="M183" s="200"/>
      <c r="N183" s="201"/>
      <c r="O183" s="201"/>
      <c r="P183" s="202">
        <f>P184</f>
        <v>0</v>
      </c>
      <c r="Q183" s="201"/>
      <c r="R183" s="202">
        <f>R184</f>
        <v>0</v>
      </c>
      <c r="S183" s="201"/>
      <c r="T183" s="203">
        <f>T184</f>
        <v>0</v>
      </c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R183" s="204" t="s">
        <v>86</v>
      </c>
      <c r="AT183" s="205" t="s">
        <v>77</v>
      </c>
      <c r="AU183" s="205" t="s">
        <v>86</v>
      </c>
      <c r="AY183" s="204" t="s">
        <v>200</v>
      </c>
      <c r="BK183" s="206">
        <f>BK184</f>
        <v>0</v>
      </c>
    </row>
    <row r="184" s="2" customFormat="1" ht="16.5" customHeight="1">
      <c r="A184" s="40"/>
      <c r="B184" s="41"/>
      <c r="C184" s="209" t="s">
        <v>542</v>
      </c>
      <c r="D184" s="295" t="s">
        <v>202</v>
      </c>
      <c r="E184" s="210" t="s">
        <v>3018</v>
      </c>
      <c r="F184" s="211" t="s">
        <v>3019</v>
      </c>
      <c r="G184" s="212" t="s">
        <v>1436</v>
      </c>
      <c r="H184" s="213">
        <v>159</v>
      </c>
      <c r="I184" s="214"/>
      <c r="J184" s="215">
        <f>ROUND(I184*H184,1)</f>
        <v>0</v>
      </c>
      <c r="K184" s="211" t="s">
        <v>32</v>
      </c>
      <c r="L184" s="46"/>
      <c r="M184" s="216" t="s">
        <v>32</v>
      </c>
      <c r="N184" s="217" t="s">
        <v>49</v>
      </c>
      <c r="O184" s="86"/>
      <c r="P184" s="218">
        <f>O184*H184</f>
        <v>0</v>
      </c>
      <c r="Q184" s="218">
        <v>0</v>
      </c>
      <c r="R184" s="218">
        <f>Q184*H184</f>
        <v>0</v>
      </c>
      <c r="S184" s="218">
        <v>0</v>
      </c>
      <c r="T184" s="219">
        <f>S184*H184</f>
        <v>0</v>
      </c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R184" s="220" t="s">
        <v>207</v>
      </c>
      <c r="AT184" s="220" t="s">
        <v>202</v>
      </c>
      <c r="AU184" s="220" t="s">
        <v>88</v>
      </c>
      <c r="AY184" s="18" t="s">
        <v>200</v>
      </c>
      <c r="BE184" s="221">
        <f>IF(N184="základní",J184,0)</f>
        <v>0</v>
      </c>
      <c r="BF184" s="221">
        <f>IF(N184="snížená",J184,0)</f>
        <v>0</v>
      </c>
      <c r="BG184" s="221">
        <f>IF(N184="zákl. přenesená",J184,0)</f>
        <v>0</v>
      </c>
      <c r="BH184" s="221">
        <f>IF(N184="sníž. přenesená",J184,0)</f>
        <v>0</v>
      </c>
      <c r="BI184" s="221">
        <f>IF(N184="nulová",J184,0)</f>
        <v>0</v>
      </c>
      <c r="BJ184" s="18" t="s">
        <v>86</v>
      </c>
      <c r="BK184" s="221">
        <f>ROUND(I184*H184,1)</f>
        <v>0</v>
      </c>
      <c r="BL184" s="18" t="s">
        <v>207</v>
      </c>
      <c r="BM184" s="220" t="s">
        <v>844</v>
      </c>
    </row>
    <row r="185" s="12" customFormat="1" ht="22.8" customHeight="1">
      <c r="A185" s="12"/>
      <c r="B185" s="193"/>
      <c r="C185" s="194"/>
      <c r="D185" s="195" t="s">
        <v>77</v>
      </c>
      <c r="E185" s="207" t="s">
        <v>3020</v>
      </c>
      <c r="F185" s="207" t="s">
        <v>3021</v>
      </c>
      <c r="G185" s="194"/>
      <c r="H185" s="194"/>
      <c r="I185" s="197"/>
      <c r="J185" s="208">
        <f>BK185</f>
        <v>0</v>
      </c>
      <c r="K185" s="194"/>
      <c r="L185" s="199"/>
      <c r="M185" s="200"/>
      <c r="N185" s="201"/>
      <c r="O185" s="201"/>
      <c r="P185" s="202">
        <f>P186</f>
        <v>0</v>
      </c>
      <c r="Q185" s="201"/>
      <c r="R185" s="202">
        <f>R186</f>
        <v>0</v>
      </c>
      <c r="S185" s="201"/>
      <c r="T185" s="203">
        <f>T186</f>
        <v>0</v>
      </c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R185" s="204" t="s">
        <v>86</v>
      </c>
      <c r="AT185" s="205" t="s">
        <v>77</v>
      </c>
      <c r="AU185" s="205" t="s">
        <v>86</v>
      </c>
      <c r="AY185" s="204" t="s">
        <v>200</v>
      </c>
      <c r="BK185" s="206">
        <f>BK186</f>
        <v>0</v>
      </c>
    </row>
    <row r="186" s="2" customFormat="1" ht="16.5" customHeight="1">
      <c r="A186" s="40"/>
      <c r="B186" s="41"/>
      <c r="C186" s="209" t="s">
        <v>549</v>
      </c>
      <c r="D186" s="209" t="s">
        <v>202</v>
      </c>
      <c r="E186" s="210" t="s">
        <v>3022</v>
      </c>
      <c r="F186" s="211" t="s">
        <v>3023</v>
      </c>
      <c r="G186" s="212" t="s">
        <v>1436</v>
      </c>
      <c r="H186" s="213">
        <v>2</v>
      </c>
      <c r="I186" s="214"/>
      <c r="J186" s="215">
        <f>ROUND(I186*H186,1)</f>
        <v>0</v>
      </c>
      <c r="K186" s="211" t="s">
        <v>32</v>
      </c>
      <c r="L186" s="46"/>
      <c r="M186" s="216" t="s">
        <v>32</v>
      </c>
      <c r="N186" s="217" t="s">
        <v>49</v>
      </c>
      <c r="O186" s="86"/>
      <c r="P186" s="218">
        <f>O186*H186</f>
        <v>0</v>
      </c>
      <c r="Q186" s="218">
        <v>0</v>
      </c>
      <c r="R186" s="218">
        <f>Q186*H186</f>
        <v>0</v>
      </c>
      <c r="S186" s="218">
        <v>0</v>
      </c>
      <c r="T186" s="219">
        <f>S186*H186</f>
        <v>0</v>
      </c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R186" s="220" t="s">
        <v>207</v>
      </c>
      <c r="AT186" s="220" t="s">
        <v>202</v>
      </c>
      <c r="AU186" s="220" t="s">
        <v>88</v>
      </c>
      <c r="AY186" s="18" t="s">
        <v>200</v>
      </c>
      <c r="BE186" s="221">
        <f>IF(N186="základní",J186,0)</f>
        <v>0</v>
      </c>
      <c r="BF186" s="221">
        <f>IF(N186="snížená",J186,0)</f>
        <v>0</v>
      </c>
      <c r="BG186" s="221">
        <f>IF(N186="zákl. přenesená",J186,0)</f>
        <v>0</v>
      </c>
      <c r="BH186" s="221">
        <f>IF(N186="sníž. přenesená",J186,0)</f>
        <v>0</v>
      </c>
      <c r="BI186" s="221">
        <f>IF(N186="nulová",J186,0)</f>
        <v>0</v>
      </c>
      <c r="BJ186" s="18" t="s">
        <v>86</v>
      </c>
      <c r="BK186" s="221">
        <f>ROUND(I186*H186,1)</f>
        <v>0</v>
      </c>
      <c r="BL186" s="18" t="s">
        <v>207</v>
      </c>
      <c r="BM186" s="220" t="s">
        <v>856</v>
      </c>
    </row>
    <row r="187" s="12" customFormat="1" ht="22.8" customHeight="1">
      <c r="A187" s="12"/>
      <c r="B187" s="193"/>
      <c r="C187" s="194"/>
      <c r="D187" s="195" t="s">
        <v>77</v>
      </c>
      <c r="E187" s="207" t="s">
        <v>3024</v>
      </c>
      <c r="F187" s="207" t="s">
        <v>3025</v>
      </c>
      <c r="G187" s="194"/>
      <c r="H187" s="194"/>
      <c r="I187" s="197"/>
      <c r="J187" s="208">
        <f>BK187</f>
        <v>0</v>
      </c>
      <c r="K187" s="194"/>
      <c r="L187" s="199"/>
      <c r="M187" s="200"/>
      <c r="N187" s="201"/>
      <c r="O187" s="201"/>
      <c r="P187" s="202">
        <f>P188</f>
        <v>0</v>
      </c>
      <c r="Q187" s="201"/>
      <c r="R187" s="202">
        <f>R188</f>
        <v>0</v>
      </c>
      <c r="S187" s="201"/>
      <c r="T187" s="203">
        <f>T188</f>
        <v>0</v>
      </c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R187" s="204" t="s">
        <v>86</v>
      </c>
      <c r="AT187" s="205" t="s">
        <v>77</v>
      </c>
      <c r="AU187" s="205" t="s">
        <v>86</v>
      </c>
      <c r="AY187" s="204" t="s">
        <v>200</v>
      </c>
      <c r="BK187" s="206">
        <f>BK188</f>
        <v>0</v>
      </c>
    </row>
    <row r="188" s="2" customFormat="1" ht="16.5" customHeight="1">
      <c r="A188" s="40"/>
      <c r="B188" s="41"/>
      <c r="C188" s="209" t="s">
        <v>555</v>
      </c>
      <c r="D188" s="209" t="s">
        <v>202</v>
      </c>
      <c r="E188" s="210" t="s">
        <v>3026</v>
      </c>
      <c r="F188" s="211" t="s">
        <v>3027</v>
      </c>
      <c r="G188" s="212" t="s">
        <v>1436</v>
      </c>
      <c r="H188" s="213">
        <v>1</v>
      </c>
      <c r="I188" s="214"/>
      <c r="J188" s="215">
        <f>ROUND(I188*H188,1)</f>
        <v>0</v>
      </c>
      <c r="K188" s="211" t="s">
        <v>32</v>
      </c>
      <c r="L188" s="46"/>
      <c r="M188" s="216" t="s">
        <v>32</v>
      </c>
      <c r="N188" s="217" t="s">
        <v>49</v>
      </c>
      <c r="O188" s="86"/>
      <c r="P188" s="218">
        <f>O188*H188</f>
        <v>0</v>
      </c>
      <c r="Q188" s="218">
        <v>0</v>
      </c>
      <c r="R188" s="218">
        <f>Q188*H188</f>
        <v>0</v>
      </c>
      <c r="S188" s="218">
        <v>0</v>
      </c>
      <c r="T188" s="219">
        <f>S188*H188</f>
        <v>0</v>
      </c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R188" s="220" t="s">
        <v>207</v>
      </c>
      <c r="AT188" s="220" t="s">
        <v>202</v>
      </c>
      <c r="AU188" s="220" t="s">
        <v>88</v>
      </c>
      <c r="AY188" s="18" t="s">
        <v>200</v>
      </c>
      <c r="BE188" s="221">
        <f>IF(N188="základní",J188,0)</f>
        <v>0</v>
      </c>
      <c r="BF188" s="221">
        <f>IF(N188="snížená",J188,0)</f>
        <v>0</v>
      </c>
      <c r="BG188" s="221">
        <f>IF(N188="zákl. přenesená",J188,0)</f>
        <v>0</v>
      </c>
      <c r="BH188" s="221">
        <f>IF(N188="sníž. přenesená",J188,0)</f>
        <v>0</v>
      </c>
      <c r="BI188" s="221">
        <f>IF(N188="nulová",J188,0)</f>
        <v>0</v>
      </c>
      <c r="BJ188" s="18" t="s">
        <v>86</v>
      </c>
      <c r="BK188" s="221">
        <f>ROUND(I188*H188,1)</f>
        <v>0</v>
      </c>
      <c r="BL188" s="18" t="s">
        <v>207</v>
      </c>
      <c r="BM188" s="220" t="s">
        <v>872</v>
      </c>
    </row>
    <row r="189" s="12" customFormat="1" ht="22.8" customHeight="1">
      <c r="A189" s="12"/>
      <c r="B189" s="193"/>
      <c r="C189" s="194"/>
      <c r="D189" s="195" t="s">
        <v>77</v>
      </c>
      <c r="E189" s="207" t="s">
        <v>3028</v>
      </c>
      <c r="F189" s="207" t="s">
        <v>3029</v>
      </c>
      <c r="G189" s="194"/>
      <c r="H189" s="194"/>
      <c r="I189" s="197"/>
      <c r="J189" s="208">
        <f>BK189</f>
        <v>0</v>
      </c>
      <c r="K189" s="194"/>
      <c r="L189" s="199"/>
      <c r="M189" s="200"/>
      <c r="N189" s="201"/>
      <c r="O189" s="201"/>
      <c r="P189" s="202">
        <f>SUM(P190:P191)</f>
        <v>0</v>
      </c>
      <c r="Q189" s="201"/>
      <c r="R189" s="202">
        <f>SUM(R190:R191)</f>
        <v>0</v>
      </c>
      <c r="S189" s="201"/>
      <c r="T189" s="203">
        <f>SUM(T190:T191)</f>
        <v>0</v>
      </c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R189" s="204" t="s">
        <v>86</v>
      </c>
      <c r="AT189" s="205" t="s">
        <v>77</v>
      </c>
      <c r="AU189" s="205" t="s">
        <v>86</v>
      </c>
      <c r="AY189" s="204" t="s">
        <v>200</v>
      </c>
      <c r="BK189" s="206">
        <f>SUM(BK190:BK191)</f>
        <v>0</v>
      </c>
    </row>
    <row r="190" s="2" customFormat="1" ht="16.5" customHeight="1">
      <c r="A190" s="40"/>
      <c r="B190" s="41"/>
      <c r="C190" s="209" t="s">
        <v>560</v>
      </c>
      <c r="D190" s="209" t="s">
        <v>202</v>
      </c>
      <c r="E190" s="210" t="s">
        <v>3030</v>
      </c>
      <c r="F190" s="211" t="s">
        <v>3031</v>
      </c>
      <c r="G190" s="212" t="s">
        <v>1436</v>
      </c>
      <c r="H190" s="213">
        <v>500</v>
      </c>
      <c r="I190" s="214"/>
      <c r="J190" s="215">
        <f>ROUND(I190*H190,1)</f>
        <v>0</v>
      </c>
      <c r="K190" s="211" t="s">
        <v>32</v>
      </c>
      <c r="L190" s="46"/>
      <c r="M190" s="216" t="s">
        <v>32</v>
      </c>
      <c r="N190" s="217" t="s">
        <v>49</v>
      </c>
      <c r="O190" s="86"/>
      <c r="P190" s="218">
        <f>O190*H190</f>
        <v>0</v>
      </c>
      <c r="Q190" s="218">
        <v>0</v>
      </c>
      <c r="R190" s="218">
        <f>Q190*H190</f>
        <v>0</v>
      </c>
      <c r="S190" s="218">
        <v>0</v>
      </c>
      <c r="T190" s="219">
        <f>S190*H190</f>
        <v>0</v>
      </c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R190" s="220" t="s">
        <v>207</v>
      </c>
      <c r="AT190" s="220" t="s">
        <v>202</v>
      </c>
      <c r="AU190" s="220" t="s">
        <v>88</v>
      </c>
      <c r="AY190" s="18" t="s">
        <v>200</v>
      </c>
      <c r="BE190" s="221">
        <f>IF(N190="základní",J190,0)</f>
        <v>0</v>
      </c>
      <c r="BF190" s="221">
        <f>IF(N190="snížená",J190,0)</f>
        <v>0</v>
      </c>
      <c r="BG190" s="221">
        <f>IF(N190="zákl. přenesená",J190,0)</f>
        <v>0</v>
      </c>
      <c r="BH190" s="221">
        <f>IF(N190="sníž. přenesená",J190,0)</f>
        <v>0</v>
      </c>
      <c r="BI190" s="221">
        <f>IF(N190="nulová",J190,0)</f>
        <v>0</v>
      </c>
      <c r="BJ190" s="18" t="s">
        <v>86</v>
      </c>
      <c r="BK190" s="221">
        <f>ROUND(I190*H190,1)</f>
        <v>0</v>
      </c>
      <c r="BL190" s="18" t="s">
        <v>207</v>
      </c>
      <c r="BM190" s="220" t="s">
        <v>889</v>
      </c>
    </row>
    <row r="191" s="2" customFormat="1" ht="16.5" customHeight="1">
      <c r="A191" s="40"/>
      <c r="B191" s="41"/>
      <c r="C191" s="209" t="s">
        <v>565</v>
      </c>
      <c r="D191" s="209" t="s">
        <v>202</v>
      </c>
      <c r="E191" s="210" t="s">
        <v>3032</v>
      </c>
      <c r="F191" s="211" t="s">
        <v>3033</v>
      </c>
      <c r="G191" s="212" t="s">
        <v>1436</v>
      </c>
      <c r="H191" s="213">
        <v>500</v>
      </c>
      <c r="I191" s="214"/>
      <c r="J191" s="215">
        <f>ROUND(I191*H191,1)</f>
        <v>0</v>
      </c>
      <c r="K191" s="211" t="s">
        <v>32</v>
      </c>
      <c r="L191" s="46"/>
      <c r="M191" s="216" t="s">
        <v>32</v>
      </c>
      <c r="N191" s="217" t="s">
        <v>49</v>
      </c>
      <c r="O191" s="86"/>
      <c r="P191" s="218">
        <f>O191*H191</f>
        <v>0</v>
      </c>
      <c r="Q191" s="218">
        <v>0</v>
      </c>
      <c r="R191" s="218">
        <f>Q191*H191</f>
        <v>0</v>
      </c>
      <c r="S191" s="218">
        <v>0</v>
      </c>
      <c r="T191" s="219">
        <f>S191*H191</f>
        <v>0</v>
      </c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R191" s="220" t="s">
        <v>207</v>
      </c>
      <c r="AT191" s="220" t="s">
        <v>202</v>
      </c>
      <c r="AU191" s="220" t="s">
        <v>88</v>
      </c>
      <c r="AY191" s="18" t="s">
        <v>200</v>
      </c>
      <c r="BE191" s="221">
        <f>IF(N191="základní",J191,0)</f>
        <v>0</v>
      </c>
      <c r="BF191" s="221">
        <f>IF(N191="snížená",J191,0)</f>
        <v>0</v>
      </c>
      <c r="BG191" s="221">
        <f>IF(N191="zákl. přenesená",J191,0)</f>
        <v>0</v>
      </c>
      <c r="BH191" s="221">
        <f>IF(N191="sníž. přenesená",J191,0)</f>
        <v>0</v>
      </c>
      <c r="BI191" s="221">
        <f>IF(N191="nulová",J191,0)</f>
        <v>0</v>
      </c>
      <c r="BJ191" s="18" t="s">
        <v>86</v>
      </c>
      <c r="BK191" s="221">
        <f>ROUND(I191*H191,1)</f>
        <v>0</v>
      </c>
      <c r="BL191" s="18" t="s">
        <v>207</v>
      </c>
      <c r="BM191" s="220" t="s">
        <v>904</v>
      </c>
    </row>
    <row r="192" s="12" customFormat="1" ht="22.8" customHeight="1">
      <c r="A192" s="12"/>
      <c r="B192" s="193"/>
      <c r="C192" s="194"/>
      <c r="D192" s="195" t="s">
        <v>77</v>
      </c>
      <c r="E192" s="207" t="s">
        <v>3034</v>
      </c>
      <c r="F192" s="207" t="s">
        <v>3035</v>
      </c>
      <c r="G192" s="194"/>
      <c r="H192" s="194"/>
      <c r="I192" s="197"/>
      <c r="J192" s="208">
        <f>BK192</f>
        <v>0</v>
      </c>
      <c r="K192" s="194"/>
      <c r="L192" s="199"/>
      <c r="M192" s="200"/>
      <c r="N192" s="201"/>
      <c r="O192" s="201"/>
      <c r="P192" s="202">
        <f>SUM(P193:P194)</f>
        <v>0</v>
      </c>
      <c r="Q192" s="201"/>
      <c r="R192" s="202">
        <f>SUM(R193:R194)</f>
        <v>0</v>
      </c>
      <c r="S192" s="201"/>
      <c r="T192" s="203">
        <f>SUM(T193:T194)</f>
        <v>0</v>
      </c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R192" s="204" t="s">
        <v>86</v>
      </c>
      <c r="AT192" s="205" t="s">
        <v>77</v>
      </c>
      <c r="AU192" s="205" t="s">
        <v>86</v>
      </c>
      <c r="AY192" s="204" t="s">
        <v>200</v>
      </c>
      <c r="BK192" s="206">
        <f>SUM(BK193:BK194)</f>
        <v>0</v>
      </c>
    </row>
    <row r="193" s="2" customFormat="1" ht="16.5" customHeight="1">
      <c r="A193" s="40"/>
      <c r="B193" s="41"/>
      <c r="C193" s="209" t="s">
        <v>570</v>
      </c>
      <c r="D193" s="209" t="s">
        <v>202</v>
      </c>
      <c r="E193" s="210" t="s">
        <v>3036</v>
      </c>
      <c r="F193" s="211" t="s">
        <v>3037</v>
      </c>
      <c r="G193" s="212" t="s">
        <v>280</v>
      </c>
      <c r="H193" s="213">
        <v>100</v>
      </c>
      <c r="I193" s="214"/>
      <c r="J193" s="215">
        <f>ROUND(I193*H193,1)</f>
        <v>0</v>
      </c>
      <c r="K193" s="211" t="s">
        <v>32</v>
      </c>
      <c r="L193" s="46"/>
      <c r="M193" s="216" t="s">
        <v>32</v>
      </c>
      <c r="N193" s="217" t="s">
        <v>49</v>
      </c>
      <c r="O193" s="86"/>
      <c r="P193" s="218">
        <f>O193*H193</f>
        <v>0</v>
      </c>
      <c r="Q193" s="218">
        <v>0</v>
      </c>
      <c r="R193" s="218">
        <f>Q193*H193</f>
        <v>0</v>
      </c>
      <c r="S193" s="218">
        <v>0</v>
      </c>
      <c r="T193" s="219">
        <f>S193*H193</f>
        <v>0</v>
      </c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R193" s="220" t="s">
        <v>207</v>
      </c>
      <c r="AT193" s="220" t="s">
        <v>202</v>
      </c>
      <c r="AU193" s="220" t="s">
        <v>88</v>
      </c>
      <c r="AY193" s="18" t="s">
        <v>200</v>
      </c>
      <c r="BE193" s="221">
        <f>IF(N193="základní",J193,0)</f>
        <v>0</v>
      </c>
      <c r="BF193" s="221">
        <f>IF(N193="snížená",J193,0)</f>
        <v>0</v>
      </c>
      <c r="BG193" s="221">
        <f>IF(N193="zákl. přenesená",J193,0)</f>
        <v>0</v>
      </c>
      <c r="BH193" s="221">
        <f>IF(N193="sníž. přenesená",J193,0)</f>
        <v>0</v>
      </c>
      <c r="BI193" s="221">
        <f>IF(N193="nulová",J193,0)</f>
        <v>0</v>
      </c>
      <c r="BJ193" s="18" t="s">
        <v>86</v>
      </c>
      <c r="BK193" s="221">
        <f>ROUND(I193*H193,1)</f>
        <v>0</v>
      </c>
      <c r="BL193" s="18" t="s">
        <v>207</v>
      </c>
      <c r="BM193" s="220" t="s">
        <v>916</v>
      </c>
    </row>
    <row r="194" s="2" customFormat="1" ht="16.5" customHeight="1">
      <c r="A194" s="40"/>
      <c r="B194" s="41"/>
      <c r="C194" s="209" t="s">
        <v>575</v>
      </c>
      <c r="D194" s="209" t="s">
        <v>202</v>
      </c>
      <c r="E194" s="210" t="s">
        <v>3038</v>
      </c>
      <c r="F194" s="211" t="s">
        <v>3039</v>
      </c>
      <c r="G194" s="212" t="s">
        <v>280</v>
      </c>
      <c r="H194" s="213">
        <v>200</v>
      </c>
      <c r="I194" s="214"/>
      <c r="J194" s="215">
        <f>ROUND(I194*H194,1)</f>
        <v>0</v>
      </c>
      <c r="K194" s="211" t="s">
        <v>32</v>
      </c>
      <c r="L194" s="46"/>
      <c r="M194" s="216" t="s">
        <v>32</v>
      </c>
      <c r="N194" s="217" t="s">
        <v>49</v>
      </c>
      <c r="O194" s="86"/>
      <c r="P194" s="218">
        <f>O194*H194</f>
        <v>0</v>
      </c>
      <c r="Q194" s="218">
        <v>0</v>
      </c>
      <c r="R194" s="218">
        <f>Q194*H194</f>
        <v>0</v>
      </c>
      <c r="S194" s="218">
        <v>0</v>
      </c>
      <c r="T194" s="219">
        <f>S194*H194</f>
        <v>0</v>
      </c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R194" s="220" t="s">
        <v>207</v>
      </c>
      <c r="AT194" s="220" t="s">
        <v>202</v>
      </c>
      <c r="AU194" s="220" t="s">
        <v>88</v>
      </c>
      <c r="AY194" s="18" t="s">
        <v>200</v>
      </c>
      <c r="BE194" s="221">
        <f>IF(N194="základní",J194,0)</f>
        <v>0</v>
      </c>
      <c r="BF194" s="221">
        <f>IF(N194="snížená",J194,0)</f>
        <v>0</v>
      </c>
      <c r="BG194" s="221">
        <f>IF(N194="zákl. přenesená",J194,0)</f>
        <v>0</v>
      </c>
      <c r="BH194" s="221">
        <f>IF(N194="sníž. přenesená",J194,0)</f>
        <v>0</v>
      </c>
      <c r="BI194" s="221">
        <f>IF(N194="nulová",J194,0)</f>
        <v>0</v>
      </c>
      <c r="BJ194" s="18" t="s">
        <v>86</v>
      </c>
      <c r="BK194" s="221">
        <f>ROUND(I194*H194,1)</f>
        <v>0</v>
      </c>
      <c r="BL194" s="18" t="s">
        <v>207</v>
      </c>
      <c r="BM194" s="220" t="s">
        <v>926</v>
      </c>
    </row>
    <row r="195" s="12" customFormat="1" ht="22.8" customHeight="1">
      <c r="A195" s="12"/>
      <c r="B195" s="193"/>
      <c r="C195" s="194"/>
      <c r="D195" s="195" t="s">
        <v>77</v>
      </c>
      <c r="E195" s="207" t="s">
        <v>3040</v>
      </c>
      <c r="F195" s="207" t="s">
        <v>3041</v>
      </c>
      <c r="G195" s="194"/>
      <c r="H195" s="194"/>
      <c r="I195" s="197"/>
      <c r="J195" s="208">
        <f>BK195</f>
        <v>0</v>
      </c>
      <c r="K195" s="194"/>
      <c r="L195" s="199"/>
      <c r="M195" s="200"/>
      <c r="N195" s="201"/>
      <c r="O195" s="201"/>
      <c r="P195" s="202">
        <f>SUM(P196:P197)</f>
        <v>0</v>
      </c>
      <c r="Q195" s="201"/>
      <c r="R195" s="202">
        <f>SUM(R196:R197)</f>
        <v>0</v>
      </c>
      <c r="S195" s="201"/>
      <c r="T195" s="203">
        <f>SUM(T196:T197)</f>
        <v>0</v>
      </c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R195" s="204" t="s">
        <v>86</v>
      </c>
      <c r="AT195" s="205" t="s">
        <v>77</v>
      </c>
      <c r="AU195" s="205" t="s">
        <v>86</v>
      </c>
      <c r="AY195" s="204" t="s">
        <v>200</v>
      </c>
      <c r="BK195" s="206">
        <f>SUM(BK196:BK197)</f>
        <v>0</v>
      </c>
    </row>
    <row r="196" s="2" customFormat="1" ht="16.5" customHeight="1">
      <c r="A196" s="40"/>
      <c r="B196" s="41"/>
      <c r="C196" s="209" t="s">
        <v>581</v>
      </c>
      <c r="D196" s="209" t="s">
        <v>202</v>
      </c>
      <c r="E196" s="210" t="s">
        <v>3042</v>
      </c>
      <c r="F196" s="211" t="s">
        <v>3043</v>
      </c>
      <c r="G196" s="212" t="s">
        <v>280</v>
      </c>
      <c r="H196" s="213">
        <v>500</v>
      </c>
      <c r="I196" s="214"/>
      <c r="J196" s="215">
        <f>ROUND(I196*H196,1)</f>
        <v>0</v>
      </c>
      <c r="K196" s="211" t="s">
        <v>32</v>
      </c>
      <c r="L196" s="46"/>
      <c r="M196" s="216" t="s">
        <v>32</v>
      </c>
      <c r="N196" s="217" t="s">
        <v>49</v>
      </c>
      <c r="O196" s="86"/>
      <c r="P196" s="218">
        <f>O196*H196</f>
        <v>0</v>
      </c>
      <c r="Q196" s="218">
        <v>0</v>
      </c>
      <c r="R196" s="218">
        <f>Q196*H196</f>
        <v>0</v>
      </c>
      <c r="S196" s="218">
        <v>0</v>
      </c>
      <c r="T196" s="219">
        <f>S196*H196</f>
        <v>0</v>
      </c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R196" s="220" t="s">
        <v>207</v>
      </c>
      <c r="AT196" s="220" t="s">
        <v>202</v>
      </c>
      <c r="AU196" s="220" t="s">
        <v>88</v>
      </c>
      <c r="AY196" s="18" t="s">
        <v>200</v>
      </c>
      <c r="BE196" s="221">
        <f>IF(N196="základní",J196,0)</f>
        <v>0</v>
      </c>
      <c r="BF196" s="221">
        <f>IF(N196="snížená",J196,0)</f>
        <v>0</v>
      </c>
      <c r="BG196" s="221">
        <f>IF(N196="zákl. přenesená",J196,0)</f>
        <v>0</v>
      </c>
      <c r="BH196" s="221">
        <f>IF(N196="sníž. přenesená",J196,0)</f>
        <v>0</v>
      </c>
      <c r="BI196" s="221">
        <f>IF(N196="nulová",J196,0)</f>
        <v>0</v>
      </c>
      <c r="BJ196" s="18" t="s">
        <v>86</v>
      </c>
      <c r="BK196" s="221">
        <f>ROUND(I196*H196,1)</f>
        <v>0</v>
      </c>
      <c r="BL196" s="18" t="s">
        <v>207</v>
      </c>
      <c r="BM196" s="220" t="s">
        <v>937</v>
      </c>
    </row>
    <row r="197" s="2" customFormat="1" ht="16.5" customHeight="1">
      <c r="A197" s="40"/>
      <c r="B197" s="41"/>
      <c r="C197" s="209" t="s">
        <v>587</v>
      </c>
      <c r="D197" s="209" t="s">
        <v>202</v>
      </c>
      <c r="E197" s="210" t="s">
        <v>3044</v>
      </c>
      <c r="F197" s="211" t="s">
        <v>3045</v>
      </c>
      <c r="G197" s="212" t="s">
        <v>280</v>
      </c>
      <c r="H197" s="213">
        <v>200</v>
      </c>
      <c r="I197" s="214"/>
      <c r="J197" s="215">
        <f>ROUND(I197*H197,1)</f>
        <v>0</v>
      </c>
      <c r="K197" s="211" t="s">
        <v>32</v>
      </c>
      <c r="L197" s="46"/>
      <c r="M197" s="216" t="s">
        <v>32</v>
      </c>
      <c r="N197" s="217" t="s">
        <v>49</v>
      </c>
      <c r="O197" s="86"/>
      <c r="P197" s="218">
        <f>O197*H197</f>
        <v>0</v>
      </c>
      <c r="Q197" s="218">
        <v>0</v>
      </c>
      <c r="R197" s="218">
        <f>Q197*H197</f>
        <v>0</v>
      </c>
      <c r="S197" s="218">
        <v>0</v>
      </c>
      <c r="T197" s="219">
        <f>S197*H197</f>
        <v>0</v>
      </c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0" t="s">
        <v>207</v>
      </c>
      <c r="AT197" s="220" t="s">
        <v>202</v>
      </c>
      <c r="AU197" s="220" t="s">
        <v>88</v>
      </c>
      <c r="AY197" s="18" t="s">
        <v>200</v>
      </c>
      <c r="BE197" s="221">
        <f>IF(N197="základní",J197,0)</f>
        <v>0</v>
      </c>
      <c r="BF197" s="221">
        <f>IF(N197="snížená",J197,0)</f>
        <v>0</v>
      </c>
      <c r="BG197" s="221">
        <f>IF(N197="zákl. přenesená",J197,0)</f>
        <v>0</v>
      </c>
      <c r="BH197" s="221">
        <f>IF(N197="sníž. přenesená",J197,0)</f>
        <v>0</v>
      </c>
      <c r="BI197" s="221">
        <f>IF(N197="nulová",J197,0)</f>
        <v>0</v>
      </c>
      <c r="BJ197" s="18" t="s">
        <v>86</v>
      </c>
      <c r="BK197" s="221">
        <f>ROUND(I197*H197,1)</f>
        <v>0</v>
      </c>
      <c r="BL197" s="18" t="s">
        <v>207</v>
      </c>
      <c r="BM197" s="220" t="s">
        <v>946</v>
      </c>
    </row>
    <row r="198" s="12" customFormat="1" ht="22.8" customHeight="1">
      <c r="A198" s="12"/>
      <c r="B198" s="193"/>
      <c r="C198" s="194"/>
      <c r="D198" s="195" t="s">
        <v>77</v>
      </c>
      <c r="E198" s="207" t="s">
        <v>3046</v>
      </c>
      <c r="F198" s="207" t="s">
        <v>3047</v>
      </c>
      <c r="G198" s="194"/>
      <c r="H198" s="194"/>
      <c r="I198" s="197"/>
      <c r="J198" s="208">
        <f>BK198</f>
        <v>0</v>
      </c>
      <c r="K198" s="194"/>
      <c r="L198" s="199"/>
      <c r="M198" s="200"/>
      <c r="N198" s="201"/>
      <c r="O198" s="201"/>
      <c r="P198" s="202">
        <f>P199</f>
        <v>0</v>
      </c>
      <c r="Q198" s="201"/>
      <c r="R198" s="202">
        <f>R199</f>
        <v>0</v>
      </c>
      <c r="S198" s="201"/>
      <c r="T198" s="203">
        <f>T199</f>
        <v>0</v>
      </c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R198" s="204" t="s">
        <v>86</v>
      </c>
      <c r="AT198" s="205" t="s">
        <v>77</v>
      </c>
      <c r="AU198" s="205" t="s">
        <v>86</v>
      </c>
      <c r="AY198" s="204" t="s">
        <v>200</v>
      </c>
      <c r="BK198" s="206">
        <f>BK199</f>
        <v>0</v>
      </c>
    </row>
    <row r="199" s="2" customFormat="1" ht="16.5" customHeight="1">
      <c r="A199" s="40"/>
      <c r="B199" s="41"/>
      <c r="C199" s="209" t="s">
        <v>593</v>
      </c>
      <c r="D199" s="209" t="s">
        <v>202</v>
      </c>
      <c r="E199" s="210" t="s">
        <v>3048</v>
      </c>
      <c r="F199" s="211" t="s">
        <v>3049</v>
      </c>
      <c r="G199" s="212" t="s">
        <v>1436</v>
      </c>
      <c r="H199" s="213">
        <v>500</v>
      </c>
      <c r="I199" s="214"/>
      <c r="J199" s="215">
        <f>ROUND(I199*H199,1)</f>
        <v>0</v>
      </c>
      <c r="K199" s="211" t="s">
        <v>32</v>
      </c>
      <c r="L199" s="46"/>
      <c r="M199" s="216" t="s">
        <v>32</v>
      </c>
      <c r="N199" s="217" t="s">
        <v>49</v>
      </c>
      <c r="O199" s="86"/>
      <c r="P199" s="218">
        <f>O199*H199</f>
        <v>0</v>
      </c>
      <c r="Q199" s="218">
        <v>0</v>
      </c>
      <c r="R199" s="218">
        <f>Q199*H199</f>
        <v>0</v>
      </c>
      <c r="S199" s="218">
        <v>0</v>
      </c>
      <c r="T199" s="219">
        <f>S199*H199</f>
        <v>0</v>
      </c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R199" s="220" t="s">
        <v>207</v>
      </c>
      <c r="AT199" s="220" t="s">
        <v>202</v>
      </c>
      <c r="AU199" s="220" t="s">
        <v>88</v>
      </c>
      <c r="AY199" s="18" t="s">
        <v>200</v>
      </c>
      <c r="BE199" s="221">
        <f>IF(N199="základní",J199,0)</f>
        <v>0</v>
      </c>
      <c r="BF199" s="221">
        <f>IF(N199="snížená",J199,0)</f>
        <v>0</v>
      </c>
      <c r="BG199" s="221">
        <f>IF(N199="zákl. přenesená",J199,0)</f>
        <v>0</v>
      </c>
      <c r="BH199" s="221">
        <f>IF(N199="sníž. přenesená",J199,0)</f>
        <v>0</v>
      </c>
      <c r="BI199" s="221">
        <f>IF(N199="nulová",J199,0)</f>
        <v>0</v>
      </c>
      <c r="BJ199" s="18" t="s">
        <v>86</v>
      </c>
      <c r="BK199" s="221">
        <f>ROUND(I199*H199,1)</f>
        <v>0</v>
      </c>
      <c r="BL199" s="18" t="s">
        <v>207</v>
      </c>
      <c r="BM199" s="220" t="s">
        <v>961</v>
      </c>
    </row>
    <row r="200" s="12" customFormat="1" ht="22.8" customHeight="1">
      <c r="A200" s="12"/>
      <c r="B200" s="193"/>
      <c r="C200" s="194"/>
      <c r="D200" s="195" t="s">
        <v>77</v>
      </c>
      <c r="E200" s="207" t="s">
        <v>3050</v>
      </c>
      <c r="F200" s="207" t="s">
        <v>3051</v>
      </c>
      <c r="G200" s="194"/>
      <c r="H200" s="194"/>
      <c r="I200" s="197"/>
      <c r="J200" s="208">
        <f>BK200</f>
        <v>0</v>
      </c>
      <c r="K200" s="194"/>
      <c r="L200" s="199"/>
      <c r="M200" s="200"/>
      <c r="N200" s="201"/>
      <c r="O200" s="201"/>
      <c r="P200" s="202">
        <f>SUM(P201:P215)</f>
        <v>0</v>
      </c>
      <c r="Q200" s="201"/>
      <c r="R200" s="202">
        <f>SUM(R201:R215)</f>
        <v>0</v>
      </c>
      <c r="S200" s="201"/>
      <c r="T200" s="203">
        <f>SUM(T201:T215)</f>
        <v>0</v>
      </c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R200" s="204" t="s">
        <v>86</v>
      </c>
      <c r="AT200" s="205" t="s">
        <v>77</v>
      </c>
      <c r="AU200" s="205" t="s">
        <v>86</v>
      </c>
      <c r="AY200" s="204" t="s">
        <v>200</v>
      </c>
      <c r="BK200" s="206">
        <f>SUM(BK201:BK215)</f>
        <v>0</v>
      </c>
    </row>
    <row r="201" s="2" customFormat="1" ht="16.5" customHeight="1">
      <c r="A201" s="40"/>
      <c r="B201" s="41"/>
      <c r="C201" s="209" t="s">
        <v>599</v>
      </c>
      <c r="D201" s="209" t="s">
        <v>202</v>
      </c>
      <c r="E201" s="210" t="s">
        <v>3052</v>
      </c>
      <c r="F201" s="211" t="s">
        <v>3053</v>
      </c>
      <c r="G201" s="212" t="s">
        <v>1436</v>
      </c>
      <c r="H201" s="213">
        <v>1</v>
      </c>
      <c r="I201" s="214"/>
      <c r="J201" s="215">
        <f>ROUND(I201*H201,1)</f>
        <v>0</v>
      </c>
      <c r="K201" s="211" t="s">
        <v>32</v>
      </c>
      <c r="L201" s="46"/>
      <c r="M201" s="216" t="s">
        <v>32</v>
      </c>
      <c r="N201" s="217" t="s">
        <v>49</v>
      </c>
      <c r="O201" s="86"/>
      <c r="P201" s="218">
        <f>O201*H201</f>
        <v>0</v>
      </c>
      <c r="Q201" s="218">
        <v>0</v>
      </c>
      <c r="R201" s="218">
        <f>Q201*H201</f>
        <v>0</v>
      </c>
      <c r="S201" s="218">
        <v>0</v>
      </c>
      <c r="T201" s="219">
        <f>S201*H201</f>
        <v>0</v>
      </c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R201" s="220" t="s">
        <v>207</v>
      </c>
      <c r="AT201" s="220" t="s">
        <v>202</v>
      </c>
      <c r="AU201" s="220" t="s">
        <v>88</v>
      </c>
      <c r="AY201" s="18" t="s">
        <v>200</v>
      </c>
      <c r="BE201" s="221">
        <f>IF(N201="základní",J201,0)</f>
        <v>0</v>
      </c>
      <c r="BF201" s="221">
        <f>IF(N201="snížená",J201,0)</f>
        <v>0</v>
      </c>
      <c r="BG201" s="221">
        <f>IF(N201="zákl. přenesená",J201,0)</f>
        <v>0</v>
      </c>
      <c r="BH201" s="221">
        <f>IF(N201="sníž. přenesená",J201,0)</f>
        <v>0</v>
      </c>
      <c r="BI201" s="221">
        <f>IF(N201="nulová",J201,0)</f>
        <v>0</v>
      </c>
      <c r="BJ201" s="18" t="s">
        <v>86</v>
      </c>
      <c r="BK201" s="221">
        <f>ROUND(I201*H201,1)</f>
        <v>0</v>
      </c>
      <c r="BL201" s="18" t="s">
        <v>207</v>
      </c>
      <c r="BM201" s="220" t="s">
        <v>977</v>
      </c>
    </row>
    <row r="202" s="2" customFormat="1" ht="16.5" customHeight="1">
      <c r="A202" s="40"/>
      <c r="B202" s="41"/>
      <c r="C202" s="209" t="s">
        <v>604</v>
      </c>
      <c r="D202" s="209" t="s">
        <v>202</v>
      </c>
      <c r="E202" s="210" t="s">
        <v>3054</v>
      </c>
      <c r="F202" s="211" t="s">
        <v>3055</v>
      </c>
      <c r="G202" s="212" t="s">
        <v>1436</v>
      </c>
      <c r="H202" s="213">
        <v>1</v>
      </c>
      <c r="I202" s="214"/>
      <c r="J202" s="215">
        <f>ROUND(I202*H202,1)</f>
        <v>0</v>
      </c>
      <c r="K202" s="211" t="s">
        <v>32</v>
      </c>
      <c r="L202" s="46"/>
      <c r="M202" s="216" t="s">
        <v>32</v>
      </c>
      <c r="N202" s="217" t="s">
        <v>49</v>
      </c>
      <c r="O202" s="86"/>
      <c r="P202" s="218">
        <f>O202*H202</f>
        <v>0</v>
      </c>
      <c r="Q202" s="218">
        <v>0</v>
      </c>
      <c r="R202" s="218">
        <f>Q202*H202</f>
        <v>0</v>
      </c>
      <c r="S202" s="218">
        <v>0</v>
      </c>
      <c r="T202" s="219">
        <f>S202*H202</f>
        <v>0</v>
      </c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R202" s="220" t="s">
        <v>207</v>
      </c>
      <c r="AT202" s="220" t="s">
        <v>202</v>
      </c>
      <c r="AU202" s="220" t="s">
        <v>88</v>
      </c>
      <c r="AY202" s="18" t="s">
        <v>200</v>
      </c>
      <c r="BE202" s="221">
        <f>IF(N202="základní",J202,0)</f>
        <v>0</v>
      </c>
      <c r="BF202" s="221">
        <f>IF(N202="snížená",J202,0)</f>
        <v>0</v>
      </c>
      <c r="BG202" s="221">
        <f>IF(N202="zákl. přenesená",J202,0)</f>
        <v>0</v>
      </c>
      <c r="BH202" s="221">
        <f>IF(N202="sníž. přenesená",J202,0)</f>
        <v>0</v>
      </c>
      <c r="BI202" s="221">
        <f>IF(N202="nulová",J202,0)</f>
        <v>0</v>
      </c>
      <c r="BJ202" s="18" t="s">
        <v>86</v>
      </c>
      <c r="BK202" s="221">
        <f>ROUND(I202*H202,1)</f>
        <v>0</v>
      </c>
      <c r="BL202" s="18" t="s">
        <v>207</v>
      </c>
      <c r="BM202" s="220" t="s">
        <v>988</v>
      </c>
    </row>
    <row r="203" s="2" customFormat="1" ht="16.5" customHeight="1">
      <c r="A203" s="40"/>
      <c r="B203" s="41"/>
      <c r="C203" s="209" t="s">
        <v>609</v>
      </c>
      <c r="D203" s="209" t="s">
        <v>202</v>
      </c>
      <c r="E203" s="210" t="s">
        <v>3056</v>
      </c>
      <c r="F203" s="211" t="s">
        <v>3057</v>
      </c>
      <c r="G203" s="212" t="s">
        <v>1436</v>
      </c>
      <c r="H203" s="213">
        <v>17</v>
      </c>
      <c r="I203" s="214"/>
      <c r="J203" s="215">
        <f>ROUND(I203*H203,1)</f>
        <v>0</v>
      </c>
      <c r="K203" s="211" t="s">
        <v>32</v>
      </c>
      <c r="L203" s="46"/>
      <c r="M203" s="216" t="s">
        <v>32</v>
      </c>
      <c r="N203" s="217" t="s">
        <v>49</v>
      </c>
      <c r="O203" s="86"/>
      <c r="P203" s="218">
        <f>O203*H203</f>
        <v>0</v>
      </c>
      <c r="Q203" s="218">
        <v>0</v>
      </c>
      <c r="R203" s="218">
        <f>Q203*H203</f>
        <v>0</v>
      </c>
      <c r="S203" s="218">
        <v>0</v>
      </c>
      <c r="T203" s="219">
        <f>S203*H203</f>
        <v>0</v>
      </c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R203" s="220" t="s">
        <v>207</v>
      </c>
      <c r="AT203" s="220" t="s">
        <v>202</v>
      </c>
      <c r="AU203" s="220" t="s">
        <v>88</v>
      </c>
      <c r="AY203" s="18" t="s">
        <v>200</v>
      </c>
      <c r="BE203" s="221">
        <f>IF(N203="základní",J203,0)</f>
        <v>0</v>
      </c>
      <c r="BF203" s="221">
        <f>IF(N203="snížená",J203,0)</f>
        <v>0</v>
      </c>
      <c r="BG203" s="221">
        <f>IF(N203="zákl. přenesená",J203,0)</f>
        <v>0</v>
      </c>
      <c r="BH203" s="221">
        <f>IF(N203="sníž. přenesená",J203,0)</f>
        <v>0</v>
      </c>
      <c r="BI203" s="221">
        <f>IF(N203="nulová",J203,0)</f>
        <v>0</v>
      </c>
      <c r="BJ203" s="18" t="s">
        <v>86</v>
      </c>
      <c r="BK203" s="221">
        <f>ROUND(I203*H203,1)</f>
        <v>0</v>
      </c>
      <c r="BL203" s="18" t="s">
        <v>207</v>
      </c>
      <c r="BM203" s="220" t="s">
        <v>1001</v>
      </c>
    </row>
    <row r="204" s="2" customFormat="1" ht="16.5" customHeight="1">
      <c r="A204" s="40"/>
      <c r="B204" s="41"/>
      <c r="C204" s="209" t="s">
        <v>632</v>
      </c>
      <c r="D204" s="209" t="s">
        <v>202</v>
      </c>
      <c r="E204" s="210" t="s">
        <v>3058</v>
      </c>
      <c r="F204" s="211" t="s">
        <v>3059</v>
      </c>
      <c r="G204" s="212" t="s">
        <v>1436</v>
      </c>
      <c r="H204" s="213">
        <v>37</v>
      </c>
      <c r="I204" s="214"/>
      <c r="J204" s="215">
        <f>ROUND(I204*H204,1)</f>
        <v>0</v>
      </c>
      <c r="K204" s="211" t="s">
        <v>32</v>
      </c>
      <c r="L204" s="46"/>
      <c r="M204" s="216" t="s">
        <v>32</v>
      </c>
      <c r="N204" s="217" t="s">
        <v>49</v>
      </c>
      <c r="O204" s="86"/>
      <c r="P204" s="218">
        <f>O204*H204</f>
        <v>0</v>
      </c>
      <c r="Q204" s="218">
        <v>0</v>
      </c>
      <c r="R204" s="218">
        <f>Q204*H204</f>
        <v>0</v>
      </c>
      <c r="S204" s="218">
        <v>0</v>
      </c>
      <c r="T204" s="219">
        <f>S204*H204</f>
        <v>0</v>
      </c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R204" s="220" t="s">
        <v>207</v>
      </c>
      <c r="AT204" s="220" t="s">
        <v>202</v>
      </c>
      <c r="AU204" s="220" t="s">
        <v>88</v>
      </c>
      <c r="AY204" s="18" t="s">
        <v>200</v>
      </c>
      <c r="BE204" s="221">
        <f>IF(N204="základní",J204,0)</f>
        <v>0</v>
      </c>
      <c r="BF204" s="221">
        <f>IF(N204="snížená",J204,0)</f>
        <v>0</v>
      </c>
      <c r="BG204" s="221">
        <f>IF(N204="zákl. přenesená",J204,0)</f>
        <v>0</v>
      </c>
      <c r="BH204" s="221">
        <f>IF(N204="sníž. přenesená",J204,0)</f>
        <v>0</v>
      </c>
      <c r="BI204" s="221">
        <f>IF(N204="nulová",J204,0)</f>
        <v>0</v>
      </c>
      <c r="BJ204" s="18" t="s">
        <v>86</v>
      </c>
      <c r="BK204" s="221">
        <f>ROUND(I204*H204,1)</f>
        <v>0</v>
      </c>
      <c r="BL204" s="18" t="s">
        <v>207</v>
      </c>
      <c r="BM204" s="220" t="s">
        <v>1013</v>
      </c>
    </row>
    <row r="205" s="2" customFormat="1" ht="16.5" customHeight="1">
      <c r="A205" s="40"/>
      <c r="B205" s="41"/>
      <c r="C205" s="209" t="s">
        <v>638</v>
      </c>
      <c r="D205" s="209" t="s">
        <v>202</v>
      </c>
      <c r="E205" s="210" t="s">
        <v>3060</v>
      </c>
      <c r="F205" s="211" t="s">
        <v>3061</v>
      </c>
      <c r="G205" s="212" t="s">
        <v>1436</v>
      </c>
      <c r="H205" s="213">
        <v>1</v>
      </c>
      <c r="I205" s="214"/>
      <c r="J205" s="215">
        <f>ROUND(I205*H205,1)</f>
        <v>0</v>
      </c>
      <c r="K205" s="211" t="s">
        <v>32</v>
      </c>
      <c r="L205" s="46"/>
      <c r="M205" s="216" t="s">
        <v>32</v>
      </c>
      <c r="N205" s="217" t="s">
        <v>49</v>
      </c>
      <c r="O205" s="86"/>
      <c r="P205" s="218">
        <f>O205*H205</f>
        <v>0</v>
      </c>
      <c r="Q205" s="218">
        <v>0</v>
      </c>
      <c r="R205" s="218">
        <f>Q205*H205</f>
        <v>0</v>
      </c>
      <c r="S205" s="218">
        <v>0</v>
      </c>
      <c r="T205" s="219">
        <f>S205*H205</f>
        <v>0</v>
      </c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R205" s="220" t="s">
        <v>207</v>
      </c>
      <c r="AT205" s="220" t="s">
        <v>202</v>
      </c>
      <c r="AU205" s="220" t="s">
        <v>88</v>
      </c>
      <c r="AY205" s="18" t="s">
        <v>200</v>
      </c>
      <c r="BE205" s="221">
        <f>IF(N205="základní",J205,0)</f>
        <v>0</v>
      </c>
      <c r="BF205" s="221">
        <f>IF(N205="snížená",J205,0)</f>
        <v>0</v>
      </c>
      <c r="BG205" s="221">
        <f>IF(N205="zákl. přenesená",J205,0)</f>
        <v>0</v>
      </c>
      <c r="BH205" s="221">
        <f>IF(N205="sníž. přenesená",J205,0)</f>
        <v>0</v>
      </c>
      <c r="BI205" s="221">
        <f>IF(N205="nulová",J205,0)</f>
        <v>0</v>
      </c>
      <c r="BJ205" s="18" t="s">
        <v>86</v>
      </c>
      <c r="BK205" s="221">
        <f>ROUND(I205*H205,1)</f>
        <v>0</v>
      </c>
      <c r="BL205" s="18" t="s">
        <v>207</v>
      </c>
      <c r="BM205" s="220" t="s">
        <v>1025</v>
      </c>
    </row>
    <row r="206" s="2" customFormat="1" ht="16.5" customHeight="1">
      <c r="A206" s="40"/>
      <c r="B206" s="41"/>
      <c r="C206" s="209" t="s">
        <v>644</v>
      </c>
      <c r="D206" s="209" t="s">
        <v>202</v>
      </c>
      <c r="E206" s="210" t="s">
        <v>3062</v>
      </c>
      <c r="F206" s="211" t="s">
        <v>3063</v>
      </c>
      <c r="G206" s="212" t="s">
        <v>1436</v>
      </c>
      <c r="H206" s="213">
        <v>2</v>
      </c>
      <c r="I206" s="214"/>
      <c r="J206" s="215">
        <f>ROUND(I206*H206,1)</f>
        <v>0</v>
      </c>
      <c r="K206" s="211" t="s">
        <v>32</v>
      </c>
      <c r="L206" s="46"/>
      <c r="M206" s="216" t="s">
        <v>32</v>
      </c>
      <c r="N206" s="217" t="s">
        <v>49</v>
      </c>
      <c r="O206" s="86"/>
      <c r="P206" s="218">
        <f>O206*H206</f>
        <v>0</v>
      </c>
      <c r="Q206" s="218">
        <v>0</v>
      </c>
      <c r="R206" s="218">
        <f>Q206*H206</f>
        <v>0</v>
      </c>
      <c r="S206" s="218">
        <v>0</v>
      </c>
      <c r="T206" s="219">
        <f>S206*H206</f>
        <v>0</v>
      </c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R206" s="220" t="s">
        <v>207</v>
      </c>
      <c r="AT206" s="220" t="s">
        <v>202</v>
      </c>
      <c r="AU206" s="220" t="s">
        <v>88</v>
      </c>
      <c r="AY206" s="18" t="s">
        <v>200</v>
      </c>
      <c r="BE206" s="221">
        <f>IF(N206="základní",J206,0)</f>
        <v>0</v>
      </c>
      <c r="BF206" s="221">
        <f>IF(N206="snížená",J206,0)</f>
        <v>0</v>
      </c>
      <c r="BG206" s="221">
        <f>IF(N206="zákl. přenesená",J206,0)</f>
        <v>0</v>
      </c>
      <c r="BH206" s="221">
        <f>IF(N206="sníž. přenesená",J206,0)</f>
        <v>0</v>
      </c>
      <c r="BI206" s="221">
        <f>IF(N206="nulová",J206,0)</f>
        <v>0</v>
      </c>
      <c r="BJ206" s="18" t="s">
        <v>86</v>
      </c>
      <c r="BK206" s="221">
        <f>ROUND(I206*H206,1)</f>
        <v>0</v>
      </c>
      <c r="BL206" s="18" t="s">
        <v>207</v>
      </c>
      <c r="BM206" s="220" t="s">
        <v>1036</v>
      </c>
    </row>
    <row r="207" s="2" customFormat="1" ht="16.5" customHeight="1">
      <c r="A207" s="40"/>
      <c r="B207" s="41"/>
      <c r="C207" s="209" t="s">
        <v>651</v>
      </c>
      <c r="D207" s="209" t="s">
        <v>202</v>
      </c>
      <c r="E207" s="210" t="s">
        <v>3064</v>
      </c>
      <c r="F207" s="211" t="s">
        <v>3065</v>
      </c>
      <c r="G207" s="212" t="s">
        <v>1436</v>
      </c>
      <c r="H207" s="213">
        <v>1</v>
      </c>
      <c r="I207" s="214"/>
      <c r="J207" s="215">
        <f>ROUND(I207*H207,1)</f>
        <v>0</v>
      </c>
      <c r="K207" s="211" t="s">
        <v>32</v>
      </c>
      <c r="L207" s="46"/>
      <c r="M207" s="216" t="s">
        <v>32</v>
      </c>
      <c r="N207" s="217" t="s">
        <v>49</v>
      </c>
      <c r="O207" s="86"/>
      <c r="P207" s="218">
        <f>O207*H207</f>
        <v>0</v>
      </c>
      <c r="Q207" s="218">
        <v>0</v>
      </c>
      <c r="R207" s="218">
        <f>Q207*H207</f>
        <v>0</v>
      </c>
      <c r="S207" s="218">
        <v>0</v>
      </c>
      <c r="T207" s="219">
        <f>S207*H207</f>
        <v>0</v>
      </c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R207" s="220" t="s">
        <v>207</v>
      </c>
      <c r="AT207" s="220" t="s">
        <v>202</v>
      </c>
      <c r="AU207" s="220" t="s">
        <v>88</v>
      </c>
      <c r="AY207" s="18" t="s">
        <v>200</v>
      </c>
      <c r="BE207" s="221">
        <f>IF(N207="základní",J207,0)</f>
        <v>0</v>
      </c>
      <c r="BF207" s="221">
        <f>IF(N207="snížená",J207,0)</f>
        <v>0</v>
      </c>
      <c r="BG207" s="221">
        <f>IF(N207="zákl. přenesená",J207,0)</f>
        <v>0</v>
      </c>
      <c r="BH207" s="221">
        <f>IF(N207="sníž. přenesená",J207,0)</f>
        <v>0</v>
      </c>
      <c r="BI207" s="221">
        <f>IF(N207="nulová",J207,0)</f>
        <v>0</v>
      </c>
      <c r="BJ207" s="18" t="s">
        <v>86</v>
      </c>
      <c r="BK207" s="221">
        <f>ROUND(I207*H207,1)</f>
        <v>0</v>
      </c>
      <c r="BL207" s="18" t="s">
        <v>207</v>
      </c>
      <c r="BM207" s="220" t="s">
        <v>1045</v>
      </c>
    </row>
    <row r="208" s="2" customFormat="1" ht="16.5" customHeight="1">
      <c r="A208" s="40"/>
      <c r="B208" s="41"/>
      <c r="C208" s="209" t="s">
        <v>660</v>
      </c>
      <c r="D208" s="209" t="s">
        <v>202</v>
      </c>
      <c r="E208" s="210" t="s">
        <v>3066</v>
      </c>
      <c r="F208" s="211" t="s">
        <v>3067</v>
      </c>
      <c r="G208" s="212" t="s">
        <v>1436</v>
      </c>
      <c r="H208" s="213">
        <v>1</v>
      </c>
      <c r="I208" s="214"/>
      <c r="J208" s="215">
        <f>ROUND(I208*H208,1)</f>
        <v>0</v>
      </c>
      <c r="K208" s="211" t="s">
        <v>32</v>
      </c>
      <c r="L208" s="46"/>
      <c r="M208" s="216" t="s">
        <v>32</v>
      </c>
      <c r="N208" s="217" t="s">
        <v>49</v>
      </c>
      <c r="O208" s="86"/>
      <c r="P208" s="218">
        <f>O208*H208</f>
        <v>0</v>
      </c>
      <c r="Q208" s="218">
        <v>0</v>
      </c>
      <c r="R208" s="218">
        <f>Q208*H208</f>
        <v>0</v>
      </c>
      <c r="S208" s="218">
        <v>0</v>
      </c>
      <c r="T208" s="219">
        <f>S208*H208</f>
        <v>0</v>
      </c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R208" s="220" t="s">
        <v>207</v>
      </c>
      <c r="AT208" s="220" t="s">
        <v>202</v>
      </c>
      <c r="AU208" s="220" t="s">
        <v>88</v>
      </c>
      <c r="AY208" s="18" t="s">
        <v>200</v>
      </c>
      <c r="BE208" s="221">
        <f>IF(N208="základní",J208,0)</f>
        <v>0</v>
      </c>
      <c r="BF208" s="221">
        <f>IF(N208="snížená",J208,0)</f>
        <v>0</v>
      </c>
      <c r="BG208" s="221">
        <f>IF(N208="zákl. přenesená",J208,0)</f>
        <v>0</v>
      </c>
      <c r="BH208" s="221">
        <f>IF(N208="sníž. přenesená",J208,0)</f>
        <v>0</v>
      </c>
      <c r="BI208" s="221">
        <f>IF(N208="nulová",J208,0)</f>
        <v>0</v>
      </c>
      <c r="BJ208" s="18" t="s">
        <v>86</v>
      </c>
      <c r="BK208" s="221">
        <f>ROUND(I208*H208,1)</f>
        <v>0</v>
      </c>
      <c r="BL208" s="18" t="s">
        <v>207</v>
      </c>
      <c r="BM208" s="220" t="s">
        <v>1054</v>
      </c>
    </row>
    <row r="209" s="2" customFormat="1" ht="16.5" customHeight="1">
      <c r="A209" s="40"/>
      <c r="B209" s="41"/>
      <c r="C209" s="209" t="s">
        <v>665</v>
      </c>
      <c r="D209" s="209" t="s">
        <v>202</v>
      </c>
      <c r="E209" s="210" t="s">
        <v>3068</v>
      </c>
      <c r="F209" s="211" t="s">
        <v>3069</v>
      </c>
      <c r="G209" s="212" t="s">
        <v>1436</v>
      </c>
      <c r="H209" s="213">
        <v>8</v>
      </c>
      <c r="I209" s="214"/>
      <c r="J209" s="215">
        <f>ROUND(I209*H209,1)</f>
        <v>0</v>
      </c>
      <c r="K209" s="211" t="s">
        <v>32</v>
      </c>
      <c r="L209" s="46"/>
      <c r="M209" s="216" t="s">
        <v>32</v>
      </c>
      <c r="N209" s="217" t="s">
        <v>49</v>
      </c>
      <c r="O209" s="86"/>
      <c r="P209" s="218">
        <f>O209*H209</f>
        <v>0</v>
      </c>
      <c r="Q209" s="218">
        <v>0</v>
      </c>
      <c r="R209" s="218">
        <f>Q209*H209</f>
        <v>0</v>
      </c>
      <c r="S209" s="218">
        <v>0</v>
      </c>
      <c r="T209" s="219">
        <f>S209*H209</f>
        <v>0</v>
      </c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R209" s="220" t="s">
        <v>207</v>
      </c>
      <c r="AT209" s="220" t="s">
        <v>202</v>
      </c>
      <c r="AU209" s="220" t="s">
        <v>88</v>
      </c>
      <c r="AY209" s="18" t="s">
        <v>200</v>
      </c>
      <c r="BE209" s="221">
        <f>IF(N209="základní",J209,0)</f>
        <v>0</v>
      </c>
      <c r="BF209" s="221">
        <f>IF(N209="snížená",J209,0)</f>
        <v>0</v>
      </c>
      <c r="BG209" s="221">
        <f>IF(N209="zákl. přenesená",J209,0)</f>
        <v>0</v>
      </c>
      <c r="BH209" s="221">
        <f>IF(N209="sníž. přenesená",J209,0)</f>
        <v>0</v>
      </c>
      <c r="BI209" s="221">
        <f>IF(N209="nulová",J209,0)</f>
        <v>0</v>
      </c>
      <c r="BJ209" s="18" t="s">
        <v>86</v>
      </c>
      <c r="BK209" s="221">
        <f>ROUND(I209*H209,1)</f>
        <v>0</v>
      </c>
      <c r="BL209" s="18" t="s">
        <v>207</v>
      </c>
      <c r="BM209" s="220" t="s">
        <v>1064</v>
      </c>
    </row>
    <row r="210" s="2" customFormat="1" ht="16.5" customHeight="1">
      <c r="A210" s="40"/>
      <c r="B210" s="41"/>
      <c r="C210" s="209" t="s">
        <v>671</v>
      </c>
      <c r="D210" s="209" t="s">
        <v>202</v>
      </c>
      <c r="E210" s="210" t="s">
        <v>3070</v>
      </c>
      <c r="F210" s="211" t="s">
        <v>3071</v>
      </c>
      <c r="G210" s="212" t="s">
        <v>1436</v>
      </c>
      <c r="H210" s="213">
        <v>1</v>
      </c>
      <c r="I210" s="214"/>
      <c r="J210" s="215">
        <f>ROUND(I210*H210,1)</f>
        <v>0</v>
      </c>
      <c r="K210" s="211" t="s">
        <v>32</v>
      </c>
      <c r="L210" s="46"/>
      <c r="M210" s="216" t="s">
        <v>32</v>
      </c>
      <c r="N210" s="217" t="s">
        <v>49</v>
      </c>
      <c r="O210" s="86"/>
      <c r="P210" s="218">
        <f>O210*H210</f>
        <v>0</v>
      </c>
      <c r="Q210" s="218">
        <v>0</v>
      </c>
      <c r="R210" s="218">
        <f>Q210*H210</f>
        <v>0</v>
      </c>
      <c r="S210" s="218">
        <v>0</v>
      </c>
      <c r="T210" s="219">
        <f>S210*H210</f>
        <v>0</v>
      </c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R210" s="220" t="s">
        <v>207</v>
      </c>
      <c r="AT210" s="220" t="s">
        <v>202</v>
      </c>
      <c r="AU210" s="220" t="s">
        <v>88</v>
      </c>
      <c r="AY210" s="18" t="s">
        <v>200</v>
      </c>
      <c r="BE210" s="221">
        <f>IF(N210="základní",J210,0)</f>
        <v>0</v>
      </c>
      <c r="BF210" s="221">
        <f>IF(N210="snížená",J210,0)</f>
        <v>0</v>
      </c>
      <c r="BG210" s="221">
        <f>IF(N210="zákl. přenesená",J210,0)</f>
        <v>0</v>
      </c>
      <c r="BH210" s="221">
        <f>IF(N210="sníž. přenesená",J210,0)</f>
        <v>0</v>
      </c>
      <c r="BI210" s="221">
        <f>IF(N210="nulová",J210,0)</f>
        <v>0</v>
      </c>
      <c r="BJ210" s="18" t="s">
        <v>86</v>
      </c>
      <c r="BK210" s="221">
        <f>ROUND(I210*H210,1)</f>
        <v>0</v>
      </c>
      <c r="BL210" s="18" t="s">
        <v>207</v>
      </c>
      <c r="BM210" s="220" t="s">
        <v>1074</v>
      </c>
    </row>
    <row r="211" s="2" customFormat="1" ht="16.5" customHeight="1">
      <c r="A211" s="40"/>
      <c r="B211" s="41"/>
      <c r="C211" s="209" t="s">
        <v>676</v>
      </c>
      <c r="D211" s="209" t="s">
        <v>202</v>
      </c>
      <c r="E211" s="210" t="s">
        <v>3072</v>
      </c>
      <c r="F211" s="211" t="s">
        <v>3073</v>
      </c>
      <c r="G211" s="212" t="s">
        <v>1436</v>
      </c>
      <c r="H211" s="213">
        <v>1</v>
      </c>
      <c r="I211" s="214"/>
      <c r="J211" s="215">
        <f>ROUND(I211*H211,1)</f>
        <v>0</v>
      </c>
      <c r="K211" s="211" t="s">
        <v>32</v>
      </c>
      <c r="L211" s="46"/>
      <c r="M211" s="216" t="s">
        <v>32</v>
      </c>
      <c r="N211" s="217" t="s">
        <v>49</v>
      </c>
      <c r="O211" s="86"/>
      <c r="P211" s="218">
        <f>O211*H211</f>
        <v>0</v>
      </c>
      <c r="Q211" s="218">
        <v>0</v>
      </c>
      <c r="R211" s="218">
        <f>Q211*H211</f>
        <v>0</v>
      </c>
      <c r="S211" s="218">
        <v>0</v>
      </c>
      <c r="T211" s="219">
        <f>S211*H211</f>
        <v>0</v>
      </c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R211" s="220" t="s">
        <v>207</v>
      </c>
      <c r="AT211" s="220" t="s">
        <v>202</v>
      </c>
      <c r="AU211" s="220" t="s">
        <v>88</v>
      </c>
      <c r="AY211" s="18" t="s">
        <v>200</v>
      </c>
      <c r="BE211" s="221">
        <f>IF(N211="základní",J211,0)</f>
        <v>0</v>
      </c>
      <c r="BF211" s="221">
        <f>IF(N211="snížená",J211,0)</f>
        <v>0</v>
      </c>
      <c r="BG211" s="221">
        <f>IF(N211="zákl. přenesená",J211,0)</f>
        <v>0</v>
      </c>
      <c r="BH211" s="221">
        <f>IF(N211="sníž. přenesená",J211,0)</f>
        <v>0</v>
      </c>
      <c r="BI211" s="221">
        <f>IF(N211="nulová",J211,0)</f>
        <v>0</v>
      </c>
      <c r="BJ211" s="18" t="s">
        <v>86</v>
      </c>
      <c r="BK211" s="221">
        <f>ROUND(I211*H211,1)</f>
        <v>0</v>
      </c>
      <c r="BL211" s="18" t="s">
        <v>207</v>
      </c>
      <c r="BM211" s="220" t="s">
        <v>1084</v>
      </c>
    </row>
    <row r="212" s="2" customFormat="1" ht="16.5" customHeight="1">
      <c r="A212" s="40"/>
      <c r="B212" s="41"/>
      <c r="C212" s="209" t="s">
        <v>688</v>
      </c>
      <c r="D212" s="209" t="s">
        <v>202</v>
      </c>
      <c r="E212" s="210" t="s">
        <v>3074</v>
      </c>
      <c r="F212" s="211" t="s">
        <v>3075</v>
      </c>
      <c r="G212" s="212" t="s">
        <v>1436</v>
      </c>
      <c r="H212" s="213">
        <v>1</v>
      </c>
      <c r="I212" s="214"/>
      <c r="J212" s="215">
        <f>ROUND(I212*H212,1)</f>
        <v>0</v>
      </c>
      <c r="K212" s="211" t="s">
        <v>32</v>
      </c>
      <c r="L212" s="46"/>
      <c r="M212" s="216" t="s">
        <v>32</v>
      </c>
      <c r="N212" s="217" t="s">
        <v>49</v>
      </c>
      <c r="O212" s="86"/>
      <c r="P212" s="218">
        <f>O212*H212</f>
        <v>0</v>
      </c>
      <c r="Q212" s="218">
        <v>0</v>
      </c>
      <c r="R212" s="218">
        <f>Q212*H212</f>
        <v>0</v>
      </c>
      <c r="S212" s="218">
        <v>0</v>
      </c>
      <c r="T212" s="219">
        <f>S212*H212</f>
        <v>0</v>
      </c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R212" s="220" t="s">
        <v>207</v>
      </c>
      <c r="AT212" s="220" t="s">
        <v>202</v>
      </c>
      <c r="AU212" s="220" t="s">
        <v>88</v>
      </c>
      <c r="AY212" s="18" t="s">
        <v>200</v>
      </c>
      <c r="BE212" s="221">
        <f>IF(N212="základní",J212,0)</f>
        <v>0</v>
      </c>
      <c r="BF212" s="221">
        <f>IF(N212="snížená",J212,0)</f>
        <v>0</v>
      </c>
      <c r="BG212" s="221">
        <f>IF(N212="zákl. přenesená",J212,0)</f>
        <v>0</v>
      </c>
      <c r="BH212" s="221">
        <f>IF(N212="sníž. přenesená",J212,0)</f>
        <v>0</v>
      </c>
      <c r="BI212" s="221">
        <f>IF(N212="nulová",J212,0)</f>
        <v>0</v>
      </c>
      <c r="BJ212" s="18" t="s">
        <v>86</v>
      </c>
      <c r="BK212" s="221">
        <f>ROUND(I212*H212,1)</f>
        <v>0</v>
      </c>
      <c r="BL212" s="18" t="s">
        <v>207</v>
      </c>
      <c r="BM212" s="220" t="s">
        <v>1101</v>
      </c>
    </row>
    <row r="213" s="2" customFormat="1" ht="21.75" customHeight="1">
      <c r="A213" s="40"/>
      <c r="B213" s="41"/>
      <c r="C213" s="209" t="s">
        <v>693</v>
      </c>
      <c r="D213" s="209" t="s">
        <v>202</v>
      </c>
      <c r="E213" s="210" t="s">
        <v>3076</v>
      </c>
      <c r="F213" s="211" t="s">
        <v>3077</v>
      </c>
      <c r="G213" s="212" t="s">
        <v>1436</v>
      </c>
      <c r="H213" s="213">
        <v>1</v>
      </c>
      <c r="I213" s="214"/>
      <c r="J213" s="215">
        <f>ROUND(I213*H213,1)</f>
        <v>0</v>
      </c>
      <c r="K213" s="211" t="s">
        <v>32</v>
      </c>
      <c r="L213" s="46"/>
      <c r="M213" s="216" t="s">
        <v>32</v>
      </c>
      <c r="N213" s="217" t="s">
        <v>49</v>
      </c>
      <c r="O213" s="86"/>
      <c r="P213" s="218">
        <f>O213*H213</f>
        <v>0</v>
      </c>
      <c r="Q213" s="218">
        <v>0</v>
      </c>
      <c r="R213" s="218">
        <f>Q213*H213</f>
        <v>0</v>
      </c>
      <c r="S213" s="218">
        <v>0</v>
      </c>
      <c r="T213" s="219">
        <f>S213*H213</f>
        <v>0</v>
      </c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R213" s="220" t="s">
        <v>207</v>
      </c>
      <c r="AT213" s="220" t="s">
        <v>202</v>
      </c>
      <c r="AU213" s="220" t="s">
        <v>88</v>
      </c>
      <c r="AY213" s="18" t="s">
        <v>200</v>
      </c>
      <c r="BE213" s="221">
        <f>IF(N213="základní",J213,0)</f>
        <v>0</v>
      </c>
      <c r="BF213" s="221">
        <f>IF(N213="snížená",J213,0)</f>
        <v>0</v>
      </c>
      <c r="BG213" s="221">
        <f>IF(N213="zákl. přenesená",J213,0)</f>
        <v>0</v>
      </c>
      <c r="BH213" s="221">
        <f>IF(N213="sníž. přenesená",J213,0)</f>
        <v>0</v>
      </c>
      <c r="BI213" s="221">
        <f>IF(N213="nulová",J213,0)</f>
        <v>0</v>
      </c>
      <c r="BJ213" s="18" t="s">
        <v>86</v>
      </c>
      <c r="BK213" s="221">
        <f>ROUND(I213*H213,1)</f>
        <v>0</v>
      </c>
      <c r="BL213" s="18" t="s">
        <v>207</v>
      </c>
      <c r="BM213" s="220" t="s">
        <v>1109</v>
      </c>
    </row>
    <row r="214" s="2" customFormat="1" ht="16.5" customHeight="1">
      <c r="A214" s="40"/>
      <c r="B214" s="41"/>
      <c r="C214" s="209" t="s">
        <v>698</v>
      </c>
      <c r="D214" s="209" t="s">
        <v>202</v>
      </c>
      <c r="E214" s="210" t="s">
        <v>3078</v>
      </c>
      <c r="F214" s="211" t="s">
        <v>3079</v>
      </c>
      <c r="G214" s="212" t="s">
        <v>1436</v>
      </c>
      <c r="H214" s="213">
        <v>1</v>
      </c>
      <c r="I214" s="214"/>
      <c r="J214" s="215">
        <f>ROUND(I214*H214,1)</f>
        <v>0</v>
      </c>
      <c r="K214" s="211" t="s">
        <v>32</v>
      </c>
      <c r="L214" s="46"/>
      <c r="M214" s="216" t="s">
        <v>32</v>
      </c>
      <c r="N214" s="217" t="s">
        <v>49</v>
      </c>
      <c r="O214" s="86"/>
      <c r="P214" s="218">
        <f>O214*H214</f>
        <v>0</v>
      </c>
      <c r="Q214" s="218">
        <v>0</v>
      </c>
      <c r="R214" s="218">
        <f>Q214*H214</f>
        <v>0</v>
      </c>
      <c r="S214" s="218">
        <v>0</v>
      </c>
      <c r="T214" s="219">
        <f>S214*H214</f>
        <v>0</v>
      </c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R214" s="220" t="s">
        <v>207</v>
      </c>
      <c r="AT214" s="220" t="s">
        <v>202</v>
      </c>
      <c r="AU214" s="220" t="s">
        <v>88</v>
      </c>
      <c r="AY214" s="18" t="s">
        <v>200</v>
      </c>
      <c r="BE214" s="221">
        <f>IF(N214="základní",J214,0)</f>
        <v>0</v>
      </c>
      <c r="BF214" s="221">
        <f>IF(N214="snížená",J214,0)</f>
        <v>0</v>
      </c>
      <c r="BG214" s="221">
        <f>IF(N214="zákl. přenesená",J214,0)</f>
        <v>0</v>
      </c>
      <c r="BH214" s="221">
        <f>IF(N214="sníž. přenesená",J214,0)</f>
        <v>0</v>
      </c>
      <c r="BI214" s="221">
        <f>IF(N214="nulová",J214,0)</f>
        <v>0</v>
      </c>
      <c r="BJ214" s="18" t="s">
        <v>86</v>
      </c>
      <c r="BK214" s="221">
        <f>ROUND(I214*H214,1)</f>
        <v>0</v>
      </c>
      <c r="BL214" s="18" t="s">
        <v>207</v>
      </c>
      <c r="BM214" s="220" t="s">
        <v>1117</v>
      </c>
    </row>
    <row r="215" s="2" customFormat="1" ht="16.5" customHeight="1">
      <c r="A215" s="40"/>
      <c r="B215" s="41"/>
      <c r="C215" s="209" t="s">
        <v>703</v>
      </c>
      <c r="D215" s="209" t="s">
        <v>202</v>
      </c>
      <c r="E215" s="210" t="s">
        <v>3080</v>
      </c>
      <c r="F215" s="211" t="s">
        <v>3081</v>
      </c>
      <c r="G215" s="212" t="s">
        <v>1436</v>
      </c>
      <c r="H215" s="213">
        <v>1</v>
      </c>
      <c r="I215" s="214"/>
      <c r="J215" s="215">
        <f>ROUND(I215*H215,1)</f>
        <v>0</v>
      </c>
      <c r="K215" s="211" t="s">
        <v>32</v>
      </c>
      <c r="L215" s="46"/>
      <c r="M215" s="216" t="s">
        <v>32</v>
      </c>
      <c r="N215" s="217" t="s">
        <v>49</v>
      </c>
      <c r="O215" s="86"/>
      <c r="P215" s="218">
        <f>O215*H215</f>
        <v>0</v>
      </c>
      <c r="Q215" s="218">
        <v>0</v>
      </c>
      <c r="R215" s="218">
        <f>Q215*H215</f>
        <v>0</v>
      </c>
      <c r="S215" s="218">
        <v>0</v>
      </c>
      <c r="T215" s="219">
        <f>S215*H215</f>
        <v>0</v>
      </c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R215" s="220" t="s">
        <v>207</v>
      </c>
      <c r="AT215" s="220" t="s">
        <v>202</v>
      </c>
      <c r="AU215" s="220" t="s">
        <v>88</v>
      </c>
      <c r="AY215" s="18" t="s">
        <v>200</v>
      </c>
      <c r="BE215" s="221">
        <f>IF(N215="základní",J215,0)</f>
        <v>0</v>
      </c>
      <c r="BF215" s="221">
        <f>IF(N215="snížená",J215,0)</f>
        <v>0</v>
      </c>
      <c r="BG215" s="221">
        <f>IF(N215="zákl. přenesená",J215,0)</f>
        <v>0</v>
      </c>
      <c r="BH215" s="221">
        <f>IF(N215="sníž. přenesená",J215,0)</f>
        <v>0</v>
      </c>
      <c r="BI215" s="221">
        <f>IF(N215="nulová",J215,0)</f>
        <v>0</v>
      </c>
      <c r="BJ215" s="18" t="s">
        <v>86</v>
      </c>
      <c r="BK215" s="221">
        <f>ROUND(I215*H215,1)</f>
        <v>0</v>
      </c>
      <c r="BL215" s="18" t="s">
        <v>207</v>
      </c>
      <c r="BM215" s="220" t="s">
        <v>1125</v>
      </c>
    </row>
    <row r="216" s="12" customFormat="1" ht="22.8" customHeight="1">
      <c r="A216" s="12"/>
      <c r="B216" s="193"/>
      <c r="C216" s="194"/>
      <c r="D216" s="195" t="s">
        <v>77</v>
      </c>
      <c r="E216" s="207" t="s">
        <v>3082</v>
      </c>
      <c r="F216" s="207" t="s">
        <v>3083</v>
      </c>
      <c r="G216" s="194"/>
      <c r="H216" s="194"/>
      <c r="I216" s="197"/>
      <c r="J216" s="208">
        <f>BK216</f>
        <v>0</v>
      </c>
      <c r="K216" s="194"/>
      <c r="L216" s="199"/>
      <c r="M216" s="200"/>
      <c r="N216" s="201"/>
      <c r="O216" s="201"/>
      <c r="P216" s="202">
        <f>P217</f>
        <v>0</v>
      </c>
      <c r="Q216" s="201"/>
      <c r="R216" s="202">
        <f>R217</f>
        <v>0</v>
      </c>
      <c r="S216" s="201"/>
      <c r="T216" s="203">
        <f>T217</f>
        <v>0</v>
      </c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R216" s="204" t="s">
        <v>86</v>
      </c>
      <c r="AT216" s="205" t="s">
        <v>77</v>
      </c>
      <c r="AU216" s="205" t="s">
        <v>86</v>
      </c>
      <c r="AY216" s="204" t="s">
        <v>200</v>
      </c>
      <c r="BK216" s="206">
        <f>BK217</f>
        <v>0</v>
      </c>
    </row>
    <row r="217" s="2" customFormat="1" ht="16.5" customHeight="1">
      <c r="A217" s="40"/>
      <c r="B217" s="41"/>
      <c r="C217" s="209" t="s">
        <v>708</v>
      </c>
      <c r="D217" s="209" t="s">
        <v>202</v>
      </c>
      <c r="E217" s="210" t="s">
        <v>3084</v>
      </c>
      <c r="F217" s="211" t="s">
        <v>3085</v>
      </c>
      <c r="G217" s="212" t="s">
        <v>1436</v>
      </c>
      <c r="H217" s="213">
        <v>1</v>
      </c>
      <c r="I217" s="214"/>
      <c r="J217" s="215">
        <f>ROUND(I217*H217,1)</f>
        <v>0</v>
      </c>
      <c r="K217" s="211" t="s">
        <v>32</v>
      </c>
      <c r="L217" s="46"/>
      <c r="M217" s="216" t="s">
        <v>32</v>
      </c>
      <c r="N217" s="217" t="s">
        <v>49</v>
      </c>
      <c r="O217" s="86"/>
      <c r="P217" s="218">
        <f>O217*H217</f>
        <v>0</v>
      </c>
      <c r="Q217" s="218">
        <v>0</v>
      </c>
      <c r="R217" s="218">
        <f>Q217*H217</f>
        <v>0</v>
      </c>
      <c r="S217" s="218">
        <v>0</v>
      </c>
      <c r="T217" s="219">
        <f>S217*H217</f>
        <v>0</v>
      </c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R217" s="220" t="s">
        <v>207</v>
      </c>
      <c r="AT217" s="220" t="s">
        <v>202</v>
      </c>
      <c r="AU217" s="220" t="s">
        <v>88</v>
      </c>
      <c r="AY217" s="18" t="s">
        <v>200</v>
      </c>
      <c r="BE217" s="221">
        <f>IF(N217="základní",J217,0)</f>
        <v>0</v>
      </c>
      <c r="BF217" s="221">
        <f>IF(N217="snížená",J217,0)</f>
        <v>0</v>
      </c>
      <c r="BG217" s="221">
        <f>IF(N217="zákl. přenesená",J217,0)</f>
        <v>0</v>
      </c>
      <c r="BH217" s="221">
        <f>IF(N217="sníž. přenesená",J217,0)</f>
        <v>0</v>
      </c>
      <c r="BI217" s="221">
        <f>IF(N217="nulová",J217,0)</f>
        <v>0</v>
      </c>
      <c r="BJ217" s="18" t="s">
        <v>86</v>
      </c>
      <c r="BK217" s="221">
        <f>ROUND(I217*H217,1)</f>
        <v>0</v>
      </c>
      <c r="BL217" s="18" t="s">
        <v>207</v>
      </c>
      <c r="BM217" s="220" t="s">
        <v>1133</v>
      </c>
    </row>
    <row r="218" s="12" customFormat="1" ht="22.8" customHeight="1">
      <c r="A218" s="12"/>
      <c r="B218" s="193"/>
      <c r="C218" s="194"/>
      <c r="D218" s="195" t="s">
        <v>77</v>
      </c>
      <c r="E218" s="207" t="s">
        <v>3086</v>
      </c>
      <c r="F218" s="207" t="s">
        <v>3087</v>
      </c>
      <c r="G218" s="194"/>
      <c r="H218" s="194"/>
      <c r="I218" s="197"/>
      <c r="J218" s="208">
        <f>BK218</f>
        <v>0</v>
      </c>
      <c r="K218" s="194"/>
      <c r="L218" s="199"/>
      <c r="M218" s="200"/>
      <c r="N218" s="201"/>
      <c r="O218" s="201"/>
      <c r="P218" s="202">
        <f>SUM(P219:P220)</f>
        <v>0</v>
      </c>
      <c r="Q218" s="201"/>
      <c r="R218" s="202">
        <f>SUM(R219:R220)</f>
        <v>0</v>
      </c>
      <c r="S218" s="201"/>
      <c r="T218" s="203">
        <f>SUM(T219:T220)</f>
        <v>0</v>
      </c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R218" s="204" t="s">
        <v>86</v>
      </c>
      <c r="AT218" s="205" t="s">
        <v>77</v>
      </c>
      <c r="AU218" s="205" t="s">
        <v>86</v>
      </c>
      <c r="AY218" s="204" t="s">
        <v>200</v>
      </c>
      <c r="BK218" s="206">
        <f>SUM(BK219:BK220)</f>
        <v>0</v>
      </c>
    </row>
    <row r="219" s="2" customFormat="1" ht="16.5" customHeight="1">
      <c r="A219" s="40"/>
      <c r="B219" s="41"/>
      <c r="C219" s="209" t="s">
        <v>717</v>
      </c>
      <c r="D219" s="209" t="s">
        <v>202</v>
      </c>
      <c r="E219" s="210" t="s">
        <v>3088</v>
      </c>
      <c r="F219" s="211" t="s">
        <v>3089</v>
      </c>
      <c r="G219" s="212" t="s">
        <v>280</v>
      </c>
      <c r="H219" s="213">
        <v>10</v>
      </c>
      <c r="I219" s="214"/>
      <c r="J219" s="215">
        <f>ROUND(I219*H219,1)</f>
        <v>0</v>
      </c>
      <c r="K219" s="211" t="s">
        <v>32</v>
      </c>
      <c r="L219" s="46"/>
      <c r="M219" s="216" t="s">
        <v>32</v>
      </c>
      <c r="N219" s="217" t="s">
        <v>49</v>
      </c>
      <c r="O219" s="86"/>
      <c r="P219" s="218">
        <f>O219*H219</f>
        <v>0</v>
      </c>
      <c r="Q219" s="218">
        <v>0</v>
      </c>
      <c r="R219" s="218">
        <f>Q219*H219</f>
        <v>0</v>
      </c>
      <c r="S219" s="218">
        <v>0</v>
      </c>
      <c r="T219" s="219">
        <f>S219*H219</f>
        <v>0</v>
      </c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R219" s="220" t="s">
        <v>207</v>
      </c>
      <c r="AT219" s="220" t="s">
        <v>202</v>
      </c>
      <c r="AU219" s="220" t="s">
        <v>88</v>
      </c>
      <c r="AY219" s="18" t="s">
        <v>200</v>
      </c>
      <c r="BE219" s="221">
        <f>IF(N219="základní",J219,0)</f>
        <v>0</v>
      </c>
      <c r="BF219" s="221">
        <f>IF(N219="snížená",J219,0)</f>
        <v>0</v>
      </c>
      <c r="BG219" s="221">
        <f>IF(N219="zákl. přenesená",J219,0)</f>
        <v>0</v>
      </c>
      <c r="BH219" s="221">
        <f>IF(N219="sníž. přenesená",J219,0)</f>
        <v>0</v>
      </c>
      <c r="BI219" s="221">
        <f>IF(N219="nulová",J219,0)</f>
        <v>0</v>
      </c>
      <c r="BJ219" s="18" t="s">
        <v>86</v>
      </c>
      <c r="BK219" s="221">
        <f>ROUND(I219*H219,1)</f>
        <v>0</v>
      </c>
      <c r="BL219" s="18" t="s">
        <v>207</v>
      </c>
      <c r="BM219" s="220" t="s">
        <v>1141</v>
      </c>
    </row>
    <row r="220" s="2" customFormat="1" ht="16.5" customHeight="1">
      <c r="A220" s="40"/>
      <c r="B220" s="41"/>
      <c r="C220" s="209" t="s">
        <v>726</v>
      </c>
      <c r="D220" s="209" t="s">
        <v>202</v>
      </c>
      <c r="E220" s="210" t="s">
        <v>3090</v>
      </c>
      <c r="F220" s="211" t="s">
        <v>3091</v>
      </c>
      <c r="G220" s="212" t="s">
        <v>280</v>
      </c>
      <c r="H220" s="213">
        <v>60</v>
      </c>
      <c r="I220" s="214"/>
      <c r="J220" s="215">
        <f>ROUND(I220*H220,1)</f>
        <v>0</v>
      </c>
      <c r="K220" s="211" t="s">
        <v>32</v>
      </c>
      <c r="L220" s="46"/>
      <c r="M220" s="216" t="s">
        <v>32</v>
      </c>
      <c r="N220" s="217" t="s">
        <v>49</v>
      </c>
      <c r="O220" s="86"/>
      <c r="P220" s="218">
        <f>O220*H220</f>
        <v>0</v>
      </c>
      <c r="Q220" s="218">
        <v>0</v>
      </c>
      <c r="R220" s="218">
        <f>Q220*H220</f>
        <v>0</v>
      </c>
      <c r="S220" s="218">
        <v>0</v>
      </c>
      <c r="T220" s="219">
        <f>S220*H220</f>
        <v>0</v>
      </c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R220" s="220" t="s">
        <v>207</v>
      </c>
      <c r="AT220" s="220" t="s">
        <v>202</v>
      </c>
      <c r="AU220" s="220" t="s">
        <v>88</v>
      </c>
      <c r="AY220" s="18" t="s">
        <v>200</v>
      </c>
      <c r="BE220" s="221">
        <f>IF(N220="základní",J220,0)</f>
        <v>0</v>
      </c>
      <c r="BF220" s="221">
        <f>IF(N220="snížená",J220,0)</f>
        <v>0</v>
      </c>
      <c r="BG220" s="221">
        <f>IF(N220="zákl. přenesená",J220,0)</f>
        <v>0</v>
      </c>
      <c r="BH220" s="221">
        <f>IF(N220="sníž. přenesená",J220,0)</f>
        <v>0</v>
      </c>
      <c r="BI220" s="221">
        <f>IF(N220="nulová",J220,0)</f>
        <v>0</v>
      </c>
      <c r="BJ220" s="18" t="s">
        <v>86</v>
      </c>
      <c r="BK220" s="221">
        <f>ROUND(I220*H220,1)</f>
        <v>0</v>
      </c>
      <c r="BL220" s="18" t="s">
        <v>207</v>
      </c>
      <c r="BM220" s="220" t="s">
        <v>1149</v>
      </c>
    </row>
    <row r="221" s="12" customFormat="1" ht="22.8" customHeight="1">
      <c r="A221" s="12"/>
      <c r="B221" s="193"/>
      <c r="C221" s="194"/>
      <c r="D221" s="195" t="s">
        <v>77</v>
      </c>
      <c r="E221" s="207" t="s">
        <v>3092</v>
      </c>
      <c r="F221" s="207" t="s">
        <v>3093</v>
      </c>
      <c r="G221" s="194"/>
      <c r="H221" s="194"/>
      <c r="I221" s="197"/>
      <c r="J221" s="208">
        <f>BK221</f>
        <v>0</v>
      </c>
      <c r="K221" s="194"/>
      <c r="L221" s="199"/>
      <c r="M221" s="200"/>
      <c r="N221" s="201"/>
      <c r="O221" s="201"/>
      <c r="P221" s="202">
        <f>P222</f>
        <v>0</v>
      </c>
      <c r="Q221" s="201"/>
      <c r="R221" s="202">
        <f>R222</f>
        <v>0</v>
      </c>
      <c r="S221" s="201"/>
      <c r="T221" s="203">
        <f>T222</f>
        <v>0</v>
      </c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R221" s="204" t="s">
        <v>86</v>
      </c>
      <c r="AT221" s="205" t="s">
        <v>77</v>
      </c>
      <c r="AU221" s="205" t="s">
        <v>86</v>
      </c>
      <c r="AY221" s="204" t="s">
        <v>200</v>
      </c>
      <c r="BK221" s="206">
        <f>BK222</f>
        <v>0</v>
      </c>
    </row>
    <row r="222" s="2" customFormat="1" ht="16.5" customHeight="1">
      <c r="A222" s="40"/>
      <c r="B222" s="41"/>
      <c r="C222" s="209" t="s">
        <v>732</v>
      </c>
      <c r="D222" s="209" t="s">
        <v>202</v>
      </c>
      <c r="E222" s="210" t="s">
        <v>3094</v>
      </c>
      <c r="F222" s="211" t="s">
        <v>3095</v>
      </c>
      <c r="G222" s="212" t="s">
        <v>280</v>
      </c>
      <c r="H222" s="213">
        <v>240</v>
      </c>
      <c r="I222" s="214"/>
      <c r="J222" s="215">
        <f>ROUND(I222*H222,1)</f>
        <v>0</v>
      </c>
      <c r="K222" s="211" t="s">
        <v>32</v>
      </c>
      <c r="L222" s="46"/>
      <c r="M222" s="216" t="s">
        <v>32</v>
      </c>
      <c r="N222" s="217" t="s">
        <v>49</v>
      </c>
      <c r="O222" s="86"/>
      <c r="P222" s="218">
        <f>O222*H222</f>
        <v>0</v>
      </c>
      <c r="Q222" s="218">
        <v>0</v>
      </c>
      <c r="R222" s="218">
        <f>Q222*H222</f>
        <v>0</v>
      </c>
      <c r="S222" s="218">
        <v>0</v>
      </c>
      <c r="T222" s="219">
        <f>S222*H222</f>
        <v>0</v>
      </c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R222" s="220" t="s">
        <v>207</v>
      </c>
      <c r="AT222" s="220" t="s">
        <v>202</v>
      </c>
      <c r="AU222" s="220" t="s">
        <v>88</v>
      </c>
      <c r="AY222" s="18" t="s">
        <v>200</v>
      </c>
      <c r="BE222" s="221">
        <f>IF(N222="základní",J222,0)</f>
        <v>0</v>
      </c>
      <c r="BF222" s="221">
        <f>IF(N222="snížená",J222,0)</f>
        <v>0</v>
      </c>
      <c r="BG222" s="221">
        <f>IF(N222="zákl. přenesená",J222,0)</f>
        <v>0</v>
      </c>
      <c r="BH222" s="221">
        <f>IF(N222="sníž. přenesená",J222,0)</f>
        <v>0</v>
      </c>
      <c r="BI222" s="221">
        <f>IF(N222="nulová",J222,0)</f>
        <v>0</v>
      </c>
      <c r="BJ222" s="18" t="s">
        <v>86</v>
      </c>
      <c r="BK222" s="221">
        <f>ROUND(I222*H222,1)</f>
        <v>0</v>
      </c>
      <c r="BL222" s="18" t="s">
        <v>207</v>
      </c>
      <c r="BM222" s="220" t="s">
        <v>1157</v>
      </c>
    </row>
    <row r="223" s="12" customFormat="1" ht="22.8" customHeight="1">
      <c r="A223" s="12"/>
      <c r="B223" s="193"/>
      <c r="C223" s="194"/>
      <c r="D223" s="195" t="s">
        <v>77</v>
      </c>
      <c r="E223" s="207" t="s">
        <v>3096</v>
      </c>
      <c r="F223" s="207" t="s">
        <v>3097</v>
      </c>
      <c r="G223" s="194"/>
      <c r="H223" s="194"/>
      <c r="I223" s="197"/>
      <c r="J223" s="208">
        <f>BK223</f>
        <v>0</v>
      </c>
      <c r="K223" s="194"/>
      <c r="L223" s="199"/>
      <c r="M223" s="200"/>
      <c r="N223" s="201"/>
      <c r="O223" s="201"/>
      <c r="P223" s="202">
        <f>P224</f>
        <v>0</v>
      </c>
      <c r="Q223" s="201"/>
      <c r="R223" s="202">
        <f>R224</f>
        <v>0</v>
      </c>
      <c r="S223" s="201"/>
      <c r="T223" s="203">
        <f>T224</f>
        <v>0</v>
      </c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R223" s="204" t="s">
        <v>86</v>
      </c>
      <c r="AT223" s="205" t="s">
        <v>77</v>
      </c>
      <c r="AU223" s="205" t="s">
        <v>86</v>
      </c>
      <c r="AY223" s="204" t="s">
        <v>200</v>
      </c>
      <c r="BK223" s="206">
        <f>BK224</f>
        <v>0</v>
      </c>
    </row>
    <row r="224" s="2" customFormat="1" ht="16.5" customHeight="1">
      <c r="A224" s="40"/>
      <c r="B224" s="41"/>
      <c r="C224" s="209" t="s">
        <v>738</v>
      </c>
      <c r="D224" s="209" t="s">
        <v>202</v>
      </c>
      <c r="E224" s="210" t="s">
        <v>3098</v>
      </c>
      <c r="F224" s="211" t="s">
        <v>3099</v>
      </c>
      <c r="G224" s="212" t="s">
        <v>280</v>
      </c>
      <c r="H224" s="213">
        <v>350</v>
      </c>
      <c r="I224" s="214"/>
      <c r="J224" s="215">
        <f>ROUND(I224*H224,1)</f>
        <v>0</v>
      </c>
      <c r="K224" s="211" t="s">
        <v>32</v>
      </c>
      <c r="L224" s="46"/>
      <c r="M224" s="216" t="s">
        <v>32</v>
      </c>
      <c r="N224" s="217" t="s">
        <v>49</v>
      </c>
      <c r="O224" s="86"/>
      <c r="P224" s="218">
        <f>O224*H224</f>
        <v>0</v>
      </c>
      <c r="Q224" s="218">
        <v>0</v>
      </c>
      <c r="R224" s="218">
        <f>Q224*H224</f>
        <v>0</v>
      </c>
      <c r="S224" s="218">
        <v>0</v>
      </c>
      <c r="T224" s="219">
        <f>S224*H224</f>
        <v>0</v>
      </c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R224" s="220" t="s">
        <v>207</v>
      </c>
      <c r="AT224" s="220" t="s">
        <v>202</v>
      </c>
      <c r="AU224" s="220" t="s">
        <v>88</v>
      </c>
      <c r="AY224" s="18" t="s">
        <v>200</v>
      </c>
      <c r="BE224" s="221">
        <f>IF(N224="základní",J224,0)</f>
        <v>0</v>
      </c>
      <c r="BF224" s="221">
        <f>IF(N224="snížená",J224,0)</f>
        <v>0</v>
      </c>
      <c r="BG224" s="221">
        <f>IF(N224="zákl. přenesená",J224,0)</f>
        <v>0</v>
      </c>
      <c r="BH224" s="221">
        <f>IF(N224="sníž. přenesená",J224,0)</f>
        <v>0</v>
      </c>
      <c r="BI224" s="221">
        <f>IF(N224="nulová",J224,0)</f>
        <v>0</v>
      </c>
      <c r="BJ224" s="18" t="s">
        <v>86</v>
      </c>
      <c r="BK224" s="221">
        <f>ROUND(I224*H224,1)</f>
        <v>0</v>
      </c>
      <c r="BL224" s="18" t="s">
        <v>207</v>
      </c>
      <c r="BM224" s="220" t="s">
        <v>1165</v>
      </c>
    </row>
    <row r="225" s="12" customFormat="1" ht="22.8" customHeight="1">
      <c r="A225" s="12"/>
      <c r="B225" s="193"/>
      <c r="C225" s="194"/>
      <c r="D225" s="195" t="s">
        <v>77</v>
      </c>
      <c r="E225" s="207" t="s">
        <v>3100</v>
      </c>
      <c r="F225" s="207" t="s">
        <v>3101</v>
      </c>
      <c r="G225" s="194"/>
      <c r="H225" s="194"/>
      <c r="I225" s="197"/>
      <c r="J225" s="208">
        <f>BK225</f>
        <v>0</v>
      </c>
      <c r="K225" s="194"/>
      <c r="L225" s="199"/>
      <c r="M225" s="200"/>
      <c r="N225" s="201"/>
      <c r="O225" s="201"/>
      <c r="P225" s="202">
        <f>SUM(P226:P227)</f>
        <v>0</v>
      </c>
      <c r="Q225" s="201"/>
      <c r="R225" s="202">
        <f>SUM(R226:R227)</f>
        <v>0</v>
      </c>
      <c r="S225" s="201"/>
      <c r="T225" s="203">
        <f>SUM(T226:T227)</f>
        <v>0</v>
      </c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R225" s="204" t="s">
        <v>86</v>
      </c>
      <c r="AT225" s="205" t="s">
        <v>77</v>
      </c>
      <c r="AU225" s="205" t="s">
        <v>86</v>
      </c>
      <c r="AY225" s="204" t="s">
        <v>200</v>
      </c>
      <c r="BK225" s="206">
        <f>SUM(BK226:BK227)</f>
        <v>0</v>
      </c>
    </row>
    <row r="226" s="2" customFormat="1" ht="16.5" customHeight="1">
      <c r="A226" s="40"/>
      <c r="B226" s="41"/>
      <c r="C226" s="209" t="s">
        <v>743</v>
      </c>
      <c r="D226" s="209" t="s">
        <v>202</v>
      </c>
      <c r="E226" s="210" t="s">
        <v>3102</v>
      </c>
      <c r="F226" s="211" t="s">
        <v>3103</v>
      </c>
      <c r="G226" s="212" t="s">
        <v>1436</v>
      </c>
      <c r="H226" s="213">
        <v>99</v>
      </c>
      <c r="I226" s="214"/>
      <c r="J226" s="215">
        <f>ROUND(I226*H226,1)</f>
        <v>0</v>
      </c>
      <c r="K226" s="211" t="s">
        <v>32</v>
      </c>
      <c r="L226" s="46"/>
      <c r="M226" s="216" t="s">
        <v>32</v>
      </c>
      <c r="N226" s="217" t="s">
        <v>49</v>
      </c>
      <c r="O226" s="86"/>
      <c r="P226" s="218">
        <f>O226*H226</f>
        <v>0</v>
      </c>
      <c r="Q226" s="218">
        <v>0</v>
      </c>
      <c r="R226" s="218">
        <f>Q226*H226</f>
        <v>0</v>
      </c>
      <c r="S226" s="218">
        <v>0</v>
      </c>
      <c r="T226" s="219">
        <f>S226*H226</f>
        <v>0</v>
      </c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R226" s="220" t="s">
        <v>207</v>
      </c>
      <c r="AT226" s="220" t="s">
        <v>202</v>
      </c>
      <c r="AU226" s="220" t="s">
        <v>88</v>
      </c>
      <c r="AY226" s="18" t="s">
        <v>200</v>
      </c>
      <c r="BE226" s="221">
        <f>IF(N226="základní",J226,0)</f>
        <v>0</v>
      </c>
      <c r="BF226" s="221">
        <f>IF(N226="snížená",J226,0)</f>
        <v>0</v>
      </c>
      <c r="BG226" s="221">
        <f>IF(N226="zákl. přenesená",J226,0)</f>
        <v>0</v>
      </c>
      <c r="BH226" s="221">
        <f>IF(N226="sníž. přenesená",J226,0)</f>
        <v>0</v>
      </c>
      <c r="BI226" s="221">
        <f>IF(N226="nulová",J226,0)</f>
        <v>0</v>
      </c>
      <c r="BJ226" s="18" t="s">
        <v>86</v>
      </c>
      <c r="BK226" s="221">
        <f>ROUND(I226*H226,1)</f>
        <v>0</v>
      </c>
      <c r="BL226" s="18" t="s">
        <v>207</v>
      </c>
      <c r="BM226" s="220" t="s">
        <v>1173</v>
      </c>
    </row>
    <row r="227" s="2" customFormat="1" ht="16.5" customHeight="1">
      <c r="A227" s="40"/>
      <c r="B227" s="41"/>
      <c r="C227" s="209" t="s">
        <v>749</v>
      </c>
      <c r="D227" s="209" t="s">
        <v>202</v>
      </c>
      <c r="E227" s="210" t="s">
        <v>3104</v>
      </c>
      <c r="F227" s="211" t="s">
        <v>3105</v>
      </c>
      <c r="G227" s="212" t="s">
        <v>1436</v>
      </c>
      <c r="H227" s="213">
        <v>60</v>
      </c>
      <c r="I227" s="214"/>
      <c r="J227" s="215">
        <f>ROUND(I227*H227,1)</f>
        <v>0</v>
      </c>
      <c r="K227" s="211" t="s">
        <v>32</v>
      </c>
      <c r="L227" s="46"/>
      <c r="M227" s="216" t="s">
        <v>32</v>
      </c>
      <c r="N227" s="217" t="s">
        <v>49</v>
      </c>
      <c r="O227" s="86"/>
      <c r="P227" s="218">
        <f>O227*H227</f>
        <v>0</v>
      </c>
      <c r="Q227" s="218">
        <v>0</v>
      </c>
      <c r="R227" s="218">
        <f>Q227*H227</f>
        <v>0</v>
      </c>
      <c r="S227" s="218">
        <v>0</v>
      </c>
      <c r="T227" s="219">
        <f>S227*H227</f>
        <v>0</v>
      </c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R227" s="220" t="s">
        <v>207</v>
      </c>
      <c r="AT227" s="220" t="s">
        <v>202</v>
      </c>
      <c r="AU227" s="220" t="s">
        <v>88</v>
      </c>
      <c r="AY227" s="18" t="s">
        <v>200</v>
      </c>
      <c r="BE227" s="221">
        <f>IF(N227="základní",J227,0)</f>
        <v>0</v>
      </c>
      <c r="BF227" s="221">
        <f>IF(N227="snížená",J227,0)</f>
        <v>0</v>
      </c>
      <c r="BG227" s="221">
        <f>IF(N227="zákl. přenesená",J227,0)</f>
        <v>0</v>
      </c>
      <c r="BH227" s="221">
        <f>IF(N227="sníž. přenesená",J227,0)</f>
        <v>0</v>
      </c>
      <c r="BI227" s="221">
        <f>IF(N227="nulová",J227,0)</f>
        <v>0</v>
      </c>
      <c r="BJ227" s="18" t="s">
        <v>86</v>
      </c>
      <c r="BK227" s="221">
        <f>ROUND(I227*H227,1)</f>
        <v>0</v>
      </c>
      <c r="BL227" s="18" t="s">
        <v>207</v>
      </c>
      <c r="BM227" s="220" t="s">
        <v>1183</v>
      </c>
    </row>
    <row r="228" s="12" customFormat="1" ht="22.8" customHeight="1">
      <c r="A228" s="12"/>
      <c r="B228" s="193"/>
      <c r="C228" s="194"/>
      <c r="D228" s="195" t="s">
        <v>77</v>
      </c>
      <c r="E228" s="207" t="s">
        <v>3106</v>
      </c>
      <c r="F228" s="207" t="s">
        <v>3107</v>
      </c>
      <c r="G228" s="194"/>
      <c r="H228" s="194"/>
      <c r="I228" s="197"/>
      <c r="J228" s="208">
        <f>BK228</f>
        <v>0</v>
      </c>
      <c r="K228" s="194"/>
      <c r="L228" s="199"/>
      <c r="M228" s="200"/>
      <c r="N228" s="201"/>
      <c r="O228" s="201"/>
      <c r="P228" s="202">
        <f>SUM(P229:P230)</f>
        <v>0</v>
      </c>
      <c r="Q228" s="201"/>
      <c r="R228" s="202">
        <f>SUM(R229:R230)</f>
        <v>0</v>
      </c>
      <c r="S228" s="201"/>
      <c r="T228" s="203">
        <f>SUM(T229:T230)</f>
        <v>0</v>
      </c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R228" s="204" t="s">
        <v>86</v>
      </c>
      <c r="AT228" s="205" t="s">
        <v>77</v>
      </c>
      <c r="AU228" s="205" t="s">
        <v>86</v>
      </c>
      <c r="AY228" s="204" t="s">
        <v>200</v>
      </c>
      <c r="BK228" s="206">
        <f>SUM(BK229:BK230)</f>
        <v>0</v>
      </c>
    </row>
    <row r="229" s="2" customFormat="1" ht="16.5" customHeight="1">
      <c r="A229" s="40"/>
      <c r="B229" s="41"/>
      <c r="C229" s="209" t="s">
        <v>755</v>
      </c>
      <c r="D229" s="209" t="s">
        <v>202</v>
      </c>
      <c r="E229" s="210" t="s">
        <v>3108</v>
      </c>
      <c r="F229" s="211" t="s">
        <v>3109</v>
      </c>
      <c r="G229" s="212" t="s">
        <v>1436</v>
      </c>
      <c r="H229" s="213">
        <v>6</v>
      </c>
      <c r="I229" s="214"/>
      <c r="J229" s="215">
        <f>ROUND(I229*H229,1)</f>
        <v>0</v>
      </c>
      <c r="K229" s="211" t="s">
        <v>32</v>
      </c>
      <c r="L229" s="46"/>
      <c r="M229" s="216" t="s">
        <v>32</v>
      </c>
      <c r="N229" s="217" t="s">
        <v>49</v>
      </c>
      <c r="O229" s="86"/>
      <c r="P229" s="218">
        <f>O229*H229</f>
        <v>0</v>
      </c>
      <c r="Q229" s="218">
        <v>0</v>
      </c>
      <c r="R229" s="218">
        <f>Q229*H229</f>
        <v>0</v>
      </c>
      <c r="S229" s="218">
        <v>0</v>
      </c>
      <c r="T229" s="219">
        <f>S229*H229</f>
        <v>0</v>
      </c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R229" s="220" t="s">
        <v>207</v>
      </c>
      <c r="AT229" s="220" t="s">
        <v>202</v>
      </c>
      <c r="AU229" s="220" t="s">
        <v>88</v>
      </c>
      <c r="AY229" s="18" t="s">
        <v>200</v>
      </c>
      <c r="BE229" s="221">
        <f>IF(N229="základní",J229,0)</f>
        <v>0</v>
      </c>
      <c r="BF229" s="221">
        <f>IF(N229="snížená",J229,0)</f>
        <v>0</v>
      </c>
      <c r="BG229" s="221">
        <f>IF(N229="zákl. přenesená",J229,0)</f>
        <v>0</v>
      </c>
      <c r="BH229" s="221">
        <f>IF(N229="sníž. přenesená",J229,0)</f>
        <v>0</v>
      </c>
      <c r="BI229" s="221">
        <f>IF(N229="nulová",J229,0)</f>
        <v>0</v>
      </c>
      <c r="BJ229" s="18" t="s">
        <v>86</v>
      </c>
      <c r="BK229" s="221">
        <f>ROUND(I229*H229,1)</f>
        <v>0</v>
      </c>
      <c r="BL229" s="18" t="s">
        <v>207</v>
      </c>
      <c r="BM229" s="220" t="s">
        <v>1195</v>
      </c>
    </row>
    <row r="230" s="2" customFormat="1" ht="16.5" customHeight="1">
      <c r="A230" s="40"/>
      <c r="B230" s="41"/>
      <c r="C230" s="209" t="s">
        <v>761</v>
      </c>
      <c r="D230" s="209" t="s">
        <v>202</v>
      </c>
      <c r="E230" s="210" t="s">
        <v>3110</v>
      </c>
      <c r="F230" s="211" t="s">
        <v>3111</v>
      </c>
      <c r="G230" s="212" t="s">
        <v>1436</v>
      </c>
      <c r="H230" s="213">
        <v>3</v>
      </c>
      <c r="I230" s="214"/>
      <c r="J230" s="215">
        <f>ROUND(I230*H230,1)</f>
        <v>0</v>
      </c>
      <c r="K230" s="211" t="s">
        <v>32</v>
      </c>
      <c r="L230" s="46"/>
      <c r="M230" s="216" t="s">
        <v>32</v>
      </c>
      <c r="N230" s="217" t="s">
        <v>49</v>
      </c>
      <c r="O230" s="86"/>
      <c r="P230" s="218">
        <f>O230*H230</f>
        <v>0</v>
      </c>
      <c r="Q230" s="218">
        <v>0</v>
      </c>
      <c r="R230" s="218">
        <f>Q230*H230</f>
        <v>0</v>
      </c>
      <c r="S230" s="218">
        <v>0</v>
      </c>
      <c r="T230" s="219">
        <f>S230*H230</f>
        <v>0</v>
      </c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R230" s="220" t="s">
        <v>207</v>
      </c>
      <c r="AT230" s="220" t="s">
        <v>202</v>
      </c>
      <c r="AU230" s="220" t="s">
        <v>88</v>
      </c>
      <c r="AY230" s="18" t="s">
        <v>200</v>
      </c>
      <c r="BE230" s="221">
        <f>IF(N230="základní",J230,0)</f>
        <v>0</v>
      </c>
      <c r="BF230" s="221">
        <f>IF(N230="snížená",J230,0)</f>
        <v>0</v>
      </c>
      <c r="BG230" s="221">
        <f>IF(N230="zákl. přenesená",J230,0)</f>
        <v>0</v>
      </c>
      <c r="BH230" s="221">
        <f>IF(N230="sníž. přenesená",J230,0)</f>
        <v>0</v>
      </c>
      <c r="BI230" s="221">
        <f>IF(N230="nulová",J230,0)</f>
        <v>0</v>
      </c>
      <c r="BJ230" s="18" t="s">
        <v>86</v>
      </c>
      <c r="BK230" s="221">
        <f>ROUND(I230*H230,1)</f>
        <v>0</v>
      </c>
      <c r="BL230" s="18" t="s">
        <v>207</v>
      </c>
      <c r="BM230" s="220" t="s">
        <v>1204</v>
      </c>
    </row>
    <row r="231" s="12" customFormat="1" ht="22.8" customHeight="1">
      <c r="A231" s="12"/>
      <c r="B231" s="193"/>
      <c r="C231" s="194"/>
      <c r="D231" s="195" t="s">
        <v>77</v>
      </c>
      <c r="E231" s="207" t="s">
        <v>3112</v>
      </c>
      <c r="F231" s="207" t="s">
        <v>3113</v>
      </c>
      <c r="G231" s="194"/>
      <c r="H231" s="194"/>
      <c r="I231" s="197"/>
      <c r="J231" s="208">
        <f>BK231</f>
        <v>0</v>
      </c>
      <c r="K231" s="194"/>
      <c r="L231" s="199"/>
      <c r="M231" s="200"/>
      <c r="N231" s="201"/>
      <c r="O231" s="201"/>
      <c r="P231" s="202">
        <f>SUM(P232:P233)</f>
        <v>0</v>
      </c>
      <c r="Q231" s="201"/>
      <c r="R231" s="202">
        <f>SUM(R232:R233)</f>
        <v>0</v>
      </c>
      <c r="S231" s="201"/>
      <c r="T231" s="203">
        <f>SUM(T232:T233)</f>
        <v>0</v>
      </c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R231" s="204" t="s">
        <v>86</v>
      </c>
      <c r="AT231" s="205" t="s">
        <v>77</v>
      </c>
      <c r="AU231" s="205" t="s">
        <v>86</v>
      </c>
      <c r="AY231" s="204" t="s">
        <v>200</v>
      </c>
      <c r="BK231" s="206">
        <f>SUM(BK232:BK233)</f>
        <v>0</v>
      </c>
    </row>
    <row r="232" s="2" customFormat="1" ht="16.5" customHeight="1">
      <c r="A232" s="40"/>
      <c r="B232" s="41"/>
      <c r="C232" s="209" t="s">
        <v>766</v>
      </c>
      <c r="D232" s="209" t="s">
        <v>202</v>
      </c>
      <c r="E232" s="210" t="s">
        <v>3114</v>
      </c>
      <c r="F232" s="211" t="s">
        <v>3115</v>
      </c>
      <c r="G232" s="212" t="s">
        <v>1436</v>
      </c>
      <c r="H232" s="213">
        <v>6</v>
      </c>
      <c r="I232" s="214"/>
      <c r="J232" s="215">
        <f>ROUND(I232*H232,1)</f>
        <v>0</v>
      </c>
      <c r="K232" s="211" t="s">
        <v>32</v>
      </c>
      <c r="L232" s="46"/>
      <c r="M232" s="216" t="s">
        <v>32</v>
      </c>
      <c r="N232" s="217" t="s">
        <v>49</v>
      </c>
      <c r="O232" s="86"/>
      <c r="P232" s="218">
        <f>O232*H232</f>
        <v>0</v>
      </c>
      <c r="Q232" s="218">
        <v>0</v>
      </c>
      <c r="R232" s="218">
        <f>Q232*H232</f>
        <v>0</v>
      </c>
      <c r="S232" s="218">
        <v>0</v>
      </c>
      <c r="T232" s="219">
        <f>S232*H232</f>
        <v>0</v>
      </c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R232" s="220" t="s">
        <v>207</v>
      </c>
      <c r="AT232" s="220" t="s">
        <v>202</v>
      </c>
      <c r="AU232" s="220" t="s">
        <v>88</v>
      </c>
      <c r="AY232" s="18" t="s">
        <v>200</v>
      </c>
      <c r="BE232" s="221">
        <f>IF(N232="základní",J232,0)</f>
        <v>0</v>
      </c>
      <c r="BF232" s="221">
        <f>IF(N232="snížená",J232,0)</f>
        <v>0</v>
      </c>
      <c r="BG232" s="221">
        <f>IF(N232="zákl. přenesená",J232,0)</f>
        <v>0</v>
      </c>
      <c r="BH232" s="221">
        <f>IF(N232="sníž. přenesená",J232,0)</f>
        <v>0</v>
      </c>
      <c r="BI232" s="221">
        <f>IF(N232="nulová",J232,0)</f>
        <v>0</v>
      </c>
      <c r="BJ232" s="18" t="s">
        <v>86</v>
      </c>
      <c r="BK232" s="221">
        <f>ROUND(I232*H232,1)</f>
        <v>0</v>
      </c>
      <c r="BL232" s="18" t="s">
        <v>207</v>
      </c>
      <c r="BM232" s="220" t="s">
        <v>1215</v>
      </c>
    </row>
    <row r="233" s="2" customFormat="1" ht="16.5" customHeight="1">
      <c r="A233" s="40"/>
      <c r="B233" s="41"/>
      <c r="C233" s="209" t="s">
        <v>773</v>
      </c>
      <c r="D233" s="209" t="s">
        <v>202</v>
      </c>
      <c r="E233" s="210" t="s">
        <v>3116</v>
      </c>
      <c r="F233" s="211" t="s">
        <v>3117</v>
      </c>
      <c r="G233" s="212" t="s">
        <v>1436</v>
      </c>
      <c r="H233" s="213">
        <v>12</v>
      </c>
      <c r="I233" s="214"/>
      <c r="J233" s="215">
        <f>ROUND(I233*H233,1)</f>
        <v>0</v>
      </c>
      <c r="K233" s="211" t="s">
        <v>32</v>
      </c>
      <c r="L233" s="46"/>
      <c r="M233" s="216" t="s">
        <v>32</v>
      </c>
      <c r="N233" s="217" t="s">
        <v>49</v>
      </c>
      <c r="O233" s="86"/>
      <c r="P233" s="218">
        <f>O233*H233</f>
        <v>0</v>
      </c>
      <c r="Q233" s="218">
        <v>0</v>
      </c>
      <c r="R233" s="218">
        <f>Q233*H233</f>
        <v>0</v>
      </c>
      <c r="S233" s="218">
        <v>0</v>
      </c>
      <c r="T233" s="219">
        <f>S233*H233</f>
        <v>0</v>
      </c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R233" s="220" t="s">
        <v>207</v>
      </c>
      <c r="AT233" s="220" t="s">
        <v>202</v>
      </c>
      <c r="AU233" s="220" t="s">
        <v>88</v>
      </c>
      <c r="AY233" s="18" t="s">
        <v>200</v>
      </c>
      <c r="BE233" s="221">
        <f>IF(N233="základní",J233,0)</f>
        <v>0</v>
      </c>
      <c r="BF233" s="221">
        <f>IF(N233="snížená",J233,0)</f>
        <v>0</v>
      </c>
      <c r="BG233" s="221">
        <f>IF(N233="zákl. přenesená",J233,0)</f>
        <v>0</v>
      </c>
      <c r="BH233" s="221">
        <f>IF(N233="sníž. přenesená",J233,0)</f>
        <v>0</v>
      </c>
      <c r="BI233" s="221">
        <f>IF(N233="nulová",J233,0)</f>
        <v>0</v>
      </c>
      <c r="BJ233" s="18" t="s">
        <v>86</v>
      </c>
      <c r="BK233" s="221">
        <f>ROUND(I233*H233,1)</f>
        <v>0</v>
      </c>
      <c r="BL233" s="18" t="s">
        <v>207</v>
      </c>
      <c r="BM233" s="220" t="s">
        <v>1225</v>
      </c>
    </row>
    <row r="234" s="12" customFormat="1" ht="22.8" customHeight="1">
      <c r="A234" s="12"/>
      <c r="B234" s="193"/>
      <c r="C234" s="194"/>
      <c r="D234" s="195" t="s">
        <v>77</v>
      </c>
      <c r="E234" s="207" t="s">
        <v>3118</v>
      </c>
      <c r="F234" s="207" t="s">
        <v>3119</v>
      </c>
      <c r="G234" s="194"/>
      <c r="H234" s="194"/>
      <c r="I234" s="197"/>
      <c r="J234" s="208">
        <f>BK234</f>
        <v>0</v>
      </c>
      <c r="K234" s="194"/>
      <c r="L234" s="199"/>
      <c r="M234" s="200"/>
      <c r="N234" s="201"/>
      <c r="O234" s="201"/>
      <c r="P234" s="202">
        <f>P235</f>
        <v>0</v>
      </c>
      <c r="Q234" s="201"/>
      <c r="R234" s="202">
        <f>R235</f>
        <v>0</v>
      </c>
      <c r="S234" s="201"/>
      <c r="T234" s="203">
        <f>T235</f>
        <v>0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R234" s="204" t="s">
        <v>86</v>
      </c>
      <c r="AT234" s="205" t="s">
        <v>77</v>
      </c>
      <c r="AU234" s="205" t="s">
        <v>86</v>
      </c>
      <c r="AY234" s="204" t="s">
        <v>200</v>
      </c>
      <c r="BK234" s="206">
        <f>BK235</f>
        <v>0</v>
      </c>
    </row>
    <row r="235" s="2" customFormat="1" ht="16.5" customHeight="1">
      <c r="A235" s="40"/>
      <c r="B235" s="41"/>
      <c r="C235" s="209" t="s">
        <v>779</v>
      </c>
      <c r="D235" s="209" t="s">
        <v>202</v>
      </c>
      <c r="E235" s="210" t="s">
        <v>3120</v>
      </c>
      <c r="F235" s="211" t="s">
        <v>3121</v>
      </c>
      <c r="G235" s="212" t="s">
        <v>1436</v>
      </c>
      <c r="H235" s="213">
        <v>1</v>
      </c>
      <c r="I235" s="214"/>
      <c r="J235" s="215">
        <f>ROUND(I235*H235,1)</f>
        <v>0</v>
      </c>
      <c r="K235" s="211" t="s">
        <v>32</v>
      </c>
      <c r="L235" s="46"/>
      <c r="M235" s="216" t="s">
        <v>32</v>
      </c>
      <c r="N235" s="217" t="s">
        <v>49</v>
      </c>
      <c r="O235" s="86"/>
      <c r="P235" s="218">
        <f>O235*H235</f>
        <v>0</v>
      </c>
      <c r="Q235" s="218">
        <v>0</v>
      </c>
      <c r="R235" s="218">
        <f>Q235*H235</f>
        <v>0</v>
      </c>
      <c r="S235" s="218">
        <v>0</v>
      </c>
      <c r="T235" s="219">
        <f>S235*H235</f>
        <v>0</v>
      </c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R235" s="220" t="s">
        <v>207</v>
      </c>
      <c r="AT235" s="220" t="s">
        <v>202</v>
      </c>
      <c r="AU235" s="220" t="s">
        <v>88</v>
      </c>
      <c r="AY235" s="18" t="s">
        <v>200</v>
      </c>
      <c r="BE235" s="221">
        <f>IF(N235="základní",J235,0)</f>
        <v>0</v>
      </c>
      <c r="BF235" s="221">
        <f>IF(N235="snížená",J235,0)</f>
        <v>0</v>
      </c>
      <c r="BG235" s="221">
        <f>IF(N235="zákl. přenesená",J235,0)</f>
        <v>0</v>
      </c>
      <c r="BH235" s="221">
        <f>IF(N235="sníž. přenesená",J235,0)</f>
        <v>0</v>
      </c>
      <c r="BI235" s="221">
        <f>IF(N235="nulová",J235,0)</f>
        <v>0</v>
      </c>
      <c r="BJ235" s="18" t="s">
        <v>86</v>
      </c>
      <c r="BK235" s="221">
        <f>ROUND(I235*H235,1)</f>
        <v>0</v>
      </c>
      <c r="BL235" s="18" t="s">
        <v>207</v>
      </c>
      <c r="BM235" s="220" t="s">
        <v>1237</v>
      </c>
    </row>
    <row r="236" s="12" customFormat="1" ht="22.8" customHeight="1">
      <c r="A236" s="12"/>
      <c r="B236" s="193"/>
      <c r="C236" s="194"/>
      <c r="D236" s="195" t="s">
        <v>77</v>
      </c>
      <c r="E236" s="207" t="s">
        <v>3122</v>
      </c>
      <c r="F236" s="207" t="s">
        <v>3123</v>
      </c>
      <c r="G236" s="194"/>
      <c r="H236" s="194"/>
      <c r="I236" s="197"/>
      <c r="J236" s="208">
        <f>BK236</f>
        <v>0</v>
      </c>
      <c r="K236" s="194"/>
      <c r="L236" s="199"/>
      <c r="M236" s="200"/>
      <c r="N236" s="201"/>
      <c r="O236" s="201"/>
      <c r="P236" s="202">
        <f>SUM(P237:P238)</f>
        <v>0</v>
      </c>
      <c r="Q236" s="201"/>
      <c r="R236" s="202">
        <f>SUM(R237:R238)</f>
        <v>0</v>
      </c>
      <c r="S236" s="201"/>
      <c r="T236" s="203">
        <f>SUM(T237:T238)</f>
        <v>0</v>
      </c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R236" s="204" t="s">
        <v>86</v>
      </c>
      <c r="AT236" s="205" t="s">
        <v>77</v>
      </c>
      <c r="AU236" s="205" t="s">
        <v>86</v>
      </c>
      <c r="AY236" s="204" t="s">
        <v>200</v>
      </c>
      <c r="BK236" s="206">
        <f>SUM(BK237:BK238)</f>
        <v>0</v>
      </c>
    </row>
    <row r="237" s="2" customFormat="1" ht="16.5" customHeight="1">
      <c r="A237" s="40"/>
      <c r="B237" s="41"/>
      <c r="C237" s="209" t="s">
        <v>784</v>
      </c>
      <c r="D237" s="209" t="s">
        <v>202</v>
      </c>
      <c r="E237" s="210" t="s">
        <v>3124</v>
      </c>
      <c r="F237" s="211" t="s">
        <v>3125</v>
      </c>
      <c r="G237" s="212" t="s">
        <v>1436</v>
      </c>
      <c r="H237" s="213">
        <v>2</v>
      </c>
      <c r="I237" s="214"/>
      <c r="J237" s="215">
        <f>ROUND(I237*H237,1)</f>
        <v>0</v>
      </c>
      <c r="K237" s="211" t="s">
        <v>32</v>
      </c>
      <c r="L237" s="46"/>
      <c r="M237" s="216" t="s">
        <v>32</v>
      </c>
      <c r="N237" s="217" t="s">
        <v>49</v>
      </c>
      <c r="O237" s="86"/>
      <c r="P237" s="218">
        <f>O237*H237</f>
        <v>0</v>
      </c>
      <c r="Q237" s="218">
        <v>0</v>
      </c>
      <c r="R237" s="218">
        <f>Q237*H237</f>
        <v>0</v>
      </c>
      <c r="S237" s="218">
        <v>0</v>
      </c>
      <c r="T237" s="219">
        <f>S237*H237</f>
        <v>0</v>
      </c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R237" s="220" t="s">
        <v>207</v>
      </c>
      <c r="AT237" s="220" t="s">
        <v>202</v>
      </c>
      <c r="AU237" s="220" t="s">
        <v>88</v>
      </c>
      <c r="AY237" s="18" t="s">
        <v>200</v>
      </c>
      <c r="BE237" s="221">
        <f>IF(N237="základní",J237,0)</f>
        <v>0</v>
      </c>
      <c r="BF237" s="221">
        <f>IF(N237="snížená",J237,0)</f>
        <v>0</v>
      </c>
      <c r="BG237" s="221">
        <f>IF(N237="zákl. přenesená",J237,0)</f>
        <v>0</v>
      </c>
      <c r="BH237" s="221">
        <f>IF(N237="sníž. přenesená",J237,0)</f>
        <v>0</v>
      </c>
      <c r="BI237" s="221">
        <f>IF(N237="nulová",J237,0)</f>
        <v>0</v>
      </c>
      <c r="BJ237" s="18" t="s">
        <v>86</v>
      </c>
      <c r="BK237" s="221">
        <f>ROUND(I237*H237,1)</f>
        <v>0</v>
      </c>
      <c r="BL237" s="18" t="s">
        <v>207</v>
      </c>
      <c r="BM237" s="220" t="s">
        <v>1247</v>
      </c>
    </row>
    <row r="238" s="2" customFormat="1">
      <c r="A238" s="40"/>
      <c r="B238" s="41"/>
      <c r="C238" s="42"/>
      <c r="D238" s="229" t="s">
        <v>355</v>
      </c>
      <c r="E238" s="42"/>
      <c r="F238" s="281" t="s">
        <v>3126</v>
      </c>
      <c r="G238" s="42"/>
      <c r="H238" s="42"/>
      <c r="I238" s="224"/>
      <c r="J238" s="42"/>
      <c r="K238" s="42"/>
      <c r="L238" s="46"/>
      <c r="M238" s="283"/>
      <c r="N238" s="284"/>
      <c r="O238" s="285"/>
      <c r="P238" s="285"/>
      <c r="Q238" s="285"/>
      <c r="R238" s="285"/>
      <c r="S238" s="285"/>
      <c r="T238" s="286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T238" s="18" t="s">
        <v>355</v>
      </c>
      <c r="AU238" s="18" t="s">
        <v>88</v>
      </c>
    </row>
    <row r="239" s="2" customFormat="1" ht="6.96" customHeight="1">
      <c r="A239" s="40"/>
      <c r="B239" s="61"/>
      <c r="C239" s="62"/>
      <c r="D239" s="62"/>
      <c r="E239" s="62"/>
      <c r="F239" s="62"/>
      <c r="G239" s="62"/>
      <c r="H239" s="62"/>
      <c r="I239" s="62"/>
      <c r="J239" s="62"/>
      <c r="K239" s="62"/>
      <c r="L239" s="46"/>
      <c r="M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</row>
  </sheetData>
  <sheetProtection sheet="1" autoFilter="0" formatColumns="0" formatRows="0" objects="1" scenarios="1" spinCount="100000" saltValue="YR+mJZcuboQQNgHur4B/GHXz9/7bqn0gzgzof+y0OiFHd3QUU8jU1a8nBUfGprWdNDTiZG6MWBfHnhFl+Yy3Gw==" hashValue="qxDPhktaXlJFPNxtUWbUhithQ7mB5a+HCgy/2/v5iOZNDreGVJKmKG0Av1Iqin37nXZjA9N5yN2bnKa887pKgg==" algorithmName="SHA-512" password="CC35"/>
  <autoFilter ref="C114:K238"/>
  <mergeCells count="9">
    <mergeCell ref="E7:H7"/>
    <mergeCell ref="E9:H9"/>
    <mergeCell ref="E18:H18"/>
    <mergeCell ref="E27:H27"/>
    <mergeCell ref="E48:H48"/>
    <mergeCell ref="E50:H50"/>
    <mergeCell ref="E105:H105"/>
    <mergeCell ref="E107:H107"/>
    <mergeCell ref="L2:V2"/>
  </mergeCell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8" t="s">
        <v>103</v>
      </c>
    </row>
    <row r="3" hidden="1" s="1" customFormat="1" ht="6.96" customHeight="1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21"/>
      <c r="AT3" s="18" t="s">
        <v>88</v>
      </c>
    </row>
    <row r="4" hidden="1" s="1" customFormat="1" ht="24.96" customHeight="1">
      <c r="B4" s="21"/>
      <c r="D4" s="133" t="s">
        <v>121</v>
      </c>
      <c r="L4" s="21"/>
      <c r="M4" s="134" t="s">
        <v>10</v>
      </c>
      <c r="AT4" s="18" t="s">
        <v>4</v>
      </c>
    </row>
    <row r="5" hidden="1" s="1" customFormat="1" ht="6.96" customHeight="1">
      <c r="B5" s="21"/>
      <c r="L5" s="21"/>
    </row>
    <row r="6" hidden="1" s="1" customFormat="1" ht="12" customHeight="1">
      <c r="B6" s="21"/>
      <c r="D6" s="135" t="s">
        <v>16</v>
      </c>
      <c r="L6" s="21"/>
    </row>
    <row r="7" hidden="1" s="1" customFormat="1" ht="16.5" customHeight="1">
      <c r="B7" s="21"/>
      <c r="E7" s="136" t="str">
        <f>'Rekapitulace stavby'!K6</f>
        <v>Kulturní dům ČP 1, Třemošná- rev 03</v>
      </c>
      <c r="F7" s="135"/>
      <c r="G7" s="135"/>
      <c r="H7" s="135"/>
      <c r="L7" s="21"/>
    </row>
    <row r="8" hidden="1" s="2" customFormat="1" ht="12" customHeight="1">
      <c r="A8" s="40"/>
      <c r="B8" s="46"/>
      <c r="C8" s="40"/>
      <c r="D8" s="135" t="s">
        <v>134</v>
      </c>
      <c r="E8" s="40"/>
      <c r="F8" s="40"/>
      <c r="G8" s="40"/>
      <c r="H8" s="40"/>
      <c r="I8" s="40"/>
      <c r="J8" s="40"/>
      <c r="K8" s="40"/>
      <c r="L8" s="137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hidden="1" s="2" customFormat="1" ht="16.5" customHeight="1">
      <c r="A9" s="40"/>
      <c r="B9" s="46"/>
      <c r="C9" s="40"/>
      <c r="D9" s="40"/>
      <c r="E9" s="138" t="s">
        <v>3127</v>
      </c>
      <c r="F9" s="40"/>
      <c r="G9" s="40"/>
      <c r="H9" s="40"/>
      <c r="I9" s="40"/>
      <c r="J9" s="40"/>
      <c r="K9" s="40"/>
      <c r="L9" s="13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hidden="1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3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hidden="1" s="2" customFormat="1" ht="12" customHeight="1">
      <c r="A11" s="40"/>
      <c r="B11" s="46"/>
      <c r="C11" s="40"/>
      <c r="D11" s="135" t="s">
        <v>18</v>
      </c>
      <c r="E11" s="40"/>
      <c r="F11" s="139" t="s">
        <v>32</v>
      </c>
      <c r="G11" s="40"/>
      <c r="H11" s="40"/>
      <c r="I11" s="135" t="s">
        <v>20</v>
      </c>
      <c r="J11" s="139" t="s">
        <v>32</v>
      </c>
      <c r="K11" s="40"/>
      <c r="L11" s="13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hidden="1" s="2" customFormat="1" ht="12" customHeight="1">
      <c r="A12" s="40"/>
      <c r="B12" s="46"/>
      <c r="C12" s="40"/>
      <c r="D12" s="135" t="s">
        <v>22</v>
      </c>
      <c r="E12" s="40"/>
      <c r="F12" s="139" t="s">
        <v>41</v>
      </c>
      <c r="G12" s="40"/>
      <c r="H12" s="40"/>
      <c r="I12" s="135" t="s">
        <v>24</v>
      </c>
      <c r="J12" s="140" t="str">
        <f>'Rekapitulace stavby'!AN8</f>
        <v>20. 12. 2023</v>
      </c>
      <c r="K12" s="40"/>
      <c r="L12" s="13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hidden="1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3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hidden="1" s="2" customFormat="1" ht="12" customHeight="1">
      <c r="A14" s="40"/>
      <c r="B14" s="46"/>
      <c r="C14" s="40"/>
      <c r="D14" s="135" t="s">
        <v>30</v>
      </c>
      <c r="E14" s="40"/>
      <c r="F14" s="40"/>
      <c r="G14" s="40"/>
      <c r="H14" s="40"/>
      <c r="I14" s="135" t="s">
        <v>31</v>
      </c>
      <c r="J14" s="139" t="s">
        <v>32</v>
      </c>
      <c r="K14" s="40"/>
      <c r="L14" s="13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hidden="1" s="2" customFormat="1" ht="18" customHeight="1">
      <c r="A15" s="40"/>
      <c r="B15" s="46"/>
      <c r="C15" s="40"/>
      <c r="D15" s="40"/>
      <c r="E15" s="139" t="s">
        <v>41</v>
      </c>
      <c r="F15" s="40"/>
      <c r="G15" s="40"/>
      <c r="H15" s="40"/>
      <c r="I15" s="135" t="s">
        <v>34</v>
      </c>
      <c r="J15" s="139" t="s">
        <v>32</v>
      </c>
      <c r="K15" s="40"/>
      <c r="L15" s="13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hidden="1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3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hidden="1" s="2" customFormat="1" ht="12" customHeight="1">
      <c r="A17" s="40"/>
      <c r="B17" s="46"/>
      <c r="C17" s="40"/>
      <c r="D17" s="135" t="s">
        <v>35</v>
      </c>
      <c r="E17" s="40"/>
      <c r="F17" s="40"/>
      <c r="G17" s="40"/>
      <c r="H17" s="40"/>
      <c r="I17" s="135" t="s">
        <v>31</v>
      </c>
      <c r="J17" s="34" t="str">
        <f>'Rekapitulace stavby'!AN13</f>
        <v>Vyplň údaj</v>
      </c>
      <c r="K17" s="40"/>
      <c r="L17" s="13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hidden="1" s="2" customFormat="1" ht="18" customHeight="1">
      <c r="A18" s="40"/>
      <c r="B18" s="46"/>
      <c r="C18" s="40"/>
      <c r="D18" s="40"/>
      <c r="E18" s="34" t="str">
        <f>'Rekapitulace stavby'!E14</f>
        <v>Vyplň údaj</v>
      </c>
      <c r="F18" s="139"/>
      <c r="G18" s="139"/>
      <c r="H18" s="139"/>
      <c r="I18" s="135" t="s">
        <v>34</v>
      </c>
      <c r="J18" s="34" t="str">
        <f>'Rekapitulace stavby'!AN14</f>
        <v>Vyplň údaj</v>
      </c>
      <c r="K18" s="40"/>
      <c r="L18" s="13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hidden="1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3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hidden="1" s="2" customFormat="1" ht="12" customHeight="1">
      <c r="A20" s="40"/>
      <c r="B20" s="46"/>
      <c r="C20" s="40"/>
      <c r="D20" s="135" t="s">
        <v>37</v>
      </c>
      <c r="E20" s="40"/>
      <c r="F20" s="40"/>
      <c r="G20" s="40"/>
      <c r="H20" s="40"/>
      <c r="I20" s="135" t="s">
        <v>31</v>
      </c>
      <c r="J20" s="139" t="s">
        <v>32</v>
      </c>
      <c r="K20" s="40"/>
      <c r="L20" s="13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hidden="1" s="2" customFormat="1" ht="18" customHeight="1">
      <c r="A21" s="40"/>
      <c r="B21" s="46"/>
      <c r="C21" s="40"/>
      <c r="D21" s="40"/>
      <c r="E21" s="139" t="s">
        <v>41</v>
      </c>
      <c r="F21" s="40"/>
      <c r="G21" s="40"/>
      <c r="H21" s="40"/>
      <c r="I21" s="135" t="s">
        <v>34</v>
      </c>
      <c r="J21" s="139" t="s">
        <v>32</v>
      </c>
      <c r="K21" s="40"/>
      <c r="L21" s="13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hidden="1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3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hidden="1" s="2" customFormat="1" ht="12" customHeight="1">
      <c r="A23" s="40"/>
      <c r="B23" s="46"/>
      <c r="C23" s="40"/>
      <c r="D23" s="135" t="s">
        <v>40</v>
      </c>
      <c r="E23" s="40"/>
      <c r="F23" s="40"/>
      <c r="G23" s="40"/>
      <c r="H23" s="40"/>
      <c r="I23" s="135" t="s">
        <v>31</v>
      </c>
      <c r="J23" s="139" t="s">
        <v>32</v>
      </c>
      <c r="K23" s="40"/>
      <c r="L23" s="13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hidden="1" s="2" customFormat="1" ht="18" customHeight="1">
      <c r="A24" s="40"/>
      <c r="B24" s="46"/>
      <c r="C24" s="40"/>
      <c r="D24" s="40"/>
      <c r="E24" s="139" t="s">
        <v>41</v>
      </c>
      <c r="F24" s="40"/>
      <c r="G24" s="40"/>
      <c r="H24" s="40"/>
      <c r="I24" s="135" t="s">
        <v>34</v>
      </c>
      <c r="J24" s="139" t="s">
        <v>32</v>
      </c>
      <c r="K24" s="40"/>
      <c r="L24" s="13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hidden="1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3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hidden="1" s="2" customFormat="1" ht="12" customHeight="1">
      <c r="A26" s="40"/>
      <c r="B26" s="46"/>
      <c r="C26" s="40"/>
      <c r="D26" s="135" t="s">
        <v>42</v>
      </c>
      <c r="E26" s="40"/>
      <c r="F26" s="40"/>
      <c r="G26" s="40"/>
      <c r="H26" s="40"/>
      <c r="I26" s="40"/>
      <c r="J26" s="40"/>
      <c r="K26" s="40"/>
      <c r="L26" s="13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hidden="1" s="8" customFormat="1" ht="16.5" customHeight="1">
      <c r="A27" s="143"/>
      <c r="B27" s="144"/>
      <c r="C27" s="143"/>
      <c r="D27" s="143"/>
      <c r="E27" s="145" t="s">
        <v>32</v>
      </c>
      <c r="F27" s="145"/>
      <c r="G27" s="145"/>
      <c r="H27" s="145"/>
      <c r="I27" s="143"/>
      <c r="J27" s="143"/>
      <c r="K27" s="143"/>
      <c r="L27" s="146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</row>
    <row r="28" hidden="1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3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hidden="1" s="2" customFormat="1" ht="6.96" customHeight="1">
      <c r="A29" s="40"/>
      <c r="B29" s="46"/>
      <c r="C29" s="40"/>
      <c r="D29" s="147"/>
      <c r="E29" s="147"/>
      <c r="F29" s="147"/>
      <c r="G29" s="147"/>
      <c r="H29" s="147"/>
      <c r="I29" s="147"/>
      <c r="J29" s="147"/>
      <c r="K29" s="147"/>
      <c r="L29" s="13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hidden="1" s="2" customFormat="1" ht="25.44" customHeight="1">
      <c r="A30" s="40"/>
      <c r="B30" s="46"/>
      <c r="C30" s="40"/>
      <c r="D30" s="148" t="s">
        <v>44</v>
      </c>
      <c r="E30" s="40"/>
      <c r="F30" s="40"/>
      <c r="G30" s="40"/>
      <c r="H30" s="40"/>
      <c r="I30" s="40"/>
      <c r="J30" s="149">
        <f>ROUND(J84, 1)</f>
        <v>0</v>
      </c>
      <c r="K30" s="40"/>
      <c r="L30" s="13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hidden="1" s="2" customFormat="1" ht="6.96" customHeight="1">
      <c r="A31" s="40"/>
      <c r="B31" s="46"/>
      <c r="C31" s="40"/>
      <c r="D31" s="147"/>
      <c r="E31" s="147"/>
      <c r="F31" s="147"/>
      <c r="G31" s="147"/>
      <c r="H31" s="147"/>
      <c r="I31" s="147"/>
      <c r="J31" s="147"/>
      <c r="K31" s="147"/>
      <c r="L31" s="13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hidden="1" s="2" customFormat="1" ht="14.4" customHeight="1">
      <c r="A32" s="40"/>
      <c r="B32" s="46"/>
      <c r="C32" s="40"/>
      <c r="D32" s="40"/>
      <c r="E32" s="40"/>
      <c r="F32" s="150" t="s">
        <v>46</v>
      </c>
      <c r="G32" s="40"/>
      <c r="H32" s="40"/>
      <c r="I32" s="150" t="s">
        <v>45</v>
      </c>
      <c r="J32" s="150" t="s">
        <v>47</v>
      </c>
      <c r="K32" s="40"/>
      <c r="L32" s="13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hidden="1" s="2" customFormat="1" ht="14.4" customHeight="1">
      <c r="A33" s="40"/>
      <c r="B33" s="46"/>
      <c r="C33" s="40"/>
      <c r="D33" s="151" t="s">
        <v>48</v>
      </c>
      <c r="E33" s="135" t="s">
        <v>49</v>
      </c>
      <c r="F33" s="152">
        <f>ROUND((SUM(BE84:BE124)),  1)</f>
        <v>0</v>
      </c>
      <c r="G33" s="40"/>
      <c r="H33" s="40"/>
      <c r="I33" s="153">
        <v>0.20999999999999999</v>
      </c>
      <c r="J33" s="152">
        <f>ROUND(((SUM(BE84:BE124))*I33),  1)</f>
        <v>0</v>
      </c>
      <c r="K33" s="40"/>
      <c r="L33" s="13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hidden="1" s="2" customFormat="1" ht="14.4" customHeight="1">
      <c r="A34" s="40"/>
      <c r="B34" s="46"/>
      <c r="C34" s="40"/>
      <c r="D34" s="40"/>
      <c r="E34" s="135" t="s">
        <v>50</v>
      </c>
      <c r="F34" s="152">
        <f>ROUND((SUM(BF84:BF124)),  1)</f>
        <v>0</v>
      </c>
      <c r="G34" s="40"/>
      <c r="H34" s="40"/>
      <c r="I34" s="153">
        <v>0.14999999999999999</v>
      </c>
      <c r="J34" s="152">
        <f>ROUND(((SUM(BF84:BF124))*I34),  1)</f>
        <v>0</v>
      </c>
      <c r="K34" s="40"/>
      <c r="L34" s="13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35" t="s">
        <v>51</v>
      </c>
      <c r="F35" s="152">
        <f>ROUND((SUM(BG84:BG124)),  1)</f>
        <v>0</v>
      </c>
      <c r="G35" s="40"/>
      <c r="H35" s="40"/>
      <c r="I35" s="153">
        <v>0.20999999999999999</v>
      </c>
      <c r="J35" s="152">
        <f>0</f>
        <v>0</v>
      </c>
      <c r="K35" s="40"/>
      <c r="L35" s="13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35" t="s">
        <v>52</v>
      </c>
      <c r="F36" s="152">
        <f>ROUND((SUM(BH84:BH124)),  1)</f>
        <v>0</v>
      </c>
      <c r="G36" s="40"/>
      <c r="H36" s="40"/>
      <c r="I36" s="153">
        <v>0.14999999999999999</v>
      </c>
      <c r="J36" s="152">
        <f>0</f>
        <v>0</v>
      </c>
      <c r="K36" s="40"/>
      <c r="L36" s="13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35" t="s">
        <v>53</v>
      </c>
      <c r="F37" s="152">
        <f>ROUND((SUM(BI84:BI124)),  1)</f>
        <v>0</v>
      </c>
      <c r="G37" s="40"/>
      <c r="H37" s="40"/>
      <c r="I37" s="153">
        <v>0</v>
      </c>
      <c r="J37" s="152">
        <f>0</f>
        <v>0</v>
      </c>
      <c r="K37" s="40"/>
      <c r="L37" s="13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3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25.44" customHeight="1">
      <c r="A39" s="40"/>
      <c r="B39" s="46"/>
      <c r="C39" s="154"/>
      <c r="D39" s="155" t="s">
        <v>54</v>
      </c>
      <c r="E39" s="156"/>
      <c r="F39" s="156"/>
      <c r="G39" s="157" t="s">
        <v>55</v>
      </c>
      <c r="H39" s="158" t="s">
        <v>56</v>
      </c>
      <c r="I39" s="156"/>
      <c r="J39" s="159">
        <f>SUM(J30:J37)</f>
        <v>0</v>
      </c>
      <c r="K39" s="160"/>
      <c r="L39" s="13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161"/>
      <c r="C40" s="162"/>
      <c r="D40" s="162"/>
      <c r="E40" s="162"/>
      <c r="F40" s="162"/>
      <c r="G40" s="162"/>
      <c r="H40" s="162"/>
      <c r="I40" s="162"/>
      <c r="J40" s="162"/>
      <c r="K40" s="162"/>
      <c r="L40" s="13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/>
    <row r="42" hidden="1"/>
    <row r="43" hidden="1"/>
    <row r="44" hidden="1" s="2" customFormat="1" ht="6.96" customHeight="1">
      <c r="A44" s="4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3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hidden="1" s="2" customFormat="1" ht="24.96" customHeight="1">
      <c r="A45" s="40"/>
      <c r="B45" s="41"/>
      <c r="C45" s="24" t="s">
        <v>155</v>
      </c>
      <c r="D45" s="42"/>
      <c r="E45" s="42"/>
      <c r="F45" s="42"/>
      <c r="G45" s="42"/>
      <c r="H45" s="42"/>
      <c r="I45" s="42"/>
      <c r="J45" s="42"/>
      <c r="K45" s="42"/>
      <c r="L45" s="137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hidden="1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3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hidden="1" s="2" customFormat="1" ht="12" customHeight="1">
      <c r="A47" s="40"/>
      <c r="B47" s="41"/>
      <c r="C47" s="33" t="s">
        <v>16</v>
      </c>
      <c r="D47" s="42"/>
      <c r="E47" s="42"/>
      <c r="F47" s="42"/>
      <c r="G47" s="42"/>
      <c r="H47" s="42"/>
      <c r="I47" s="42"/>
      <c r="J47" s="42"/>
      <c r="K47" s="42"/>
      <c r="L47" s="13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hidden="1" s="2" customFormat="1" ht="16.5" customHeight="1">
      <c r="A48" s="40"/>
      <c r="B48" s="41"/>
      <c r="C48" s="42"/>
      <c r="D48" s="42"/>
      <c r="E48" s="165" t="str">
        <f>E7</f>
        <v>Kulturní dům ČP 1, Třemošná- rev 03</v>
      </c>
      <c r="F48" s="33"/>
      <c r="G48" s="33"/>
      <c r="H48" s="33"/>
      <c r="I48" s="42"/>
      <c r="J48" s="42"/>
      <c r="K48" s="42"/>
      <c r="L48" s="13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hidden="1" s="2" customFormat="1" ht="12" customHeight="1">
      <c r="A49" s="40"/>
      <c r="B49" s="41"/>
      <c r="C49" s="33" t="s">
        <v>134</v>
      </c>
      <c r="D49" s="42"/>
      <c r="E49" s="42"/>
      <c r="F49" s="42"/>
      <c r="G49" s="42"/>
      <c r="H49" s="42"/>
      <c r="I49" s="42"/>
      <c r="J49" s="42"/>
      <c r="K49" s="42"/>
      <c r="L49" s="13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hidden="1" s="2" customFormat="1" ht="16.5" customHeight="1">
      <c r="A50" s="40"/>
      <c r="B50" s="41"/>
      <c r="C50" s="42"/>
      <c r="D50" s="42"/>
      <c r="E50" s="71" t="str">
        <f>E9</f>
        <v>06 - Splašková kanalizace</v>
      </c>
      <c r="F50" s="42"/>
      <c r="G50" s="42"/>
      <c r="H50" s="42"/>
      <c r="I50" s="42"/>
      <c r="J50" s="42"/>
      <c r="K50" s="42"/>
      <c r="L50" s="13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hidden="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3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hidden="1" s="2" customFormat="1" ht="12" customHeight="1">
      <c r="A52" s="40"/>
      <c r="B52" s="41"/>
      <c r="C52" s="33" t="s">
        <v>22</v>
      </c>
      <c r="D52" s="42"/>
      <c r="E52" s="42"/>
      <c r="F52" s="28" t="str">
        <f>F12</f>
        <v xml:space="preserve"> </v>
      </c>
      <c r="G52" s="42"/>
      <c r="H52" s="42"/>
      <c r="I52" s="33" t="s">
        <v>24</v>
      </c>
      <c r="J52" s="74" t="str">
        <f>IF(J12="","",J12)</f>
        <v>20. 12. 2023</v>
      </c>
      <c r="K52" s="42"/>
      <c r="L52" s="13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hidden="1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3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hidden="1" s="2" customFormat="1" ht="15.15" customHeight="1">
      <c r="A54" s="40"/>
      <c r="B54" s="41"/>
      <c r="C54" s="33" t="s">
        <v>30</v>
      </c>
      <c r="D54" s="42"/>
      <c r="E54" s="42"/>
      <c r="F54" s="28" t="str">
        <f>E15</f>
        <v xml:space="preserve"> </v>
      </c>
      <c r="G54" s="42"/>
      <c r="H54" s="42"/>
      <c r="I54" s="33" t="s">
        <v>37</v>
      </c>
      <c r="J54" s="38" t="str">
        <f>E21</f>
        <v xml:space="preserve"> </v>
      </c>
      <c r="K54" s="42"/>
      <c r="L54" s="13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hidden="1" s="2" customFormat="1" ht="15.15" customHeight="1">
      <c r="A55" s="40"/>
      <c r="B55" s="41"/>
      <c r="C55" s="33" t="s">
        <v>35</v>
      </c>
      <c r="D55" s="42"/>
      <c r="E55" s="42"/>
      <c r="F55" s="28" t="str">
        <f>IF(E18="","",E18)</f>
        <v>Vyplň údaj</v>
      </c>
      <c r="G55" s="42"/>
      <c r="H55" s="42"/>
      <c r="I55" s="33" t="s">
        <v>40</v>
      </c>
      <c r="J55" s="38" t="str">
        <f>E24</f>
        <v xml:space="preserve"> </v>
      </c>
      <c r="K55" s="42"/>
      <c r="L55" s="13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hidden="1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3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hidden="1" s="2" customFormat="1" ht="29.28" customHeight="1">
      <c r="A57" s="40"/>
      <c r="B57" s="41"/>
      <c r="C57" s="166" t="s">
        <v>156</v>
      </c>
      <c r="D57" s="167"/>
      <c r="E57" s="167"/>
      <c r="F57" s="167"/>
      <c r="G57" s="167"/>
      <c r="H57" s="167"/>
      <c r="I57" s="167"/>
      <c r="J57" s="168" t="s">
        <v>157</v>
      </c>
      <c r="K57" s="167"/>
      <c r="L57" s="13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hidden="1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3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hidden="1" s="2" customFormat="1" ht="22.8" customHeight="1">
      <c r="A59" s="40"/>
      <c r="B59" s="41"/>
      <c r="C59" s="169" t="s">
        <v>76</v>
      </c>
      <c r="D59" s="42"/>
      <c r="E59" s="42"/>
      <c r="F59" s="42"/>
      <c r="G59" s="42"/>
      <c r="H59" s="42"/>
      <c r="I59" s="42"/>
      <c r="J59" s="104">
        <f>J84</f>
        <v>0</v>
      </c>
      <c r="K59" s="42"/>
      <c r="L59" s="13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8" t="s">
        <v>158</v>
      </c>
    </row>
    <row r="60" hidden="1" s="9" customFormat="1" ht="24.96" customHeight="1">
      <c r="A60" s="9"/>
      <c r="B60" s="170"/>
      <c r="C60" s="171"/>
      <c r="D60" s="172" t="s">
        <v>159</v>
      </c>
      <c r="E60" s="173"/>
      <c r="F60" s="173"/>
      <c r="G60" s="173"/>
      <c r="H60" s="173"/>
      <c r="I60" s="173"/>
      <c r="J60" s="174">
        <f>J85</f>
        <v>0</v>
      </c>
      <c r="K60" s="171"/>
      <c r="L60" s="175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idden="1" s="10" customFormat="1" ht="19.92" customHeight="1">
      <c r="A61" s="10"/>
      <c r="B61" s="176"/>
      <c r="C61" s="177"/>
      <c r="D61" s="178" t="s">
        <v>160</v>
      </c>
      <c r="E61" s="179"/>
      <c r="F61" s="179"/>
      <c r="G61" s="179"/>
      <c r="H61" s="179"/>
      <c r="I61" s="179"/>
      <c r="J61" s="180">
        <f>J86</f>
        <v>0</v>
      </c>
      <c r="K61" s="177"/>
      <c r="L61" s="181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hidden="1" s="10" customFormat="1" ht="19.92" customHeight="1">
      <c r="A62" s="10"/>
      <c r="B62" s="176"/>
      <c r="C62" s="177"/>
      <c r="D62" s="178" t="s">
        <v>163</v>
      </c>
      <c r="E62" s="179"/>
      <c r="F62" s="179"/>
      <c r="G62" s="179"/>
      <c r="H62" s="179"/>
      <c r="I62" s="179"/>
      <c r="J62" s="180">
        <f>J109</f>
        <v>0</v>
      </c>
      <c r="K62" s="177"/>
      <c r="L62" s="181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hidden="1" s="10" customFormat="1" ht="19.92" customHeight="1">
      <c r="A63" s="10"/>
      <c r="B63" s="176"/>
      <c r="C63" s="177"/>
      <c r="D63" s="178" t="s">
        <v>165</v>
      </c>
      <c r="E63" s="179"/>
      <c r="F63" s="179"/>
      <c r="G63" s="179"/>
      <c r="H63" s="179"/>
      <c r="I63" s="179"/>
      <c r="J63" s="180">
        <f>J113</f>
        <v>0</v>
      </c>
      <c r="K63" s="177"/>
      <c r="L63" s="181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hidden="1" s="10" customFormat="1" ht="19.92" customHeight="1">
      <c r="A64" s="10"/>
      <c r="B64" s="176"/>
      <c r="C64" s="177"/>
      <c r="D64" s="178" t="s">
        <v>167</v>
      </c>
      <c r="E64" s="179"/>
      <c r="F64" s="179"/>
      <c r="G64" s="179"/>
      <c r="H64" s="179"/>
      <c r="I64" s="179"/>
      <c r="J64" s="180">
        <f>J120</f>
        <v>0</v>
      </c>
      <c r="K64" s="177"/>
      <c r="L64" s="181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hidden="1" s="2" customFormat="1" ht="21.84" customHeight="1">
      <c r="A65" s="40"/>
      <c r="B65" s="41"/>
      <c r="C65" s="42"/>
      <c r="D65" s="42"/>
      <c r="E65" s="42"/>
      <c r="F65" s="42"/>
      <c r="G65" s="42"/>
      <c r="H65" s="42"/>
      <c r="I65" s="42"/>
      <c r="J65" s="42"/>
      <c r="K65" s="42"/>
      <c r="L65" s="137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hidden="1" s="2" customFormat="1" ht="6.96" customHeight="1">
      <c r="A66" s="40"/>
      <c r="B66" s="61"/>
      <c r="C66" s="62"/>
      <c r="D66" s="62"/>
      <c r="E66" s="62"/>
      <c r="F66" s="62"/>
      <c r="G66" s="62"/>
      <c r="H66" s="62"/>
      <c r="I66" s="62"/>
      <c r="J66" s="62"/>
      <c r="K66" s="62"/>
      <c r="L66" s="137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hidden="1"/>
    <row r="68" hidden="1"/>
    <row r="69" hidden="1"/>
    <row r="70" s="2" customFormat="1" ht="6.96" customHeight="1">
      <c r="A70" s="40"/>
      <c r="B70" s="63"/>
      <c r="C70" s="64"/>
      <c r="D70" s="64"/>
      <c r="E70" s="64"/>
      <c r="F70" s="64"/>
      <c r="G70" s="64"/>
      <c r="H70" s="64"/>
      <c r="I70" s="64"/>
      <c r="J70" s="64"/>
      <c r="K70" s="64"/>
      <c r="L70" s="137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 s="2" customFormat="1" ht="24.96" customHeight="1">
      <c r="A71" s="40"/>
      <c r="B71" s="41"/>
      <c r="C71" s="24" t="s">
        <v>185</v>
      </c>
      <c r="D71" s="42"/>
      <c r="E71" s="42"/>
      <c r="F71" s="42"/>
      <c r="G71" s="42"/>
      <c r="H71" s="42"/>
      <c r="I71" s="42"/>
      <c r="J71" s="42"/>
      <c r="K71" s="42"/>
      <c r="L71" s="137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 s="2" customFormat="1" ht="6.96" customHeight="1">
      <c r="A72" s="40"/>
      <c r="B72" s="41"/>
      <c r="C72" s="42"/>
      <c r="D72" s="42"/>
      <c r="E72" s="42"/>
      <c r="F72" s="42"/>
      <c r="G72" s="42"/>
      <c r="H72" s="42"/>
      <c r="I72" s="42"/>
      <c r="J72" s="42"/>
      <c r="K72" s="42"/>
      <c r="L72" s="137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s="2" customFormat="1" ht="12" customHeight="1">
      <c r="A73" s="40"/>
      <c r="B73" s="41"/>
      <c r="C73" s="33" t="s">
        <v>16</v>
      </c>
      <c r="D73" s="42"/>
      <c r="E73" s="42"/>
      <c r="F73" s="42"/>
      <c r="G73" s="42"/>
      <c r="H73" s="42"/>
      <c r="I73" s="42"/>
      <c r="J73" s="42"/>
      <c r="K73" s="42"/>
      <c r="L73" s="137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16.5" customHeight="1">
      <c r="A74" s="40"/>
      <c r="B74" s="41"/>
      <c r="C74" s="42"/>
      <c r="D74" s="42"/>
      <c r="E74" s="165" t="str">
        <f>E7</f>
        <v>Kulturní dům ČP 1, Třemošná- rev 03</v>
      </c>
      <c r="F74" s="33"/>
      <c r="G74" s="33"/>
      <c r="H74" s="33"/>
      <c r="I74" s="42"/>
      <c r="J74" s="42"/>
      <c r="K74" s="42"/>
      <c r="L74" s="137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12" customHeight="1">
      <c r="A75" s="40"/>
      <c r="B75" s="41"/>
      <c r="C75" s="33" t="s">
        <v>134</v>
      </c>
      <c r="D75" s="42"/>
      <c r="E75" s="42"/>
      <c r="F75" s="42"/>
      <c r="G75" s="42"/>
      <c r="H75" s="42"/>
      <c r="I75" s="42"/>
      <c r="J75" s="42"/>
      <c r="K75" s="42"/>
      <c r="L75" s="137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16.5" customHeight="1">
      <c r="A76" s="40"/>
      <c r="B76" s="41"/>
      <c r="C76" s="42"/>
      <c r="D76" s="42"/>
      <c r="E76" s="71" t="str">
        <f>E9</f>
        <v>06 - Splašková kanalizace</v>
      </c>
      <c r="F76" s="42"/>
      <c r="G76" s="42"/>
      <c r="H76" s="42"/>
      <c r="I76" s="42"/>
      <c r="J76" s="42"/>
      <c r="K76" s="42"/>
      <c r="L76" s="137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6.96" customHeight="1">
      <c r="A77" s="40"/>
      <c r="B77" s="41"/>
      <c r="C77" s="42"/>
      <c r="D77" s="42"/>
      <c r="E77" s="42"/>
      <c r="F77" s="42"/>
      <c r="G77" s="42"/>
      <c r="H77" s="42"/>
      <c r="I77" s="42"/>
      <c r="J77" s="42"/>
      <c r="K77" s="42"/>
      <c r="L77" s="137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12" customHeight="1">
      <c r="A78" s="40"/>
      <c r="B78" s="41"/>
      <c r="C78" s="33" t="s">
        <v>22</v>
      </c>
      <c r="D78" s="42"/>
      <c r="E78" s="42"/>
      <c r="F78" s="28" t="str">
        <f>F12</f>
        <v xml:space="preserve"> </v>
      </c>
      <c r="G78" s="42"/>
      <c r="H78" s="42"/>
      <c r="I78" s="33" t="s">
        <v>24</v>
      </c>
      <c r="J78" s="74" t="str">
        <f>IF(J12="","",J12)</f>
        <v>20. 12. 2023</v>
      </c>
      <c r="K78" s="42"/>
      <c r="L78" s="137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6.96" customHeight="1">
      <c r="A79" s="40"/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13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15.15" customHeight="1">
      <c r="A80" s="40"/>
      <c r="B80" s="41"/>
      <c r="C80" s="33" t="s">
        <v>30</v>
      </c>
      <c r="D80" s="42"/>
      <c r="E80" s="42"/>
      <c r="F80" s="28" t="str">
        <f>E15</f>
        <v xml:space="preserve"> </v>
      </c>
      <c r="G80" s="42"/>
      <c r="H80" s="42"/>
      <c r="I80" s="33" t="s">
        <v>37</v>
      </c>
      <c r="J80" s="38" t="str">
        <f>E21</f>
        <v xml:space="preserve"> </v>
      </c>
      <c r="K80" s="42"/>
      <c r="L80" s="13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5.15" customHeight="1">
      <c r="A81" s="40"/>
      <c r="B81" s="41"/>
      <c r="C81" s="33" t="s">
        <v>35</v>
      </c>
      <c r="D81" s="42"/>
      <c r="E81" s="42"/>
      <c r="F81" s="28" t="str">
        <f>IF(E18="","",E18)</f>
        <v>Vyplň údaj</v>
      </c>
      <c r="G81" s="42"/>
      <c r="H81" s="42"/>
      <c r="I81" s="33" t="s">
        <v>40</v>
      </c>
      <c r="J81" s="38" t="str">
        <f>E24</f>
        <v xml:space="preserve"> </v>
      </c>
      <c r="K81" s="42"/>
      <c r="L81" s="13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0.32" customHeight="1">
      <c r="A82" s="40"/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13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11" customFormat="1" ht="29.28" customHeight="1">
      <c r="A83" s="182"/>
      <c r="B83" s="183"/>
      <c r="C83" s="184" t="s">
        <v>186</v>
      </c>
      <c r="D83" s="185" t="s">
        <v>63</v>
      </c>
      <c r="E83" s="185" t="s">
        <v>59</v>
      </c>
      <c r="F83" s="185" t="s">
        <v>60</v>
      </c>
      <c r="G83" s="185" t="s">
        <v>187</v>
      </c>
      <c r="H83" s="185" t="s">
        <v>188</v>
      </c>
      <c r="I83" s="185" t="s">
        <v>189</v>
      </c>
      <c r="J83" s="185" t="s">
        <v>157</v>
      </c>
      <c r="K83" s="186" t="s">
        <v>190</v>
      </c>
      <c r="L83" s="187"/>
      <c r="M83" s="94" t="s">
        <v>32</v>
      </c>
      <c r="N83" s="95" t="s">
        <v>48</v>
      </c>
      <c r="O83" s="95" t="s">
        <v>191</v>
      </c>
      <c r="P83" s="95" t="s">
        <v>192</v>
      </c>
      <c r="Q83" s="95" t="s">
        <v>193</v>
      </c>
      <c r="R83" s="95" t="s">
        <v>194</v>
      </c>
      <c r="S83" s="95" t="s">
        <v>195</v>
      </c>
      <c r="T83" s="96" t="s">
        <v>196</v>
      </c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</row>
    <row r="84" s="2" customFormat="1" ht="22.8" customHeight="1">
      <c r="A84" s="40"/>
      <c r="B84" s="41"/>
      <c r="C84" s="101" t="s">
        <v>197</v>
      </c>
      <c r="D84" s="42"/>
      <c r="E84" s="42"/>
      <c r="F84" s="42"/>
      <c r="G84" s="42"/>
      <c r="H84" s="42"/>
      <c r="I84" s="42"/>
      <c r="J84" s="188">
        <f>BK84</f>
        <v>0</v>
      </c>
      <c r="K84" s="42"/>
      <c r="L84" s="46"/>
      <c r="M84" s="97"/>
      <c r="N84" s="189"/>
      <c r="O84" s="98"/>
      <c r="P84" s="190">
        <f>P85</f>
        <v>0</v>
      </c>
      <c r="Q84" s="98"/>
      <c r="R84" s="190">
        <f>R85</f>
        <v>25.409651199999999</v>
      </c>
      <c r="S84" s="98"/>
      <c r="T84" s="191">
        <f>T85</f>
        <v>0</v>
      </c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T84" s="18" t="s">
        <v>77</v>
      </c>
      <c r="AU84" s="18" t="s">
        <v>158</v>
      </c>
      <c r="BK84" s="192">
        <f>BK85</f>
        <v>0</v>
      </c>
    </row>
    <row r="85" s="12" customFormat="1" ht="25.92" customHeight="1">
      <c r="A85" s="12"/>
      <c r="B85" s="193"/>
      <c r="C85" s="194"/>
      <c r="D85" s="195" t="s">
        <v>77</v>
      </c>
      <c r="E85" s="196" t="s">
        <v>198</v>
      </c>
      <c r="F85" s="196" t="s">
        <v>199</v>
      </c>
      <c r="G85" s="194"/>
      <c r="H85" s="194"/>
      <c r="I85" s="197"/>
      <c r="J85" s="198">
        <f>BK85</f>
        <v>0</v>
      </c>
      <c r="K85" s="194"/>
      <c r="L85" s="199"/>
      <c r="M85" s="200"/>
      <c r="N85" s="201"/>
      <c r="O85" s="201"/>
      <c r="P85" s="202">
        <f>P86+P109+P113+P120</f>
        <v>0</v>
      </c>
      <c r="Q85" s="201"/>
      <c r="R85" s="202">
        <f>R86+R109+R113+R120</f>
        <v>25.409651199999999</v>
      </c>
      <c r="S85" s="201"/>
      <c r="T85" s="203">
        <f>T86+T109+T113+T120</f>
        <v>0</v>
      </c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R85" s="204" t="s">
        <v>86</v>
      </c>
      <c r="AT85" s="205" t="s">
        <v>77</v>
      </c>
      <c r="AU85" s="205" t="s">
        <v>78</v>
      </c>
      <c r="AY85" s="204" t="s">
        <v>200</v>
      </c>
      <c r="BK85" s="206">
        <f>BK86+BK109+BK113+BK120</f>
        <v>0</v>
      </c>
    </row>
    <row r="86" s="12" customFormat="1" ht="22.8" customHeight="1">
      <c r="A86" s="12"/>
      <c r="B86" s="193"/>
      <c r="C86" s="194"/>
      <c r="D86" s="195" t="s">
        <v>77</v>
      </c>
      <c r="E86" s="207" t="s">
        <v>86</v>
      </c>
      <c r="F86" s="207" t="s">
        <v>201</v>
      </c>
      <c r="G86" s="194"/>
      <c r="H86" s="194"/>
      <c r="I86" s="197"/>
      <c r="J86" s="208">
        <f>BK86</f>
        <v>0</v>
      </c>
      <c r="K86" s="194"/>
      <c r="L86" s="199"/>
      <c r="M86" s="200"/>
      <c r="N86" s="201"/>
      <c r="O86" s="201"/>
      <c r="P86" s="202">
        <f>SUM(P87:P108)</f>
        <v>0</v>
      </c>
      <c r="Q86" s="201"/>
      <c r="R86" s="202">
        <f>SUM(R87:R108)</f>
        <v>20.48</v>
      </c>
      <c r="S86" s="201"/>
      <c r="T86" s="203">
        <f>SUM(T87:T108)</f>
        <v>0</v>
      </c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R86" s="204" t="s">
        <v>86</v>
      </c>
      <c r="AT86" s="205" t="s">
        <v>77</v>
      </c>
      <c r="AU86" s="205" t="s">
        <v>86</v>
      </c>
      <c r="AY86" s="204" t="s">
        <v>200</v>
      </c>
      <c r="BK86" s="206">
        <f>SUM(BK87:BK108)</f>
        <v>0</v>
      </c>
    </row>
    <row r="87" s="2" customFormat="1" ht="24.15" customHeight="1">
      <c r="A87" s="40"/>
      <c r="B87" s="41"/>
      <c r="C87" s="209" t="s">
        <v>86</v>
      </c>
      <c r="D87" s="209" t="s">
        <v>202</v>
      </c>
      <c r="E87" s="210" t="s">
        <v>3128</v>
      </c>
      <c r="F87" s="211" t="s">
        <v>3129</v>
      </c>
      <c r="G87" s="212" t="s">
        <v>205</v>
      </c>
      <c r="H87" s="213">
        <v>34.560000000000002</v>
      </c>
      <c r="I87" s="214"/>
      <c r="J87" s="215">
        <f>ROUND(I87*H87,1)</f>
        <v>0</v>
      </c>
      <c r="K87" s="211" t="s">
        <v>206</v>
      </c>
      <c r="L87" s="46"/>
      <c r="M87" s="216" t="s">
        <v>32</v>
      </c>
      <c r="N87" s="217" t="s">
        <v>49</v>
      </c>
      <c r="O87" s="86"/>
      <c r="P87" s="218">
        <f>O87*H87</f>
        <v>0</v>
      </c>
      <c r="Q87" s="218">
        <v>0</v>
      </c>
      <c r="R87" s="218">
        <f>Q87*H87</f>
        <v>0</v>
      </c>
      <c r="S87" s="218">
        <v>0</v>
      </c>
      <c r="T87" s="219">
        <f>S87*H87</f>
        <v>0</v>
      </c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R87" s="220" t="s">
        <v>207</v>
      </c>
      <c r="AT87" s="220" t="s">
        <v>202</v>
      </c>
      <c r="AU87" s="220" t="s">
        <v>88</v>
      </c>
      <c r="AY87" s="18" t="s">
        <v>200</v>
      </c>
      <c r="BE87" s="221">
        <f>IF(N87="základní",J87,0)</f>
        <v>0</v>
      </c>
      <c r="BF87" s="221">
        <f>IF(N87="snížená",J87,0)</f>
        <v>0</v>
      </c>
      <c r="BG87" s="221">
        <f>IF(N87="zákl. přenesená",J87,0)</f>
        <v>0</v>
      </c>
      <c r="BH87" s="221">
        <f>IF(N87="sníž. přenesená",J87,0)</f>
        <v>0</v>
      </c>
      <c r="BI87" s="221">
        <f>IF(N87="nulová",J87,0)</f>
        <v>0</v>
      </c>
      <c r="BJ87" s="18" t="s">
        <v>86</v>
      </c>
      <c r="BK87" s="221">
        <f>ROUND(I87*H87,1)</f>
        <v>0</v>
      </c>
      <c r="BL87" s="18" t="s">
        <v>207</v>
      </c>
      <c r="BM87" s="220" t="s">
        <v>3130</v>
      </c>
    </row>
    <row r="88" s="2" customFormat="1">
      <c r="A88" s="40"/>
      <c r="B88" s="41"/>
      <c r="C88" s="42"/>
      <c r="D88" s="222" t="s">
        <v>209</v>
      </c>
      <c r="E88" s="42"/>
      <c r="F88" s="223" t="s">
        <v>3131</v>
      </c>
      <c r="G88" s="42"/>
      <c r="H88" s="42"/>
      <c r="I88" s="224"/>
      <c r="J88" s="42"/>
      <c r="K88" s="42"/>
      <c r="L88" s="46"/>
      <c r="M88" s="225"/>
      <c r="N88" s="226"/>
      <c r="O88" s="86"/>
      <c r="P88" s="86"/>
      <c r="Q88" s="86"/>
      <c r="R88" s="86"/>
      <c r="S88" s="86"/>
      <c r="T88" s="87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T88" s="18" t="s">
        <v>209</v>
      </c>
      <c r="AU88" s="18" t="s">
        <v>88</v>
      </c>
    </row>
    <row r="89" s="13" customFormat="1">
      <c r="A89" s="13"/>
      <c r="B89" s="227"/>
      <c r="C89" s="228"/>
      <c r="D89" s="229" t="s">
        <v>211</v>
      </c>
      <c r="E89" s="230" t="s">
        <v>32</v>
      </c>
      <c r="F89" s="231" t="s">
        <v>3132</v>
      </c>
      <c r="G89" s="228"/>
      <c r="H89" s="232">
        <v>34.560000000000002</v>
      </c>
      <c r="I89" s="233"/>
      <c r="J89" s="228"/>
      <c r="K89" s="228"/>
      <c r="L89" s="234"/>
      <c r="M89" s="235"/>
      <c r="N89" s="236"/>
      <c r="O89" s="236"/>
      <c r="P89" s="236"/>
      <c r="Q89" s="236"/>
      <c r="R89" s="236"/>
      <c r="S89" s="236"/>
      <c r="T89" s="237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T89" s="238" t="s">
        <v>211</v>
      </c>
      <c r="AU89" s="238" t="s">
        <v>88</v>
      </c>
      <c r="AV89" s="13" t="s">
        <v>88</v>
      </c>
      <c r="AW89" s="13" t="s">
        <v>213</v>
      </c>
      <c r="AX89" s="13" t="s">
        <v>86</v>
      </c>
      <c r="AY89" s="238" t="s">
        <v>200</v>
      </c>
    </row>
    <row r="90" s="2" customFormat="1" ht="37.8" customHeight="1">
      <c r="A90" s="40"/>
      <c r="B90" s="41"/>
      <c r="C90" s="209" t="s">
        <v>88</v>
      </c>
      <c r="D90" s="209" t="s">
        <v>202</v>
      </c>
      <c r="E90" s="210" t="s">
        <v>2119</v>
      </c>
      <c r="F90" s="211" t="s">
        <v>2120</v>
      </c>
      <c r="G90" s="212" t="s">
        <v>205</v>
      </c>
      <c r="H90" s="213">
        <v>56.719999999999999</v>
      </c>
      <c r="I90" s="214"/>
      <c r="J90" s="215">
        <f>ROUND(I90*H90,1)</f>
        <v>0</v>
      </c>
      <c r="K90" s="211" t="s">
        <v>206</v>
      </c>
      <c r="L90" s="46"/>
      <c r="M90" s="216" t="s">
        <v>32</v>
      </c>
      <c r="N90" s="217" t="s">
        <v>49</v>
      </c>
      <c r="O90" s="86"/>
      <c r="P90" s="218">
        <f>O90*H90</f>
        <v>0</v>
      </c>
      <c r="Q90" s="218">
        <v>0</v>
      </c>
      <c r="R90" s="218">
        <f>Q90*H90</f>
        <v>0</v>
      </c>
      <c r="S90" s="218">
        <v>0</v>
      </c>
      <c r="T90" s="219">
        <f>S90*H90</f>
        <v>0</v>
      </c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R90" s="220" t="s">
        <v>207</v>
      </c>
      <c r="AT90" s="220" t="s">
        <v>202</v>
      </c>
      <c r="AU90" s="220" t="s">
        <v>88</v>
      </c>
      <c r="AY90" s="18" t="s">
        <v>200</v>
      </c>
      <c r="BE90" s="221">
        <f>IF(N90="základní",J90,0)</f>
        <v>0</v>
      </c>
      <c r="BF90" s="221">
        <f>IF(N90="snížená",J90,0)</f>
        <v>0</v>
      </c>
      <c r="BG90" s="221">
        <f>IF(N90="zákl. přenesená",J90,0)</f>
        <v>0</v>
      </c>
      <c r="BH90" s="221">
        <f>IF(N90="sníž. přenesená",J90,0)</f>
        <v>0</v>
      </c>
      <c r="BI90" s="221">
        <f>IF(N90="nulová",J90,0)</f>
        <v>0</v>
      </c>
      <c r="BJ90" s="18" t="s">
        <v>86</v>
      </c>
      <c r="BK90" s="221">
        <f>ROUND(I90*H90,1)</f>
        <v>0</v>
      </c>
      <c r="BL90" s="18" t="s">
        <v>207</v>
      </c>
      <c r="BM90" s="220" t="s">
        <v>3133</v>
      </c>
    </row>
    <row r="91" s="2" customFormat="1">
      <c r="A91" s="40"/>
      <c r="B91" s="41"/>
      <c r="C91" s="42"/>
      <c r="D91" s="222" t="s">
        <v>209</v>
      </c>
      <c r="E91" s="42"/>
      <c r="F91" s="223" t="s">
        <v>2122</v>
      </c>
      <c r="G91" s="42"/>
      <c r="H91" s="42"/>
      <c r="I91" s="224"/>
      <c r="J91" s="42"/>
      <c r="K91" s="42"/>
      <c r="L91" s="46"/>
      <c r="M91" s="225"/>
      <c r="N91" s="226"/>
      <c r="O91" s="86"/>
      <c r="P91" s="86"/>
      <c r="Q91" s="86"/>
      <c r="R91" s="86"/>
      <c r="S91" s="86"/>
      <c r="T91" s="87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T91" s="18" t="s">
        <v>209</v>
      </c>
      <c r="AU91" s="18" t="s">
        <v>88</v>
      </c>
    </row>
    <row r="92" s="13" customFormat="1">
      <c r="A92" s="13"/>
      <c r="B92" s="227"/>
      <c r="C92" s="228"/>
      <c r="D92" s="229" t="s">
        <v>211</v>
      </c>
      <c r="E92" s="230" t="s">
        <v>32</v>
      </c>
      <c r="F92" s="231" t="s">
        <v>3134</v>
      </c>
      <c r="G92" s="228"/>
      <c r="H92" s="232">
        <v>34.560000000000002</v>
      </c>
      <c r="I92" s="233"/>
      <c r="J92" s="228"/>
      <c r="K92" s="228"/>
      <c r="L92" s="234"/>
      <c r="M92" s="235"/>
      <c r="N92" s="236"/>
      <c r="O92" s="236"/>
      <c r="P92" s="236"/>
      <c r="Q92" s="236"/>
      <c r="R92" s="236"/>
      <c r="S92" s="236"/>
      <c r="T92" s="237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T92" s="238" t="s">
        <v>211</v>
      </c>
      <c r="AU92" s="238" t="s">
        <v>88</v>
      </c>
      <c r="AV92" s="13" t="s">
        <v>88</v>
      </c>
      <c r="AW92" s="13" t="s">
        <v>213</v>
      </c>
      <c r="AX92" s="13" t="s">
        <v>78</v>
      </c>
      <c r="AY92" s="238" t="s">
        <v>200</v>
      </c>
    </row>
    <row r="93" s="13" customFormat="1">
      <c r="A93" s="13"/>
      <c r="B93" s="227"/>
      <c r="C93" s="228"/>
      <c r="D93" s="229" t="s">
        <v>211</v>
      </c>
      <c r="E93" s="230" t="s">
        <v>32</v>
      </c>
      <c r="F93" s="231" t="s">
        <v>3135</v>
      </c>
      <c r="G93" s="228"/>
      <c r="H93" s="232">
        <v>22.16</v>
      </c>
      <c r="I93" s="233"/>
      <c r="J93" s="228"/>
      <c r="K93" s="228"/>
      <c r="L93" s="234"/>
      <c r="M93" s="235"/>
      <c r="N93" s="236"/>
      <c r="O93" s="236"/>
      <c r="P93" s="236"/>
      <c r="Q93" s="236"/>
      <c r="R93" s="236"/>
      <c r="S93" s="236"/>
      <c r="T93" s="237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T93" s="238" t="s">
        <v>211</v>
      </c>
      <c r="AU93" s="238" t="s">
        <v>88</v>
      </c>
      <c r="AV93" s="13" t="s">
        <v>88</v>
      </c>
      <c r="AW93" s="13" t="s">
        <v>213</v>
      </c>
      <c r="AX93" s="13" t="s">
        <v>78</v>
      </c>
      <c r="AY93" s="238" t="s">
        <v>200</v>
      </c>
    </row>
    <row r="94" s="14" customFormat="1">
      <c r="A94" s="14"/>
      <c r="B94" s="239"/>
      <c r="C94" s="240"/>
      <c r="D94" s="229" t="s">
        <v>211</v>
      </c>
      <c r="E94" s="241" t="s">
        <v>32</v>
      </c>
      <c r="F94" s="242" t="s">
        <v>220</v>
      </c>
      <c r="G94" s="240"/>
      <c r="H94" s="243">
        <v>56.719999999999999</v>
      </c>
      <c r="I94" s="244"/>
      <c r="J94" s="240"/>
      <c r="K94" s="240"/>
      <c r="L94" s="245"/>
      <c r="M94" s="246"/>
      <c r="N94" s="247"/>
      <c r="O94" s="247"/>
      <c r="P94" s="247"/>
      <c r="Q94" s="247"/>
      <c r="R94" s="247"/>
      <c r="S94" s="247"/>
      <c r="T94" s="248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T94" s="249" t="s">
        <v>211</v>
      </c>
      <c r="AU94" s="249" t="s">
        <v>88</v>
      </c>
      <c r="AV94" s="14" t="s">
        <v>207</v>
      </c>
      <c r="AW94" s="14" t="s">
        <v>213</v>
      </c>
      <c r="AX94" s="14" t="s">
        <v>86</v>
      </c>
      <c r="AY94" s="249" t="s">
        <v>200</v>
      </c>
    </row>
    <row r="95" s="2" customFormat="1" ht="24.15" customHeight="1">
      <c r="A95" s="40"/>
      <c r="B95" s="41"/>
      <c r="C95" s="209" t="s">
        <v>148</v>
      </c>
      <c r="D95" s="209" t="s">
        <v>202</v>
      </c>
      <c r="E95" s="210" t="s">
        <v>2125</v>
      </c>
      <c r="F95" s="211" t="s">
        <v>2126</v>
      </c>
      <c r="G95" s="212" t="s">
        <v>205</v>
      </c>
      <c r="H95" s="213">
        <v>22.16</v>
      </c>
      <c r="I95" s="214"/>
      <c r="J95" s="215">
        <f>ROUND(I95*H95,1)</f>
        <v>0</v>
      </c>
      <c r="K95" s="211" t="s">
        <v>206</v>
      </c>
      <c r="L95" s="46"/>
      <c r="M95" s="216" t="s">
        <v>32</v>
      </c>
      <c r="N95" s="217" t="s">
        <v>49</v>
      </c>
      <c r="O95" s="86"/>
      <c r="P95" s="218">
        <f>O95*H95</f>
        <v>0</v>
      </c>
      <c r="Q95" s="218">
        <v>0</v>
      </c>
      <c r="R95" s="218">
        <f>Q95*H95</f>
        <v>0</v>
      </c>
      <c r="S95" s="218">
        <v>0</v>
      </c>
      <c r="T95" s="219">
        <f>S95*H95</f>
        <v>0</v>
      </c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R95" s="220" t="s">
        <v>207</v>
      </c>
      <c r="AT95" s="220" t="s">
        <v>202</v>
      </c>
      <c r="AU95" s="220" t="s">
        <v>88</v>
      </c>
      <c r="AY95" s="18" t="s">
        <v>200</v>
      </c>
      <c r="BE95" s="221">
        <f>IF(N95="základní",J95,0)</f>
        <v>0</v>
      </c>
      <c r="BF95" s="221">
        <f>IF(N95="snížená",J95,0)</f>
        <v>0</v>
      </c>
      <c r="BG95" s="221">
        <f>IF(N95="zákl. přenesená",J95,0)</f>
        <v>0</v>
      </c>
      <c r="BH95" s="221">
        <f>IF(N95="sníž. přenesená",J95,0)</f>
        <v>0</v>
      </c>
      <c r="BI95" s="221">
        <f>IF(N95="nulová",J95,0)</f>
        <v>0</v>
      </c>
      <c r="BJ95" s="18" t="s">
        <v>86</v>
      </c>
      <c r="BK95" s="221">
        <f>ROUND(I95*H95,1)</f>
        <v>0</v>
      </c>
      <c r="BL95" s="18" t="s">
        <v>207</v>
      </c>
      <c r="BM95" s="220" t="s">
        <v>3136</v>
      </c>
    </row>
    <row r="96" s="2" customFormat="1">
      <c r="A96" s="40"/>
      <c r="B96" s="41"/>
      <c r="C96" s="42"/>
      <c r="D96" s="222" t="s">
        <v>209</v>
      </c>
      <c r="E96" s="42"/>
      <c r="F96" s="223" t="s">
        <v>2128</v>
      </c>
      <c r="G96" s="42"/>
      <c r="H96" s="42"/>
      <c r="I96" s="224"/>
      <c r="J96" s="42"/>
      <c r="K96" s="42"/>
      <c r="L96" s="46"/>
      <c r="M96" s="225"/>
      <c r="N96" s="226"/>
      <c r="O96" s="86"/>
      <c r="P96" s="86"/>
      <c r="Q96" s="86"/>
      <c r="R96" s="86"/>
      <c r="S96" s="86"/>
      <c r="T96" s="87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T96" s="18" t="s">
        <v>209</v>
      </c>
      <c r="AU96" s="18" t="s">
        <v>88</v>
      </c>
    </row>
    <row r="97" s="13" customFormat="1">
      <c r="A97" s="13"/>
      <c r="B97" s="227"/>
      <c r="C97" s="228"/>
      <c r="D97" s="229" t="s">
        <v>211</v>
      </c>
      <c r="E97" s="230" t="s">
        <v>32</v>
      </c>
      <c r="F97" s="231" t="s">
        <v>3137</v>
      </c>
      <c r="G97" s="228"/>
      <c r="H97" s="232">
        <v>22.16</v>
      </c>
      <c r="I97" s="233"/>
      <c r="J97" s="228"/>
      <c r="K97" s="228"/>
      <c r="L97" s="234"/>
      <c r="M97" s="235"/>
      <c r="N97" s="236"/>
      <c r="O97" s="236"/>
      <c r="P97" s="236"/>
      <c r="Q97" s="236"/>
      <c r="R97" s="236"/>
      <c r="S97" s="236"/>
      <c r="T97" s="237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T97" s="238" t="s">
        <v>211</v>
      </c>
      <c r="AU97" s="238" t="s">
        <v>88</v>
      </c>
      <c r="AV97" s="13" t="s">
        <v>88</v>
      </c>
      <c r="AW97" s="13" t="s">
        <v>213</v>
      </c>
      <c r="AX97" s="13" t="s">
        <v>86</v>
      </c>
      <c r="AY97" s="238" t="s">
        <v>200</v>
      </c>
    </row>
    <row r="98" s="2" customFormat="1" ht="24.15" customHeight="1">
      <c r="A98" s="40"/>
      <c r="B98" s="41"/>
      <c r="C98" s="209" t="s">
        <v>207</v>
      </c>
      <c r="D98" s="209" t="s">
        <v>202</v>
      </c>
      <c r="E98" s="210" t="s">
        <v>255</v>
      </c>
      <c r="F98" s="211" t="s">
        <v>256</v>
      </c>
      <c r="G98" s="212" t="s">
        <v>205</v>
      </c>
      <c r="H98" s="213">
        <v>22.16</v>
      </c>
      <c r="I98" s="214"/>
      <c r="J98" s="215">
        <f>ROUND(I98*H98,1)</f>
        <v>0</v>
      </c>
      <c r="K98" s="211" t="s">
        <v>206</v>
      </c>
      <c r="L98" s="46"/>
      <c r="M98" s="216" t="s">
        <v>32</v>
      </c>
      <c r="N98" s="217" t="s">
        <v>49</v>
      </c>
      <c r="O98" s="86"/>
      <c r="P98" s="218">
        <f>O98*H98</f>
        <v>0</v>
      </c>
      <c r="Q98" s="218">
        <v>0</v>
      </c>
      <c r="R98" s="218">
        <f>Q98*H98</f>
        <v>0</v>
      </c>
      <c r="S98" s="218">
        <v>0</v>
      </c>
      <c r="T98" s="219">
        <f>S98*H98</f>
        <v>0</v>
      </c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R98" s="220" t="s">
        <v>207</v>
      </c>
      <c r="AT98" s="220" t="s">
        <v>202</v>
      </c>
      <c r="AU98" s="220" t="s">
        <v>88</v>
      </c>
      <c r="AY98" s="18" t="s">
        <v>200</v>
      </c>
      <c r="BE98" s="221">
        <f>IF(N98="základní",J98,0)</f>
        <v>0</v>
      </c>
      <c r="BF98" s="221">
        <f>IF(N98="snížená",J98,0)</f>
        <v>0</v>
      </c>
      <c r="BG98" s="221">
        <f>IF(N98="zákl. přenesená",J98,0)</f>
        <v>0</v>
      </c>
      <c r="BH98" s="221">
        <f>IF(N98="sníž. přenesená",J98,0)</f>
        <v>0</v>
      </c>
      <c r="BI98" s="221">
        <f>IF(N98="nulová",J98,0)</f>
        <v>0</v>
      </c>
      <c r="BJ98" s="18" t="s">
        <v>86</v>
      </c>
      <c r="BK98" s="221">
        <f>ROUND(I98*H98,1)</f>
        <v>0</v>
      </c>
      <c r="BL98" s="18" t="s">
        <v>207</v>
      </c>
      <c r="BM98" s="220" t="s">
        <v>3138</v>
      </c>
    </row>
    <row r="99" s="2" customFormat="1">
      <c r="A99" s="40"/>
      <c r="B99" s="41"/>
      <c r="C99" s="42"/>
      <c r="D99" s="222" t="s">
        <v>209</v>
      </c>
      <c r="E99" s="42"/>
      <c r="F99" s="223" t="s">
        <v>258</v>
      </c>
      <c r="G99" s="42"/>
      <c r="H99" s="42"/>
      <c r="I99" s="224"/>
      <c r="J99" s="42"/>
      <c r="K99" s="42"/>
      <c r="L99" s="46"/>
      <c r="M99" s="225"/>
      <c r="N99" s="226"/>
      <c r="O99" s="86"/>
      <c r="P99" s="86"/>
      <c r="Q99" s="86"/>
      <c r="R99" s="86"/>
      <c r="S99" s="86"/>
      <c r="T99" s="87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8" t="s">
        <v>209</v>
      </c>
      <c r="AU99" s="18" t="s">
        <v>88</v>
      </c>
    </row>
    <row r="100" s="13" customFormat="1">
      <c r="A100" s="13"/>
      <c r="B100" s="227"/>
      <c r="C100" s="228"/>
      <c r="D100" s="229" t="s">
        <v>211</v>
      </c>
      <c r="E100" s="230" t="s">
        <v>32</v>
      </c>
      <c r="F100" s="231" t="s">
        <v>3139</v>
      </c>
      <c r="G100" s="228"/>
      <c r="H100" s="232">
        <v>34.560000000000002</v>
      </c>
      <c r="I100" s="233"/>
      <c r="J100" s="228"/>
      <c r="K100" s="228"/>
      <c r="L100" s="234"/>
      <c r="M100" s="235"/>
      <c r="N100" s="236"/>
      <c r="O100" s="236"/>
      <c r="P100" s="236"/>
      <c r="Q100" s="236"/>
      <c r="R100" s="236"/>
      <c r="S100" s="236"/>
      <c r="T100" s="237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T100" s="238" t="s">
        <v>211</v>
      </c>
      <c r="AU100" s="238" t="s">
        <v>88</v>
      </c>
      <c r="AV100" s="13" t="s">
        <v>88</v>
      </c>
      <c r="AW100" s="13" t="s">
        <v>213</v>
      </c>
      <c r="AX100" s="13" t="s">
        <v>78</v>
      </c>
      <c r="AY100" s="238" t="s">
        <v>200</v>
      </c>
    </row>
    <row r="101" s="13" customFormat="1">
      <c r="A101" s="13"/>
      <c r="B101" s="227"/>
      <c r="C101" s="228"/>
      <c r="D101" s="229" t="s">
        <v>211</v>
      </c>
      <c r="E101" s="230" t="s">
        <v>32</v>
      </c>
      <c r="F101" s="231" t="s">
        <v>3140</v>
      </c>
      <c r="G101" s="228"/>
      <c r="H101" s="232">
        <v>-10.24</v>
      </c>
      <c r="I101" s="233"/>
      <c r="J101" s="228"/>
      <c r="K101" s="228"/>
      <c r="L101" s="234"/>
      <c r="M101" s="235"/>
      <c r="N101" s="236"/>
      <c r="O101" s="236"/>
      <c r="P101" s="236"/>
      <c r="Q101" s="236"/>
      <c r="R101" s="236"/>
      <c r="S101" s="236"/>
      <c r="T101" s="237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T101" s="238" t="s">
        <v>211</v>
      </c>
      <c r="AU101" s="238" t="s">
        <v>88</v>
      </c>
      <c r="AV101" s="13" t="s">
        <v>88</v>
      </c>
      <c r="AW101" s="13" t="s">
        <v>213</v>
      </c>
      <c r="AX101" s="13" t="s">
        <v>78</v>
      </c>
      <c r="AY101" s="238" t="s">
        <v>200</v>
      </c>
    </row>
    <row r="102" s="13" customFormat="1">
      <c r="A102" s="13"/>
      <c r="B102" s="227"/>
      <c r="C102" s="228"/>
      <c r="D102" s="229" t="s">
        <v>211</v>
      </c>
      <c r="E102" s="230" t="s">
        <v>32</v>
      </c>
      <c r="F102" s="231" t="s">
        <v>3141</v>
      </c>
      <c r="G102" s="228"/>
      <c r="H102" s="232">
        <v>-2.1600000000000001</v>
      </c>
      <c r="I102" s="233"/>
      <c r="J102" s="228"/>
      <c r="K102" s="228"/>
      <c r="L102" s="234"/>
      <c r="M102" s="235"/>
      <c r="N102" s="236"/>
      <c r="O102" s="236"/>
      <c r="P102" s="236"/>
      <c r="Q102" s="236"/>
      <c r="R102" s="236"/>
      <c r="S102" s="236"/>
      <c r="T102" s="237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T102" s="238" t="s">
        <v>211</v>
      </c>
      <c r="AU102" s="238" t="s">
        <v>88</v>
      </c>
      <c r="AV102" s="13" t="s">
        <v>88</v>
      </c>
      <c r="AW102" s="13" t="s">
        <v>213</v>
      </c>
      <c r="AX102" s="13" t="s">
        <v>78</v>
      </c>
      <c r="AY102" s="238" t="s">
        <v>200</v>
      </c>
    </row>
    <row r="103" s="14" customFormat="1">
      <c r="A103" s="14"/>
      <c r="B103" s="239"/>
      <c r="C103" s="240"/>
      <c r="D103" s="229" t="s">
        <v>211</v>
      </c>
      <c r="E103" s="241" t="s">
        <v>32</v>
      </c>
      <c r="F103" s="242" t="s">
        <v>220</v>
      </c>
      <c r="G103" s="240"/>
      <c r="H103" s="243">
        <v>22.16</v>
      </c>
      <c r="I103" s="244"/>
      <c r="J103" s="240"/>
      <c r="K103" s="240"/>
      <c r="L103" s="245"/>
      <c r="M103" s="246"/>
      <c r="N103" s="247"/>
      <c r="O103" s="247"/>
      <c r="P103" s="247"/>
      <c r="Q103" s="247"/>
      <c r="R103" s="247"/>
      <c r="S103" s="247"/>
      <c r="T103" s="248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T103" s="249" t="s">
        <v>211</v>
      </c>
      <c r="AU103" s="249" t="s">
        <v>88</v>
      </c>
      <c r="AV103" s="14" t="s">
        <v>207</v>
      </c>
      <c r="AW103" s="14" t="s">
        <v>213</v>
      </c>
      <c r="AX103" s="14" t="s">
        <v>86</v>
      </c>
      <c r="AY103" s="249" t="s">
        <v>200</v>
      </c>
    </row>
    <row r="104" s="2" customFormat="1" ht="37.8" customHeight="1">
      <c r="A104" s="40"/>
      <c r="B104" s="41"/>
      <c r="C104" s="209" t="s">
        <v>234</v>
      </c>
      <c r="D104" s="209" t="s">
        <v>202</v>
      </c>
      <c r="E104" s="210" t="s">
        <v>2133</v>
      </c>
      <c r="F104" s="211" t="s">
        <v>2134</v>
      </c>
      <c r="G104" s="212" t="s">
        <v>205</v>
      </c>
      <c r="H104" s="213">
        <v>10.24</v>
      </c>
      <c r="I104" s="214"/>
      <c r="J104" s="215">
        <f>ROUND(I104*H104,1)</f>
        <v>0</v>
      </c>
      <c r="K104" s="211" t="s">
        <v>206</v>
      </c>
      <c r="L104" s="46"/>
      <c r="M104" s="216" t="s">
        <v>32</v>
      </c>
      <c r="N104" s="217" t="s">
        <v>49</v>
      </c>
      <c r="O104" s="86"/>
      <c r="P104" s="218">
        <f>O104*H104</f>
        <v>0</v>
      </c>
      <c r="Q104" s="218">
        <v>0</v>
      </c>
      <c r="R104" s="218">
        <f>Q104*H104</f>
        <v>0</v>
      </c>
      <c r="S104" s="218">
        <v>0</v>
      </c>
      <c r="T104" s="219">
        <f>S104*H104</f>
        <v>0</v>
      </c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0" t="s">
        <v>207</v>
      </c>
      <c r="AT104" s="220" t="s">
        <v>202</v>
      </c>
      <c r="AU104" s="220" t="s">
        <v>88</v>
      </c>
      <c r="AY104" s="18" t="s">
        <v>200</v>
      </c>
      <c r="BE104" s="221">
        <f>IF(N104="základní",J104,0)</f>
        <v>0</v>
      </c>
      <c r="BF104" s="221">
        <f>IF(N104="snížená",J104,0)</f>
        <v>0</v>
      </c>
      <c r="BG104" s="221">
        <f>IF(N104="zákl. přenesená",J104,0)</f>
        <v>0</v>
      </c>
      <c r="BH104" s="221">
        <f>IF(N104="sníž. přenesená",J104,0)</f>
        <v>0</v>
      </c>
      <c r="BI104" s="221">
        <f>IF(N104="nulová",J104,0)</f>
        <v>0</v>
      </c>
      <c r="BJ104" s="18" t="s">
        <v>86</v>
      </c>
      <c r="BK104" s="221">
        <f>ROUND(I104*H104,1)</f>
        <v>0</v>
      </c>
      <c r="BL104" s="18" t="s">
        <v>207</v>
      </c>
      <c r="BM104" s="220" t="s">
        <v>3142</v>
      </c>
    </row>
    <row r="105" s="2" customFormat="1">
      <c r="A105" s="40"/>
      <c r="B105" s="41"/>
      <c r="C105" s="42"/>
      <c r="D105" s="222" t="s">
        <v>209</v>
      </c>
      <c r="E105" s="42"/>
      <c r="F105" s="223" t="s">
        <v>2136</v>
      </c>
      <c r="G105" s="42"/>
      <c r="H105" s="42"/>
      <c r="I105" s="224"/>
      <c r="J105" s="42"/>
      <c r="K105" s="42"/>
      <c r="L105" s="46"/>
      <c r="M105" s="225"/>
      <c r="N105" s="226"/>
      <c r="O105" s="86"/>
      <c r="P105" s="86"/>
      <c r="Q105" s="86"/>
      <c r="R105" s="86"/>
      <c r="S105" s="86"/>
      <c r="T105" s="87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8" t="s">
        <v>209</v>
      </c>
      <c r="AU105" s="18" t="s">
        <v>88</v>
      </c>
    </row>
    <row r="106" s="13" customFormat="1">
      <c r="A106" s="13"/>
      <c r="B106" s="227"/>
      <c r="C106" s="228"/>
      <c r="D106" s="229" t="s">
        <v>211</v>
      </c>
      <c r="E106" s="230" t="s">
        <v>32</v>
      </c>
      <c r="F106" s="231" t="s">
        <v>3143</v>
      </c>
      <c r="G106" s="228"/>
      <c r="H106" s="232">
        <v>10.24</v>
      </c>
      <c r="I106" s="233"/>
      <c r="J106" s="228"/>
      <c r="K106" s="228"/>
      <c r="L106" s="234"/>
      <c r="M106" s="235"/>
      <c r="N106" s="236"/>
      <c r="O106" s="236"/>
      <c r="P106" s="236"/>
      <c r="Q106" s="236"/>
      <c r="R106" s="236"/>
      <c r="S106" s="236"/>
      <c r="T106" s="237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T106" s="238" t="s">
        <v>211</v>
      </c>
      <c r="AU106" s="238" t="s">
        <v>88</v>
      </c>
      <c r="AV106" s="13" t="s">
        <v>88</v>
      </c>
      <c r="AW106" s="13" t="s">
        <v>213</v>
      </c>
      <c r="AX106" s="13" t="s">
        <v>86</v>
      </c>
      <c r="AY106" s="238" t="s">
        <v>200</v>
      </c>
    </row>
    <row r="107" s="2" customFormat="1" ht="16.5" customHeight="1">
      <c r="A107" s="40"/>
      <c r="B107" s="41"/>
      <c r="C107" s="260" t="s">
        <v>241</v>
      </c>
      <c r="D107" s="260" t="s">
        <v>292</v>
      </c>
      <c r="E107" s="261" t="s">
        <v>2142</v>
      </c>
      <c r="F107" s="262" t="s">
        <v>2143</v>
      </c>
      <c r="G107" s="263" t="s">
        <v>250</v>
      </c>
      <c r="H107" s="264">
        <v>20.48</v>
      </c>
      <c r="I107" s="265"/>
      <c r="J107" s="266">
        <f>ROUND(I107*H107,1)</f>
        <v>0</v>
      </c>
      <c r="K107" s="262" t="s">
        <v>206</v>
      </c>
      <c r="L107" s="267"/>
      <c r="M107" s="268" t="s">
        <v>32</v>
      </c>
      <c r="N107" s="269" t="s">
        <v>49</v>
      </c>
      <c r="O107" s="86"/>
      <c r="P107" s="218">
        <f>O107*H107</f>
        <v>0</v>
      </c>
      <c r="Q107" s="218">
        <v>1</v>
      </c>
      <c r="R107" s="218">
        <f>Q107*H107</f>
        <v>20.48</v>
      </c>
      <c r="S107" s="218">
        <v>0</v>
      </c>
      <c r="T107" s="219">
        <f>S107*H107</f>
        <v>0</v>
      </c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R107" s="220" t="s">
        <v>254</v>
      </c>
      <c r="AT107" s="220" t="s">
        <v>292</v>
      </c>
      <c r="AU107" s="220" t="s">
        <v>88</v>
      </c>
      <c r="AY107" s="18" t="s">
        <v>200</v>
      </c>
      <c r="BE107" s="221">
        <f>IF(N107="základní",J107,0)</f>
        <v>0</v>
      </c>
      <c r="BF107" s="221">
        <f>IF(N107="snížená",J107,0)</f>
        <v>0</v>
      </c>
      <c r="BG107" s="221">
        <f>IF(N107="zákl. přenesená",J107,0)</f>
        <v>0</v>
      </c>
      <c r="BH107" s="221">
        <f>IF(N107="sníž. přenesená",J107,0)</f>
        <v>0</v>
      </c>
      <c r="BI107" s="221">
        <f>IF(N107="nulová",J107,0)</f>
        <v>0</v>
      </c>
      <c r="BJ107" s="18" t="s">
        <v>86</v>
      </c>
      <c r="BK107" s="221">
        <f>ROUND(I107*H107,1)</f>
        <v>0</v>
      </c>
      <c r="BL107" s="18" t="s">
        <v>207</v>
      </c>
      <c r="BM107" s="220" t="s">
        <v>3144</v>
      </c>
    </row>
    <row r="108" s="13" customFormat="1">
      <c r="A108" s="13"/>
      <c r="B108" s="227"/>
      <c r="C108" s="228"/>
      <c r="D108" s="229" t="s">
        <v>211</v>
      </c>
      <c r="E108" s="230" t="s">
        <v>32</v>
      </c>
      <c r="F108" s="231" t="s">
        <v>3145</v>
      </c>
      <c r="G108" s="228"/>
      <c r="H108" s="232">
        <v>20.48</v>
      </c>
      <c r="I108" s="233"/>
      <c r="J108" s="228"/>
      <c r="K108" s="228"/>
      <c r="L108" s="234"/>
      <c r="M108" s="235"/>
      <c r="N108" s="236"/>
      <c r="O108" s="236"/>
      <c r="P108" s="236"/>
      <c r="Q108" s="236"/>
      <c r="R108" s="236"/>
      <c r="S108" s="236"/>
      <c r="T108" s="237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T108" s="238" t="s">
        <v>211</v>
      </c>
      <c r="AU108" s="238" t="s">
        <v>88</v>
      </c>
      <c r="AV108" s="13" t="s">
        <v>88</v>
      </c>
      <c r="AW108" s="13" t="s">
        <v>213</v>
      </c>
      <c r="AX108" s="13" t="s">
        <v>86</v>
      </c>
      <c r="AY108" s="238" t="s">
        <v>200</v>
      </c>
    </row>
    <row r="109" s="12" customFormat="1" ht="22.8" customHeight="1">
      <c r="A109" s="12"/>
      <c r="B109" s="193"/>
      <c r="C109" s="194"/>
      <c r="D109" s="195" t="s">
        <v>77</v>
      </c>
      <c r="E109" s="207" t="s">
        <v>207</v>
      </c>
      <c r="F109" s="207" t="s">
        <v>548</v>
      </c>
      <c r="G109" s="194"/>
      <c r="H109" s="194"/>
      <c r="I109" s="197"/>
      <c r="J109" s="208">
        <f>BK109</f>
        <v>0</v>
      </c>
      <c r="K109" s="194"/>
      <c r="L109" s="199"/>
      <c r="M109" s="200"/>
      <c r="N109" s="201"/>
      <c r="O109" s="201"/>
      <c r="P109" s="202">
        <f>SUM(P110:P112)</f>
        <v>0</v>
      </c>
      <c r="Q109" s="201"/>
      <c r="R109" s="202">
        <f>SUM(R110:R112)</f>
        <v>4.8403711999999999</v>
      </c>
      <c r="S109" s="201"/>
      <c r="T109" s="203">
        <f>SUM(T110:T112)</f>
        <v>0</v>
      </c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R109" s="204" t="s">
        <v>86</v>
      </c>
      <c r="AT109" s="205" t="s">
        <v>77</v>
      </c>
      <c r="AU109" s="205" t="s">
        <v>86</v>
      </c>
      <c r="AY109" s="204" t="s">
        <v>200</v>
      </c>
      <c r="BK109" s="206">
        <f>SUM(BK110:BK112)</f>
        <v>0</v>
      </c>
    </row>
    <row r="110" s="2" customFormat="1" ht="21.75" customHeight="1">
      <c r="A110" s="40"/>
      <c r="B110" s="41"/>
      <c r="C110" s="209" t="s">
        <v>247</v>
      </c>
      <c r="D110" s="209" t="s">
        <v>202</v>
      </c>
      <c r="E110" s="210" t="s">
        <v>2146</v>
      </c>
      <c r="F110" s="211" t="s">
        <v>2147</v>
      </c>
      <c r="G110" s="212" t="s">
        <v>205</v>
      </c>
      <c r="H110" s="213">
        <v>2.5600000000000001</v>
      </c>
      <c r="I110" s="214"/>
      <c r="J110" s="215">
        <f>ROUND(I110*H110,1)</f>
        <v>0</v>
      </c>
      <c r="K110" s="211" t="s">
        <v>206</v>
      </c>
      <c r="L110" s="46"/>
      <c r="M110" s="216" t="s">
        <v>32</v>
      </c>
      <c r="N110" s="217" t="s">
        <v>49</v>
      </c>
      <c r="O110" s="86"/>
      <c r="P110" s="218">
        <f>O110*H110</f>
        <v>0</v>
      </c>
      <c r="Q110" s="218">
        <v>1.8907700000000001</v>
      </c>
      <c r="R110" s="218">
        <f>Q110*H110</f>
        <v>4.8403711999999999</v>
      </c>
      <c r="S110" s="218">
        <v>0</v>
      </c>
      <c r="T110" s="219">
        <f>S110*H110</f>
        <v>0</v>
      </c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R110" s="220" t="s">
        <v>207</v>
      </c>
      <c r="AT110" s="220" t="s">
        <v>202</v>
      </c>
      <c r="AU110" s="220" t="s">
        <v>88</v>
      </c>
      <c r="AY110" s="18" t="s">
        <v>200</v>
      </c>
      <c r="BE110" s="221">
        <f>IF(N110="základní",J110,0)</f>
        <v>0</v>
      </c>
      <c r="BF110" s="221">
        <f>IF(N110="snížená",J110,0)</f>
        <v>0</v>
      </c>
      <c r="BG110" s="221">
        <f>IF(N110="zákl. přenesená",J110,0)</f>
        <v>0</v>
      </c>
      <c r="BH110" s="221">
        <f>IF(N110="sníž. přenesená",J110,0)</f>
        <v>0</v>
      </c>
      <c r="BI110" s="221">
        <f>IF(N110="nulová",J110,0)</f>
        <v>0</v>
      </c>
      <c r="BJ110" s="18" t="s">
        <v>86</v>
      </c>
      <c r="BK110" s="221">
        <f>ROUND(I110*H110,1)</f>
        <v>0</v>
      </c>
      <c r="BL110" s="18" t="s">
        <v>207</v>
      </c>
      <c r="BM110" s="220" t="s">
        <v>3146</v>
      </c>
    </row>
    <row r="111" s="2" customFormat="1">
      <c r="A111" s="40"/>
      <c r="B111" s="41"/>
      <c r="C111" s="42"/>
      <c r="D111" s="222" t="s">
        <v>209</v>
      </c>
      <c r="E111" s="42"/>
      <c r="F111" s="223" t="s">
        <v>2149</v>
      </c>
      <c r="G111" s="42"/>
      <c r="H111" s="42"/>
      <c r="I111" s="224"/>
      <c r="J111" s="42"/>
      <c r="K111" s="42"/>
      <c r="L111" s="46"/>
      <c r="M111" s="225"/>
      <c r="N111" s="226"/>
      <c r="O111" s="86"/>
      <c r="P111" s="86"/>
      <c r="Q111" s="86"/>
      <c r="R111" s="86"/>
      <c r="S111" s="86"/>
      <c r="T111" s="87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8" t="s">
        <v>209</v>
      </c>
      <c r="AU111" s="18" t="s">
        <v>88</v>
      </c>
    </row>
    <row r="112" s="13" customFormat="1">
      <c r="A112" s="13"/>
      <c r="B112" s="227"/>
      <c r="C112" s="228"/>
      <c r="D112" s="229" t="s">
        <v>211</v>
      </c>
      <c r="E112" s="230" t="s">
        <v>32</v>
      </c>
      <c r="F112" s="231" t="s">
        <v>3147</v>
      </c>
      <c r="G112" s="228"/>
      <c r="H112" s="232">
        <v>2.5600000000000001</v>
      </c>
      <c r="I112" s="233"/>
      <c r="J112" s="228"/>
      <c r="K112" s="228"/>
      <c r="L112" s="234"/>
      <c r="M112" s="235"/>
      <c r="N112" s="236"/>
      <c r="O112" s="236"/>
      <c r="P112" s="236"/>
      <c r="Q112" s="236"/>
      <c r="R112" s="236"/>
      <c r="S112" s="236"/>
      <c r="T112" s="237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T112" s="238" t="s">
        <v>211</v>
      </c>
      <c r="AU112" s="238" t="s">
        <v>88</v>
      </c>
      <c r="AV112" s="13" t="s">
        <v>88</v>
      </c>
      <c r="AW112" s="13" t="s">
        <v>213</v>
      </c>
      <c r="AX112" s="13" t="s">
        <v>86</v>
      </c>
      <c r="AY112" s="238" t="s">
        <v>200</v>
      </c>
    </row>
    <row r="113" s="12" customFormat="1" ht="22.8" customHeight="1">
      <c r="A113" s="12"/>
      <c r="B113" s="193"/>
      <c r="C113" s="194"/>
      <c r="D113" s="195" t="s">
        <v>77</v>
      </c>
      <c r="E113" s="207" t="s">
        <v>254</v>
      </c>
      <c r="F113" s="207" t="s">
        <v>737</v>
      </c>
      <c r="G113" s="194"/>
      <c r="H113" s="194"/>
      <c r="I113" s="197"/>
      <c r="J113" s="208">
        <f>BK113</f>
        <v>0</v>
      </c>
      <c r="K113" s="194"/>
      <c r="L113" s="199"/>
      <c r="M113" s="200"/>
      <c r="N113" s="201"/>
      <c r="O113" s="201"/>
      <c r="P113" s="202">
        <f>SUM(P114:P119)</f>
        <v>0</v>
      </c>
      <c r="Q113" s="201"/>
      <c r="R113" s="202">
        <f>SUM(R114:R119)</f>
        <v>0.089279999999999998</v>
      </c>
      <c r="S113" s="201"/>
      <c r="T113" s="203">
        <f>SUM(T114:T119)</f>
        <v>0</v>
      </c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R113" s="204" t="s">
        <v>86</v>
      </c>
      <c r="AT113" s="205" t="s">
        <v>77</v>
      </c>
      <c r="AU113" s="205" t="s">
        <v>86</v>
      </c>
      <c r="AY113" s="204" t="s">
        <v>200</v>
      </c>
      <c r="BK113" s="206">
        <f>SUM(BK114:BK119)</f>
        <v>0</v>
      </c>
    </row>
    <row r="114" s="2" customFormat="1" ht="16.5" customHeight="1">
      <c r="A114" s="40"/>
      <c r="B114" s="41"/>
      <c r="C114" s="209" t="s">
        <v>254</v>
      </c>
      <c r="D114" s="209" t="s">
        <v>202</v>
      </c>
      <c r="E114" s="210" t="s">
        <v>3148</v>
      </c>
      <c r="F114" s="211" t="s">
        <v>3149</v>
      </c>
      <c r="G114" s="212" t="s">
        <v>3150</v>
      </c>
      <c r="H114" s="213">
        <v>2</v>
      </c>
      <c r="I114" s="214"/>
      <c r="J114" s="215">
        <f>ROUND(I114*H114,1)</f>
        <v>0</v>
      </c>
      <c r="K114" s="211" t="s">
        <v>32</v>
      </c>
      <c r="L114" s="46"/>
      <c r="M114" s="216" t="s">
        <v>32</v>
      </c>
      <c r="N114" s="217" t="s">
        <v>49</v>
      </c>
      <c r="O114" s="86"/>
      <c r="P114" s="218">
        <f>O114*H114</f>
        <v>0</v>
      </c>
      <c r="Q114" s="218">
        <v>0</v>
      </c>
      <c r="R114" s="218">
        <f>Q114*H114</f>
        <v>0</v>
      </c>
      <c r="S114" s="218">
        <v>0</v>
      </c>
      <c r="T114" s="219">
        <f>S114*H114</f>
        <v>0</v>
      </c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0" t="s">
        <v>207</v>
      </c>
      <c r="AT114" s="220" t="s">
        <v>202</v>
      </c>
      <c r="AU114" s="220" t="s">
        <v>88</v>
      </c>
      <c r="AY114" s="18" t="s">
        <v>200</v>
      </c>
      <c r="BE114" s="221">
        <f>IF(N114="základní",J114,0)</f>
        <v>0</v>
      </c>
      <c r="BF114" s="221">
        <f>IF(N114="snížená",J114,0)</f>
        <v>0</v>
      </c>
      <c r="BG114" s="221">
        <f>IF(N114="zákl. přenesená",J114,0)</f>
        <v>0</v>
      </c>
      <c r="BH114" s="221">
        <f>IF(N114="sníž. přenesená",J114,0)</f>
        <v>0</v>
      </c>
      <c r="BI114" s="221">
        <f>IF(N114="nulová",J114,0)</f>
        <v>0</v>
      </c>
      <c r="BJ114" s="18" t="s">
        <v>86</v>
      </c>
      <c r="BK114" s="221">
        <f>ROUND(I114*H114,1)</f>
        <v>0</v>
      </c>
      <c r="BL114" s="18" t="s">
        <v>207</v>
      </c>
      <c r="BM114" s="220" t="s">
        <v>3151</v>
      </c>
    </row>
    <row r="115" s="2" customFormat="1">
      <c r="A115" s="40"/>
      <c r="B115" s="41"/>
      <c r="C115" s="42"/>
      <c r="D115" s="229" t="s">
        <v>355</v>
      </c>
      <c r="E115" s="42"/>
      <c r="F115" s="281" t="s">
        <v>3152</v>
      </c>
      <c r="G115" s="42"/>
      <c r="H115" s="42"/>
      <c r="I115" s="224"/>
      <c r="J115" s="42"/>
      <c r="K115" s="42"/>
      <c r="L115" s="46"/>
      <c r="M115" s="225"/>
      <c r="N115" s="226"/>
      <c r="O115" s="86"/>
      <c r="P115" s="86"/>
      <c r="Q115" s="86"/>
      <c r="R115" s="86"/>
      <c r="S115" s="86"/>
      <c r="T115" s="87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8" t="s">
        <v>355</v>
      </c>
      <c r="AU115" s="18" t="s">
        <v>88</v>
      </c>
    </row>
    <row r="116" s="2" customFormat="1" ht="24.15" customHeight="1">
      <c r="A116" s="40"/>
      <c r="B116" s="41"/>
      <c r="C116" s="209" t="s">
        <v>261</v>
      </c>
      <c r="D116" s="209" t="s">
        <v>202</v>
      </c>
      <c r="E116" s="210" t="s">
        <v>3153</v>
      </c>
      <c r="F116" s="211" t="s">
        <v>3154</v>
      </c>
      <c r="G116" s="212" t="s">
        <v>280</v>
      </c>
      <c r="H116" s="213">
        <v>32</v>
      </c>
      <c r="I116" s="214"/>
      <c r="J116" s="215">
        <f>ROUND(I116*H116,1)</f>
        <v>0</v>
      </c>
      <c r="K116" s="211" t="s">
        <v>206</v>
      </c>
      <c r="L116" s="46"/>
      <c r="M116" s="216" t="s">
        <v>32</v>
      </c>
      <c r="N116" s="217" t="s">
        <v>49</v>
      </c>
      <c r="O116" s="86"/>
      <c r="P116" s="218">
        <f>O116*H116</f>
        <v>0</v>
      </c>
      <c r="Q116" s="218">
        <v>0.0027899999999999999</v>
      </c>
      <c r="R116" s="218">
        <f>Q116*H116</f>
        <v>0.089279999999999998</v>
      </c>
      <c r="S116" s="218">
        <v>0</v>
      </c>
      <c r="T116" s="219">
        <f>S116*H116</f>
        <v>0</v>
      </c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0" t="s">
        <v>207</v>
      </c>
      <c r="AT116" s="220" t="s">
        <v>202</v>
      </c>
      <c r="AU116" s="220" t="s">
        <v>88</v>
      </c>
      <c r="AY116" s="18" t="s">
        <v>200</v>
      </c>
      <c r="BE116" s="221">
        <f>IF(N116="základní",J116,0)</f>
        <v>0</v>
      </c>
      <c r="BF116" s="221">
        <f>IF(N116="snížená",J116,0)</f>
        <v>0</v>
      </c>
      <c r="BG116" s="221">
        <f>IF(N116="zákl. přenesená",J116,0)</f>
        <v>0</v>
      </c>
      <c r="BH116" s="221">
        <f>IF(N116="sníž. přenesená",J116,0)</f>
        <v>0</v>
      </c>
      <c r="BI116" s="221">
        <f>IF(N116="nulová",J116,0)</f>
        <v>0</v>
      </c>
      <c r="BJ116" s="18" t="s">
        <v>86</v>
      </c>
      <c r="BK116" s="221">
        <f>ROUND(I116*H116,1)</f>
        <v>0</v>
      </c>
      <c r="BL116" s="18" t="s">
        <v>207</v>
      </c>
      <c r="BM116" s="220" t="s">
        <v>3155</v>
      </c>
    </row>
    <row r="117" s="2" customFormat="1">
      <c r="A117" s="40"/>
      <c r="B117" s="41"/>
      <c r="C117" s="42"/>
      <c r="D117" s="222" t="s">
        <v>209</v>
      </c>
      <c r="E117" s="42"/>
      <c r="F117" s="223" t="s">
        <v>3156</v>
      </c>
      <c r="G117" s="42"/>
      <c r="H117" s="42"/>
      <c r="I117" s="224"/>
      <c r="J117" s="42"/>
      <c r="K117" s="42"/>
      <c r="L117" s="46"/>
      <c r="M117" s="225"/>
      <c r="N117" s="226"/>
      <c r="O117" s="86"/>
      <c r="P117" s="86"/>
      <c r="Q117" s="86"/>
      <c r="R117" s="86"/>
      <c r="S117" s="86"/>
      <c r="T117" s="87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8" t="s">
        <v>209</v>
      </c>
      <c r="AU117" s="18" t="s">
        <v>88</v>
      </c>
    </row>
    <row r="118" s="2" customFormat="1" ht="16.5" customHeight="1">
      <c r="A118" s="40"/>
      <c r="B118" s="41"/>
      <c r="C118" s="209" t="s">
        <v>269</v>
      </c>
      <c r="D118" s="209" t="s">
        <v>202</v>
      </c>
      <c r="E118" s="210" t="s">
        <v>3157</v>
      </c>
      <c r="F118" s="211" t="s">
        <v>3158</v>
      </c>
      <c r="G118" s="212" t="s">
        <v>280</v>
      </c>
      <c r="H118" s="213">
        <v>32</v>
      </c>
      <c r="I118" s="214"/>
      <c r="J118" s="215">
        <f>ROUND(I118*H118,1)</f>
        <v>0</v>
      </c>
      <c r="K118" s="211" t="s">
        <v>206</v>
      </c>
      <c r="L118" s="46"/>
      <c r="M118" s="216" t="s">
        <v>32</v>
      </c>
      <c r="N118" s="217" t="s">
        <v>49</v>
      </c>
      <c r="O118" s="86"/>
      <c r="P118" s="218">
        <f>O118*H118</f>
        <v>0</v>
      </c>
      <c r="Q118" s="218">
        <v>0</v>
      </c>
      <c r="R118" s="218">
        <f>Q118*H118</f>
        <v>0</v>
      </c>
      <c r="S118" s="218">
        <v>0</v>
      </c>
      <c r="T118" s="219">
        <f>S118*H118</f>
        <v>0</v>
      </c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R118" s="220" t="s">
        <v>207</v>
      </c>
      <c r="AT118" s="220" t="s">
        <v>202</v>
      </c>
      <c r="AU118" s="220" t="s">
        <v>88</v>
      </c>
      <c r="AY118" s="18" t="s">
        <v>200</v>
      </c>
      <c r="BE118" s="221">
        <f>IF(N118="základní",J118,0)</f>
        <v>0</v>
      </c>
      <c r="BF118" s="221">
        <f>IF(N118="snížená",J118,0)</f>
        <v>0</v>
      </c>
      <c r="BG118" s="221">
        <f>IF(N118="zákl. přenesená",J118,0)</f>
        <v>0</v>
      </c>
      <c r="BH118" s="221">
        <f>IF(N118="sníž. přenesená",J118,0)</f>
        <v>0</v>
      </c>
      <c r="BI118" s="221">
        <f>IF(N118="nulová",J118,0)</f>
        <v>0</v>
      </c>
      <c r="BJ118" s="18" t="s">
        <v>86</v>
      </c>
      <c r="BK118" s="221">
        <f>ROUND(I118*H118,1)</f>
        <v>0</v>
      </c>
      <c r="BL118" s="18" t="s">
        <v>207</v>
      </c>
      <c r="BM118" s="220" t="s">
        <v>3159</v>
      </c>
    </row>
    <row r="119" s="2" customFormat="1">
      <c r="A119" s="40"/>
      <c r="B119" s="41"/>
      <c r="C119" s="42"/>
      <c r="D119" s="222" t="s">
        <v>209</v>
      </c>
      <c r="E119" s="42"/>
      <c r="F119" s="223" t="s">
        <v>3160</v>
      </c>
      <c r="G119" s="42"/>
      <c r="H119" s="42"/>
      <c r="I119" s="224"/>
      <c r="J119" s="42"/>
      <c r="K119" s="42"/>
      <c r="L119" s="46"/>
      <c r="M119" s="225"/>
      <c r="N119" s="226"/>
      <c r="O119" s="86"/>
      <c r="P119" s="86"/>
      <c r="Q119" s="86"/>
      <c r="R119" s="86"/>
      <c r="S119" s="86"/>
      <c r="T119" s="87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T119" s="18" t="s">
        <v>209</v>
      </c>
      <c r="AU119" s="18" t="s">
        <v>88</v>
      </c>
    </row>
    <row r="120" s="12" customFormat="1" ht="22.8" customHeight="1">
      <c r="A120" s="12"/>
      <c r="B120" s="193"/>
      <c r="C120" s="194"/>
      <c r="D120" s="195" t="s">
        <v>77</v>
      </c>
      <c r="E120" s="207" t="s">
        <v>959</v>
      </c>
      <c r="F120" s="207" t="s">
        <v>960</v>
      </c>
      <c r="G120" s="194"/>
      <c r="H120" s="194"/>
      <c r="I120" s="197"/>
      <c r="J120" s="208">
        <f>BK120</f>
        <v>0</v>
      </c>
      <c r="K120" s="194"/>
      <c r="L120" s="199"/>
      <c r="M120" s="200"/>
      <c r="N120" s="201"/>
      <c r="O120" s="201"/>
      <c r="P120" s="202">
        <f>SUM(P121:P124)</f>
        <v>0</v>
      </c>
      <c r="Q120" s="201"/>
      <c r="R120" s="202">
        <f>SUM(R121:R124)</f>
        <v>0</v>
      </c>
      <c r="S120" s="201"/>
      <c r="T120" s="203">
        <f>SUM(T121:T124)</f>
        <v>0</v>
      </c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R120" s="204" t="s">
        <v>86</v>
      </c>
      <c r="AT120" s="205" t="s">
        <v>77</v>
      </c>
      <c r="AU120" s="205" t="s">
        <v>86</v>
      </c>
      <c r="AY120" s="204" t="s">
        <v>200</v>
      </c>
      <c r="BK120" s="206">
        <f>SUM(BK121:BK124)</f>
        <v>0</v>
      </c>
    </row>
    <row r="121" s="2" customFormat="1" ht="24.15" customHeight="1">
      <c r="A121" s="40"/>
      <c r="B121" s="41"/>
      <c r="C121" s="209" t="s">
        <v>277</v>
      </c>
      <c r="D121" s="209" t="s">
        <v>202</v>
      </c>
      <c r="E121" s="210" t="s">
        <v>3161</v>
      </c>
      <c r="F121" s="211" t="s">
        <v>3162</v>
      </c>
      <c r="G121" s="212" t="s">
        <v>250</v>
      </c>
      <c r="H121" s="213">
        <v>25.719999999999999</v>
      </c>
      <c r="I121" s="214"/>
      <c r="J121" s="215">
        <f>ROUND(I121*H121,1)</f>
        <v>0</v>
      </c>
      <c r="K121" s="211" t="s">
        <v>206</v>
      </c>
      <c r="L121" s="46"/>
      <c r="M121" s="216" t="s">
        <v>32</v>
      </c>
      <c r="N121" s="217" t="s">
        <v>49</v>
      </c>
      <c r="O121" s="86"/>
      <c r="P121" s="218">
        <f>O121*H121</f>
        <v>0</v>
      </c>
      <c r="Q121" s="218">
        <v>0</v>
      </c>
      <c r="R121" s="218">
        <f>Q121*H121</f>
        <v>0</v>
      </c>
      <c r="S121" s="218">
        <v>0</v>
      </c>
      <c r="T121" s="219">
        <f>S121*H121</f>
        <v>0</v>
      </c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R121" s="220" t="s">
        <v>207</v>
      </c>
      <c r="AT121" s="220" t="s">
        <v>202</v>
      </c>
      <c r="AU121" s="220" t="s">
        <v>88</v>
      </c>
      <c r="AY121" s="18" t="s">
        <v>200</v>
      </c>
      <c r="BE121" s="221">
        <f>IF(N121="základní",J121,0)</f>
        <v>0</v>
      </c>
      <c r="BF121" s="221">
        <f>IF(N121="snížená",J121,0)</f>
        <v>0</v>
      </c>
      <c r="BG121" s="221">
        <f>IF(N121="zákl. přenesená",J121,0)</f>
        <v>0</v>
      </c>
      <c r="BH121" s="221">
        <f>IF(N121="sníž. přenesená",J121,0)</f>
        <v>0</v>
      </c>
      <c r="BI121" s="221">
        <f>IF(N121="nulová",J121,0)</f>
        <v>0</v>
      </c>
      <c r="BJ121" s="18" t="s">
        <v>86</v>
      </c>
      <c r="BK121" s="221">
        <f>ROUND(I121*H121,1)</f>
        <v>0</v>
      </c>
      <c r="BL121" s="18" t="s">
        <v>207</v>
      </c>
      <c r="BM121" s="220" t="s">
        <v>3163</v>
      </c>
    </row>
    <row r="122" s="2" customFormat="1">
      <c r="A122" s="40"/>
      <c r="B122" s="41"/>
      <c r="C122" s="42"/>
      <c r="D122" s="222" t="s">
        <v>209</v>
      </c>
      <c r="E122" s="42"/>
      <c r="F122" s="223" t="s">
        <v>3164</v>
      </c>
      <c r="G122" s="42"/>
      <c r="H122" s="42"/>
      <c r="I122" s="224"/>
      <c r="J122" s="42"/>
      <c r="K122" s="42"/>
      <c r="L122" s="46"/>
      <c r="M122" s="225"/>
      <c r="N122" s="226"/>
      <c r="O122" s="86"/>
      <c r="P122" s="86"/>
      <c r="Q122" s="86"/>
      <c r="R122" s="86"/>
      <c r="S122" s="86"/>
      <c r="T122" s="87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8" t="s">
        <v>209</v>
      </c>
      <c r="AU122" s="18" t="s">
        <v>88</v>
      </c>
    </row>
    <row r="123" s="2" customFormat="1" ht="24.15" customHeight="1">
      <c r="A123" s="40"/>
      <c r="B123" s="41"/>
      <c r="C123" s="209" t="s">
        <v>285</v>
      </c>
      <c r="D123" s="209" t="s">
        <v>202</v>
      </c>
      <c r="E123" s="210" t="s">
        <v>3165</v>
      </c>
      <c r="F123" s="211" t="s">
        <v>3166</v>
      </c>
      <c r="G123" s="212" t="s">
        <v>250</v>
      </c>
      <c r="H123" s="213">
        <v>25.719999999999999</v>
      </c>
      <c r="I123" s="214"/>
      <c r="J123" s="215">
        <f>ROUND(I123*H123,1)</f>
        <v>0</v>
      </c>
      <c r="K123" s="211" t="s">
        <v>206</v>
      </c>
      <c r="L123" s="46"/>
      <c r="M123" s="216" t="s">
        <v>32</v>
      </c>
      <c r="N123" s="217" t="s">
        <v>49</v>
      </c>
      <c r="O123" s="86"/>
      <c r="P123" s="218">
        <f>O123*H123</f>
        <v>0</v>
      </c>
      <c r="Q123" s="218">
        <v>0</v>
      </c>
      <c r="R123" s="218">
        <f>Q123*H123</f>
        <v>0</v>
      </c>
      <c r="S123" s="218">
        <v>0</v>
      </c>
      <c r="T123" s="219">
        <f>S123*H123</f>
        <v>0</v>
      </c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R123" s="220" t="s">
        <v>207</v>
      </c>
      <c r="AT123" s="220" t="s">
        <v>202</v>
      </c>
      <c r="AU123" s="220" t="s">
        <v>88</v>
      </c>
      <c r="AY123" s="18" t="s">
        <v>200</v>
      </c>
      <c r="BE123" s="221">
        <f>IF(N123="základní",J123,0)</f>
        <v>0</v>
      </c>
      <c r="BF123" s="221">
        <f>IF(N123="snížená",J123,0)</f>
        <v>0</v>
      </c>
      <c r="BG123" s="221">
        <f>IF(N123="zákl. přenesená",J123,0)</f>
        <v>0</v>
      </c>
      <c r="BH123" s="221">
        <f>IF(N123="sníž. přenesená",J123,0)</f>
        <v>0</v>
      </c>
      <c r="BI123" s="221">
        <f>IF(N123="nulová",J123,0)</f>
        <v>0</v>
      </c>
      <c r="BJ123" s="18" t="s">
        <v>86</v>
      </c>
      <c r="BK123" s="221">
        <f>ROUND(I123*H123,1)</f>
        <v>0</v>
      </c>
      <c r="BL123" s="18" t="s">
        <v>207</v>
      </c>
      <c r="BM123" s="220" t="s">
        <v>3167</v>
      </c>
    </row>
    <row r="124" s="2" customFormat="1">
      <c r="A124" s="40"/>
      <c r="B124" s="41"/>
      <c r="C124" s="42"/>
      <c r="D124" s="222" t="s">
        <v>209</v>
      </c>
      <c r="E124" s="42"/>
      <c r="F124" s="223" t="s">
        <v>3168</v>
      </c>
      <c r="G124" s="42"/>
      <c r="H124" s="42"/>
      <c r="I124" s="224"/>
      <c r="J124" s="42"/>
      <c r="K124" s="42"/>
      <c r="L124" s="46"/>
      <c r="M124" s="283"/>
      <c r="N124" s="284"/>
      <c r="O124" s="285"/>
      <c r="P124" s="285"/>
      <c r="Q124" s="285"/>
      <c r="R124" s="285"/>
      <c r="S124" s="285"/>
      <c r="T124" s="286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T124" s="18" t="s">
        <v>209</v>
      </c>
      <c r="AU124" s="18" t="s">
        <v>88</v>
      </c>
    </row>
    <row r="125" s="2" customFormat="1" ht="6.96" customHeight="1">
      <c r="A125" s="40"/>
      <c r="B125" s="61"/>
      <c r="C125" s="62"/>
      <c r="D125" s="62"/>
      <c r="E125" s="62"/>
      <c r="F125" s="62"/>
      <c r="G125" s="62"/>
      <c r="H125" s="62"/>
      <c r="I125" s="62"/>
      <c r="J125" s="62"/>
      <c r="K125" s="62"/>
      <c r="L125" s="46"/>
      <c r="M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</row>
  </sheetData>
  <sheetProtection sheet="1" autoFilter="0" formatColumns="0" formatRows="0" objects="1" scenarios="1" spinCount="100000" saltValue="vX4UzeBlaa/B5/F1VGJgdA96NijcsusoF7uOHJq7NL5ggqg2/7r9wzM9kO6ga+M1qcVz8Y2f9qFLa5IS7jRoQA==" hashValue="GzRZ3vnPlLSeEo98zCFCbdMNGgFXhEIlrCqVh3ofK/M+li/oYCJGI+n2cRSkeak7NBWHJEFt/A9Ds3XYs7Jtsg==" algorithmName="SHA-512" password="CC35"/>
  <autoFilter ref="C83:K124"/>
  <mergeCells count="9">
    <mergeCell ref="E7:H7"/>
    <mergeCell ref="E9:H9"/>
    <mergeCell ref="E18:H18"/>
    <mergeCell ref="E27:H27"/>
    <mergeCell ref="E48:H48"/>
    <mergeCell ref="E50:H50"/>
    <mergeCell ref="E74:H74"/>
    <mergeCell ref="E76:H76"/>
    <mergeCell ref="L2:V2"/>
  </mergeCells>
  <hyperlinks>
    <hyperlink ref="F88" r:id="rId1" display="https://podminky.urs.cz/item/CS_URS_2023_02/132254102"/>
    <hyperlink ref="F91" r:id="rId2" display="https://podminky.urs.cz/item/CS_URS_2023_02/162251102"/>
    <hyperlink ref="F96" r:id="rId3" display="https://podminky.urs.cz/item/CS_URS_2023_02/167151101"/>
    <hyperlink ref="F99" r:id="rId4" display="https://podminky.urs.cz/item/CS_URS_2023_02/174151101"/>
    <hyperlink ref="F105" r:id="rId5" display="https://podminky.urs.cz/item/CS_URS_2023_02/175151101"/>
    <hyperlink ref="F111" r:id="rId6" display="https://podminky.urs.cz/item/CS_URS_2023_02/451572111"/>
    <hyperlink ref="F117" r:id="rId7" display="https://podminky.urs.cz/item/CS_URS_2023_02/871315211"/>
    <hyperlink ref="F119" r:id="rId8" display="https://podminky.urs.cz/item/CS_URS_2023_02/892351111"/>
    <hyperlink ref="F122" r:id="rId9" display="https://podminky.urs.cz/item/CS_URS_2023_02/998276101"/>
    <hyperlink ref="F124" r:id="rId10" display="https://podminky.urs.cz/item/CS_URS_2023_02/998276124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1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8" t="s">
        <v>106</v>
      </c>
    </row>
    <row r="3" hidden="1" s="1" customFormat="1" ht="6.96" customHeight="1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21"/>
      <c r="AT3" s="18" t="s">
        <v>88</v>
      </c>
    </row>
    <row r="4" hidden="1" s="1" customFormat="1" ht="24.96" customHeight="1">
      <c r="B4" s="21"/>
      <c r="D4" s="133" t="s">
        <v>121</v>
      </c>
      <c r="L4" s="21"/>
      <c r="M4" s="134" t="s">
        <v>10</v>
      </c>
      <c r="AT4" s="18" t="s">
        <v>4</v>
      </c>
    </row>
    <row r="5" hidden="1" s="1" customFormat="1" ht="6.96" customHeight="1">
      <c r="B5" s="21"/>
      <c r="L5" s="21"/>
    </row>
    <row r="6" hidden="1" s="1" customFormat="1" ht="12" customHeight="1">
      <c r="B6" s="21"/>
      <c r="D6" s="135" t="s">
        <v>16</v>
      </c>
      <c r="L6" s="21"/>
    </row>
    <row r="7" hidden="1" s="1" customFormat="1" ht="16.5" customHeight="1">
      <c r="B7" s="21"/>
      <c r="E7" s="136" t="str">
        <f>'Rekapitulace stavby'!K6</f>
        <v>Kulturní dům ČP 1, Třemošná- rev 03</v>
      </c>
      <c r="F7" s="135"/>
      <c r="G7" s="135"/>
      <c r="H7" s="135"/>
      <c r="L7" s="21"/>
    </row>
    <row r="8" hidden="1" s="2" customFormat="1" ht="12" customHeight="1">
      <c r="A8" s="40"/>
      <c r="B8" s="46"/>
      <c r="C8" s="40"/>
      <c r="D8" s="135" t="s">
        <v>134</v>
      </c>
      <c r="E8" s="40"/>
      <c r="F8" s="40"/>
      <c r="G8" s="40"/>
      <c r="H8" s="40"/>
      <c r="I8" s="40"/>
      <c r="J8" s="40"/>
      <c r="K8" s="40"/>
      <c r="L8" s="137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hidden="1" s="2" customFormat="1" ht="16.5" customHeight="1">
      <c r="A9" s="40"/>
      <c r="B9" s="46"/>
      <c r="C9" s="40"/>
      <c r="D9" s="40"/>
      <c r="E9" s="138" t="s">
        <v>3169</v>
      </c>
      <c r="F9" s="40"/>
      <c r="G9" s="40"/>
      <c r="H9" s="40"/>
      <c r="I9" s="40"/>
      <c r="J9" s="40"/>
      <c r="K9" s="40"/>
      <c r="L9" s="13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hidden="1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3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hidden="1" s="2" customFormat="1" ht="12" customHeight="1">
      <c r="A11" s="40"/>
      <c r="B11" s="46"/>
      <c r="C11" s="40"/>
      <c r="D11" s="135" t="s">
        <v>18</v>
      </c>
      <c r="E11" s="40"/>
      <c r="F11" s="139" t="s">
        <v>32</v>
      </c>
      <c r="G11" s="40"/>
      <c r="H11" s="40"/>
      <c r="I11" s="135" t="s">
        <v>20</v>
      </c>
      <c r="J11" s="139" t="s">
        <v>32</v>
      </c>
      <c r="K11" s="40"/>
      <c r="L11" s="13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hidden="1" s="2" customFormat="1" ht="12" customHeight="1">
      <c r="A12" s="40"/>
      <c r="B12" s="46"/>
      <c r="C12" s="40"/>
      <c r="D12" s="135" t="s">
        <v>22</v>
      </c>
      <c r="E12" s="40"/>
      <c r="F12" s="139" t="s">
        <v>41</v>
      </c>
      <c r="G12" s="40"/>
      <c r="H12" s="40"/>
      <c r="I12" s="135" t="s">
        <v>24</v>
      </c>
      <c r="J12" s="140" t="str">
        <f>'Rekapitulace stavby'!AN8</f>
        <v>20. 12. 2023</v>
      </c>
      <c r="K12" s="40"/>
      <c r="L12" s="13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hidden="1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3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hidden="1" s="2" customFormat="1" ht="12" customHeight="1">
      <c r="A14" s="40"/>
      <c r="B14" s="46"/>
      <c r="C14" s="40"/>
      <c r="D14" s="135" t="s">
        <v>30</v>
      </c>
      <c r="E14" s="40"/>
      <c r="F14" s="40"/>
      <c r="G14" s="40"/>
      <c r="H14" s="40"/>
      <c r="I14" s="135" t="s">
        <v>31</v>
      </c>
      <c r="J14" s="139" t="s">
        <v>32</v>
      </c>
      <c r="K14" s="40"/>
      <c r="L14" s="13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hidden="1" s="2" customFormat="1" ht="18" customHeight="1">
      <c r="A15" s="40"/>
      <c r="B15" s="46"/>
      <c r="C15" s="40"/>
      <c r="D15" s="40"/>
      <c r="E15" s="139" t="s">
        <v>41</v>
      </c>
      <c r="F15" s="40"/>
      <c r="G15" s="40"/>
      <c r="H15" s="40"/>
      <c r="I15" s="135" t="s">
        <v>34</v>
      </c>
      <c r="J15" s="139" t="s">
        <v>32</v>
      </c>
      <c r="K15" s="40"/>
      <c r="L15" s="13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hidden="1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3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hidden="1" s="2" customFormat="1" ht="12" customHeight="1">
      <c r="A17" s="40"/>
      <c r="B17" s="46"/>
      <c r="C17" s="40"/>
      <c r="D17" s="135" t="s">
        <v>35</v>
      </c>
      <c r="E17" s="40"/>
      <c r="F17" s="40"/>
      <c r="G17" s="40"/>
      <c r="H17" s="40"/>
      <c r="I17" s="135" t="s">
        <v>31</v>
      </c>
      <c r="J17" s="34" t="str">
        <f>'Rekapitulace stavby'!AN13</f>
        <v>Vyplň údaj</v>
      </c>
      <c r="K17" s="40"/>
      <c r="L17" s="13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hidden="1" s="2" customFormat="1" ht="18" customHeight="1">
      <c r="A18" s="40"/>
      <c r="B18" s="46"/>
      <c r="C18" s="40"/>
      <c r="D18" s="40"/>
      <c r="E18" s="34" t="str">
        <f>'Rekapitulace stavby'!E14</f>
        <v>Vyplň údaj</v>
      </c>
      <c r="F18" s="139"/>
      <c r="G18" s="139"/>
      <c r="H18" s="139"/>
      <c r="I18" s="135" t="s">
        <v>34</v>
      </c>
      <c r="J18" s="34" t="str">
        <f>'Rekapitulace stavby'!AN14</f>
        <v>Vyplň údaj</v>
      </c>
      <c r="K18" s="40"/>
      <c r="L18" s="13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hidden="1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3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hidden="1" s="2" customFormat="1" ht="12" customHeight="1">
      <c r="A20" s="40"/>
      <c r="B20" s="46"/>
      <c r="C20" s="40"/>
      <c r="D20" s="135" t="s">
        <v>37</v>
      </c>
      <c r="E20" s="40"/>
      <c r="F20" s="40"/>
      <c r="G20" s="40"/>
      <c r="H20" s="40"/>
      <c r="I20" s="135" t="s">
        <v>31</v>
      </c>
      <c r="J20" s="139" t="s">
        <v>32</v>
      </c>
      <c r="K20" s="40"/>
      <c r="L20" s="13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hidden="1" s="2" customFormat="1" ht="18" customHeight="1">
      <c r="A21" s="40"/>
      <c r="B21" s="46"/>
      <c r="C21" s="40"/>
      <c r="D21" s="40"/>
      <c r="E21" s="139" t="s">
        <v>41</v>
      </c>
      <c r="F21" s="40"/>
      <c r="G21" s="40"/>
      <c r="H21" s="40"/>
      <c r="I21" s="135" t="s">
        <v>34</v>
      </c>
      <c r="J21" s="139" t="s">
        <v>32</v>
      </c>
      <c r="K21" s="40"/>
      <c r="L21" s="13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hidden="1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3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hidden="1" s="2" customFormat="1" ht="12" customHeight="1">
      <c r="A23" s="40"/>
      <c r="B23" s="46"/>
      <c r="C23" s="40"/>
      <c r="D23" s="135" t="s">
        <v>40</v>
      </c>
      <c r="E23" s="40"/>
      <c r="F23" s="40"/>
      <c r="G23" s="40"/>
      <c r="H23" s="40"/>
      <c r="I23" s="135" t="s">
        <v>31</v>
      </c>
      <c r="J23" s="139" t="s">
        <v>32</v>
      </c>
      <c r="K23" s="40"/>
      <c r="L23" s="13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hidden="1" s="2" customFormat="1" ht="18" customHeight="1">
      <c r="A24" s="40"/>
      <c r="B24" s="46"/>
      <c r="C24" s="40"/>
      <c r="D24" s="40"/>
      <c r="E24" s="139" t="s">
        <v>41</v>
      </c>
      <c r="F24" s="40"/>
      <c r="G24" s="40"/>
      <c r="H24" s="40"/>
      <c r="I24" s="135" t="s">
        <v>34</v>
      </c>
      <c r="J24" s="139" t="s">
        <v>32</v>
      </c>
      <c r="K24" s="40"/>
      <c r="L24" s="13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hidden="1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3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hidden="1" s="2" customFormat="1" ht="12" customHeight="1">
      <c r="A26" s="40"/>
      <c r="B26" s="46"/>
      <c r="C26" s="40"/>
      <c r="D26" s="135" t="s">
        <v>42</v>
      </c>
      <c r="E26" s="40"/>
      <c r="F26" s="40"/>
      <c r="G26" s="40"/>
      <c r="H26" s="40"/>
      <c r="I26" s="40"/>
      <c r="J26" s="40"/>
      <c r="K26" s="40"/>
      <c r="L26" s="13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hidden="1" s="8" customFormat="1" ht="16.5" customHeight="1">
      <c r="A27" s="143"/>
      <c r="B27" s="144"/>
      <c r="C27" s="143"/>
      <c r="D27" s="143"/>
      <c r="E27" s="145" t="s">
        <v>32</v>
      </c>
      <c r="F27" s="145"/>
      <c r="G27" s="145"/>
      <c r="H27" s="145"/>
      <c r="I27" s="143"/>
      <c r="J27" s="143"/>
      <c r="K27" s="143"/>
      <c r="L27" s="146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</row>
    <row r="28" hidden="1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3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hidden="1" s="2" customFormat="1" ht="6.96" customHeight="1">
      <c r="A29" s="40"/>
      <c r="B29" s="46"/>
      <c r="C29" s="40"/>
      <c r="D29" s="147"/>
      <c r="E29" s="147"/>
      <c r="F29" s="147"/>
      <c r="G29" s="147"/>
      <c r="H29" s="147"/>
      <c r="I29" s="147"/>
      <c r="J29" s="147"/>
      <c r="K29" s="147"/>
      <c r="L29" s="13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hidden="1" s="2" customFormat="1" ht="25.44" customHeight="1">
      <c r="A30" s="40"/>
      <c r="B30" s="46"/>
      <c r="C30" s="40"/>
      <c r="D30" s="148" t="s">
        <v>44</v>
      </c>
      <c r="E30" s="40"/>
      <c r="F30" s="40"/>
      <c r="G30" s="40"/>
      <c r="H30" s="40"/>
      <c r="I30" s="40"/>
      <c r="J30" s="149">
        <f>ROUND(J87, 1)</f>
        <v>0</v>
      </c>
      <c r="K30" s="40"/>
      <c r="L30" s="13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hidden="1" s="2" customFormat="1" ht="6.96" customHeight="1">
      <c r="A31" s="40"/>
      <c r="B31" s="46"/>
      <c r="C31" s="40"/>
      <c r="D31" s="147"/>
      <c r="E31" s="147"/>
      <c r="F31" s="147"/>
      <c r="G31" s="147"/>
      <c r="H31" s="147"/>
      <c r="I31" s="147"/>
      <c r="J31" s="147"/>
      <c r="K31" s="147"/>
      <c r="L31" s="13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hidden="1" s="2" customFormat="1" ht="14.4" customHeight="1">
      <c r="A32" s="40"/>
      <c r="B32" s="46"/>
      <c r="C32" s="40"/>
      <c r="D32" s="40"/>
      <c r="E32" s="40"/>
      <c r="F32" s="150" t="s">
        <v>46</v>
      </c>
      <c r="G32" s="40"/>
      <c r="H32" s="40"/>
      <c r="I32" s="150" t="s">
        <v>45</v>
      </c>
      <c r="J32" s="150" t="s">
        <v>47</v>
      </c>
      <c r="K32" s="40"/>
      <c r="L32" s="13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hidden="1" s="2" customFormat="1" ht="14.4" customHeight="1">
      <c r="A33" s="40"/>
      <c r="B33" s="46"/>
      <c r="C33" s="40"/>
      <c r="D33" s="151" t="s">
        <v>48</v>
      </c>
      <c r="E33" s="135" t="s">
        <v>49</v>
      </c>
      <c r="F33" s="152">
        <f>ROUND((SUM(BE87:BE159)),  1)</f>
        <v>0</v>
      </c>
      <c r="G33" s="40"/>
      <c r="H33" s="40"/>
      <c r="I33" s="153">
        <v>0.20999999999999999</v>
      </c>
      <c r="J33" s="152">
        <f>ROUND(((SUM(BE87:BE159))*I33),  1)</f>
        <v>0</v>
      </c>
      <c r="K33" s="40"/>
      <c r="L33" s="13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hidden="1" s="2" customFormat="1" ht="14.4" customHeight="1">
      <c r="A34" s="40"/>
      <c r="B34" s="46"/>
      <c r="C34" s="40"/>
      <c r="D34" s="40"/>
      <c r="E34" s="135" t="s">
        <v>50</v>
      </c>
      <c r="F34" s="152">
        <f>ROUND((SUM(BF87:BF159)),  1)</f>
        <v>0</v>
      </c>
      <c r="G34" s="40"/>
      <c r="H34" s="40"/>
      <c r="I34" s="153">
        <v>0.14999999999999999</v>
      </c>
      <c r="J34" s="152">
        <f>ROUND(((SUM(BF87:BF159))*I34),  1)</f>
        <v>0</v>
      </c>
      <c r="K34" s="40"/>
      <c r="L34" s="13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35" t="s">
        <v>51</v>
      </c>
      <c r="F35" s="152">
        <f>ROUND((SUM(BG87:BG159)),  1)</f>
        <v>0</v>
      </c>
      <c r="G35" s="40"/>
      <c r="H35" s="40"/>
      <c r="I35" s="153">
        <v>0.20999999999999999</v>
      </c>
      <c r="J35" s="152">
        <f>0</f>
        <v>0</v>
      </c>
      <c r="K35" s="40"/>
      <c r="L35" s="13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35" t="s">
        <v>52</v>
      </c>
      <c r="F36" s="152">
        <f>ROUND((SUM(BH87:BH159)),  1)</f>
        <v>0</v>
      </c>
      <c r="G36" s="40"/>
      <c r="H36" s="40"/>
      <c r="I36" s="153">
        <v>0.14999999999999999</v>
      </c>
      <c r="J36" s="152">
        <f>0</f>
        <v>0</v>
      </c>
      <c r="K36" s="40"/>
      <c r="L36" s="13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35" t="s">
        <v>53</v>
      </c>
      <c r="F37" s="152">
        <f>ROUND((SUM(BI87:BI159)),  1)</f>
        <v>0</v>
      </c>
      <c r="G37" s="40"/>
      <c r="H37" s="40"/>
      <c r="I37" s="153">
        <v>0</v>
      </c>
      <c r="J37" s="152">
        <f>0</f>
        <v>0</v>
      </c>
      <c r="K37" s="40"/>
      <c r="L37" s="13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3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25.44" customHeight="1">
      <c r="A39" s="40"/>
      <c r="B39" s="46"/>
      <c r="C39" s="154"/>
      <c r="D39" s="155" t="s">
        <v>54</v>
      </c>
      <c r="E39" s="156"/>
      <c r="F39" s="156"/>
      <c r="G39" s="157" t="s">
        <v>55</v>
      </c>
      <c r="H39" s="158" t="s">
        <v>56</v>
      </c>
      <c r="I39" s="156"/>
      <c r="J39" s="159">
        <f>SUM(J30:J37)</f>
        <v>0</v>
      </c>
      <c r="K39" s="160"/>
      <c r="L39" s="13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161"/>
      <c r="C40" s="162"/>
      <c r="D40" s="162"/>
      <c r="E40" s="162"/>
      <c r="F40" s="162"/>
      <c r="G40" s="162"/>
      <c r="H40" s="162"/>
      <c r="I40" s="162"/>
      <c r="J40" s="162"/>
      <c r="K40" s="162"/>
      <c r="L40" s="13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/>
    <row r="42" hidden="1"/>
    <row r="43" hidden="1"/>
    <row r="44" hidden="1" s="2" customFormat="1" ht="6.96" customHeight="1">
      <c r="A44" s="4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3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hidden="1" s="2" customFormat="1" ht="24.96" customHeight="1">
      <c r="A45" s="40"/>
      <c r="B45" s="41"/>
      <c r="C45" s="24" t="s">
        <v>155</v>
      </c>
      <c r="D45" s="42"/>
      <c r="E45" s="42"/>
      <c r="F45" s="42"/>
      <c r="G45" s="42"/>
      <c r="H45" s="42"/>
      <c r="I45" s="42"/>
      <c r="J45" s="42"/>
      <c r="K45" s="42"/>
      <c r="L45" s="137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hidden="1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3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hidden="1" s="2" customFormat="1" ht="12" customHeight="1">
      <c r="A47" s="40"/>
      <c r="B47" s="41"/>
      <c r="C47" s="33" t="s">
        <v>16</v>
      </c>
      <c r="D47" s="42"/>
      <c r="E47" s="42"/>
      <c r="F47" s="42"/>
      <c r="G47" s="42"/>
      <c r="H47" s="42"/>
      <c r="I47" s="42"/>
      <c r="J47" s="42"/>
      <c r="K47" s="42"/>
      <c r="L47" s="13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hidden="1" s="2" customFormat="1" ht="16.5" customHeight="1">
      <c r="A48" s="40"/>
      <c r="B48" s="41"/>
      <c r="C48" s="42"/>
      <c r="D48" s="42"/>
      <c r="E48" s="165" t="str">
        <f>E7</f>
        <v>Kulturní dům ČP 1, Třemošná- rev 03</v>
      </c>
      <c r="F48" s="33"/>
      <c r="G48" s="33"/>
      <c r="H48" s="33"/>
      <c r="I48" s="42"/>
      <c r="J48" s="42"/>
      <c r="K48" s="42"/>
      <c r="L48" s="13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hidden="1" s="2" customFormat="1" ht="12" customHeight="1">
      <c r="A49" s="40"/>
      <c r="B49" s="41"/>
      <c r="C49" s="33" t="s">
        <v>134</v>
      </c>
      <c r="D49" s="42"/>
      <c r="E49" s="42"/>
      <c r="F49" s="42"/>
      <c r="G49" s="42"/>
      <c r="H49" s="42"/>
      <c r="I49" s="42"/>
      <c r="J49" s="42"/>
      <c r="K49" s="42"/>
      <c r="L49" s="13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hidden="1" s="2" customFormat="1" ht="16.5" customHeight="1">
      <c r="A50" s="40"/>
      <c r="B50" s="41"/>
      <c r="C50" s="42"/>
      <c r="D50" s="42"/>
      <c r="E50" s="71" t="str">
        <f>E9</f>
        <v>07 - Dešťová kanalizace</v>
      </c>
      <c r="F50" s="42"/>
      <c r="G50" s="42"/>
      <c r="H50" s="42"/>
      <c r="I50" s="42"/>
      <c r="J50" s="42"/>
      <c r="K50" s="42"/>
      <c r="L50" s="13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hidden="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3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hidden="1" s="2" customFormat="1" ht="12" customHeight="1">
      <c r="A52" s="40"/>
      <c r="B52" s="41"/>
      <c r="C52" s="33" t="s">
        <v>22</v>
      </c>
      <c r="D52" s="42"/>
      <c r="E52" s="42"/>
      <c r="F52" s="28" t="str">
        <f>F12</f>
        <v xml:space="preserve"> </v>
      </c>
      <c r="G52" s="42"/>
      <c r="H52" s="42"/>
      <c r="I52" s="33" t="s">
        <v>24</v>
      </c>
      <c r="J52" s="74" t="str">
        <f>IF(J12="","",J12)</f>
        <v>20. 12. 2023</v>
      </c>
      <c r="K52" s="42"/>
      <c r="L52" s="13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hidden="1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3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hidden="1" s="2" customFormat="1" ht="15.15" customHeight="1">
      <c r="A54" s="40"/>
      <c r="B54" s="41"/>
      <c r="C54" s="33" t="s">
        <v>30</v>
      </c>
      <c r="D54" s="42"/>
      <c r="E54" s="42"/>
      <c r="F54" s="28" t="str">
        <f>E15</f>
        <v xml:space="preserve"> </v>
      </c>
      <c r="G54" s="42"/>
      <c r="H54" s="42"/>
      <c r="I54" s="33" t="s">
        <v>37</v>
      </c>
      <c r="J54" s="38" t="str">
        <f>E21</f>
        <v xml:space="preserve"> </v>
      </c>
      <c r="K54" s="42"/>
      <c r="L54" s="13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hidden="1" s="2" customFormat="1" ht="15.15" customHeight="1">
      <c r="A55" s="40"/>
      <c r="B55" s="41"/>
      <c r="C55" s="33" t="s">
        <v>35</v>
      </c>
      <c r="D55" s="42"/>
      <c r="E55" s="42"/>
      <c r="F55" s="28" t="str">
        <f>IF(E18="","",E18)</f>
        <v>Vyplň údaj</v>
      </c>
      <c r="G55" s="42"/>
      <c r="H55" s="42"/>
      <c r="I55" s="33" t="s">
        <v>40</v>
      </c>
      <c r="J55" s="38" t="str">
        <f>E24</f>
        <v xml:space="preserve"> </v>
      </c>
      <c r="K55" s="42"/>
      <c r="L55" s="13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hidden="1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3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hidden="1" s="2" customFormat="1" ht="29.28" customHeight="1">
      <c r="A57" s="40"/>
      <c r="B57" s="41"/>
      <c r="C57" s="166" t="s">
        <v>156</v>
      </c>
      <c r="D57" s="167"/>
      <c r="E57" s="167"/>
      <c r="F57" s="167"/>
      <c r="G57" s="167"/>
      <c r="H57" s="167"/>
      <c r="I57" s="167"/>
      <c r="J57" s="168" t="s">
        <v>157</v>
      </c>
      <c r="K57" s="167"/>
      <c r="L57" s="13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hidden="1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3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hidden="1" s="2" customFormat="1" ht="22.8" customHeight="1">
      <c r="A59" s="40"/>
      <c r="B59" s="41"/>
      <c r="C59" s="169" t="s">
        <v>76</v>
      </c>
      <c r="D59" s="42"/>
      <c r="E59" s="42"/>
      <c r="F59" s="42"/>
      <c r="G59" s="42"/>
      <c r="H59" s="42"/>
      <c r="I59" s="42"/>
      <c r="J59" s="104">
        <f>J87</f>
        <v>0</v>
      </c>
      <c r="K59" s="42"/>
      <c r="L59" s="13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8" t="s">
        <v>158</v>
      </c>
    </row>
    <row r="60" hidden="1" s="9" customFormat="1" ht="24.96" customHeight="1">
      <c r="A60" s="9"/>
      <c r="B60" s="170"/>
      <c r="C60" s="171"/>
      <c r="D60" s="172" t="s">
        <v>159</v>
      </c>
      <c r="E60" s="173"/>
      <c r="F60" s="173"/>
      <c r="G60" s="173"/>
      <c r="H60" s="173"/>
      <c r="I60" s="173"/>
      <c r="J60" s="174">
        <f>J88</f>
        <v>0</v>
      </c>
      <c r="K60" s="171"/>
      <c r="L60" s="175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idden="1" s="10" customFormat="1" ht="19.92" customHeight="1">
      <c r="A61" s="10"/>
      <c r="B61" s="176"/>
      <c r="C61" s="177"/>
      <c r="D61" s="178" t="s">
        <v>160</v>
      </c>
      <c r="E61" s="179"/>
      <c r="F61" s="179"/>
      <c r="G61" s="179"/>
      <c r="H61" s="179"/>
      <c r="I61" s="179"/>
      <c r="J61" s="180">
        <f>J89</f>
        <v>0</v>
      </c>
      <c r="K61" s="177"/>
      <c r="L61" s="181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hidden="1" s="10" customFormat="1" ht="19.92" customHeight="1">
      <c r="A62" s="10"/>
      <c r="B62" s="176"/>
      <c r="C62" s="177"/>
      <c r="D62" s="178" t="s">
        <v>162</v>
      </c>
      <c r="E62" s="179"/>
      <c r="F62" s="179"/>
      <c r="G62" s="179"/>
      <c r="H62" s="179"/>
      <c r="I62" s="179"/>
      <c r="J62" s="180">
        <f>J126</f>
        <v>0</v>
      </c>
      <c r="K62" s="177"/>
      <c r="L62" s="181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hidden="1" s="10" customFormat="1" ht="19.92" customHeight="1">
      <c r="A63" s="10"/>
      <c r="B63" s="176"/>
      <c r="C63" s="177"/>
      <c r="D63" s="178" t="s">
        <v>163</v>
      </c>
      <c r="E63" s="179"/>
      <c r="F63" s="179"/>
      <c r="G63" s="179"/>
      <c r="H63" s="179"/>
      <c r="I63" s="179"/>
      <c r="J63" s="180">
        <f>J130</f>
        <v>0</v>
      </c>
      <c r="K63" s="177"/>
      <c r="L63" s="181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hidden="1" s="10" customFormat="1" ht="19.92" customHeight="1">
      <c r="A64" s="10"/>
      <c r="B64" s="176"/>
      <c r="C64" s="177"/>
      <c r="D64" s="178" t="s">
        <v>165</v>
      </c>
      <c r="E64" s="179"/>
      <c r="F64" s="179"/>
      <c r="G64" s="179"/>
      <c r="H64" s="179"/>
      <c r="I64" s="179"/>
      <c r="J64" s="180">
        <f>J134</f>
        <v>0</v>
      </c>
      <c r="K64" s="177"/>
      <c r="L64" s="181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hidden="1" s="10" customFormat="1" ht="19.92" customHeight="1">
      <c r="A65" s="10"/>
      <c r="B65" s="176"/>
      <c r="C65" s="177"/>
      <c r="D65" s="178" t="s">
        <v>167</v>
      </c>
      <c r="E65" s="179"/>
      <c r="F65" s="179"/>
      <c r="G65" s="179"/>
      <c r="H65" s="179"/>
      <c r="I65" s="179"/>
      <c r="J65" s="180">
        <f>J151</f>
        <v>0</v>
      </c>
      <c r="K65" s="177"/>
      <c r="L65" s="181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hidden="1" s="9" customFormat="1" ht="24.96" customHeight="1">
      <c r="A66" s="9"/>
      <c r="B66" s="170"/>
      <c r="C66" s="171"/>
      <c r="D66" s="172" t="s">
        <v>168</v>
      </c>
      <c r="E66" s="173"/>
      <c r="F66" s="173"/>
      <c r="G66" s="173"/>
      <c r="H66" s="173"/>
      <c r="I66" s="173"/>
      <c r="J66" s="174">
        <f>J156</f>
        <v>0</v>
      </c>
      <c r="K66" s="171"/>
      <c r="L66" s="175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hidden="1" s="10" customFormat="1" ht="19.92" customHeight="1">
      <c r="A67" s="10"/>
      <c r="B67" s="176"/>
      <c r="C67" s="177"/>
      <c r="D67" s="178" t="s">
        <v>2106</v>
      </c>
      <c r="E67" s="179"/>
      <c r="F67" s="179"/>
      <c r="G67" s="179"/>
      <c r="H67" s="179"/>
      <c r="I67" s="179"/>
      <c r="J67" s="180">
        <f>J157</f>
        <v>0</v>
      </c>
      <c r="K67" s="177"/>
      <c r="L67" s="181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hidden="1" s="2" customFormat="1" ht="21.84" customHeight="1">
      <c r="A68" s="40"/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137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 hidden="1" s="2" customFormat="1" ht="6.96" customHeight="1">
      <c r="A69" s="40"/>
      <c r="B69" s="61"/>
      <c r="C69" s="62"/>
      <c r="D69" s="62"/>
      <c r="E69" s="62"/>
      <c r="F69" s="62"/>
      <c r="G69" s="62"/>
      <c r="H69" s="62"/>
      <c r="I69" s="62"/>
      <c r="J69" s="62"/>
      <c r="K69" s="62"/>
      <c r="L69" s="137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 hidden="1"/>
    <row r="71" hidden="1"/>
    <row r="72" hidden="1"/>
    <row r="73" s="2" customFormat="1" ht="6.96" customHeight="1">
      <c r="A73" s="40"/>
      <c r="B73" s="63"/>
      <c r="C73" s="64"/>
      <c r="D73" s="64"/>
      <c r="E73" s="64"/>
      <c r="F73" s="64"/>
      <c r="G73" s="64"/>
      <c r="H73" s="64"/>
      <c r="I73" s="64"/>
      <c r="J73" s="64"/>
      <c r="K73" s="64"/>
      <c r="L73" s="137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24.96" customHeight="1">
      <c r="A74" s="40"/>
      <c r="B74" s="41"/>
      <c r="C74" s="24" t="s">
        <v>185</v>
      </c>
      <c r="D74" s="42"/>
      <c r="E74" s="42"/>
      <c r="F74" s="42"/>
      <c r="G74" s="42"/>
      <c r="H74" s="42"/>
      <c r="I74" s="42"/>
      <c r="J74" s="42"/>
      <c r="K74" s="42"/>
      <c r="L74" s="137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6.96" customHeight="1">
      <c r="A75" s="40"/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137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12" customHeight="1">
      <c r="A76" s="40"/>
      <c r="B76" s="41"/>
      <c r="C76" s="33" t="s">
        <v>16</v>
      </c>
      <c r="D76" s="42"/>
      <c r="E76" s="42"/>
      <c r="F76" s="42"/>
      <c r="G76" s="42"/>
      <c r="H76" s="42"/>
      <c r="I76" s="42"/>
      <c r="J76" s="42"/>
      <c r="K76" s="42"/>
      <c r="L76" s="137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16.5" customHeight="1">
      <c r="A77" s="40"/>
      <c r="B77" s="41"/>
      <c r="C77" s="42"/>
      <c r="D77" s="42"/>
      <c r="E77" s="165" t="str">
        <f>E7</f>
        <v>Kulturní dům ČP 1, Třemošná- rev 03</v>
      </c>
      <c r="F77" s="33"/>
      <c r="G77" s="33"/>
      <c r="H77" s="33"/>
      <c r="I77" s="42"/>
      <c r="J77" s="42"/>
      <c r="K77" s="42"/>
      <c r="L77" s="137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12" customHeight="1">
      <c r="A78" s="40"/>
      <c r="B78" s="41"/>
      <c r="C78" s="33" t="s">
        <v>134</v>
      </c>
      <c r="D78" s="42"/>
      <c r="E78" s="42"/>
      <c r="F78" s="42"/>
      <c r="G78" s="42"/>
      <c r="H78" s="42"/>
      <c r="I78" s="42"/>
      <c r="J78" s="42"/>
      <c r="K78" s="42"/>
      <c r="L78" s="137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16.5" customHeight="1">
      <c r="A79" s="40"/>
      <c r="B79" s="41"/>
      <c r="C79" s="42"/>
      <c r="D79" s="42"/>
      <c r="E79" s="71" t="str">
        <f>E9</f>
        <v>07 - Dešťová kanalizace</v>
      </c>
      <c r="F79" s="42"/>
      <c r="G79" s="42"/>
      <c r="H79" s="42"/>
      <c r="I79" s="42"/>
      <c r="J79" s="42"/>
      <c r="K79" s="42"/>
      <c r="L79" s="13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6.96" customHeight="1">
      <c r="A80" s="40"/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13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2" customHeight="1">
      <c r="A81" s="40"/>
      <c r="B81" s="41"/>
      <c r="C81" s="33" t="s">
        <v>22</v>
      </c>
      <c r="D81" s="42"/>
      <c r="E81" s="42"/>
      <c r="F81" s="28" t="str">
        <f>F12</f>
        <v xml:space="preserve"> </v>
      </c>
      <c r="G81" s="42"/>
      <c r="H81" s="42"/>
      <c r="I81" s="33" t="s">
        <v>24</v>
      </c>
      <c r="J81" s="74" t="str">
        <f>IF(J12="","",J12)</f>
        <v>20. 12. 2023</v>
      </c>
      <c r="K81" s="42"/>
      <c r="L81" s="13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6.96" customHeight="1">
      <c r="A82" s="40"/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13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5.15" customHeight="1">
      <c r="A83" s="40"/>
      <c r="B83" s="41"/>
      <c r="C83" s="33" t="s">
        <v>30</v>
      </c>
      <c r="D83" s="42"/>
      <c r="E83" s="42"/>
      <c r="F83" s="28" t="str">
        <f>E15</f>
        <v xml:space="preserve"> </v>
      </c>
      <c r="G83" s="42"/>
      <c r="H83" s="42"/>
      <c r="I83" s="33" t="s">
        <v>37</v>
      </c>
      <c r="J83" s="38" t="str">
        <f>E21</f>
        <v xml:space="preserve"> </v>
      </c>
      <c r="K83" s="42"/>
      <c r="L83" s="137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15.15" customHeight="1">
      <c r="A84" s="40"/>
      <c r="B84" s="41"/>
      <c r="C84" s="33" t="s">
        <v>35</v>
      </c>
      <c r="D84" s="42"/>
      <c r="E84" s="42"/>
      <c r="F84" s="28" t="str">
        <f>IF(E18="","",E18)</f>
        <v>Vyplň údaj</v>
      </c>
      <c r="G84" s="42"/>
      <c r="H84" s="42"/>
      <c r="I84" s="33" t="s">
        <v>40</v>
      </c>
      <c r="J84" s="38" t="str">
        <f>E24</f>
        <v xml:space="preserve"> </v>
      </c>
      <c r="K84" s="42"/>
      <c r="L84" s="13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10.32" customHeight="1">
      <c r="A85" s="40"/>
      <c r="B85" s="41"/>
      <c r="C85" s="42"/>
      <c r="D85" s="42"/>
      <c r="E85" s="42"/>
      <c r="F85" s="42"/>
      <c r="G85" s="42"/>
      <c r="H85" s="42"/>
      <c r="I85" s="42"/>
      <c r="J85" s="42"/>
      <c r="K85" s="42"/>
      <c r="L85" s="13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11" customFormat="1" ht="29.28" customHeight="1">
      <c r="A86" s="182"/>
      <c r="B86" s="183"/>
      <c r="C86" s="184" t="s">
        <v>186</v>
      </c>
      <c r="D86" s="185" t="s">
        <v>63</v>
      </c>
      <c r="E86" s="185" t="s">
        <v>59</v>
      </c>
      <c r="F86" s="185" t="s">
        <v>60</v>
      </c>
      <c r="G86" s="185" t="s">
        <v>187</v>
      </c>
      <c r="H86" s="185" t="s">
        <v>188</v>
      </c>
      <c r="I86" s="185" t="s">
        <v>189</v>
      </c>
      <c r="J86" s="185" t="s">
        <v>157</v>
      </c>
      <c r="K86" s="186" t="s">
        <v>190</v>
      </c>
      <c r="L86" s="187"/>
      <c r="M86" s="94" t="s">
        <v>32</v>
      </c>
      <c r="N86" s="95" t="s">
        <v>48</v>
      </c>
      <c r="O86" s="95" t="s">
        <v>191</v>
      </c>
      <c r="P86" s="95" t="s">
        <v>192</v>
      </c>
      <c r="Q86" s="95" t="s">
        <v>193</v>
      </c>
      <c r="R86" s="95" t="s">
        <v>194</v>
      </c>
      <c r="S86" s="95" t="s">
        <v>195</v>
      </c>
      <c r="T86" s="96" t="s">
        <v>196</v>
      </c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</row>
    <row r="87" s="2" customFormat="1" ht="22.8" customHeight="1">
      <c r="A87" s="40"/>
      <c r="B87" s="41"/>
      <c r="C87" s="101" t="s">
        <v>197</v>
      </c>
      <c r="D87" s="42"/>
      <c r="E87" s="42"/>
      <c r="F87" s="42"/>
      <c r="G87" s="42"/>
      <c r="H87" s="42"/>
      <c r="I87" s="42"/>
      <c r="J87" s="188">
        <f>BK87</f>
        <v>0</v>
      </c>
      <c r="K87" s="42"/>
      <c r="L87" s="46"/>
      <c r="M87" s="97"/>
      <c r="N87" s="189"/>
      <c r="O87" s="98"/>
      <c r="P87" s="190">
        <f>P88+P156</f>
        <v>0</v>
      </c>
      <c r="Q87" s="98"/>
      <c r="R87" s="190">
        <f>R88+R156</f>
        <v>67.965514499999983</v>
      </c>
      <c r="S87" s="98"/>
      <c r="T87" s="191">
        <f>T88+T156</f>
        <v>0</v>
      </c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T87" s="18" t="s">
        <v>77</v>
      </c>
      <c r="AU87" s="18" t="s">
        <v>158</v>
      </c>
      <c r="BK87" s="192">
        <f>BK88+BK156</f>
        <v>0</v>
      </c>
    </row>
    <row r="88" s="12" customFormat="1" ht="25.92" customHeight="1">
      <c r="A88" s="12"/>
      <c r="B88" s="193"/>
      <c r="C88" s="194"/>
      <c r="D88" s="195" t="s">
        <v>77</v>
      </c>
      <c r="E88" s="196" t="s">
        <v>198</v>
      </c>
      <c r="F88" s="196" t="s">
        <v>199</v>
      </c>
      <c r="G88" s="194"/>
      <c r="H88" s="194"/>
      <c r="I88" s="197"/>
      <c r="J88" s="198">
        <f>BK88</f>
        <v>0</v>
      </c>
      <c r="K88" s="194"/>
      <c r="L88" s="199"/>
      <c r="M88" s="200"/>
      <c r="N88" s="201"/>
      <c r="O88" s="201"/>
      <c r="P88" s="202">
        <f>P89+P126+P130+P134+P151</f>
        <v>0</v>
      </c>
      <c r="Q88" s="201"/>
      <c r="R88" s="202">
        <f>R89+R126+R130+R134+R151</f>
        <v>67.959514499999983</v>
      </c>
      <c r="S88" s="201"/>
      <c r="T88" s="203">
        <f>T89+T126+T130+T134+T151</f>
        <v>0</v>
      </c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R88" s="204" t="s">
        <v>86</v>
      </c>
      <c r="AT88" s="205" t="s">
        <v>77</v>
      </c>
      <c r="AU88" s="205" t="s">
        <v>78</v>
      </c>
      <c r="AY88" s="204" t="s">
        <v>200</v>
      </c>
      <c r="BK88" s="206">
        <f>BK89+BK126+BK130+BK134+BK151</f>
        <v>0</v>
      </c>
    </row>
    <row r="89" s="12" customFormat="1" ht="22.8" customHeight="1">
      <c r="A89" s="12"/>
      <c r="B89" s="193"/>
      <c r="C89" s="194"/>
      <c r="D89" s="195" t="s">
        <v>77</v>
      </c>
      <c r="E89" s="207" t="s">
        <v>86</v>
      </c>
      <c r="F89" s="207" t="s">
        <v>201</v>
      </c>
      <c r="G89" s="194"/>
      <c r="H89" s="194"/>
      <c r="I89" s="197"/>
      <c r="J89" s="208">
        <f>BK89</f>
        <v>0</v>
      </c>
      <c r="K89" s="194"/>
      <c r="L89" s="199"/>
      <c r="M89" s="200"/>
      <c r="N89" s="201"/>
      <c r="O89" s="201"/>
      <c r="P89" s="202">
        <f>SUM(P90:P125)</f>
        <v>0</v>
      </c>
      <c r="Q89" s="201"/>
      <c r="R89" s="202">
        <f>SUM(R90:R125)</f>
        <v>54.759999999999998</v>
      </c>
      <c r="S89" s="201"/>
      <c r="T89" s="203">
        <f>SUM(T90:T125)</f>
        <v>0</v>
      </c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R89" s="204" t="s">
        <v>86</v>
      </c>
      <c r="AT89" s="205" t="s">
        <v>77</v>
      </c>
      <c r="AU89" s="205" t="s">
        <v>86</v>
      </c>
      <c r="AY89" s="204" t="s">
        <v>200</v>
      </c>
      <c r="BK89" s="206">
        <f>SUM(BK90:BK125)</f>
        <v>0</v>
      </c>
    </row>
    <row r="90" s="2" customFormat="1" ht="24.15" customHeight="1">
      <c r="A90" s="40"/>
      <c r="B90" s="41"/>
      <c r="C90" s="209" t="s">
        <v>86</v>
      </c>
      <c r="D90" s="209" t="s">
        <v>202</v>
      </c>
      <c r="E90" s="210" t="s">
        <v>3170</v>
      </c>
      <c r="F90" s="211" t="s">
        <v>3171</v>
      </c>
      <c r="G90" s="212" t="s">
        <v>205</v>
      </c>
      <c r="H90" s="213">
        <v>47.5</v>
      </c>
      <c r="I90" s="214"/>
      <c r="J90" s="215">
        <f>ROUND(I90*H90,1)</f>
        <v>0</v>
      </c>
      <c r="K90" s="211" t="s">
        <v>206</v>
      </c>
      <c r="L90" s="46"/>
      <c r="M90" s="216" t="s">
        <v>32</v>
      </c>
      <c r="N90" s="217" t="s">
        <v>49</v>
      </c>
      <c r="O90" s="86"/>
      <c r="P90" s="218">
        <f>O90*H90</f>
        <v>0</v>
      </c>
      <c r="Q90" s="218">
        <v>0</v>
      </c>
      <c r="R90" s="218">
        <f>Q90*H90</f>
        <v>0</v>
      </c>
      <c r="S90" s="218">
        <v>0</v>
      </c>
      <c r="T90" s="219">
        <f>S90*H90</f>
        <v>0</v>
      </c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R90" s="220" t="s">
        <v>207</v>
      </c>
      <c r="AT90" s="220" t="s">
        <v>202</v>
      </c>
      <c r="AU90" s="220" t="s">
        <v>88</v>
      </c>
      <c r="AY90" s="18" t="s">
        <v>200</v>
      </c>
      <c r="BE90" s="221">
        <f>IF(N90="základní",J90,0)</f>
        <v>0</v>
      </c>
      <c r="BF90" s="221">
        <f>IF(N90="snížená",J90,0)</f>
        <v>0</v>
      </c>
      <c r="BG90" s="221">
        <f>IF(N90="zákl. přenesená",J90,0)</f>
        <v>0</v>
      </c>
      <c r="BH90" s="221">
        <f>IF(N90="sníž. přenesená",J90,0)</f>
        <v>0</v>
      </c>
      <c r="BI90" s="221">
        <f>IF(N90="nulová",J90,0)</f>
        <v>0</v>
      </c>
      <c r="BJ90" s="18" t="s">
        <v>86</v>
      </c>
      <c r="BK90" s="221">
        <f>ROUND(I90*H90,1)</f>
        <v>0</v>
      </c>
      <c r="BL90" s="18" t="s">
        <v>207</v>
      </c>
      <c r="BM90" s="220" t="s">
        <v>3172</v>
      </c>
    </row>
    <row r="91" s="2" customFormat="1">
      <c r="A91" s="40"/>
      <c r="B91" s="41"/>
      <c r="C91" s="42"/>
      <c r="D91" s="222" t="s">
        <v>209</v>
      </c>
      <c r="E91" s="42"/>
      <c r="F91" s="223" t="s">
        <v>3173</v>
      </c>
      <c r="G91" s="42"/>
      <c r="H91" s="42"/>
      <c r="I91" s="224"/>
      <c r="J91" s="42"/>
      <c r="K91" s="42"/>
      <c r="L91" s="46"/>
      <c r="M91" s="225"/>
      <c r="N91" s="226"/>
      <c r="O91" s="86"/>
      <c r="P91" s="86"/>
      <c r="Q91" s="86"/>
      <c r="R91" s="86"/>
      <c r="S91" s="86"/>
      <c r="T91" s="87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T91" s="18" t="s">
        <v>209</v>
      </c>
      <c r="AU91" s="18" t="s">
        <v>88</v>
      </c>
    </row>
    <row r="92" s="13" customFormat="1">
      <c r="A92" s="13"/>
      <c r="B92" s="227"/>
      <c r="C92" s="228"/>
      <c r="D92" s="229" t="s">
        <v>211</v>
      </c>
      <c r="E92" s="230" t="s">
        <v>32</v>
      </c>
      <c r="F92" s="231" t="s">
        <v>3174</v>
      </c>
      <c r="G92" s="228"/>
      <c r="H92" s="232">
        <v>5.5</v>
      </c>
      <c r="I92" s="233"/>
      <c r="J92" s="228"/>
      <c r="K92" s="228"/>
      <c r="L92" s="234"/>
      <c r="M92" s="235"/>
      <c r="N92" s="236"/>
      <c r="O92" s="236"/>
      <c r="P92" s="236"/>
      <c r="Q92" s="236"/>
      <c r="R92" s="236"/>
      <c r="S92" s="236"/>
      <c r="T92" s="237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T92" s="238" t="s">
        <v>211</v>
      </c>
      <c r="AU92" s="238" t="s">
        <v>88</v>
      </c>
      <c r="AV92" s="13" t="s">
        <v>88</v>
      </c>
      <c r="AW92" s="13" t="s">
        <v>213</v>
      </c>
      <c r="AX92" s="13" t="s">
        <v>78</v>
      </c>
      <c r="AY92" s="238" t="s">
        <v>200</v>
      </c>
    </row>
    <row r="93" s="13" customFormat="1">
      <c r="A93" s="13"/>
      <c r="B93" s="227"/>
      <c r="C93" s="228"/>
      <c r="D93" s="229" t="s">
        <v>211</v>
      </c>
      <c r="E93" s="230" t="s">
        <v>32</v>
      </c>
      <c r="F93" s="231" t="s">
        <v>3175</v>
      </c>
      <c r="G93" s="228"/>
      <c r="H93" s="232">
        <v>42</v>
      </c>
      <c r="I93" s="233"/>
      <c r="J93" s="228"/>
      <c r="K93" s="228"/>
      <c r="L93" s="234"/>
      <c r="M93" s="235"/>
      <c r="N93" s="236"/>
      <c r="O93" s="236"/>
      <c r="P93" s="236"/>
      <c r="Q93" s="236"/>
      <c r="R93" s="236"/>
      <c r="S93" s="236"/>
      <c r="T93" s="237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T93" s="238" t="s">
        <v>211</v>
      </c>
      <c r="AU93" s="238" t="s">
        <v>88</v>
      </c>
      <c r="AV93" s="13" t="s">
        <v>88</v>
      </c>
      <c r="AW93" s="13" t="s">
        <v>213</v>
      </c>
      <c r="AX93" s="13" t="s">
        <v>78</v>
      </c>
      <c r="AY93" s="238" t="s">
        <v>200</v>
      </c>
    </row>
    <row r="94" s="14" customFormat="1">
      <c r="A94" s="14"/>
      <c r="B94" s="239"/>
      <c r="C94" s="240"/>
      <c r="D94" s="229" t="s">
        <v>211</v>
      </c>
      <c r="E94" s="241" t="s">
        <v>32</v>
      </c>
      <c r="F94" s="242" t="s">
        <v>220</v>
      </c>
      <c r="G94" s="240"/>
      <c r="H94" s="243">
        <v>47.5</v>
      </c>
      <c r="I94" s="244"/>
      <c r="J94" s="240"/>
      <c r="K94" s="240"/>
      <c r="L94" s="245"/>
      <c r="M94" s="246"/>
      <c r="N94" s="247"/>
      <c r="O94" s="247"/>
      <c r="P94" s="247"/>
      <c r="Q94" s="247"/>
      <c r="R94" s="247"/>
      <c r="S94" s="247"/>
      <c r="T94" s="248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T94" s="249" t="s">
        <v>211</v>
      </c>
      <c r="AU94" s="249" t="s">
        <v>88</v>
      </c>
      <c r="AV94" s="14" t="s">
        <v>207</v>
      </c>
      <c r="AW94" s="14" t="s">
        <v>213</v>
      </c>
      <c r="AX94" s="14" t="s">
        <v>86</v>
      </c>
      <c r="AY94" s="249" t="s">
        <v>200</v>
      </c>
    </row>
    <row r="95" s="2" customFormat="1" ht="24.15" customHeight="1">
      <c r="A95" s="40"/>
      <c r="B95" s="41"/>
      <c r="C95" s="209" t="s">
        <v>88</v>
      </c>
      <c r="D95" s="209" t="s">
        <v>202</v>
      </c>
      <c r="E95" s="210" t="s">
        <v>3176</v>
      </c>
      <c r="F95" s="211" t="s">
        <v>3177</v>
      </c>
      <c r="G95" s="212" t="s">
        <v>205</v>
      </c>
      <c r="H95" s="213">
        <v>2.4300000000000002</v>
      </c>
      <c r="I95" s="214"/>
      <c r="J95" s="215">
        <f>ROUND(I95*H95,1)</f>
        <v>0</v>
      </c>
      <c r="K95" s="211" t="s">
        <v>206</v>
      </c>
      <c r="L95" s="46"/>
      <c r="M95" s="216" t="s">
        <v>32</v>
      </c>
      <c r="N95" s="217" t="s">
        <v>49</v>
      </c>
      <c r="O95" s="86"/>
      <c r="P95" s="218">
        <f>O95*H95</f>
        <v>0</v>
      </c>
      <c r="Q95" s="218">
        <v>0</v>
      </c>
      <c r="R95" s="218">
        <f>Q95*H95</f>
        <v>0</v>
      </c>
      <c r="S95" s="218">
        <v>0</v>
      </c>
      <c r="T95" s="219">
        <f>S95*H95</f>
        <v>0</v>
      </c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R95" s="220" t="s">
        <v>207</v>
      </c>
      <c r="AT95" s="220" t="s">
        <v>202</v>
      </c>
      <c r="AU95" s="220" t="s">
        <v>88</v>
      </c>
      <c r="AY95" s="18" t="s">
        <v>200</v>
      </c>
      <c r="BE95" s="221">
        <f>IF(N95="základní",J95,0)</f>
        <v>0</v>
      </c>
      <c r="BF95" s="221">
        <f>IF(N95="snížená",J95,0)</f>
        <v>0</v>
      </c>
      <c r="BG95" s="221">
        <f>IF(N95="zákl. přenesená",J95,0)</f>
        <v>0</v>
      </c>
      <c r="BH95" s="221">
        <f>IF(N95="sníž. přenesená",J95,0)</f>
        <v>0</v>
      </c>
      <c r="BI95" s="221">
        <f>IF(N95="nulová",J95,0)</f>
        <v>0</v>
      </c>
      <c r="BJ95" s="18" t="s">
        <v>86</v>
      </c>
      <c r="BK95" s="221">
        <f>ROUND(I95*H95,1)</f>
        <v>0</v>
      </c>
      <c r="BL95" s="18" t="s">
        <v>207</v>
      </c>
      <c r="BM95" s="220" t="s">
        <v>3178</v>
      </c>
    </row>
    <row r="96" s="2" customFormat="1">
      <c r="A96" s="40"/>
      <c r="B96" s="41"/>
      <c r="C96" s="42"/>
      <c r="D96" s="222" t="s">
        <v>209</v>
      </c>
      <c r="E96" s="42"/>
      <c r="F96" s="223" t="s">
        <v>3179</v>
      </c>
      <c r="G96" s="42"/>
      <c r="H96" s="42"/>
      <c r="I96" s="224"/>
      <c r="J96" s="42"/>
      <c r="K96" s="42"/>
      <c r="L96" s="46"/>
      <c r="M96" s="225"/>
      <c r="N96" s="226"/>
      <c r="O96" s="86"/>
      <c r="P96" s="86"/>
      <c r="Q96" s="86"/>
      <c r="R96" s="86"/>
      <c r="S96" s="86"/>
      <c r="T96" s="87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T96" s="18" t="s">
        <v>209</v>
      </c>
      <c r="AU96" s="18" t="s">
        <v>88</v>
      </c>
    </row>
    <row r="97" s="13" customFormat="1">
      <c r="A97" s="13"/>
      <c r="B97" s="227"/>
      <c r="C97" s="228"/>
      <c r="D97" s="229" t="s">
        <v>211</v>
      </c>
      <c r="E97" s="230" t="s">
        <v>32</v>
      </c>
      <c r="F97" s="231" t="s">
        <v>3180</v>
      </c>
      <c r="G97" s="228"/>
      <c r="H97" s="232">
        <v>2.4300000000000002</v>
      </c>
      <c r="I97" s="233"/>
      <c r="J97" s="228"/>
      <c r="K97" s="228"/>
      <c r="L97" s="234"/>
      <c r="M97" s="235"/>
      <c r="N97" s="236"/>
      <c r="O97" s="236"/>
      <c r="P97" s="236"/>
      <c r="Q97" s="236"/>
      <c r="R97" s="236"/>
      <c r="S97" s="236"/>
      <c r="T97" s="237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T97" s="238" t="s">
        <v>211</v>
      </c>
      <c r="AU97" s="238" t="s">
        <v>88</v>
      </c>
      <c r="AV97" s="13" t="s">
        <v>88</v>
      </c>
      <c r="AW97" s="13" t="s">
        <v>213</v>
      </c>
      <c r="AX97" s="13" t="s">
        <v>86</v>
      </c>
      <c r="AY97" s="238" t="s">
        <v>200</v>
      </c>
    </row>
    <row r="98" s="2" customFormat="1" ht="24.15" customHeight="1">
      <c r="A98" s="40"/>
      <c r="B98" s="41"/>
      <c r="C98" s="209" t="s">
        <v>148</v>
      </c>
      <c r="D98" s="209" t="s">
        <v>202</v>
      </c>
      <c r="E98" s="210" t="s">
        <v>3181</v>
      </c>
      <c r="F98" s="211" t="s">
        <v>3182</v>
      </c>
      <c r="G98" s="212" t="s">
        <v>205</v>
      </c>
      <c r="H98" s="213">
        <v>91.870000000000005</v>
      </c>
      <c r="I98" s="214"/>
      <c r="J98" s="215">
        <f>ROUND(I98*H98,1)</f>
        <v>0</v>
      </c>
      <c r="K98" s="211" t="s">
        <v>206</v>
      </c>
      <c r="L98" s="46"/>
      <c r="M98" s="216" t="s">
        <v>32</v>
      </c>
      <c r="N98" s="217" t="s">
        <v>49</v>
      </c>
      <c r="O98" s="86"/>
      <c r="P98" s="218">
        <f>O98*H98</f>
        <v>0</v>
      </c>
      <c r="Q98" s="218">
        <v>0</v>
      </c>
      <c r="R98" s="218">
        <f>Q98*H98</f>
        <v>0</v>
      </c>
      <c r="S98" s="218">
        <v>0</v>
      </c>
      <c r="T98" s="219">
        <f>S98*H98</f>
        <v>0</v>
      </c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R98" s="220" t="s">
        <v>207</v>
      </c>
      <c r="AT98" s="220" t="s">
        <v>202</v>
      </c>
      <c r="AU98" s="220" t="s">
        <v>88</v>
      </c>
      <c r="AY98" s="18" t="s">
        <v>200</v>
      </c>
      <c r="BE98" s="221">
        <f>IF(N98="základní",J98,0)</f>
        <v>0</v>
      </c>
      <c r="BF98" s="221">
        <f>IF(N98="snížená",J98,0)</f>
        <v>0</v>
      </c>
      <c r="BG98" s="221">
        <f>IF(N98="zákl. přenesená",J98,0)</f>
        <v>0</v>
      </c>
      <c r="BH98" s="221">
        <f>IF(N98="sníž. přenesená",J98,0)</f>
        <v>0</v>
      </c>
      <c r="BI98" s="221">
        <f>IF(N98="nulová",J98,0)</f>
        <v>0</v>
      </c>
      <c r="BJ98" s="18" t="s">
        <v>86</v>
      </c>
      <c r="BK98" s="221">
        <f>ROUND(I98*H98,1)</f>
        <v>0</v>
      </c>
      <c r="BL98" s="18" t="s">
        <v>207</v>
      </c>
      <c r="BM98" s="220" t="s">
        <v>3183</v>
      </c>
    </row>
    <row r="99" s="2" customFormat="1">
      <c r="A99" s="40"/>
      <c r="B99" s="41"/>
      <c r="C99" s="42"/>
      <c r="D99" s="222" t="s">
        <v>209</v>
      </c>
      <c r="E99" s="42"/>
      <c r="F99" s="223" t="s">
        <v>3184</v>
      </c>
      <c r="G99" s="42"/>
      <c r="H99" s="42"/>
      <c r="I99" s="224"/>
      <c r="J99" s="42"/>
      <c r="K99" s="42"/>
      <c r="L99" s="46"/>
      <c r="M99" s="225"/>
      <c r="N99" s="226"/>
      <c r="O99" s="86"/>
      <c r="P99" s="86"/>
      <c r="Q99" s="86"/>
      <c r="R99" s="86"/>
      <c r="S99" s="86"/>
      <c r="T99" s="87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8" t="s">
        <v>209</v>
      </c>
      <c r="AU99" s="18" t="s">
        <v>88</v>
      </c>
    </row>
    <row r="100" s="13" customFormat="1">
      <c r="A100" s="13"/>
      <c r="B100" s="227"/>
      <c r="C100" s="228"/>
      <c r="D100" s="229" t="s">
        <v>211</v>
      </c>
      <c r="E100" s="230" t="s">
        <v>32</v>
      </c>
      <c r="F100" s="231" t="s">
        <v>3185</v>
      </c>
      <c r="G100" s="228"/>
      <c r="H100" s="232">
        <v>88.269999999999996</v>
      </c>
      <c r="I100" s="233"/>
      <c r="J100" s="228"/>
      <c r="K100" s="228"/>
      <c r="L100" s="234"/>
      <c r="M100" s="235"/>
      <c r="N100" s="236"/>
      <c r="O100" s="236"/>
      <c r="P100" s="236"/>
      <c r="Q100" s="236"/>
      <c r="R100" s="236"/>
      <c r="S100" s="236"/>
      <c r="T100" s="237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T100" s="238" t="s">
        <v>211</v>
      </c>
      <c r="AU100" s="238" t="s">
        <v>88</v>
      </c>
      <c r="AV100" s="13" t="s">
        <v>88</v>
      </c>
      <c r="AW100" s="13" t="s">
        <v>213</v>
      </c>
      <c r="AX100" s="13" t="s">
        <v>78</v>
      </c>
      <c r="AY100" s="238" t="s">
        <v>200</v>
      </c>
    </row>
    <row r="101" s="13" customFormat="1">
      <c r="A101" s="13"/>
      <c r="B101" s="227"/>
      <c r="C101" s="228"/>
      <c r="D101" s="229" t="s">
        <v>211</v>
      </c>
      <c r="E101" s="230" t="s">
        <v>32</v>
      </c>
      <c r="F101" s="231" t="s">
        <v>3186</v>
      </c>
      <c r="G101" s="228"/>
      <c r="H101" s="232">
        <v>3.6000000000000001</v>
      </c>
      <c r="I101" s="233"/>
      <c r="J101" s="228"/>
      <c r="K101" s="228"/>
      <c r="L101" s="234"/>
      <c r="M101" s="235"/>
      <c r="N101" s="236"/>
      <c r="O101" s="236"/>
      <c r="P101" s="236"/>
      <c r="Q101" s="236"/>
      <c r="R101" s="236"/>
      <c r="S101" s="236"/>
      <c r="T101" s="237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T101" s="238" t="s">
        <v>211</v>
      </c>
      <c r="AU101" s="238" t="s">
        <v>88</v>
      </c>
      <c r="AV101" s="13" t="s">
        <v>88</v>
      </c>
      <c r="AW101" s="13" t="s">
        <v>213</v>
      </c>
      <c r="AX101" s="13" t="s">
        <v>78</v>
      </c>
      <c r="AY101" s="238" t="s">
        <v>200</v>
      </c>
    </row>
    <row r="102" s="14" customFormat="1">
      <c r="A102" s="14"/>
      <c r="B102" s="239"/>
      <c r="C102" s="240"/>
      <c r="D102" s="229" t="s">
        <v>211</v>
      </c>
      <c r="E102" s="241" t="s">
        <v>32</v>
      </c>
      <c r="F102" s="242" t="s">
        <v>220</v>
      </c>
      <c r="G102" s="240"/>
      <c r="H102" s="243">
        <v>91.86999999999999</v>
      </c>
      <c r="I102" s="244"/>
      <c r="J102" s="240"/>
      <c r="K102" s="240"/>
      <c r="L102" s="245"/>
      <c r="M102" s="246"/>
      <c r="N102" s="247"/>
      <c r="O102" s="247"/>
      <c r="P102" s="247"/>
      <c r="Q102" s="247"/>
      <c r="R102" s="247"/>
      <c r="S102" s="247"/>
      <c r="T102" s="248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T102" s="249" t="s">
        <v>211</v>
      </c>
      <c r="AU102" s="249" t="s">
        <v>88</v>
      </c>
      <c r="AV102" s="14" t="s">
        <v>207</v>
      </c>
      <c r="AW102" s="14" t="s">
        <v>213</v>
      </c>
      <c r="AX102" s="14" t="s">
        <v>86</v>
      </c>
      <c r="AY102" s="249" t="s">
        <v>200</v>
      </c>
    </row>
    <row r="103" s="2" customFormat="1" ht="37.8" customHeight="1">
      <c r="A103" s="40"/>
      <c r="B103" s="41"/>
      <c r="C103" s="209" t="s">
        <v>207</v>
      </c>
      <c r="D103" s="209" t="s">
        <v>202</v>
      </c>
      <c r="E103" s="210" t="s">
        <v>2119</v>
      </c>
      <c r="F103" s="211" t="s">
        <v>2120</v>
      </c>
      <c r="G103" s="212" t="s">
        <v>205</v>
      </c>
      <c r="H103" s="213">
        <v>204.37000000000001</v>
      </c>
      <c r="I103" s="214"/>
      <c r="J103" s="215">
        <f>ROUND(I103*H103,1)</f>
        <v>0</v>
      </c>
      <c r="K103" s="211" t="s">
        <v>206</v>
      </c>
      <c r="L103" s="46"/>
      <c r="M103" s="216" t="s">
        <v>32</v>
      </c>
      <c r="N103" s="217" t="s">
        <v>49</v>
      </c>
      <c r="O103" s="86"/>
      <c r="P103" s="218">
        <f>O103*H103</f>
        <v>0</v>
      </c>
      <c r="Q103" s="218">
        <v>0</v>
      </c>
      <c r="R103" s="218">
        <f>Q103*H103</f>
        <v>0</v>
      </c>
      <c r="S103" s="218">
        <v>0</v>
      </c>
      <c r="T103" s="219">
        <f>S103*H103</f>
        <v>0</v>
      </c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0" t="s">
        <v>207</v>
      </c>
      <c r="AT103" s="220" t="s">
        <v>202</v>
      </c>
      <c r="AU103" s="220" t="s">
        <v>88</v>
      </c>
      <c r="AY103" s="18" t="s">
        <v>200</v>
      </c>
      <c r="BE103" s="221">
        <f>IF(N103="základní",J103,0)</f>
        <v>0</v>
      </c>
      <c r="BF103" s="221">
        <f>IF(N103="snížená",J103,0)</f>
        <v>0</v>
      </c>
      <c r="BG103" s="221">
        <f>IF(N103="zákl. přenesená",J103,0)</f>
        <v>0</v>
      </c>
      <c r="BH103" s="221">
        <f>IF(N103="sníž. přenesená",J103,0)</f>
        <v>0</v>
      </c>
      <c r="BI103" s="221">
        <f>IF(N103="nulová",J103,0)</f>
        <v>0</v>
      </c>
      <c r="BJ103" s="18" t="s">
        <v>86</v>
      </c>
      <c r="BK103" s="221">
        <f>ROUND(I103*H103,1)</f>
        <v>0</v>
      </c>
      <c r="BL103" s="18" t="s">
        <v>207</v>
      </c>
      <c r="BM103" s="220" t="s">
        <v>3187</v>
      </c>
    </row>
    <row r="104" s="2" customFormat="1">
      <c r="A104" s="40"/>
      <c r="B104" s="41"/>
      <c r="C104" s="42"/>
      <c r="D104" s="222" t="s">
        <v>209</v>
      </c>
      <c r="E104" s="42"/>
      <c r="F104" s="223" t="s">
        <v>2122</v>
      </c>
      <c r="G104" s="42"/>
      <c r="H104" s="42"/>
      <c r="I104" s="224"/>
      <c r="J104" s="42"/>
      <c r="K104" s="42"/>
      <c r="L104" s="46"/>
      <c r="M104" s="225"/>
      <c r="N104" s="226"/>
      <c r="O104" s="86"/>
      <c r="P104" s="86"/>
      <c r="Q104" s="86"/>
      <c r="R104" s="86"/>
      <c r="S104" s="86"/>
      <c r="T104" s="87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8" t="s">
        <v>209</v>
      </c>
      <c r="AU104" s="18" t="s">
        <v>88</v>
      </c>
    </row>
    <row r="105" s="13" customFormat="1">
      <c r="A105" s="13"/>
      <c r="B105" s="227"/>
      <c r="C105" s="228"/>
      <c r="D105" s="229" t="s">
        <v>211</v>
      </c>
      <c r="E105" s="230" t="s">
        <v>32</v>
      </c>
      <c r="F105" s="231" t="s">
        <v>3188</v>
      </c>
      <c r="G105" s="228"/>
      <c r="H105" s="232">
        <v>141.80000000000001</v>
      </c>
      <c r="I105" s="233"/>
      <c r="J105" s="228"/>
      <c r="K105" s="228"/>
      <c r="L105" s="234"/>
      <c r="M105" s="235"/>
      <c r="N105" s="236"/>
      <c r="O105" s="236"/>
      <c r="P105" s="236"/>
      <c r="Q105" s="236"/>
      <c r="R105" s="236"/>
      <c r="S105" s="236"/>
      <c r="T105" s="237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T105" s="238" t="s">
        <v>211</v>
      </c>
      <c r="AU105" s="238" t="s">
        <v>88</v>
      </c>
      <c r="AV105" s="13" t="s">
        <v>88</v>
      </c>
      <c r="AW105" s="13" t="s">
        <v>213</v>
      </c>
      <c r="AX105" s="13" t="s">
        <v>78</v>
      </c>
      <c r="AY105" s="238" t="s">
        <v>200</v>
      </c>
    </row>
    <row r="106" s="13" customFormat="1">
      <c r="A106" s="13"/>
      <c r="B106" s="227"/>
      <c r="C106" s="228"/>
      <c r="D106" s="229" t="s">
        <v>211</v>
      </c>
      <c r="E106" s="230" t="s">
        <v>32</v>
      </c>
      <c r="F106" s="231" t="s">
        <v>3189</v>
      </c>
      <c r="G106" s="228"/>
      <c r="H106" s="232">
        <v>62.57</v>
      </c>
      <c r="I106" s="233"/>
      <c r="J106" s="228"/>
      <c r="K106" s="228"/>
      <c r="L106" s="234"/>
      <c r="M106" s="235"/>
      <c r="N106" s="236"/>
      <c r="O106" s="236"/>
      <c r="P106" s="236"/>
      <c r="Q106" s="236"/>
      <c r="R106" s="236"/>
      <c r="S106" s="236"/>
      <c r="T106" s="237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T106" s="238" t="s">
        <v>211</v>
      </c>
      <c r="AU106" s="238" t="s">
        <v>88</v>
      </c>
      <c r="AV106" s="13" t="s">
        <v>88</v>
      </c>
      <c r="AW106" s="13" t="s">
        <v>213</v>
      </c>
      <c r="AX106" s="13" t="s">
        <v>78</v>
      </c>
      <c r="AY106" s="238" t="s">
        <v>200</v>
      </c>
    </row>
    <row r="107" s="14" customFormat="1">
      <c r="A107" s="14"/>
      <c r="B107" s="239"/>
      <c r="C107" s="240"/>
      <c r="D107" s="229" t="s">
        <v>211</v>
      </c>
      <c r="E107" s="241" t="s">
        <v>32</v>
      </c>
      <c r="F107" s="242" t="s">
        <v>220</v>
      </c>
      <c r="G107" s="240"/>
      <c r="H107" s="243">
        <v>204.37000000000001</v>
      </c>
      <c r="I107" s="244"/>
      <c r="J107" s="240"/>
      <c r="K107" s="240"/>
      <c r="L107" s="245"/>
      <c r="M107" s="246"/>
      <c r="N107" s="247"/>
      <c r="O107" s="247"/>
      <c r="P107" s="247"/>
      <c r="Q107" s="247"/>
      <c r="R107" s="247"/>
      <c r="S107" s="247"/>
      <c r="T107" s="248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T107" s="249" t="s">
        <v>211</v>
      </c>
      <c r="AU107" s="249" t="s">
        <v>88</v>
      </c>
      <c r="AV107" s="14" t="s">
        <v>207</v>
      </c>
      <c r="AW107" s="14" t="s">
        <v>213</v>
      </c>
      <c r="AX107" s="14" t="s">
        <v>86</v>
      </c>
      <c r="AY107" s="249" t="s">
        <v>200</v>
      </c>
    </row>
    <row r="108" s="2" customFormat="1" ht="24.15" customHeight="1">
      <c r="A108" s="40"/>
      <c r="B108" s="41"/>
      <c r="C108" s="209" t="s">
        <v>234</v>
      </c>
      <c r="D108" s="209" t="s">
        <v>202</v>
      </c>
      <c r="E108" s="210" t="s">
        <v>2125</v>
      </c>
      <c r="F108" s="211" t="s">
        <v>2126</v>
      </c>
      <c r="G108" s="212" t="s">
        <v>205</v>
      </c>
      <c r="H108" s="213">
        <v>62.57</v>
      </c>
      <c r="I108" s="214"/>
      <c r="J108" s="215">
        <f>ROUND(I108*H108,1)</f>
        <v>0</v>
      </c>
      <c r="K108" s="211" t="s">
        <v>206</v>
      </c>
      <c r="L108" s="46"/>
      <c r="M108" s="216" t="s">
        <v>32</v>
      </c>
      <c r="N108" s="217" t="s">
        <v>49</v>
      </c>
      <c r="O108" s="86"/>
      <c r="P108" s="218">
        <f>O108*H108</f>
        <v>0</v>
      </c>
      <c r="Q108" s="218">
        <v>0</v>
      </c>
      <c r="R108" s="218">
        <f>Q108*H108</f>
        <v>0</v>
      </c>
      <c r="S108" s="218">
        <v>0</v>
      </c>
      <c r="T108" s="219">
        <f>S108*H108</f>
        <v>0</v>
      </c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0" t="s">
        <v>207</v>
      </c>
      <c r="AT108" s="220" t="s">
        <v>202</v>
      </c>
      <c r="AU108" s="220" t="s">
        <v>88</v>
      </c>
      <c r="AY108" s="18" t="s">
        <v>200</v>
      </c>
      <c r="BE108" s="221">
        <f>IF(N108="základní",J108,0)</f>
        <v>0</v>
      </c>
      <c r="BF108" s="221">
        <f>IF(N108="snížená",J108,0)</f>
        <v>0</v>
      </c>
      <c r="BG108" s="221">
        <f>IF(N108="zákl. přenesená",J108,0)</f>
        <v>0</v>
      </c>
      <c r="BH108" s="221">
        <f>IF(N108="sníž. přenesená",J108,0)</f>
        <v>0</v>
      </c>
      <c r="BI108" s="221">
        <f>IF(N108="nulová",J108,0)</f>
        <v>0</v>
      </c>
      <c r="BJ108" s="18" t="s">
        <v>86</v>
      </c>
      <c r="BK108" s="221">
        <f>ROUND(I108*H108,1)</f>
        <v>0</v>
      </c>
      <c r="BL108" s="18" t="s">
        <v>207</v>
      </c>
      <c r="BM108" s="220" t="s">
        <v>3190</v>
      </c>
    </row>
    <row r="109" s="2" customFormat="1">
      <c r="A109" s="40"/>
      <c r="B109" s="41"/>
      <c r="C109" s="42"/>
      <c r="D109" s="222" t="s">
        <v>209</v>
      </c>
      <c r="E109" s="42"/>
      <c r="F109" s="223" t="s">
        <v>2128</v>
      </c>
      <c r="G109" s="42"/>
      <c r="H109" s="42"/>
      <c r="I109" s="224"/>
      <c r="J109" s="42"/>
      <c r="K109" s="42"/>
      <c r="L109" s="46"/>
      <c r="M109" s="225"/>
      <c r="N109" s="226"/>
      <c r="O109" s="86"/>
      <c r="P109" s="86"/>
      <c r="Q109" s="86"/>
      <c r="R109" s="86"/>
      <c r="S109" s="86"/>
      <c r="T109" s="87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T109" s="18" t="s">
        <v>209</v>
      </c>
      <c r="AU109" s="18" t="s">
        <v>88</v>
      </c>
    </row>
    <row r="110" s="13" customFormat="1">
      <c r="A110" s="13"/>
      <c r="B110" s="227"/>
      <c r="C110" s="228"/>
      <c r="D110" s="229" t="s">
        <v>211</v>
      </c>
      <c r="E110" s="230" t="s">
        <v>32</v>
      </c>
      <c r="F110" s="231" t="s">
        <v>3191</v>
      </c>
      <c r="G110" s="228"/>
      <c r="H110" s="232">
        <v>62.57</v>
      </c>
      <c r="I110" s="233"/>
      <c r="J110" s="228"/>
      <c r="K110" s="228"/>
      <c r="L110" s="234"/>
      <c r="M110" s="235"/>
      <c r="N110" s="236"/>
      <c r="O110" s="236"/>
      <c r="P110" s="236"/>
      <c r="Q110" s="236"/>
      <c r="R110" s="236"/>
      <c r="S110" s="236"/>
      <c r="T110" s="237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T110" s="238" t="s">
        <v>211</v>
      </c>
      <c r="AU110" s="238" t="s">
        <v>88</v>
      </c>
      <c r="AV110" s="13" t="s">
        <v>88</v>
      </c>
      <c r="AW110" s="13" t="s">
        <v>213</v>
      </c>
      <c r="AX110" s="13" t="s">
        <v>86</v>
      </c>
      <c r="AY110" s="238" t="s">
        <v>200</v>
      </c>
    </row>
    <row r="111" s="2" customFormat="1" ht="24.15" customHeight="1">
      <c r="A111" s="40"/>
      <c r="B111" s="41"/>
      <c r="C111" s="209" t="s">
        <v>241</v>
      </c>
      <c r="D111" s="209" t="s">
        <v>202</v>
      </c>
      <c r="E111" s="210" t="s">
        <v>255</v>
      </c>
      <c r="F111" s="211" t="s">
        <v>256</v>
      </c>
      <c r="G111" s="212" t="s">
        <v>205</v>
      </c>
      <c r="H111" s="213">
        <v>62.57</v>
      </c>
      <c r="I111" s="214"/>
      <c r="J111" s="215">
        <f>ROUND(I111*H111,1)</f>
        <v>0</v>
      </c>
      <c r="K111" s="211" t="s">
        <v>206</v>
      </c>
      <c r="L111" s="46"/>
      <c r="M111" s="216" t="s">
        <v>32</v>
      </c>
      <c r="N111" s="217" t="s">
        <v>49</v>
      </c>
      <c r="O111" s="86"/>
      <c r="P111" s="218">
        <f>O111*H111</f>
        <v>0</v>
      </c>
      <c r="Q111" s="218">
        <v>0</v>
      </c>
      <c r="R111" s="218">
        <f>Q111*H111</f>
        <v>0</v>
      </c>
      <c r="S111" s="218">
        <v>0</v>
      </c>
      <c r="T111" s="219">
        <f>S111*H111</f>
        <v>0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0" t="s">
        <v>207</v>
      </c>
      <c r="AT111" s="220" t="s">
        <v>202</v>
      </c>
      <c r="AU111" s="220" t="s">
        <v>88</v>
      </c>
      <c r="AY111" s="18" t="s">
        <v>200</v>
      </c>
      <c r="BE111" s="221">
        <f>IF(N111="základní",J111,0)</f>
        <v>0</v>
      </c>
      <c r="BF111" s="221">
        <f>IF(N111="snížená",J111,0)</f>
        <v>0</v>
      </c>
      <c r="BG111" s="221">
        <f>IF(N111="zákl. přenesená",J111,0)</f>
        <v>0</v>
      </c>
      <c r="BH111" s="221">
        <f>IF(N111="sníž. přenesená",J111,0)</f>
        <v>0</v>
      </c>
      <c r="BI111" s="221">
        <f>IF(N111="nulová",J111,0)</f>
        <v>0</v>
      </c>
      <c r="BJ111" s="18" t="s">
        <v>86</v>
      </c>
      <c r="BK111" s="221">
        <f>ROUND(I111*H111,1)</f>
        <v>0</v>
      </c>
      <c r="BL111" s="18" t="s">
        <v>207</v>
      </c>
      <c r="BM111" s="220" t="s">
        <v>3192</v>
      </c>
    </row>
    <row r="112" s="2" customFormat="1">
      <c r="A112" s="40"/>
      <c r="B112" s="41"/>
      <c r="C112" s="42"/>
      <c r="D112" s="222" t="s">
        <v>209</v>
      </c>
      <c r="E112" s="42"/>
      <c r="F112" s="223" t="s">
        <v>258</v>
      </c>
      <c r="G112" s="42"/>
      <c r="H112" s="42"/>
      <c r="I112" s="224"/>
      <c r="J112" s="42"/>
      <c r="K112" s="42"/>
      <c r="L112" s="46"/>
      <c r="M112" s="225"/>
      <c r="N112" s="226"/>
      <c r="O112" s="86"/>
      <c r="P112" s="86"/>
      <c r="Q112" s="86"/>
      <c r="R112" s="86"/>
      <c r="S112" s="86"/>
      <c r="T112" s="87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8" t="s">
        <v>209</v>
      </c>
      <c r="AU112" s="18" t="s">
        <v>88</v>
      </c>
    </row>
    <row r="113" s="13" customFormat="1">
      <c r="A113" s="13"/>
      <c r="B113" s="227"/>
      <c r="C113" s="228"/>
      <c r="D113" s="229" t="s">
        <v>211</v>
      </c>
      <c r="E113" s="230" t="s">
        <v>32</v>
      </c>
      <c r="F113" s="231" t="s">
        <v>3193</v>
      </c>
      <c r="G113" s="228"/>
      <c r="H113" s="232">
        <v>94.299999999999997</v>
      </c>
      <c r="I113" s="233"/>
      <c r="J113" s="228"/>
      <c r="K113" s="228"/>
      <c r="L113" s="234"/>
      <c r="M113" s="235"/>
      <c r="N113" s="236"/>
      <c r="O113" s="236"/>
      <c r="P113" s="236"/>
      <c r="Q113" s="236"/>
      <c r="R113" s="236"/>
      <c r="S113" s="236"/>
      <c r="T113" s="237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T113" s="238" t="s">
        <v>211</v>
      </c>
      <c r="AU113" s="238" t="s">
        <v>88</v>
      </c>
      <c r="AV113" s="13" t="s">
        <v>88</v>
      </c>
      <c r="AW113" s="13" t="s">
        <v>213</v>
      </c>
      <c r="AX113" s="13" t="s">
        <v>78</v>
      </c>
      <c r="AY113" s="238" t="s">
        <v>200</v>
      </c>
    </row>
    <row r="114" s="13" customFormat="1">
      <c r="A114" s="13"/>
      <c r="B114" s="227"/>
      <c r="C114" s="228"/>
      <c r="D114" s="229" t="s">
        <v>211</v>
      </c>
      <c r="E114" s="230" t="s">
        <v>32</v>
      </c>
      <c r="F114" s="231" t="s">
        <v>3194</v>
      </c>
      <c r="G114" s="228"/>
      <c r="H114" s="232">
        <v>-27.379999999999999</v>
      </c>
      <c r="I114" s="233"/>
      <c r="J114" s="228"/>
      <c r="K114" s="228"/>
      <c r="L114" s="234"/>
      <c r="M114" s="235"/>
      <c r="N114" s="236"/>
      <c r="O114" s="236"/>
      <c r="P114" s="236"/>
      <c r="Q114" s="236"/>
      <c r="R114" s="236"/>
      <c r="S114" s="236"/>
      <c r="T114" s="237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T114" s="238" t="s">
        <v>211</v>
      </c>
      <c r="AU114" s="238" t="s">
        <v>88</v>
      </c>
      <c r="AV114" s="13" t="s">
        <v>88</v>
      </c>
      <c r="AW114" s="13" t="s">
        <v>213</v>
      </c>
      <c r="AX114" s="13" t="s">
        <v>78</v>
      </c>
      <c r="AY114" s="238" t="s">
        <v>200</v>
      </c>
    </row>
    <row r="115" s="13" customFormat="1">
      <c r="A115" s="13"/>
      <c r="B115" s="227"/>
      <c r="C115" s="228"/>
      <c r="D115" s="229" t="s">
        <v>211</v>
      </c>
      <c r="E115" s="230" t="s">
        <v>32</v>
      </c>
      <c r="F115" s="231" t="s">
        <v>3195</v>
      </c>
      <c r="G115" s="228"/>
      <c r="H115" s="232">
        <v>-6.8499999999999996</v>
      </c>
      <c r="I115" s="233"/>
      <c r="J115" s="228"/>
      <c r="K115" s="228"/>
      <c r="L115" s="234"/>
      <c r="M115" s="235"/>
      <c r="N115" s="236"/>
      <c r="O115" s="236"/>
      <c r="P115" s="236"/>
      <c r="Q115" s="236"/>
      <c r="R115" s="236"/>
      <c r="S115" s="236"/>
      <c r="T115" s="237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T115" s="238" t="s">
        <v>211</v>
      </c>
      <c r="AU115" s="238" t="s">
        <v>88</v>
      </c>
      <c r="AV115" s="13" t="s">
        <v>88</v>
      </c>
      <c r="AW115" s="13" t="s">
        <v>213</v>
      </c>
      <c r="AX115" s="13" t="s">
        <v>78</v>
      </c>
      <c r="AY115" s="238" t="s">
        <v>200</v>
      </c>
    </row>
    <row r="116" s="16" customFormat="1">
      <c r="A116" s="16"/>
      <c r="B116" s="270"/>
      <c r="C116" s="271"/>
      <c r="D116" s="229" t="s">
        <v>211</v>
      </c>
      <c r="E116" s="272" t="s">
        <v>32</v>
      </c>
      <c r="F116" s="273" t="s">
        <v>318</v>
      </c>
      <c r="G116" s="271"/>
      <c r="H116" s="274">
        <v>60.07</v>
      </c>
      <c r="I116" s="275"/>
      <c r="J116" s="271"/>
      <c r="K116" s="271"/>
      <c r="L116" s="276"/>
      <c r="M116" s="277"/>
      <c r="N116" s="278"/>
      <c r="O116" s="278"/>
      <c r="P116" s="278"/>
      <c r="Q116" s="278"/>
      <c r="R116" s="278"/>
      <c r="S116" s="278"/>
      <c r="T116" s="279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T116" s="280" t="s">
        <v>211</v>
      </c>
      <c r="AU116" s="280" t="s">
        <v>88</v>
      </c>
      <c r="AV116" s="16" t="s">
        <v>148</v>
      </c>
      <c r="AW116" s="16" t="s">
        <v>213</v>
      </c>
      <c r="AX116" s="16" t="s">
        <v>78</v>
      </c>
      <c r="AY116" s="280" t="s">
        <v>200</v>
      </c>
    </row>
    <row r="117" s="13" customFormat="1">
      <c r="A117" s="13"/>
      <c r="B117" s="227"/>
      <c r="C117" s="228"/>
      <c r="D117" s="229" t="s">
        <v>211</v>
      </c>
      <c r="E117" s="230" t="s">
        <v>32</v>
      </c>
      <c r="F117" s="231" t="s">
        <v>3174</v>
      </c>
      <c r="G117" s="228"/>
      <c r="H117" s="232">
        <v>5.5</v>
      </c>
      <c r="I117" s="233"/>
      <c r="J117" s="228"/>
      <c r="K117" s="228"/>
      <c r="L117" s="234"/>
      <c r="M117" s="235"/>
      <c r="N117" s="236"/>
      <c r="O117" s="236"/>
      <c r="P117" s="236"/>
      <c r="Q117" s="236"/>
      <c r="R117" s="236"/>
      <c r="S117" s="236"/>
      <c r="T117" s="237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T117" s="238" t="s">
        <v>211</v>
      </c>
      <c r="AU117" s="238" t="s">
        <v>88</v>
      </c>
      <c r="AV117" s="13" t="s">
        <v>88</v>
      </c>
      <c r="AW117" s="13" t="s">
        <v>213</v>
      </c>
      <c r="AX117" s="13" t="s">
        <v>78</v>
      </c>
      <c r="AY117" s="238" t="s">
        <v>200</v>
      </c>
    </row>
    <row r="118" s="13" customFormat="1">
      <c r="A118" s="13"/>
      <c r="B118" s="227"/>
      <c r="C118" s="228"/>
      <c r="D118" s="229" t="s">
        <v>211</v>
      </c>
      <c r="E118" s="230" t="s">
        <v>32</v>
      </c>
      <c r="F118" s="231" t="s">
        <v>3196</v>
      </c>
      <c r="G118" s="228"/>
      <c r="H118" s="232">
        <v>-3</v>
      </c>
      <c r="I118" s="233"/>
      <c r="J118" s="228"/>
      <c r="K118" s="228"/>
      <c r="L118" s="234"/>
      <c r="M118" s="235"/>
      <c r="N118" s="236"/>
      <c r="O118" s="236"/>
      <c r="P118" s="236"/>
      <c r="Q118" s="236"/>
      <c r="R118" s="236"/>
      <c r="S118" s="236"/>
      <c r="T118" s="237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T118" s="238" t="s">
        <v>211</v>
      </c>
      <c r="AU118" s="238" t="s">
        <v>88</v>
      </c>
      <c r="AV118" s="13" t="s">
        <v>88</v>
      </c>
      <c r="AW118" s="13" t="s">
        <v>213</v>
      </c>
      <c r="AX118" s="13" t="s">
        <v>78</v>
      </c>
      <c r="AY118" s="238" t="s">
        <v>200</v>
      </c>
    </row>
    <row r="119" s="16" customFormat="1">
      <c r="A119" s="16"/>
      <c r="B119" s="270"/>
      <c r="C119" s="271"/>
      <c r="D119" s="229" t="s">
        <v>211</v>
      </c>
      <c r="E119" s="272" t="s">
        <v>32</v>
      </c>
      <c r="F119" s="273" t="s">
        <v>318</v>
      </c>
      <c r="G119" s="271"/>
      <c r="H119" s="274">
        <v>2.5</v>
      </c>
      <c r="I119" s="275"/>
      <c r="J119" s="271"/>
      <c r="K119" s="271"/>
      <c r="L119" s="276"/>
      <c r="M119" s="277"/>
      <c r="N119" s="278"/>
      <c r="O119" s="278"/>
      <c r="P119" s="278"/>
      <c r="Q119" s="278"/>
      <c r="R119" s="278"/>
      <c r="S119" s="278"/>
      <c r="T119" s="279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T119" s="280" t="s">
        <v>211</v>
      </c>
      <c r="AU119" s="280" t="s">
        <v>88</v>
      </c>
      <c r="AV119" s="16" t="s">
        <v>148</v>
      </c>
      <c r="AW119" s="16" t="s">
        <v>213</v>
      </c>
      <c r="AX119" s="16" t="s">
        <v>78</v>
      </c>
      <c r="AY119" s="280" t="s">
        <v>200</v>
      </c>
    </row>
    <row r="120" s="14" customFormat="1">
      <c r="A120" s="14"/>
      <c r="B120" s="239"/>
      <c r="C120" s="240"/>
      <c r="D120" s="229" t="s">
        <v>211</v>
      </c>
      <c r="E120" s="241" t="s">
        <v>32</v>
      </c>
      <c r="F120" s="242" t="s">
        <v>220</v>
      </c>
      <c r="G120" s="240"/>
      <c r="H120" s="243">
        <v>62.569999999999993</v>
      </c>
      <c r="I120" s="244"/>
      <c r="J120" s="240"/>
      <c r="K120" s="240"/>
      <c r="L120" s="245"/>
      <c r="M120" s="246"/>
      <c r="N120" s="247"/>
      <c r="O120" s="247"/>
      <c r="P120" s="247"/>
      <c r="Q120" s="247"/>
      <c r="R120" s="247"/>
      <c r="S120" s="247"/>
      <c r="T120" s="248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T120" s="249" t="s">
        <v>211</v>
      </c>
      <c r="AU120" s="249" t="s">
        <v>88</v>
      </c>
      <c r="AV120" s="14" t="s">
        <v>207</v>
      </c>
      <c r="AW120" s="14" t="s">
        <v>213</v>
      </c>
      <c r="AX120" s="14" t="s">
        <v>86</v>
      </c>
      <c r="AY120" s="249" t="s">
        <v>200</v>
      </c>
    </row>
    <row r="121" s="2" customFormat="1" ht="37.8" customHeight="1">
      <c r="A121" s="40"/>
      <c r="B121" s="41"/>
      <c r="C121" s="209" t="s">
        <v>247</v>
      </c>
      <c r="D121" s="209" t="s">
        <v>202</v>
      </c>
      <c r="E121" s="210" t="s">
        <v>2133</v>
      </c>
      <c r="F121" s="211" t="s">
        <v>2134</v>
      </c>
      <c r="G121" s="212" t="s">
        <v>205</v>
      </c>
      <c r="H121" s="213">
        <v>27.379999999999999</v>
      </c>
      <c r="I121" s="214"/>
      <c r="J121" s="215">
        <f>ROUND(I121*H121,1)</f>
        <v>0</v>
      </c>
      <c r="K121" s="211" t="s">
        <v>206</v>
      </c>
      <c r="L121" s="46"/>
      <c r="M121" s="216" t="s">
        <v>32</v>
      </c>
      <c r="N121" s="217" t="s">
        <v>49</v>
      </c>
      <c r="O121" s="86"/>
      <c r="P121" s="218">
        <f>O121*H121</f>
        <v>0</v>
      </c>
      <c r="Q121" s="218">
        <v>0</v>
      </c>
      <c r="R121" s="218">
        <f>Q121*H121</f>
        <v>0</v>
      </c>
      <c r="S121" s="218">
        <v>0</v>
      </c>
      <c r="T121" s="219">
        <f>S121*H121</f>
        <v>0</v>
      </c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R121" s="220" t="s">
        <v>207</v>
      </c>
      <c r="AT121" s="220" t="s">
        <v>202</v>
      </c>
      <c r="AU121" s="220" t="s">
        <v>88</v>
      </c>
      <c r="AY121" s="18" t="s">
        <v>200</v>
      </c>
      <c r="BE121" s="221">
        <f>IF(N121="základní",J121,0)</f>
        <v>0</v>
      </c>
      <c r="BF121" s="221">
        <f>IF(N121="snížená",J121,0)</f>
        <v>0</v>
      </c>
      <c r="BG121" s="221">
        <f>IF(N121="zákl. přenesená",J121,0)</f>
        <v>0</v>
      </c>
      <c r="BH121" s="221">
        <f>IF(N121="sníž. přenesená",J121,0)</f>
        <v>0</v>
      </c>
      <c r="BI121" s="221">
        <f>IF(N121="nulová",J121,0)</f>
        <v>0</v>
      </c>
      <c r="BJ121" s="18" t="s">
        <v>86</v>
      </c>
      <c r="BK121" s="221">
        <f>ROUND(I121*H121,1)</f>
        <v>0</v>
      </c>
      <c r="BL121" s="18" t="s">
        <v>207</v>
      </c>
      <c r="BM121" s="220" t="s">
        <v>3197</v>
      </c>
    </row>
    <row r="122" s="2" customFormat="1">
      <c r="A122" s="40"/>
      <c r="B122" s="41"/>
      <c r="C122" s="42"/>
      <c r="D122" s="222" t="s">
        <v>209</v>
      </c>
      <c r="E122" s="42"/>
      <c r="F122" s="223" t="s">
        <v>2136</v>
      </c>
      <c r="G122" s="42"/>
      <c r="H122" s="42"/>
      <c r="I122" s="224"/>
      <c r="J122" s="42"/>
      <c r="K122" s="42"/>
      <c r="L122" s="46"/>
      <c r="M122" s="225"/>
      <c r="N122" s="226"/>
      <c r="O122" s="86"/>
      <c r="P122" s="86"/>
      <c r="Q122" s="86"/>
      <c r="R122" s="86"/>
      <c r="S122" s="86"/>
      <c r="T122" s="87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T122" s="18" t="s">
        <v>209</v>
      </c>
      <c r="AU122" s="18" t="s">
        <v>88</v>
      </c>
    </row>
    <row r="123" s="13" customFormat="1">
      <c r="A123" s="13"/>
      <c r="B123" s="227"/>
      <c r="C123" s="228"/>
      <c r="D123" s="229" t="s">
        <v>211</v>
      </c>
      <c r="E123" s="230" t="s">
        <v>32</v>
      </c>
      <c r="F123" s="231" t="s">
        <v>3198</v>
      </c>
      <c r="G123" s="228"/>
      <c r="H123" s="232">
        <v>27.379999999999999</v>
      </c>
      <c r="I123" s="233"/>
      <c r="J123" s="228"/>
      <c r="K123" s="228"/>
      <c r="L123" s="234"/>
      <c r="M123" s="235"/>
      <c r="N123" s="236"/>
      <c r="O123" s="236"/>
      <c r="P123" s="236"/>
      <c r="Q123" s="236"/>
      <c r="R123" s="236"/>
      <c r="S123" s="236"/>
      <c r="T123" s="237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T123" s="238" t="s">
        <v>211</v>
      </c>
      <c r="AU123" s="238" t="s">
        <v>88</v>
      </c>
      <c r="AV123" s="13" t="s">
        <v>88</v>
      </c>
      <c r="AW123" s="13" t="s">
        <v>213</v>
      </c>
      <c r="AX123" s="13" t="s">
        <v>86</v>
      </c>
      <c r="AY123" s="238" t="s">
        <v>200</v>
      </c>
    </row>
    <row r="124" s="2" customFormat="1" ht="16.5" customHeight="1">
      <c r="A124" s="40"/>
      <c r="B124" s="41"/>
      <c r="C124" s="260" t="s">
        <v>254</v>
      </c>
      <c r="D124" s="260" t="s">
        <v>292</v>
      </c>
      <c r="E124" s="261" t="s">
        <v>2142</v>
      </c>
      <c r="F124" s="262" t="s">
        <v>2143</v>
      </c>
      <c r="G124" s="263" t="s">
        <v>250</v>
      </c>
      <c r="H124" s="264">
        <v>54.759999999999998</v>
      </c>
      <c r="I124" s="265"/>
      <c r="J124" s="266">
        <f>ROUND(I124*H124,1)</f>
        <v>0</v>
      </c>
      <c r="K124" s="262" t="s">
        <v>206</v>
      </c>
      <c r="L124" s="267"/>
      <c r="M124" s="268" t="s">
        <v>32</v>
      </c>
      <c r="N124" s="269" t="s">
        <v>49</v>
      </c>
      <c r="O124" s="86"/>
      <c r="P124" s="218">
        <f>O124*H124</f>
        <v>0</v>
      </c>
      <c r="Q124" s="218">
        <v>1</v>
      </c>
      <c r="R124" s="218">
        <f>Q124*H124</f>
        <v>54.759999999999998</v>
      </c>
      <c r="S124" s="218">
        <v>0</v>
      </c>
      <c r="T124" s="219">
        <f>S124*H124</f>
        <v>0</v>
      </c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0" t="s">
        <v>254</v>
      </c>
      <c r="AT124" s="220" t="s">
        <v>292</v>
      </c>
      <c r="AU124" s="220" t="s">
        <v>88</v>
      </c>
      <c r="AY124" s="18" t="s">
        <v>200</v>
      </c>
      <c r="BE124" s="221">
        <f>IF(N124="základní",J124,0)</f>
        <v>0</v>
      </c>
      <c r="BF124" s="221">
        <f>IF(N124="snížená",J124,0)</f>
        <v>0</v>
      </c>
      <c r="BG124" s="221">
        <f>IF(N124="zákl. přenesená",J124,0)</f>
        <v>0</v>
      </c>
      <c r="BH124" s="221">
        <f>IF(N124="sníž. přenesená",J124,0)</f>
        <v>0</v>
      </c>
      <c r="BI124" s="221">
        <f>IF(N124="nulová",J124,0)</f>
        <v>0</v>
      </c>
      <c r="BJ124" s="18" t="s">
        <v>86</v>
      </c>
      <c r="BK124" s="221">
        <f>ROUND(I124*H124,1)</f>
        <v>0</v>
      </c>
      <c r="BL124" s="18" t="s">
        <v>207</v>
      </c>
      <c r="BM124" s="220" t="s">
        <v>3199</v>
      </c>
    </row>
    <row r="125" s="13" customFormat="1">
      <c r="A125" s="13"/>
      <c r="B125" s="227"/>
      <c r="C125" s="228"/>
      <c r="D125" s="229" t="s">
        <v>211</v>
      </c>
      <c r="E125" s="230" t="s">
        <v>32</v>
      </c>
      <c r="F125" s="231" t="s">
        <v>3200</v>
      </c>
      <c r="G125" s="228"/>
      <c r="H125" s="232">
        <v>54.759999999999998</v>
      </c>
      <c r="I125" s="233"/>
      <c r="J125" s="228"/>
      <c r="K125" s="228"/>
      <c r="L125" s="234"/>
      <c r="M125" s="235"/>
      <c r="N125" s="236"/>
      <c r="O125" s="236"/>
      <c r="P125" s="236"/>
      <c r="Q125" s="236"/>
      <c r="R125" s="236"/>
      <c r="S125" s="236"/>
      <c r="T125" s="237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T125" s="238" t="s">
        <v>211</v>
      </c>
      <c r="AU125" s="238" t="s">
        <v>88</v>
      </c>
      <c r="AV125" s="13" t="s">
        <v>88</v>
      </c>
      <c r="AW125" s="13" t="s">
        <v>213</v>
      </c>
      <c r="AX125" s="13" t="s">
        <v>86</v>
      </c>
      <c r="AY125" s="238" t="s">
        <v>200</v>
      </c>
    </row>
    <row r="126" s="12" customFormat="1" ht="22.8" customHeight="1">
      <c r="A126" s="12"/>
      <c r="B126" s="193"/>
      <c r="C126" s="194"/>
      <c r="D126" s="195" t="s">
        <v>77</v>
      </c>
      <c r="E126" s="207" t="s">
        <v>148</v>
      </c>
      <c r="F126" s="207" t="s">
        <v>408</v>
      </c>
      <c r="G126" s="194"/>
      <c r="H126" s="194"/>
      <c r="I126" s="197"/>
      <c r="J126" s="208">
        <f>BK126</f>
        <v>0</v>
      </c>
      <c r="K126" s="194"/>
      <c r="L126" s="199"/>
      <c r="M126" s="200"/>
      <c r="N126" s="201"/>
      <c r="O126" s="201"/>
      <c r="P126" s="202">
        <f>SUM(P127:P129)</f>
        <v>0</v>
      </c>
      <c r="Q126" s="201"/>
      <c r="R126" s="202">
        <f>SUM(R127:R129)</f>
        <v>0.076999999999999999</v>
      </c>
      <c r="S126" s="201"/>
      <c r="T126" s="203">
        <f>SUM(T127:T129)</f>
        <v>0</v>
      </c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R126" s="204" t="s">
        <v>86</v>
      </c>
      <c r="AT126" s="205" t="s">
        <v>77</v>
      </c>
      <c r="AU126" s="205" t="s">
        <v>86</v>
      </c>
      <c r="AY126" s="204" t="s">
        <v>200</v>
      </c>
      <c r="BK126" s="206">
        <f>SUM(BK127:BK129)</f>
        <v>0</v>
      </c>
    </row>
    <row r="127" s="2" customFormat="1" ht="16.5" customHeight="1">
      <c r="A127" s="40"/>
      <c r="B127" s="41"/>
      <c r="C127" s="209" t="s">
        <v>261</v>
      </c>
      <c r="D127" s="209" t="s">
        <v>202</v>
      </c>
      <c r="E127" s="210" t="s">
        <v>3201</v>
      </c>
      <c r="F127" s="211" t="s">
        <v>3202</v>
      </c>
      <c r="G127" s="212" t="s">
        <v>449</v>
      </c>
      <c r="H127" s="213">
        <v>1</v>
      </c>
      <c r="I127" s="214"/>
      <c r="J127" s="215">
        <f>ROUND(I127*H127,1)</f>
        <v>0</v>
      </c>
      <c r="K127" s="211" t="s">
        <v>206</v>
      </c>
      <c r="L127" s="46"/>
      <c r="M127" s="216" t="s">
        <v>32</v>
      </c>
      <c r="N127" s="217" t="s">
        <v>49</v>
      </c>
      <c r="O127" s="86"/>
      <c r="P127" s="218">
        <f>O127*H127</f>
        <v>0</v>
      </c>
      <c r="Q127" s="218">
        <v>0</v>
      </c>
      <c r="R127" s="218">
        <f>Q127*H127</f>
        <v>0</v>
      </c>
      <c r="S127" s="218">
        <v>0</v>
      </c>
      <c r="T127" s="219">
        <f>S127*H127</f>
        <v>0</v>
      </c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0" t="s">
        <v>207</v>
      </c>
      <c r="AT127" s="220" t="s">
        <v>202</v>
      </c>
      <c r="AU127" s="220" t="s">
        <v>88</v>
      </c>
      <c r="AY127" s="18" t="s">
        <v>200</v>
      </c>
      <c r="BE127" s="221">
        <f>IF(N127="základní",J127,0)</f>
        <v>0</v>
      </c>
      <c r="BF127" s="221">
        <f>IF(N127="snížená",J127,0)</f>
        <v>0</v>
      </c>
      <c r="BG127" s="221">
        <f>IF(N127="zákl. přenesená",J127,0)</f>
        <v>0</v>
      </c>
      <c r="BH127" s="221">
        <f>IF(N127="sníž. přenesená",J127,0)</f>
        <v>0</v>
      </c>
      <c r="BI127" s="221">
        <f>IF(N127="nulová",J127,0)</f>
        <v>0</v>
      </c>
      <c r="BJ127" s="18" t="s">
        <v>86</v>
      </c>
      <c r="BK127" s="221">
        <f>ROUND(I127*H127,1)</f>
        <v>0</v>
      </c>
      <c r="BL127" s="18" t="s">
        <v>207</v>
      </c>
      <c r="BM127" s="220" t="s">
        <v>3203</v>
      </c>
    </row>
    <row r="128" s="2" customFormat="1">
      <c r="A128" s="40"/>
      <c r="B128" s="41"/>
      <c r="C128" s="42"/>
      <c r="D128" s="222" t="s">
        <v>209</v>
      </c>
      <c r="E128" s="42"/>
      <c r="F128" s="223" t="s">
        <v>3204</v>
      </c>
      <c r="G128" s="42"/>
      <c r="H128" s="42"/>
      <c r="I128" s="224"/>
      <c r="J128" s="42"/>
      <c r="K128" s="42"/>
      <c r="L128" s="46"/>
      <c r="M128" s="225"/>
      <c r="N128" s="226"/>
      <c r="O128" s="86"/>
      <c r="P128" s="86"/>
      <c r="Q128" s="86"/>
      <c r="R128" s="86"/>
      <c r="S128" s="86"/>
      <c r="T128" s="87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8" t="s">
        <v>209</v>
      </c>
      <c r="AU128" s="18" t="s">
        <v>88</v>
      </c>
    </row>
    <row r="129" s="2" customFormat="1" ht="16.5" customHeight="1">
      <c r="A129" s="40"/>
      <c r="B129" s="41"/>
      <c r="C129" s="260" t="s">
        <v>269</v>
      </c>
      <c r="D129" s="260" t="s">
        <v>292</v>
      </c>
      <c r="E129" s="261" t="s">
        <v>3205</v>
      </c>
      <c r="F129" s="262" t="s">
        <v>3206</v>
      </c>
      <c r="G129" s="263" t="s">
        <v>449</v>
      </c>
      <c r="H129" s="264">
        <v>1</v>
      </c>
      <c r="I129" s="265"/>
      <c r="J129" s="266">
        <f>ROUND(I129*H129,1)</f>
        <v>0</v>
      </c>
      <c r="K129" s="262" t="s">
        <v>206</v>
      </c>
      <c r="L129" s="267"/>
      <c r="M129" s="268" t="s">
        <v>32</v>
      </c>
      <c r="N129" s="269" t="s">
        <v>49</v>
      </c>
      <c r="O129" s="86"/>
      <c r="P129" s="218">
        <f>O129*H129</f>
        <v>0</v>
      </c>
      <c r="Q129" s="218">
        <v>0.076999999999999999</v>
      </c>
      <c r="R129" s="218">
        <f>Q129*H129</f>
        <v>0.076999999999999999</v>
      </c>
      <c r="S129" s="218">
        <v>0</v>
      </c>
      <c r="T129" s="219">
        <f>S129*H129</f>
        <v>0</v>
      </c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R129" s="220" t="s">
        <v>254</v>
      </c>
      <c r="AT129" s="220" t="s">
        <v>292</v>
      </c>
      <c r="AU129" s="220" t="s">
        <v>88</v>
      </c>
      <c r="AY129" s="18" t="s">
        <v>200</v>
      </c>
      <c r="BE129" s="221">
        <f>IF(N129="základní",J129,0)</f>
        <v>0</v>
      </c>
      <c r="BF129" s="221">
        <f>IF(N129="snížená",J129,0)</f>
        <v>0</v>
      </c>
      <c r="BG129" s="221">
        <f>IF(N129="zákl. přenesená",J129,0)</f>
        <v>0</v>
      </c>
      <c r="BH129" s="221">
        <f>IF(N129="sníž. přenesená",J129,0)</f>
        <v>0</v>
      </c>
      <c r="BI129" s="221">
        <f>IF(N129="nulová",J129,0)</f>
        <v>0</v>
      </c>
      <c r="BJ129" s="18" t="s">
        <v>86</v>
      </c>
      <c r="BK129" s="221">
        <f>ROUND(I129*H129,1)</f>
        <v>0</v>
      </c>
      <c r="BL129" s="18" t="s">
        <v>207</v>
      </c>
      <c r="BM129" s="220" t="s">
        <v>3207</v>
      </c>
    </row>
    <row r="130" s="12" customFormat="1" ht="22.8" customHeight="1">
      <c r="A130" s="12"/>
      <c r="B130" s="193"/>
      <c r="C130" s="194"/>
      <c r="D130" s="195" t="s">
        <v>77</v>
      </c>
      <c r="E130" s="207" t="s">
        <v>207</v>
      </c>
      <c r="F130" s="207" t="s">
        <v>548</v>
      </c>
      <c r="G130" s="194"/>
      <c r="H130" s="194"/>
      <c r="I130" s="197"/>
      <c r="J130" s="208">
        <f>BK130</f>
        <v>0</v>
      </c>
      <c r="K130" s="194"/>
      <c r="L130" s="199"/>
      <c r="M130" s="200"/>
      <c r="N130" s="201"/>
      <c r="O130" s="201"/>
      <c r="P130" s="202">
        <f>SUM(P131:P133)</f>
        <v>0</v>
      </c>
      <c r="Q130" s="201"/>
      <c r="R130" s="202">
        <f>SUM(R131:R133)</f>
        <v>12.951774499999999</v>
      </c>
      <c r="S130" s="201"/>
      <c r="T130" s="203">
        <f>SUM(T131:T133)</f>
        <v>0</v>
      </c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R130" s="204" t="s">
        <v>86</v>
      </c>
      <c r="AT130" s="205" t="s">
        <v>77</v>
      </c>
      <c r="AU130" s="205" t="s">
        <v>86</v>
      </c>
      <c r="AY130" s="204" t="s">
        <v>200</v>
      </c>
      <c r="BK130" s="206">
        <f>SUM(BK131:BK133)</f>
        <v>0</v>
      </c>
    </row>
    <row r="131" s="2" customFormat="1" ht="21.75" customHeight="1">
      <c r="A131" s="40"/>
      <c r="B131" s="41"/>
      <c r="C131" s="209" t="s">
        <v>277</v>
      </c>
      <c r="D131" s="209" t="s">
        <v>202</v>
      </c>
      <c r="E131" s="210" t="s">
        <v>2146</v>
      </c>
      <c r="F131" s="211" t="s">
        <v>2147</v>
      </c>
      <c r="G131" s="212" t="s">
        <v>205</v>
      </c>
      <c r="H131" s="213">
        <v>6.8499999999999996</v>
      </c>
      <c r="I131" s="214"/>
      <c r="J131" s="215">
        <f>ROUND(I131*H131,1)</f>
        <v>0</v>
      </c>
      <c r="K131" s="211" t="s">
        <v>206</v>
      </c>
      <c r="L131" s="46"/>
      <c r="M131" s="216" t="s">
        <v>32</v>
      </c>
      <c r="N131" s="217" t="s">
        <v>49</v>
      </c>
      <c r="O131" s="86"/>
      <c r="P131" s="218">
        <f>O131*H131</f>
        <v>0</v>
      </c>
      <c r="Q131" s="218">
        <v>1.8907700000000001</v>
      </c>
      <c r="R131" s="218">
        <f>Q131*H131</f>
        <v>12.951774499999999</v>
      </c>
      <c r="S131" s="218">
        <v>0</v>
      </c>
      <c r="T131" s="219">
        <f>S131*H131</f>
        <v>0</v>
      </c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R131" s="220" t="s">
        <v>207</v>
      </c>
      <c r="AT131" s="220" t="s">
        <v>202</v>
      </c>
      <c r="AU131" s="220" t="s">
        <v>88</v>
      </c>
      <c r="AY131" s="18" t="s">
        <v>200</v>
      </c>
      <c r="BE131" s="221">
        <f>IF(N131="základní",J131,0)</f>
        <v>0</v>
      </c>
      <c r="BF131" s="221">
        <f>IF(N131="snížená",J131,0)</f>
        <v>0</v>
      </c>
      <c r="BG131" s="221">
        <f>IF(N131="zákl. přenesená",J131,0)</f>
        <v>0</v>
      </c>
      <c r="BH131" s="221">
        <f>IF(N131="sníž. přenesená",J131,0)</f>
        <v>0</v>
      </c>
      <c r="BI131" s="221">
        <f>IF(N131="nulová",J131,0)</f>
        <v>0</v>
      </c>
      <c r="BJ131" s="18" t="s">
        <v>86</v>
      </c>
      <c r="BK131" s="221">
        <f>ROUND(I131*H131,1)</f>
        <v>0</v>
      </c>
      <c r="BL131" s="18" t="s">
        <v>207</v>
      </c>
      <c r="BM131" s="220" t="s">
        <v>3208</v>
      </c>
    </row>
    <row r="132" s="2" customFormat="1">
      <c r="A132" s="40"/>
      <c r="B132" s="41"/>
      <c r="C132" s="42"/>
      <c r="D132" s="222" t="s">
        <v>209</v>
      </c>
      <c r="E132" s="42"/>
      <c r="F132" s="223" t="s">
        <v>2149</v>
      </c>
      <c r="G132" s="42"/>
      <c r="H132" s="42"/>
      <c r="I132" s="224"/>
      <c r="J132" s="42"/>
      <c r="K132" s="42"/>
      <c r="L132" s="46"/>
      <c r="M132" s="225"/>
      <c r="N132" s="226"/>
      <c r="O132" s="86"/>
      <c r="P132" s="86"/>
      <c r="Q132" s="86"/>
      <c r="R132" s="86"/>
      <c r="S132" s="86"/>
      <c r="T132" s="87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T132" s="18" t="s">
        <v>209</v>
      </c>
      <c r="AU132" s="18" t="s">
        <v>88</v>
      </c>
    </row>
    <row r="133" s="13" customFormat="1">
      <c r="A133" s="13"/>
      <c r="B133" s="227"/>
      <c r="C133" s="228"/>
      <c r="D133" s="229" t="s">
        <v>211</v>
      </c>
      <c r="E133" s="230" t="s">
        <v>32</v>
      </c>
      <c r="F133" s="231" t="s">
        <v>3209</v>
      </c>
      <c r="G133" s="228"/>
      <c r="H133" s="232">
        <v>6.8499999999999996</v>
      </c>
      <c r="I133" s="233"/>
      <c r="J133" s="228"/>
      <c r="K133" s="228"/>
      <c r="L133" s="234"/>
      <c r="M133" s="235"/>
      <c r="N133" s="236"/>
      <c r="O133" s="236"/>
      <c r="P133" s="236"/>
      <c r="Q133" s="236"/>
      <c r="R133" s="236"/>
      <c r="S133" s="236"/>
      <c r="T133" s="237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38" t="s">
        <v>211</v>
      </c>
      <c r="AU133" s="238" t="s">
        <v>88</v>
      </c>
      <c r="AV133" s="13" t="s">
        <v>88</v>
      </c>
      <c r="AW133" s="13" t="s">
        <v>213</v>
      </c>
      <c r="AX133" s="13" t="s">
        <v>86</v>
      </c>
      <c r="AY133" s="238" t="s">
        <v>200</v>
      </c>
    </row>
    <row r="134" s="12" customFormat="1" ht="22.8" customHeight="1">
      <c r="A134" s="12"/>
      <c r="B134" s="193"/>
      <c r="C134" s="194"/>
      <c r="D134" s="195" t="s">
        <v>77</v>
      </c>
      <c r="E134" s="207" t="s">
        <v>254</v>
      </c>
      <c r="F134" s="207" t="s">
        <v>737</v>
      </c>
      <c r="G134" s="194"/>
      <c r="H134" s="194"/>
      <c r="I134" s="197"/>
      <c r="J134" s="208">
        <f>BK134</f>
        <v>0</v>
      </c>
      <c r="K134" s="194"/>
      <c r="L134" s="199"/>
      <c r="M134" s="200"/>
      <c r="N134" s="201"/>
      <c r="O134" s="201"/>
      <c r="P134" s="202">
        <f>SUM(P135:P150)</f>
        <v>0</v>
      </c>
      <c r="Q134" s="201"/>
      <c r="R134" s="202">
        <f>SUM(R135:R150)</f>
        <v>0.17074</v>
      </c>
      <c r="S134" s="201"/>
      <c r="T134" s="203">
        <f>SUM(T135:T150)</f>
        <v>0</v>
      </c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R134" s="204" t="s">
        <v>86</v>
      </c>
      <c r="AT134" s="205" t="s">
        <v>77</v>
      </c>
      <c r="AU134" s="205" t="s">
        <v>86</v>
      </c>
      <c r="AY134" s="204" t="s">
        <v>200</v>
      </c>
      <c r="BK134" s="206">
        <f>SUM(BK135:BK150)</f>
        <v>0</v>
      </c>
    </row>
    <row r="135" s="2" customFormat="1" ht="16.5" customHeight="1">
      <c r="A135" s="40"/>
      <c r="B135" s="41"/>
      <c r="C135" s="209" t="s">
        <v>285</v>
      </c>
      <c r="D135" s="209" t="s">
        <v>202</v>
      </c>
      <c r="E135" s="210" t="s">
        <v>3148</v>
      </c>
      <c r="F135" s="211" t="s">
        <v>3210</v>
      </c>
      <c r="G135" s="212" t="s">
        <v>449</v>
      </c>
      <c r="H135" s="213">
        <v>1</v>
      </c>
      <c r="I135" s="214"/>
      <c r="J135" s="215">
        <f>ROUND(I135*H135,1)</f>
        <v>0</v>
      </c>
      <c r="K135" s="211" t="s">
        <v>32</v>
      </c>
      <c r="L135" s="46"/>
      <c r="M135" s="216" t="s">
        <v>32</v>
      </c>
      <c r="N135" s="217" t="s">
        <v>49</v>
      </c>
      <c r="O135" s="86"/>
      <c r="P135" s="218">
        <f>O135*H135</f>
        <v>0</v>
      </c>
      <c r="Q135" s="218">
        <v>0</v>
      </c>
      <c r="R135" s="218">
        <f>Q135*H135</f>
        <v>0</v>
      </c>
      <c r="S135" s="218">
        <v>0</v>
      </c>
      <c r="T135" s="219">
        <f>S135*H135</f>
        <v>0</v>
      </c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R135" s="220" t="s">
        <v>207</v>
      </c>
      <c r="AT135" s="220" t="s">
        <v>202</v>
      </c>
      <c r="AU135" s="220" t="s">
        <v>88</v>
      </c>
      <c r="AY135" s="18" t="s">
        <v>200</v>
      </c>
      <c r="BE135" s="221">
        <f>IF(N135="základní",J135,0)</f>
        <v>0</v>
      </c>
      <c r="BF135" s="221">
        <f>IF(N135="snížená",J135,0)</f>
        <v>0</v>
      </c>
      <c r="BG135" s="221">
        <f>IF(N135="zákl. přenesená",J135,0)</f>
        <v>0</v>
      </c>
      <c r="BH135" s="221">
        <f>IF(N135="sníž. přenesená",J135,0)</f>
        <v>0</v>
      </c>
      <c r="BI135" s="221">
        <f>IF(N135="nulová",J135,0)</f>
        <v>0</v>
      </c>
      <c r="BJ135" s="18" t="s">
        <v>86</v>
      </c>
      <c r="BK135" s="221">
        <f>ROUND(I135*H135,1)</f>
        <v>0</v>
      </c>
      <c r="BL135" s="18" t="s">
        <v>207</v>
      </c>
      <c r="BM135" s="220" t="s">
        <v>3211</v>
      </c>
    </row>
    <row r="136" s="2" customFormat="1" ht="16.5" customHeight="1">
      <c r="A136" s="40"/>
      <c r="B136" s="41"/>
      <c r="C136" s="209" t="s">
        <v>291</v>
      </c>
      <c r="D136" s="209" t="s">
        <v>202</v>
      </c>
      <c r="E136" s="210" t="s">
        <v>3212</v>
      </c>
      <c r="F136" s="211" t="s">
        <v>3213</v>
      </c>
      <c r="G136" s="212" t="s">
        <v>205</v>
      </c>
      <c r="H136" s="213">
        <v>42</v>
      </c>
      <c r="I136" s="214"/>
      <c r="J136" s="215">
        <f>ROUND(I136*H136,1)</f>
        <v>0</v>
      </c>
      <c r="K136" s="211" t="s">
        <v>32</v>
      </c>
      <c r="L136" s="46"/>
      <c r="M136" s="216" t="s">
        <v>32</v>
      </c>
      <c r="N136" s="217" t="s">
        <v>49</v>
      </c>
      <c r="O136" s="86"/>
      <c r="P136" s="218">
        <f>O136*H136</f>
        <v>0</v>
      </c>
      <c r="Q136" s="218">
        <v>0</v>
      </c>
      <c r="R136" s="218">
        <f>Q136*H136</f>
        <v>0</v>
      </c>
      <c r="S136" s="218">
        <v>0</v>
      </c>
      <c r="T136" s="219">
        <f>S136*H136</f>
        <v>0</v>
      </c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0" t="s">
        <v>207</v>
      </c>
      <c r="AT136" s="220" t="s">
        <v>202</v>
      </c>
      <c r="AU136" s="220" t="s">
        <v>88</v>
      </c>
      <c r="AY136" s="18" t="s">
        <v>200</v>
      </c>
      <c r="BE136" s="221">
        <f>IF(N136="základní",J136,0)</f>
        <v>0</v>
      </c>
      <c r="BF136" s="221">
        <f>IF(N136="snížená",J136,0)</f>
        <v>0</v>
      </c>
      <c r="BG136" s="221">
        <f>IF(N136="zákl. přenesená",J136,0)</f>
        <v>0</v>
      </c>
      <c r="BH136" s="221">
        <f>IF(N136="sníž. přenesená",J136,0)</f>
        <v>0</v>
      </c>
      <c r="BI136" s="221">
        <f>IF(N136="nulová",J136,0)</f>
        <v>0</v>
      </c>
      <c r="BJ136" s="18" t="s">
        <v>86</v>
      </c>
      <c r="BK136" s="221">
        <f>ROUND(I136*H136,1)</f>
        <v>0</v>
      </c>
      <c r="BL136" s="18" t="s">
        <v>207</v>
      </c>
      <c r="BM136" s="220" t="s">
        <v>3214</v>
      </c>
    </row>
    <row r="137" s="13" customFormat="1">
      <c r="A137" s="13"/>
      <c r="B137" s="227"/>
      <c r="C137" s="228"/>
      <c r="D137" s="229" t="s">
        <v>211</v>
      </c>
      <c r="E137" s="230" t="s">
        <v>32</v>
      </c>
      <c r="F137" s="231" t="s">
        <v>3215</v>
      </c>
      <c r="G137" s="228"/>
      <c r="H137" s="232">
        <v>42</v>
      </c>
      <c r="I137" s="233"/>
      <c r="J137" s="228"/>
      <c r="K137" s="228"/>
      <c r="L137" s="234"/>
      <c r="M137" s="235"/>
      <c r="N137" s="236"/>
      <c r="O137" s="236"/>
      <c r="P137" s="236"/>
      <c r="Q137" s="236"/>
      <c r="R137" s="236"/>
      <c r="S137" s="236"/>
      <c r="T137" s="237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T137" s="238" t="s">
        <v>211</v>
      </c>
      <c r="AU137" s="238" t="s">
        <v>88</v>
      </c>
      <c r="AV137" s="13" t="s">
        <v>88</v>
      </c>
      <c r="AW137" s="13" t="s">
        <v>213</v>
      </c>
      <c r="AX137" s="13" t="s">
        <v>86</v>
      </c>
      <c r="AY137" s="238" t="s">
        <v>200</v>
      </c>
    </row>
    <row r="138" s="2" customFormat="1" ht="24.15" customHeight="1">
      <c r="A138" s="40"/>
      <c r="B138" s="41"/>
      <c r="C138" s="209" t="s">
        <v>297</v>
      </c>
      <c r="D138" s="209" t="s">
        <v>202</v>
      </c>
      <c r="E138" s="210" t="s">
        <v>3216</v>
      </c>
      <c r="F138" s="211" t="s">
        <v>3217</v>
      </c>
      <c r="G138" s="212" t="s">
        <v>280</v>
      </c>
      <c r="H138" s="213">
        <v>88</v>
      </c>
      <c r="I138" s="214"/>
      <c r="J138" s="215">
        <f>ROUND(I138*H138,1)</f>
        <v>0</v>
      </c>
      <c r="K138" s="211" t="s">
        <v>206</v>
      </c>
      <c r="L138" s="46"/>
      <c r="M138" s="216" t="s">
        <v>32</v>
      </c>
      <c r="N138" s="217" t="s">
        <v>49</v>
      </c>
      <c r="O138" s="86"/>
      <c r="P138" s="218">
        <f>O138*H138</f>
        <v>0</v>
      </c>
      <c r="Q138" s="218">
        <v>0.00183</v>
      </c>
      <c r="R138" s="218">
        <f>Q138*H138</f>
        <v>0.16104000000000002</v>
      </c>
      <c r="S138" s="218">
        <v>0</v>
      </c>
      <c r="T138" s="219">
        <f>S138*H138</f>
        <v>0</v>
      </c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0" t="s">
        <v>207</v>
      </c>
      <c r="AT138" s="220" t="s">
        <v>202</v>
      </c>
      <c r="AU138" s="220" t="s">
        <v>88</v>
      </c>
      <c r="AY138" s="18" t="s">
        <v>200</v>
      </c>
      <c r="BE138" s="221">
        <f>IF(N138="základní",J138,0)</f>
        <v>0</v>
      </c>
      <c r="BF138" s="221">
        <f>IF(N138="snížená",J138,0)</f>
        <v>0</v>
      </c>
      <c r="BG138" s="221">
        <f>IF(N138="zákl. přenesená",J138,0)</f>
        <v>0</v>
      </c>
      <c r="BH138" s="221">
        <f>IF(N138="sníž. přenesená",J138,0)</f>
        <v>0</v>
      </c>
      <c r="BI138" s="221">
        <f>IF(N138="nulová",J138,0)</f>
        <v>0</v>
      </c>
      <c r="BJ138" s="18" t="s">
        <v>86</v>
      </c>
      <c r="BK138" s="221">
        <f>ROUND(I138*H138,1)</f>
        <v>0</v>
      </c>
      <c r="BL138" s="18" t="s">
        <v>207</v>
      </c>
      <c r="BM138" s="220" t="s">
        <v>3218</v>
      </c>
    </row>
    <row r="139" s="2" customFormat="1">
      <c r="A139" s="40"/>
      <c r="B139" s="41"/>
      <c r="C139" s="42"/>
      <c r="D139" s="222" t="s">
        <v>209</v>
      </c>
      <c r="E139" s="42"/>
      <c r="F139" s="223" t="s">
        <v>3219</v>
      </c>
      <c r="G139" s="42"/>
      <c r="H139" s="42"/>
      <c r="I139" s="224"/>
      <c r="J139" s="42"/>
      <c r="K139" s="42"/>
      <c r="L139" s="46"/>
      <c r="M139" s="225"/>
      <c r="N139" s="226"/>
      <c r="O139" s="86"/>
      <c r="P139" s="86"/>
      <c r="Q139" s="86"/>
      <c r="R139" s="86"/>
      <c r="S139" s="86"/>
      <c r="T139" s="87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T139" s="18" t="s">
        <v>209</v>
      </c>
      <c r="AU139" s="18" t="s">
        <v>88</v>
      </c>
    </row>
    <row r="140" s="13" customFormat="1">
      <c r="A140" s="13"/>
      <c r="B140" s="227"/>
      <c r="C140" s="228"/>
      <c r="D140" s="229" t="s">
        <v>211</v>
      </c>
      <c r="E140" s="230" t="s">
        <v>32</v>
      </c>
      <c r="F140" s="231" t="s">
        <v>3220</v>
      </c>
      <c r="G140" s="228"/>
      <c r="H140" s="232">
        <v>88</v>
      </c>
      <c r="I140" s="233"/>
      <c r="J140" s="228"/>
      <c r="K140" s="228"/>
      <c r="L140" s="234"/>
      <c r="M140" s="235"/>
      <c r="N140" s="236"/>
      <c r="O140" s="236"/>
      <c r="P140" s="236"/>
      <c r="Q140" s="236"/>
      <c r="R140" s="236"/>
      <c r="S140" s="236"/>
      <c r="T140" s="237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38" t="s">
        <v>211</v>
      </c>
      <c r="AU140" s="238" t="s">
        <v>88</v>
      </c>
      <c r="AV140" s="13" t="s">
        <v>88</v>
      </c>
      <c r="AW140" s="13" t="s">
        <v>213</v>
      </c>
      <c r="AX140" s="13" t="s">
        <v>86</v>
      </c>
      <c r="AY140" s="238" t="s">
        <v>200</v>
      </c>
    </row>
    <row r="141" s="2" customFormat="1" ht="24.15" customHeight="1">
      <c r="A141" s="40"/>
      <c r="B141" s="41"/>
      <c r="C141" s="209" t="s">
        <v>8</v>
      </c>
      <c r="D141" s="209" t="s">
        <v>202</v>
      </c>
      <c r="E141" s="210" t="s">
        <v>3221</v>
      </c>
      <c r="F141" s="211" t="s">
        <v>3222</v>
      </c>
      <c r="G141" s="212" t="s">
        <v>449</v>
      </c>
      <c r="H141" s="213">
        <v>18</v>
      </c>
      <c r="I141" s="214"/>
      <c r="J141" s="215">
        <f>ROUND(I141*H141,1)</f>
        <v>0</v>
      </c>
      <c r="K141" s="211" t="s">
        <v>206</v>
      </c>
      <c r="L141" s="46"/>
      <c r="M141" s="216" t="s">
        <v>32</v>
      </c>
      <c r="N141" s="217" t="s">
        <v>49</v>
      </c>
      <c r="O141" s="86"/>
      <c r="P141" s="218">
        <f>O141*H141</f>
        <v>0</v>
      </c>
      <c r="Q141" s="218">
        <v>0</v>
      </c>
      <c r="R141" s="218">
        <f>Q141*H141</f>
        <v>0</v>
      </c>
      <c r="S141" s="218">
        <v>0</v>
      </c>
      <c r="T141" s="219">
        <f>S141*H141</f>
        <v>0</v>
      </c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0" t="s">
        <v>207</v>
      </c>
      <c r="AT141" s="220" t="s">
        <v>202</v>
      </c>
      <c r="AU141" s="220" t="s">
        <v>88</v>
      </c>
      <c r="AY141" s="18" t="s">
        <v>200</v>
      </c>
      <c r="BE141" s="221">
        <f>IF(N141="základní",J141,0)</f>
        <v>0</v>
      </c>
      <c r="BF141" s="221">
        <f>IF(N141="snížená",J141,0)</f>
        <v>0</v>
      </c>
      <c r="BG141" s="221">
        <f>IF(N141="zákl. přenesená",J141,0)</f>
        <v>0</v>
      </c>
      <c r="BH141" s="221">
        <f>IF(N141="sníž. přenesená",J141,0)</f>
        <v>0</v>
      </c>
      <c r="BI141" s="221">
        <f>IF(N141="nulová",J141,0)</f>
        <v>0</v>
      </c>
      <c r="BJ141" s="18" t="s">
        <v>86</v>
      </c>
      <c r="BK141" s="221">
        <f>ROUND(I141*H141,1)</f>
        <v>0</v>
      </c>
      <c r="BL141" s="18" t="s">
        <v>207</v>
      </c>
      <c r="BM141" s="220" t="s">
        <v>3223</v>
      </c>
    </row>
    <row r="142" s="2" customFormat="1">
      <c r="A142" s="40"/>
      <c r="B142" s="41"/>
      <c r="C142" s="42"/>
      <c r="D142" s="222" t="s">
        <v>209</v>
      </c>
      <c r="E142" s="42"/>
      <c r="F142" s="223" t="s">
        <v>3224</v>
      </c>
      <c r="G142" s="42"/>
      <c r="H142" s="42"/>
      <c r="I142" s="224"/>
      <c r="J142" s="42"/>
      <c r="K142" s="42"/>
      <c r="L142" s="46"/>
      <c r="M142" s="225"/>
      <c r="N142" s="226"/>
      <c r="O142" s="86"/>
      <c r="P142" s="86"/>
      <c r="Q142" s="86"/>
      <c r="R142" s="86"/>
      <c r="S142" s="86"/>
      <c r="T142" s="87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8" t="s">
        <v>209</v>
      </c>
      <c r="AU142" s="18" t="s">
        <v>88</v>
      </c>
    </row>
    <row r="143" s="13" customFormat="1">
      <c r="A143" s="13"/>
      <c r="B143" s="227"/>
      <c r="C143" s="228"/>
      <c r="D143" s="229" t="s">
        <v>211</v>
      </c>
      <c r="E143" s="230" t="s">
        <v>32</v>
      </c>
      <c r="F143" s="231" t="s">
        <v>3225</v>
      </c>
      <c r="G143" s="228"/>
      <c r="H143" s="232">
        <v>18</v>
      </c>
      <c r="I143" s="233"/>
      <c r="J143" s="228"/>
      <c r="K143" s="228"/>
      <c r="L143" s="234"/>
      <c r="M143" s="235"/>
      <c r="N143" s="236"/>
      <c r="O143" s="236"/>
      <c r="P143" s="236"/>
      <c r="Q143" s="236"/>
      <c r="R143" s="236"/>
      <c r="S143" s="236"/>
      <c r="T143" s="237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38" t="s">
        <v>211</v>
      </c>
      <c r="AU143" s="238" t="s">
        <v>88</v>
      </c>
      <c r="AV143" s="13" t="s">
        <v>88</v>
      </c>
      <c r="AW143" s="13" t="s">
        <v>213</v>
      </c>
      <c r="AX143" s="13" t="s">
        <v>86</v>
      </c>
      <c r="AY143" s="238" t="s">
        <v>200</v>
      </c>
    </row>
    <row r="144" s="2" customFormat="1" ht="16.5" customHeight="1">
      <c r="A144" s="40"/>
      <c r="B144" s="41"/>
      <c r="C144" s="260" t="s">
        <v>310</v>
      </c>
      <c r="D144" s="260" t="s">
        <v>292</v>
      </c>
      <c r="E144" s="261" t="s">
        <v>2202</v>
      </c>
      <c r="F144" s="262" t="s">
        <v>2203</v>
      </c>
      <c r="G144" s="263" t="s">
        <v>449</v>
      </c>
      <c r="H144" s="264">
        <v>10</v>
      </c>
      <c r="I144" s="265"/>
      <c r="J144" s="266">
        <f>ROUND(I144*H144,1)</f>
        <v>0</v>
      </c>
      <c r="K144" s="262" t="s">
        <v>206</v>
      </c>
      <c r="L144" s="267"/>
      <c r="M144" s="268" t="s">
        <v>32</v>
      </c>
      <c r="N144" s="269" t="s">
        <v>49</v>
      </c>
      <c r="O144" s="86"/>
      <c r="P144" s="218">
        <f>O144*H144</f>
        <v>0</v>
      </c>
      <c r="Q144" s="218">
        <v>0.00035</v>
      </c>
      <c r="R144" s="218">
        <f>Q144*H144</f>
        <v>0.0035000000000000001</v>
      </c>
      <c r="S144" s="218">
        <v>0</v>
      </c>
      <c r="T144" s="219">
        <f>S144*H144</f>
        <v>0</v>
      </c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R144" s="220" t="s">
        <v>254</v>
      </c>
      <c r="AT144" s="220" t="s">
        <v>292</v>
      </c>
      <c r="AU144" s="220" t="s">
        <v>88</v>
      </c>
      <c r="AY144" s="18" t="s">
        <v>200</v>
      </c>
      <c r="BE144" s="221">
        <f>IF(N144="základní",J144,0)</f>
        <v>0</v>
      </c>
      <c r="BF144" s="221">
        <f>IF(N144="snížená",J144,0)</f>
        <v>0</v>
      </c>
      <c r="BG144" s="221">
        <f>IF(N144="zákl. přenesená",J144,0)</f>
        <v>0</v>
      </c>
      <c r="BH144" s="221">
        <f>IF(N144="sníž. přenesená",J144,0)</f>
        <v>0</v>
      </c>
      <c r="BI144" s="221">
        <f>IF(N144="nulová",J144,0)</f>
        <v>0</v>
      </c>
      <c r="BJ144" s="18" t="s">
        <v>86</v>
      </c>
      <c r="BK144" s="221">
        <f>ROUND(I144*H144,1)</f>
        <v>0</v>
      </c>
      <c r="BL144" s="18" t="s">
        <v>207</v>
      </c>
      <c r="BM144" s="220" t="s">
        <v>3226</v>
      </c>
    </row>
    <row r="145" s="2" customFormat="1" ht="16.5" customHeight="1">
      <c r="A145" s="40"/>
      <c r="B145" s="41"/>
      <c r="C145" s="260" t="s">
        <v>320</v>
      </c>
      <c r="D145" s="260" t="s">
        <v>292</v>
      </c>
      <c r="E145" s="261" t="s">
        <v>3227</v>
      </c>
      <c r="F145" s="262" t="s">
        <v>3228</v>
      </c>
      <c r="G145" s="263" t="s">
        <v>449</v>
      </c>
      <c r="H145" s="264">
        <v>8</v>
      </c>
      <c r="I145" s="265"/>
      <c r="J145" s="266">
        <f>ROUND(I145*H145,1)</f>
        <v>0</v>
      </c>
      <c r="K145" s="262" t="s">
        <v>206</v>
      </c>
      <c r="L145" s="267"/>
      <c r="M145" s="268" t="s">
        <v>32</v>
      </c>
      <c r="N145" s="269" t="s">
        <v>49</v>
      </c>
      <c r="O145" s="86"/>
      <c r="P145" s="218">
        <f>O145*H145</f>
        <v>0</v>
      </c>
      <c r="Q145" s="218">
        <v>0.00044999999999999999</v>
      </c>
      <c r="R145" s="218">
        <f>Q145*H145</f>
        <v>0.0035999999999999999</v>
      </c>
      <c r="S145" s="218">
        <v>0</v>
      </c>
      <c r="T145" s="219">
        <f>S145*H145</f>
        <v>0</v>
      </c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0" t="s">
        <v>254</v>
      </c>
      <c r="AT145" s="220" t="s">
        <v>292</v>
      </c>
      <c r="AU145" s="220" t="s">
        <v>88</v>
      </c>
      <c r="AY145" s="18" t="s">
        <v>200</v>
      </c>
      <c r="BE145" s="221">
        <f>IF(N145="základní",J145,0)</f>
        <v>0</v>
      </c>
      <c r="BF145" s="221">
        <f>IF(N145="snížená",J145,0)</f>
        <v>0</v>
      </c>
      <c r="BG145" s="221">
        <f>IF(N145="zákl. přenesená",J145,0)</f>
        <v>0</v>
      </c>
      <c r="BH145" s="221">
        <f>IF(N145="sníž. přenesená",J145,0)</f>
        <v>0</v>
      </c>
      <c r="BI145" s="221">
        <f>IF(N145="nulová",J145,0)</f>
        <v>0</v>
      </c>
      <c r="BJ145" s="18" t="s">
        <v>86</v>
      </c>
      <c r="BK145" s="221">
        <f>ROUND(I145*H145,1)</f>
        <v>0</v>
      </c>
      <c r="BL145" s="18" t="s">
        <v>207</v>
      </c>
      <c r="BM145" s="220" t="s">
        <v>3229</v>
      </c>
    </row>
    <row r="146" s="2" customFormat="1" ht="24.15" customHeight="1">
      <c r="A146" s="40"/>
      <c r="B146" s="41"/>
      <c r="C146" s="209" t="s">
        <v>326</v>
      </c>
      <c r="D146" s="209" t="s">
        <v>202</v>
      </c>
      <c r="E146" s="210" t="s">
        <v>3230</v>
      </c>
      <c r="F146" s="211" t="s">
        <v>3231</v>
      </c>
      <c r="G146" s="212" t="s">
        <v>449</v>
      </c>
      <c r="H146" s="213">
        <v>2</v>
      </c>
      <c r="I146" s="214"/>
      <c r="J146" s="215">
        <f>ROUND(I146*H146,1)</f>
        <v>0</v>
      </c>
      <c r="K146" s="211" t="s">
        <v>206</v>
      </c>
      <c r="L146" s="46"/>
      <c r="M146" s="216" t="s">
        <v>32</v>
      </c>
      <c r="N146" s="217" t="s">
        <v>49</v>
      </c>
      <c r="O146" s="86"/>
      <c r="P146" s="218">
        <f>O146*H146</f>
        <v>0</v>
      </c>
      <c r="Q146" s="218">
        <v>0</v>
      </c>
      <c r="R146" s="218">
        <f>Q146*H146</f>
        <v>0</v>
      </c>
      <c r="S146" s="218">
        <v>0</v>
      </c>
      <c r="T146" s="219">
        <f>S146*H146</f>
        <v>0</v>
      </c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R146" s="220" t="s">
        <v>207</v>
      </c>
      <c r="AT146" s="220" t="s">
        <v>202</v>
      </c>
      <c r="AU146" s="220" t="s">
        <v>88</v>
      </c>
      <c r="AY146" s="18" t="s">
        <v>200</v>
      </c>
      <c r="BE146" s="221">
        <f>IF(N146="základní",J146,0)</f>
        <v>0</v>
      </c>
      <c r="BF146" s="221">
        <f>IF(N146="snížená",J146,0)</f>
        <v>0</v>
      </c>
      <c r="BG146" s="221">
        <f>IF(N146="zákl. přenesená",J146,0)</f>
        <v>0</v>
      </c>
      <c r="BH146" s="221">
        <f>IF(N146="sníž. přenesená",J146,0)</f>
        <v>0</v>
      </c>
      <c r="BI146" s="221">
        <f>IF(N146="nulová",J146,0)</f>
        <v>0</v>
      </c>
      <c r="BJ146" s="18" t="s">
        <v>86</v>
      </c>
      <c r="BK146" s="221">
        <f>ROUND(I146*H146,1)</f>
        <v>0</v>
      </c>
      <c r="BL146" s="18" t="s">
        <v>207</v>
      </c>
      <c r="BM146" s="220" t="s">
        <v>3232</v>
      </c>
    </row>
    <row r="147" s="2" customFormat="1">
      <c r="A147" s="40"/>
      <c r="B147" s="41"/>
      <c r="C147" s="42"/>
      <c r="D147" s="222" t="s">
        <v>209</v>
      </c>
      <c r="E147" s="42"/>
      <c r="F147" s="223" t="s">
        <v>3233</v>
      </c>
      <c r="G147" s="42"/>
      <c r="H147" s="42"/>
      <c r="I147" s="224"/>
      <c r="J147" s="42"/>
      <c r="K147" s="42"/>
      <c r="L147" s="46"/>
      <c r="M147" s="225"/>
      <c r="N147" s="226"/>
      <c r="O147" s="86"/>
      <c r="P147" s="86"/>
      <c r="Q147" s="86"/>
      <c r="R147" s="86"/>
      <c r="S147" s="86"/>
      <c r="T147" s="87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8" t="s">
        <v>209</v>
      </c>
      <c r="AU147" s="18" t="s">
        <v>88</v>
      </c>
    </row>
    <row r="148" s="2" customFormat="1" ht="16.5" customHeight="1">
      <c r="A148" s="40"/>
      <c r="B148" s="41"/>
      <c r="C148" s="260" t="s">
        <v>337</v>
      </c>
      <c r="D148" s="260" t="s">
        <v>292</v>
      </c>
      <c r="E148" s="261" t="s">
        <v>3234</v>
      </c>
      <c r="F148" s="262" t="s">
        <v>3235</v>
      </c>
      <c r="G148" s="263" t="s">
        <v>449</v>
      </c>
      <c r="H148" s="264">
        <v>2</v>
      </c>
      <c r="I148" s="265"/>
      <c r="J148" s="266">
        <f>ROUND(I148*H148,1)</f>
        <v>0</v>
      </c>
      <c r="K148" s="262" t="s">
        <v>206</v>
      </c>
      <c r="L148" s="267"/>
      <c r="M148" s="268" t="s">
        <v>32</v>
      </c>
      <c r="N148" s="269" t="s">
        <v>49</v>
      </c>
      <c r="O148" s="86"/>
      <c r="P148" s="218">
        <f>O148*H148</f>
        <v>0</v>
      </c>
      <c r="Q148" s="218">
        <v>0.0012999999999999999</v>
      </c>
      <c r="R148" s="218">
        <f>Q148*H148</f>
        <v>0.0025999999999999999</v>
      </c>
      <c r="S148" s="218">
        <v>0</v>
      </c>
      <c r="T148" s="219">
        <f>S148*H148</f>
        <v>0</v>
      </c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R148" s="220" t="s">
        <v>254</v>
      </c>
      <c r="AT148" s="220" t="s">
        <v>292</v>
      </c>
      <c r="AU148" s="220" t="s">
        <v>88</v>
      </c>
      <c r="AY148" s="18" t="s">
        <v>200</v>
      </c>
      <c r="BE148" s="221">
        <f>IF(N148="základní",J148,0)</f>
        <v>0</v>
      </c>
      <c r="BF148" s="221">
        <f>IF(N148="snížená",J148,0)</f>
        <v>0</v>
      </c>
      <c r="BG148" s="221">
        <f>IF(N148="zákl. přenesená",J148,0)</f>
        <v>0</v>
      </c>
      <c r="BH148" s="221">
        <f>IF(N148="sníž. přenesená",J148,0)</f>
        <v>0</v>
      </c>
      <c r="BI148" s="221">
        <f>IF(N148="nulová",J148,0)</f>
        <v>0</v>
      </c>
      <c r="BJ148" s="18" t="s">
        <v>86</v>
      </c>
      <c r="BK148" s="221">
        <f>ROUND(I148*H148,1)</f>
        <v>0</v>
      </c>
      <c r="BL148" s="18" t="s">
        <v>207</v>
      </c>
      <c r="BM148" s="220" t="s">
        <v>3236</v>
      </c>
    </row>
    <row r="149" s="2" customFormat="1" ht="16.5" customHeight="1">
      <c r="A149" s="40"/>
      <c r="B149" s="41"/>
      <c r="C149" s="209" t="s">
        <v>342</v>
      </c>
      <c r="D149" s="209" t="s">
        <v>202</v>
      </c>
      <c r="E149" s="210" t="s">
        <v>3237</v>
      </c>
      <c r="F149" s="211" t="s">
        <v>3238</v>
      </c>
      <c r="G149" s="212" t="s">
        <v>280</v>
      </c>
      <c r="H149" s="213">
        <v>88</v>
      </c>
      <c r="I149" s="214"/>
      <c r="J149" s="215">
        <f>ROUND(I149*H149,1)</f>
        <v>0</v>
      </c>
      <c r="K149" s="211" t="s">
        <v>206</v>
      </c>
      <c r="L149" s="46"/>
      <c r="M149" s="216" t="s">
        <v>32</v>
      </c>
      <c r="N149" s="217" t="s">
        <v>49</v>
      </c>
      <c r="O149" s="86"/>
      <c r="P149" s="218">
        <f>O149*H149</f>
        <v>0</v>
      </c>
      <c r="Q149" s="218">
        <v>0</v>
      </c>
      <c r="R149" s="218">
        <f>Q149*H149</f>
        <v>0</v>
      </c>
      <c r="S149" s="218">
        <v>0</v>
      </c>
      <c r="T149" s="219">
        <f>S149*H149</f>
        <v>0</v>
      </c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R149" s="220" t="s">
        <v>207</v>
      </c>
      <c r="AT149" s="220" t="s">
        <v>202</v>
      </c>
      <c r="AU149" s="220" t="s">
        <v>88</v>
      </c>
      <c r="AY149" s="18" t="s">
        <v>200</v>
      </c>
      <c r="BE149" s="221">
        <f>IF(N149="základní",J149,0)</f>
        <v>0</v>
      </c>
      <c r="BF149" s="221">
        <f>IF(N149="snížená",J149,0)</f>
        <v>0</v>
      </c>
      <c r="BG149" s="221">
        <f>IF(N149="zákl. přenesená",J149,0)</f>
        <v>0</v>
      </c>
      <c r="BH149" s="221">
        <f>IF(N149="sníž. přenesená",J149,0)</f>
        <v>0</v>
      </c>
      <c r="BI149" s="221">
        <f>IF(N149="nulová",J149,0)</f>
        <v>0</v>
      </c>
      <c r="BJ149" s="18" t="s">
        <v>86</v>
      </c>
      <c r="BK149" s="221">
        <f>ROUND(I149*H149,1)</f>
        <v>0</v>
      </c>
      <c r="BL149" s="18" t="s">
        <v>207</v>
      </c>
      <c r="BM149" s="220" t="s">
        <v>3239</v>
      </c>
    </row>
    <row r="150" s="2" customFormat="1">
      <c r="A150" s="40"/>
      <c r="B150" s="41"/>
      <c r="C150" s="42"/>
      <c r="D150" s="222" t="s">
        <v>209</v>
      </c>
      <c r="E150" s="42"/>
      <c r="F150" s="223" t="s">
        <v>3240</v>
      </c>
      <c r="G150" s="42"/>
      <c r="H150" s="42"/>
      <c r="I150" s="224"/>
      <c r="J150" s="42"/>
      <c r="K150" s="42"/>
      <c r="L150" s="46"/>
      <c r="M150" s="225"/>
      <c r="N150" s="226"/>
      <c r="O150" s="86"/>
      <c r="P150" s="86"/>
      <c r="Q150" s="86"/>
      <c r="R150" s="86"/>
      <c r="S150" s="86"/>
      <c r="T150" s="87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T150" s="18" t="s">
        <v>209</v>
      </c>
      <c r="AU150" s="18" t="s">
        <v>88</v>
      </c>
    </row>
    <row r="151" s="12" customFormat="1" ht="22.8" customHeight="1">
      <c r="A151" s="12"/>
      <c r="B151" s="193"/>
      <c r="C151" s="194"/>
      <c r="D151" s="195" t="s">
        <v>77</v>
      </c>
      <c r="E151" s="207" t="s">
        <v>959</v>
      </c>
      <c r="F151" s="207" t="s">
        <v>960</v>
      </c>
      <c r="G151" s="194"/>
      <c r="H151" s="194"/>
      <c r="I151" s="197"/>
      <c r="J151" s="208">
        <f>BK151</f>
        <v>0</v>
      </c>
      <c r="K151" s="194"/>
      <c r="L151" s="199"/>
      <c r="M151" s="200"/>
      <c r="N151" s="201"/>
      <c r="O151" s="201"/>
      <c r="P151" s="202">
        <f>SUM(P152:P155)</f>
        <v>0</v>
      </c>
      <c r="Q151" s="201"/>
      <c r="R151" s="202">
        <f>SUM(R152:R155)</f>
        <v>0</v>
      </c>
      <c r="S151" s="201"/>
      <c r="T151" s="203">
        <f>SUM(T152:T155)</f>
        <v>0</v>
      </c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R151" s="204" t="s">
        <v>86</v>
      </c>
      <c r="AT151" s="205" t="s">
        <v>77</v>
      </c>
      <c r="AU151" s="205" t="s">
        <v>86</v>
      </c>
      <c r="AY151" s="204" t="s">
        <v>200</v>
      </c>
      <c r="BK151" s="206">
        <f>SUM(BK152:BK155)</f>
        <v>0</v>
      </c>
    </row>
    <row r="152" s="2" customFormat="1" ht="24.15" customHeight="1">
      <c r="A152" s="40"/>
      <c r="B152" s="41"/>
      <c r="C152" s="209" t="s">
        <v>7</v>
      </c>
      <c r="D152" s="209" t="s">
        <v>202</v>
      </c>
      <c r="E152" s="210" t="s">
        <v>3161</v>
      </c>
      <c r="F152" s="211" t="s">
        <v>3162</v>
      </c>
      <c r="G152" s="212" t="s">
        <v>250</v>
      </c>
      <c r="H152" s="213">
        <v>68.450000000000003</v>
      </c>
      <c r="I152" s="214"/>
      <c r="J152" s="215">
        <f>ROUND(I152*H152,1)</f>
        <v>0</v>
      </c>
      <c r="K152" s="211" t="s">
        <v>206</v>
      </c>
      <c r="L152" s="46"/>
      <c r="M152" s="216" t="s">
        <v>32</v>
      </c>
      <c r="N152" s="217" t="s">
        <v>49</v>
      </c>
      <c r="O152" s="86"/>
      <c r="P152" s="218">
        <f>O152*H152</f>
        <v>0</v>
      </c>
      <c r="Q152" s="218">
        <v>0</v>
      </c>
      <c r="R152" s="218">
        <f>Q152*H152</f>
        <v>0</v>
      </c>
      <c r="S152" s="218">
        <v>0</v>
      </c>
      <c r="T152" s="219">
        <f>S152*H152</f>
        <v>0</v>
      </c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R152" s="220" t="s">
        <v>207</v>
      </c>
      <c r="AT152" s="220" t="s">
        <v>202</v>
      </c>
      <c r="AU152" s="220" t="s">
        <v>88</v>
      </c>
      <c r="AY152" s="18" t="s">
        <v>200</v>
      </c>
      <c r="BE152" s="221">
        <f>IF(N152="základní",J152,0)</f>
        <v>0</v>
      </c>
      <c r="BF152" s="221">
        <f>IF(N152="snížená",J152,0)</f>
        <v>0</v>
      </c>
      <c r="BG152" s="221">
        <f>IF(N152="zákl. přenesená",J152,0)</f>
        <v>0</v>
      </c>
      <c r="BH152" s="221">
        <f>IF(N152="sníž. přenesená",J152,0)</f>
        <v>0</v>
      </c>
      <c r="BI152" s="221">
        <f>IF(N152="nulová",J152,0)</f>
        <v>0</v>
      </c>
      <c r="BJ152" s="18" t="s">
        <v>86</v>
      </c>
      <c r="BK152" s="221">
        <f>ROUND(I152*H152,1)</f>
        <v>0</v>
      </c>
      <c r="BL152" s="18" t="s">
        <v>207</v>
      </c>
      <c r="BM152" s="220" t="s">
        <v>3241</v>
      </c>
    </row>
    <row r="153" s="2" customFormat="1">
      <c r="A153" s="40"/>
      <c r="B153" s="41"/>
      <c r="C153" s="42"/>
      <c r="D153" s="222" t="s">
        <v>209</v>
      </c>
      <c r="E153" s="42"/>
      <c r="F153" s="223" t="s">
        <v>3164</v>
      </c>
      <c r="G153" s="42"/>
      <c r="H153" s="42"/>
      <c r="I153" s="224"/>
      <c r="J153" s="42"/>
      <c r="K153" s="42"/>
      <c r="L153" s="46"/>
      <c r="M153" s="225"/>
      <c r="N153" s="226"/>
      <c r="O153" s="86"/>
      <c r="P153" s="86"/>
      <c r="Q153" s="86"/>
      <c r="R153" s="86"/>
      <c r="S153" s="86"/>
      <c r="T153" s="87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T153" s="18" t="s">
        <v>209</v>
      </c>
      <c r="AU153" s="18" t="s">
        <v>88</v>
      </c>
    </row>
    <row r="154" s="2" customFormat="1" ht="24.15" customHeight="1">
      <c r="A154" s="40"/>
      <c r="B154" s="41"/>
      <c r="C154" s="209" t="s">
        <v>363</v>
      </c>
      <c r="D154" s="209" t="s">
        <v>202</v>
      </c>
      <c r="E154" s="210" t="s">
        <v>3165</v>
      </c>
      <c r="F154" s="211" t="s">
        <v>3166</v>
      </c>
      <c r="G154" s="212" t="s">
        <v>250</v>
      </c>
      <c r="H154" s="213">
        <v>68.450000000000003</v>
      </c>
      <c r="I154" s="214"/>
      <c r="J154" s="215">
        <f>ROUND(I154*H154,1)</f>
        <v>0</v>
      </c>
      <c r="K154" s="211" t="s">
        <v>206</v>
      </c>
      <c r="L154" s="46"/>
      <c r="M154" s="216" t="s">
        <v>32</v>
      </c>
      <c r="N154" s="217" t="s">
        <v>49</v>
      </c>
      <c r="O154" s="86"/>
      <c r="P154" s="218">
        <f>O154*H154</f>
        <v>0</v>
      </c>
      <c r="Q154" s="218">
        <v>0</v>
      </c>
      <c r="R154" s="218">
        <f>Q154*H154</f>
        <v>0</v>
      </c>
      <c r="S154" s="218">
        <v>0</v>
      </c>
      <c r="T154" s="219">
        <f>S154*H154</f>
        <v>0</v>
      </c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0" t="s">
        <v>207</v>
      </c>
      <c r="AT154" s="220" t="s">
        <v>202</v>
      </c>
      <c r="AU154" s="220" t="s">
        <v>88</v>
      </c>
      <c r="AY154" s="18" t="s">
        <v>200</v>
      </c>
      <c r="BE154" s="221">
        <f>IF(N154="základní",J154,0)</f>
        <v>0</v>
      </c>
      <c r="BF154" s="221">
        <f>IF(N154="snížená",J154,0)</f>
        <v>0</v>
      </c>
      <c r="BG154" s="221">
        <f>IF(N154="zákl. přenesená",J154,0)</f>
        <v>0</v>
      </c>
      <c r="BH154" s="221">
        <f>IF(N154="sníž. přenesená",J154,0)</f>
        <v>0</v>
      </c>
      <c r="BI154" s="221">
        <f>IF(N154="nulová",J154,0)</f>
        <v>0</v>
      </c>
      <c r="BJ154" s="18" t="s">
        <v>86</v>
      </c>
      <c r="BK154" s="221">
        <f>ROUND(I154*H154,1)</f>
        <v>0</v>
      </c>
      <c r="BL154" s="18" t="s">
        <v>207</v>
      </c>
      <c r="BM154" s="220" t="s">
        <v>3242</v>
      </c>
    </row>
    <row r="155" s="2" customFormat="1">
      <c r="A155" s="40"/>
      <c r="B155" s="41"/>
      <c r="C155" s="42"/>
      <c r="D155" s="222" t="s">
        <v>209</v>
      </c>
      <c r="E155" s="42"/>
      <c r="F155" s="223" t="s">
        <v>3168</v>
      </c>
      <c r="G155" s="42"/>
      <c r="H155" s="42"/>
      <c r="I155" s="224"/>
      <c r="J155" s="42"/>
      <c r="K155" s="42"/>
      <c r="L155" s="46"/>
      <c r="M155" s="225"/>
      <c r="N155" s="226"/>
      <c r="O155" s="86"/>
      <c r="P155" s="86"/>
      <c r="Q155" s="86"/>
      <c r="R155" s="86"/>
      <c r="S155" s="86"/>
      <c r="T155" s="87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8" t="s">
        <v>209</v>
      </c>
      <c r="AU155" s="18" t="s">
        <v>88</v>
      </c>
    </row>
    <row r="156" s="12" customFormat="1" ht="25.92" customHeight="1">
      <c r="A156" s="12"/>
      <c r="B156" s="193"/>
      <c r="C156" s="194"/>
      <c r="D156" s="195" t="s">
        <v>77</v>
      </c>
      <c r="E156" s="196" t="s">
        <v>966</v>
      </c>
      <c r="F156" s="196" t="s">
        <v>967</v>
      </c>
      <c r="G156" s="194"/>
      <c r="H156" s="194"/>
      <c r="I156" s="197"/>
      <c r="J156" s="198">
        <f>BK156</f>
        <v>0</v>
      </c>
      <c r="K156" s="194"/>
      <c r="L156" s="199"/>
      <c r="M156" s="200"/>
      <c r="N156" s="201"/>
      <c r="O156" s="201"/>
      <c r="P156" s="202">
        <f>P157</f>
        <v>0</v>
      </c>
      <c r="Q156" s="201"/>
      <c r="R156" s="202">
        <f>R157</f>
        <v>0.0060000000000000001</v>
      </c>
      <c r="S156" s="201"/>
      <c r="T156" s="203">
        <f>T157</f>
        <v>0</v>
      </c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R156" s="204" t="s">
        <v>88</v>
      </c>
      <c r="AT156" s="205" t="s">
        <v>77</v>
      </c>
      <c r="AU156" s="205" t="s">
        <v>78</v>
      </c>
      <c r="AY156" s="204" t="s">
        <v>200</v>
      </c>
      <c r="BK156" s="206">
        <f>BK157</f>
        <v>0</v>
      </c>
    </row>
    <row r="157" s="12" customFormat="1" ht="22.8" customHeight="1">
      <c r="A157" s="12"/>
      <c r="B157" s="193"/>
      <c r="C157" s="194"/>
      <c r="D157" s="195" t="s">
        <v>77</v>
      </c>
      <c r="E157" s="207" t="s">
        <v>2159</v>
      </c>
      <c r="F157" s="207" t="s">
        <v>2160</v>
      </c>
      <c r="G157" s="194"/>
      <c r="H157" s="194"/>
      <c r="I157" s="197"/>
      <c r="J157" s="208">
        <f>BK157</f>
        <v>0</v>
      </c>
      <c r="K157" s="194"/>
      <c r="L157" s="199"/>
      <c r="M157" s="200"/>
      <c r="N157" s="201"/>
      <c r="O157" s="201"/>
      <c r="P157" s="202">
        <f>SUM(P158:P159)</f>
        <v>0</v>
      </c>
      <c r="Q157" s="201"/>
      <c r="R157" s="202">
        <f>SUM(R158:R159)</f>
        <v>0.0060000000000000001</v>
      </c>
      <c r="S157" s="201"/>
      <c r="T157" s="203">
        <f>SUM(T158:T159)</f>
        <v>0</v>
      </c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R157" s="204" t="s">
        <v>88</v>
      </c>
      <c r="AT157" s="205" t="s">
        <v>77</v>
      </c>
      <c r="AU157" s="205" t="s">
        <v>86</v>
      </c>
      <c r="AY157" s="204" t="s">
        <v>200</v>
      </c>
      <c r="BK157" s="206">
        <f>SUM(BK158:BK159)</f>
        <v>0</v>
      </c>
    </row>
    <row r="158" s="2" customFormat="1" ht="16.5" customHeight="1">
      <c r="A158" s="40"/>
      <c r="B158" s="41"/>
      <c r="C158" s="209" t="s">
        <v>374</v>
      </c>
      <c r="D158" s="209" t="s">
        <v>202</v>
      </c>
      <c r="E158" s="210" t="s">
        <v>3243</v>
      </c>
      <c r="F158" s="211" t="s">
        <v>3244</v>
      </c>
      <c r="G158" s="212" t="s">
        <v>449</v>
      </c>
      <c r="H158" s="213">
        <v>4</v>
      </c>
      <c r="I158" s="214"/>
      <c r="J158" s="215">
        <f>ROUND(I158*H158,1)</f>
        <v>0</v>
      </c>
      <c r="K158" s="211" t="s">
        <v>206</v>
      </c>
      <c r="L158" s="46"/>
      <c r="M158" s="216" t="s">
        <v>32</v>
      </c>
      <c r="N158" s="217" t="s">
        <v>49</v>
      </c>
      <c r="O158" s="86"/>
      <c r="P158" s="218">
        <f>O158*H158</f>
        <v>0</v>
      </c>
      <c r="Q158" s="218">
        <v>0.0015</v>
      </c>
      <c r="R158" s="218">
        <f>Q158*H158</f>
        <v>0.0060000000000000001</v>
      </c>
      <c r="S158" s="218">
        <v>0</v>
      </c>
      <c r="T158" s="219">
        <f>S158*H158</f>
        <v>0</v>
      </c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R158" s="220" t="s">
        <v>310</v>
      </c>
      <c r="AT158" s="220" t="s">
        <v>202</v>
      </c>
      <c r="AU158" s="220" t="s">
        <v>88</v>
      </c>
      <c r="AY158" s="18" t="s">
        <v>200</v>
      </c>
      <c r="BE158" s="221">
        <f>IF(N158="základní",J158,0)</f>
        <v>0</v>
      </c>
      <c r="BF158" s="221">
        <f>IF(N158="snížená",J158,0)</f>
        <v>0</v>
      </c>
      <c r="BG158" s="221">
        <f>IF(N158="zákl. přenesená",J158,0)</f>
        <v>0</v>
      </c>
      <c r="BH158" s="221">
        <f>IF(N158="sníž. přenesená",J158,0)</f>
        <v>0</v>
      </c>
      <c r="BI158" s="221">
        <f>IF(N158="nulová",J158,0)</f>
        <v>0</v>
      </c>
      <c r="BJ158" s="18" t="s">
        <v>86</v>
      </c>
      <c r="BK158" s="221">
        <f>ROUND(I158*H158,1)</f>
        <v>0</v>
      </c>
      <c r="BL158" s="18" t="s">
        <v>310</v>
      </c>
      <c r="BM158" s="220" t="s">
        <v>3245</v>
      </c>
    </row>
    <row r="159" s="2" customFormat="1">
      <c r="A159" s="40"/>
      <c r="B159" s="41"/>
      <c r="C159" s="42"/>
      <c r="D159" s="222" t="s">
        <v>209</v>
      </c>
      <c r="E159" s="42"/>
      <c r="F159" s="223" t="s">
        <v>3246</v>
      </c>
      <c r="G159" s="42"/>
      <c r="H159" s="42"/>
      <c r="I159" s="224"/>
      <c r="J159" s="42"/>
      <c r="K159" s="42"/>
      <c r="L159" s="46"/>
      <c r="M159" s="283"/>
      <c r="N159" s="284"/>
      <c r="O159" s="285"/>
      <c r="P159" s="285"/>
      <c r="Q159" s="285"/>
      <c r="R159" s="285"/>
      <c r="S159" s="285"/>
      <c r="T159" s="286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T159" s="18" t="s">
        <v>209</v>
      </c>
      <c r="AU159" s="18" t="s">
        <v>88</v>
      </c>
    </row>
    <row r="160" s="2" customFormat="1" ht="6.96" customHeight="1">
      <c r="A160" s="40"/>
      <c r="B160" s="61"/>
      <c r="C160" s="62"/>
      <c r="D160" s="62"/>
      <c r="E160" s="62"/>
      <c r="F160" s="62"/>
      <c r="G160" s="62"/>
      <c r="H160" s="62"/>
      <c r="I160" s="62"/>
      <c r="J160" s="62"/>
      <c r="K160" s="62"/>
      <c r="L160" s="46"/>
      <c r="M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</row>
  </sheetData>
  <sheetProtection sheet="1" autoFilter="0" formatColumns="0" formatRows="0" objects="1" scenarios="1" spinCount="100000" saltValue="p/nYvtOTMbANpE0wZF4MpZqyfPDMFbjRS1sirwGp4RhGGdB5mt6xyIsS+Vrr41rLD19LEa9bTVQztsu5pAxGUQ==" hashValue="kWxPKPeQ7VlneOXjb87ka36vtdoAOgupE7vZR+Lk+2YKNGLIWuaWnfcdvD49p+KuIBBaWyFeQzCQTQRt9/or0g==" algorithmName="SHA-512" password="CC35"/>
  <autoFilter ref="C86:K159"/>
  <mergeCells count="9">
    <mergeCell ref="E7:H7"/>
    <mergeCell ref="E9:H9"/>
    <mergeCell ref="E18:H18"/>
    <mergeCell ref="E27:H27"/>
    <mergeCell ref="E48:H48"/>
    <mergeCell ref="E50:H50"/>
    <mergeCell ref="E77:H77"/>
    <mergeCell ref="E79:H79"/>
    <mergeCell ref="L2:V2"/>
  </mergeCells>
  <hyperlinks>
    <hyperlink ref="F91" r:id="rId1" display="https://podminky.urs.cz/item/CS_URS_2023_02/131251102"/>
    <hyperlink ref="F96" r:id="rId2" display="https://podminky.urs.cz/item/CS_URS_2023_02/132151103"/>
    <hyperlink ref="F99" r:id="rId3" display="https://podminky.urs.cz/item/CS_URS_2023_02/132254103"/>
    <hyperlink ref="F104" r:id="rId4" display="https://podminky.urs.cz/item/CS_URS_2023_02/162251102"/>
    <hyperlink ref="F109" r:id="rId5" display="https://podminky.urs.cz/item/CS_URS_2023_02/167151101"/>
    <hyperlink ref="F112" r:id="rId6" display="https://podminky.urs.cz/item/CS_URS_2023_02/174151101"/>
    <hyperlink ref="F122" r:id="rId7" display="https://podminky.urs.cz/item/CS_URS_2023_02/175151101"/>
    <hyperlink ref="F128" r:id="rId8" display="https://podminky.urs.cz/item/CS_URS_2023_02/382413113"/>
    <hyperlink ref="F132" r:id="rId9" display="https://podminky.urs.cz/item/CS_URS_2023_02/451572111"/>
    <hyperlink ref="F139" r:id="rId10" display="https://podminky.urs.cz/item/CS_URS_2023_02/871275211"/>
    <hyperlink ref="F142" r:id="rId11" display="https://podminky.urs.cz/item/CS_URS_2023_02/877270310"/>
    <hyperlink ref="F147" r:id="rId12" display="https://podminky.urs.cz/item/CS_URS_2023_02/877270320"/>
    <hyperlink ref="F150" r:id="rId13" display="https://podminky.urs.cz/item/CS_URS_2023_02/892271111"/>
    <hyperlink ref="F153" r:id="rId14" display="https://podminky.urs.cz/item/CS_URS_2023_02/998276101"/>
    <hyperlink ref="F155" r:id="rId15" display="https://podminky.urs.cz/item/CS_URS_2023_02/998276124"/>
    <hyperlink ref="F159" r:id="rId16" display="https://podminky.urs.cz/item/CS_URS_2023_02/721242105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7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8" t="s">
        <v>109</v>
      </c>
    </row>
    <row r="3" hidden="1" s="1" customFormat="1" ht="6.96" customHeight="1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21"/>
      <c r="AT3" s="18" t="s">
        <v>88</v>
      </c>
    </row>
    <row r="4" hidden="1" s="1" customFormat="1" ht="24.96" customHeight="1">
      <c r="B4" s="21"/>
      <c r="D4" s="133" t="s">
        <v>121</v>
      </c>
      <c r="L4" s="21"/>
      <c r="M4" s="134" t="s">
        <v>10</v>
      </c>
      <c r="AT4" s="18" t="s">
        <v>4</v>
      </c>
    </row>
    <row r="5" hidden="1" s="1" customFormat="1" ht="6.96" customHeight="1">
      <c r="B5" s="21"/>
      <c r="L5" s="21"/>
    </row>
    <row r="6" hidden="1" s="1" customFormat="1" ht="12" customHeight="1">
      <c r="B6" s="21"/>
      <c r="D6" s="135" t="s">
        <v>16</v>
      </c>
      <c r="L6" s="21"/>
    </row>
    <row r="7" hidden="1" s="1" customFormat="1" ht="16.5" customHeight="1">
      <c r="B7" s="21"/>
      <c r="E7" s="136" t="str">
        <f>'Rekapitulace stavby'!K6</f>
        <v>Kulturní dům ČP 1, Třemošná- rev 03</v>
      </c>
      <c r="F7" s="135"/>
      <c r="G7" s="135"/>
      <c r="H7" s="135"/>
      <c r="L7" s="21"/>
    </row>
    <row r="8" hidden="1" s="2" customFormat="1" ht="12" customHeight="1">
      <c r="A8" s="40"/>
      <c r="B8" s="46"/>
      <c r="C8" s="40"/>
      <c r="D8" s="135" t="s">
        <v>134</v>
      </c>
      <c r="E8" s="40"/>
      <c r="F8" s="40"/>
      <c r="G8" s="40"/>
      <c r="H8" s="40"/>
      <c r="I8" s="40"/>
      <c r="J8" s="40"/>
      <c r="K8" s="40"/>
      <c r="L8" s="137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hidden="1" s="2" customFormat="1" ht="16.5" customHeight="1">
      <c r="A9" s="40"/>
      <c r="B9" s="46"/>
      <c r="C9" s="40"/>
      <c r="D9" s="40"/>
      <c r="E9" s="138" t="s">
        <v>3247</v>
      </c>
      <c r="F9" s="40"/>
      <c r="G9" s="40"/>
      <c r="H9" s="40"/>
      <c r="I9" s="40"/>
      <c r="J9" s="40"/>
      <c r="K9" s="40"/>
      <c r="L9" s="13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hidden="1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3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hidden="1" s="2" customFormat="1" ht="12" customHeight="1">
      <c r="A11" s="40"/>
      <c r="B11" s="46"/>
      <c r="C11" s="40"/>
      <c r="D11" s="135" t="s">
        <v>18</v>
      </c>
      <c r="E11" s="40"/>
      <c r="F11" s="139" t="s">
        <v>19</v>
      </c>
      <c r="G11" s="40"/>
      <c r="H11" s="40"/>
      <c r="I11" s="135" t="s">
        <v>20</v>
      </c>
      <c r="J11" s="139" t="s">
        <v>32</v>
      </c>
      <c r="K11" s="40"/>
      <c r="L11" s="13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hidden="1" s="2" customFormat="1" ht="12" customHeight="1">
      <c r="A12" s="40"/>
      <c r="B12" s="46"/>
      <c r="C12" s="40"/>
      <c r="D12" s="135" t="s">
        <v>22</v>
      </c>
      <c r="E12" s="40"/>
      <c r="F12" s="139" t="s">
        <v>23</v>
      </c>
      <c r="G12" s="40"/>
      <c r="H12" s="40"/>
      <c r="I12" s="135" t="s">
        <v>24</v>
      </c>
      <c r="J12" s="140" t="str">
        <f>'Rekapitulace stavby'!AN8</f>
        <v>20. 12. 2023</v>
      </c>
      <c r="K12" s="40"/>
      <c r="L12" s="13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hidden="1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3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hidden="1" s="2" customFormat="1" ht="12" customHeight="1">
      <c r="A14" s="40"/>
      <c r="B14" s="46"/>
      <c r="C14" s="40"/>
      <c r="D14" s="135" t="s">
        <v>30</v>
      </c>
      <c r="E14" s="40"/>
      <c r="F14" s="40"/>
      <c r="G14" s="40"/>
      <c r="H14" s="40"/>
      <c r="I14" s="135" t="s">
        <v>31</v>
      </c>
      <c r="J14" s="139" t="s">
        <v>32</v>
      </c>
      <c r="K14" s="40"/>
      <c r="L14" s="13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hidden="1" s="2" customFormat="1" ht="18" customHeight="1">
      <c r="A15" s="40"/>
      <c r="B15" s="46"/>
      <c r="C15" s="40"/>
      <c r="D15" s="40"/>
      <c r="E15" s="139" t="s">
        <v>33</v>
      </c>
      <c r="F15" s="40"/>
      <c r="G15" s="40"/>
      <c r="H15" s="40"/>
      <c r="I15" s="135" t="s">
        <v>34</v>
      </c>
      <c r="J15" s="139" t="s">
        <v>32</v>
      </c>
      <c r="K15" s="40"/>
      <c r="L15" s="13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hidden="1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3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hidden="1" s="2" customFormat="1" ht="12" customHeight="1">
      <c r="A17" s="40"/>
      <c r="B17" s="46"/>
      <c r="C17" s="40"/>
      <c r="D17" s="135" t="s">
        <v>35</v>
      </c>
      <c r="E17" s="40"/>
      <c r="F17" s="40"/>
      <c r="G17" s="40"/>
      <c r="H17" s="40"/>
      <c r="I17" s="135" t="s">
        <v>31</v>
      </c>
      <c r="J17" s="34" t="str">
        <f>'Rekapitulace stavby'!AN13</f>
        <v>Vyplň údaj</v>
      </c>
      <c r="K17" s="40"/>
      <c r="L17" s="13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hidden="1" s="2" customFormat="1" ht="18" customHeight="1">
      <c r="A18" s="40"/>
      <c r="B18" s="46"/>
      <c r="C18" s="40"/>
      <c r="D18" s="40"/>
      <c r="E18" s="34" t="str">
        <f>'Rekapitulace stavby'!E14</f>
        <v>Vyplň údaj</v>
      </c>
      <c r="F18" s="139"/>
      <c r="G18" s="139"/>
      <c r="H18" s="139"/>
      <c r="I18" s="135" t="s">
        <v>34</v>
      </c>
      <c r="J18" s="34" t="str">
        <f>'Rekapitulace stavby'!AN14</f>
        <v>Vyplň údaj</v>
      </c>
      <c r="K18" s="40"/>
      <c r="L18" s="13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hidden="1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3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hidden="1" s="2" customFormat="1" ht="12" customHeight="1">
      <c r="A20" s="40"/>
      <c r="B20" s="46"/>
      <c r="C20" s="40"/>
      <c r="D20" s="135" t="s">
        <v>37</v>
      </c>
      <c r="E20" s="40"/>
      <c r="F20" s="40"/>
      <c r="G20" s="40"/>
      <c r="H20" s="40"/>
      <c r="I20" s="135" t="s">
        <v>31</v>
      </c>
      <c r="J20" s="139" t="s">
        <v>38</v>
      </c>
      <c r="K20" s="40"/>
      <c r="L20" s="13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hidden="1" s="2" customFormat="1" ht="18" customHeight="1">
      <c r="A21" s="40"/>
      <c r="B21" s="46"/>
      <c r="C21" s="40"/>
      <c r="D21" s="40"/>
      <c r="E21" s="139" t="s">
        <v>39</v>
      </c>
      <c r="F21" s="40"/>
      <c r="G21" s="40"/>
      <c r="H21" s="40"/>
      <c r="I21" s="135" t="s">
        <v>34</v>
      </c>
      <c r="J21" s="139" t="s">
        <v>32</v>
      </c>
      <c r="K21" s="40"/>
      <c r="L21" s="13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hidden="1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3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hidden="1" s="2" customFormat="1" ht="12" customHeight="1">
      <c r="A23" s="40"/>
      <c r="B23" s="46"/>
      <c r="C23" s="40"/>
      <c r="D23" s="135" t="s">
        <v>40</v>
      </c>
      <c r="E23" s="40"/>
      <c r="F23" s="40"/>
      <c r="G23" s="40"/>
      <c r="H23" s="40"/>
      <c r="I23" s="135" t="s">
        <v>31</v>
      </c>
      <c r="J23" s="139" t="str">
        <f>IF('Rekapitulace stavby'!AN19="","",'Rekapitulace stavby'!AN19)</f>
        <v/>
      </c>
      <c r="K23" s="40"/>
      <c r="L23" s="13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hidden="1" s="2" customFormat="1" ht="18" customHeight="1">
      <c r="A24" s="40"/>
      <c r="B24" s="46"/>
      <c r="C24" s="40"/>
      <c r="D24" s="40"/>
      <c r="E24" s="139" t="str">
        <f>IF('Rekapitulace stavby'!E20="","",'Rekapitulace stavby'!E20)</f>
        <v xml:space="preserve"> </v>
      </c>
      <c r="F24" s="40"/>
      <c r="G24" s="40"/>
      <c r="H24" s="40"/>
      <c r="I24" s="135" t="s">
        <v>34</v>
      </c>
      <c r="J24" s="139" t="str">
        <f>IF('Rekapitulace stavby'!AN20="","",'Rekapitulace stavby'!AN20)</f>
        <v/>
      </c>
      <c r="K24" s="40"/>
      <c r="L24" s="13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hidden="1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3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hidden="1" s="2" customFormat="1" ht="12" customHeight="1">
      <c r="A26" s="40"/>
      <c r="B26" s="46"/>
      <c r="C26" s="40"/>
      <c r="D26" s="135" t="s">
        <v>42</v>
      </c>
      <c r="E26" s="40"/>
      <c r="F26" s="40"/>
      <c r="G26" s="40"/>
      <c r="H26" s="40"/>
      <c r="I26" s="40"/>
      <c r="J26" s="40"/>
      <c r="K26" s="40"/>
      <c r="L26" s="13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hidden="1" s="8" customFormat="1" ht="16.5" customHeight="1">
      <c r="A27" s="143"/>
      <c r="B27" s="144"/>
      <c r="C27" s="143"/>
      <c r="D27" s="143"/>
      <c r="E27" s="145" t="s">
        <v>32</v>
      </c>
      <c r="F27" s="145"/>
      <c r="G27" s="145"/>
      <c r="H27" s="145"/>
      <c r="I27" s="143"/>
      <c r="J27" s="143"/>
      <c r="K27" s="143"/>
      <c r="L27" s="146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</row>
    <row r="28" hidden="1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3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hidden="1" s="2" customFormat="1" ht="6.96" customHeight="1">
      <c r="A29" s="40"/>
      <c r="B29" s="46"/>
      <c r="C29" s="40"/>
      <c r="D29" s="147"/>
      <c r="E29" s="147"/>
      <c r="F29" s="147"/>
      <c r="G29" s="147"/>
      <c r="H29" s="147"/>
      <c r="I29" s="147"/>
      <c r="J29" s="147"/>
      <c r="K29" s="147"/>
      <c r="L29" s="13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hidden="1" s="2" customFormat="1" ht="25.44" customHeight="1">
      <c r="A30" s="40"/>
      <c r="B30" s="46"/>
      <c r="C30" s="40"/>
      <c r="D30" s="148" t="s">
        <v>44</v>
      </c>
      <c r="E30" s="40"/>
      <c r="F30" s="40"/>
      <c r="G30" s="40"/>
      <c r="H30" s="40"/>
      <c r="I30" s="40"/>
      <c r="J30" s="149">
        <f>ROUND(J89, 1)</f>
        <v>0</v>
      </c>
      <c r="K30" s="40"/>
      <c r="L30" s="13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hidden="1" s="2" customFormat="1" ht="6.96" customHeight="1">
      <c r="A31" s="40"/>
      <c r="B31" s="46"/>
      <c r="C31" s="40"/>
      <c r="D31" s="147"/>
      <c r="E31" s="147"/>
      <c r="F31" s="147"/>
      <c r="G31" s="147"/>
      <c r="H31" s="147"/>
      <c r="I31" s="147"/>
      <c r="J31" s="147"/>
      <c r="K31" s="147"/>
      <c r="L31" s="13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hidden="1" s="2" customFormat="1" ht="14.4" customHeight="1">
      <c r="A32" s="40"/>
      <c r="B32" s="46"/>
      <c r="C32" s="40"/>
      <c r="D32" s="40"/>
      <c r="E32" s="40"/>
      <c r="F32" s="150" t="s">
        <v>46</v>
      </c>
      <c r="G32" s="40"/>
      <c r="H32" s="40"/>
      <c r="I32" s="150" t="s">
        <v>45</v>
      </c>
      <c r="J32" s="150" t="s">
        <v>47</v>
      </c>
      <c r="K32" s="40"/>
      <c r="L32" s="13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hidden="1" s="2" customFormat="1" ht="14.4" customHeight="1">
      <c r="A33" s="40"/>
      <c r="B33" s="46"/>
      <c r="C33" s="40"/>
      <c r="D33" s="151" t="s">
        <v>48</v>
      </c>
      <c r="E33" s="135" t="s">
        <v>49</v>
      </c>
      <c r="F33" s="152">
        <f>ROUND((SUM(BE89:BE343)),  1)</f>
        <v>0</v>
      </c>
      <c r="G33" s="40"/>
      <c r="H33" s="40"/>
      <c r="I33" s="153">
        <v>0.20999999999999999</v>
      </c>
      <c r="J33" s="152">
        <f>ROUND(((SUM(BE89:BE343))*I33),  1)</f>
        <v>0</v>
      </c>
      <c r="K33" s="40"/>
      <c r="L33" s="13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hidden="1" s="2" customFormat="1" ht="14.4" customHeight="1">
      <c r="A34" s="40"/>
      <c r="B34" s="46"/>
      <c r="C34" s="40"/>
      <c r="D34" s="40"/>
      <c r="E34" s="135" t="s">
        <v>50</v>
      </c>
      <c r="F34" s="152">
        <f>ROUND((SUM(BF89:BF343)),  1)</f>
        <v>0</v>
      </c>
      <c r="G34" s="40"/>
      <c r="H34" s="40"/>
      <c r="I34" s="153">
        <v>0.14999999999999999</v>
      </c>
      <c r="J34" s="152">
        <f>ROUND(((SUM(BF89:BF343))*I34),  1)</f>
        <v>0</v>
      </c>
      <c r="K34" s="40"/>
      <c r="L34" s="13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35" t="s">
        <v>51</v>
      </c>
      <c r="F35" s="152">
        <f>ROUND((SUM(BG89:BG343)),  1)</f>
        <v>0</v>
      </c>
      <c r="G35" s="40"/>
      <c r="H35" s="40"/>
      <c r="I35" s="153">
        <v>0.20999999999999999</v>
      </c>
      <c r="J35" s="152">
        <f>0</f>
        <v>0</v>
      </c>
      <c r="K35" s="40"/>
      <c r="L35" s="13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35" t="s">
        <v>52</v>
      </c>
      <c r="F36" s="152">
        <f>ROUND((SUM(BH89:BH343)),  1)</f>
        <v>0</v>
      </c>
      <c r="G36" s="40"/>
      <c r="H36" s="40"/>
      <c r="I36" s="153">
        <v>0.14999999999999999</v>
      </c>
      <c r="J36" s="152">
        <f>0</f>
        <v>0</v>
      </c>
      <c r="K36" s="40"/>
      <c r="L36" s="13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35" t="s">
        <v>53</v>
      </c>
      <c r="F37" s="152">
        <f>ROUND((SUM(BI89:BI343)),  1)</f>
        <v>0</v>
      </c>
      <c r="G37" s="40"/>
      <c r="H37" s="40"/>
      <c r="I37" s="153">
        <v>0</v>
      </c>
      <c r="J37" s="152">
        <f>0</f>
        <v>0</v>
      </c>
      <c r="K37" s="40"/>
      <c r="L37" s="13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3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25.44" customHeight="1">
      <c r="A39" s="40"/>
      <c r="B39" s="46"/>
      <c r="C39" s="154"/>
      <c r="D39" s="155" t="s">
        <v>54</v>
      </c>
      <c r="E39" s="156"/>
      <c r="F39" s="156"/>
      <c r="G39" s="157" t="s">
        <v>55</v>
      </c>
      <c r="H39" s="158" t="s">
        <v>56</v>
      </c>
      <c r="I39" s="156"/>
      <c r="J39" s="159">
        <f>SUM(J30:J37)</f>
        <v>0</v>
      </c>
      <c r="K39" s="160"/>
      <c r="L39" s="13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161"/>
      <c r="C40" s="162"/>
      <c r="D40" s="162"/>
      <c r="E40" s="162"/>
      <c r="F40" s="162"/>
      <c r="G40" s="162"/>
      <c r="H40" s="162"/>
      <c r="I40" s="162"/>
      <c r="J40" s="162"/>
      <c r="K40" s="162"/>
      <c r="L40" s="13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/>
    <row r="42" hidden="1"/>
    <row r="43" hidden="1"/>
    <row r="44" hidden="1" s="2" customFormat="1" ht="6.96" customHeight="1">
      <c r="A44" s="4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3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hidden="1" s="2" customFormat="1" ht="24.96" customHeight="1">
      <c r="A45" s="40"/>
      <c r="B45" s="41"/>
      <c r="C45" s="24" t="s">
        <v>155</v>
      </c>
      <c r="D45" s="42"/>
      <c r="E45" s="42"/>
      <c r="F45" s="42"/>
      <c r="G45" s="42"/>
      <c r="H45" s="42"/>
      <c r="I45" s="42"/>
      <c r="J45" s="42"/>
      <c r="K45" s="42"/>
      <c r="L45" s="137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hidden="1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3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hidden="1" s="2" customFormat="1" ht="12" customHeight="1">
      <c r="A47" s="40"/>
      <c r="B47" s="41"/>
      <c r="C47" s="33" t="s">
        <v>16</v>
      </c>
      <c r="D47" s="42"/>
      <c r="E47" s="42"/>
      <c r="F47" s="42"/>
      <c r="G47" s="42"/>
      <c r="H47" s="42"/>
      <c r="I47" s="42"/>
      <c r="J47" s="42"/>
      <c r="K47" s="42"/>
      <c r="L47" s="13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hidden="1" s="2" customFormat="1" ht="16.5" customHeight="1">
      <c r="A48" s="40"/>
      <c r="B48" s="41"/>
      <c r="C48" s="42"/>
      <c r="D48" s="42"/>
      <c r="E48" s="165" t="str">
        <f>E7</f>
        <v>Kulturní dům ČP 1, Třemošná- rev 03</v>
      </c>
      <c r="F48" s="33"/>
      <c r="G48" s="33"/>
      <c r="H48" s="33"/>
      <c r="I48" s="42"/>
      <c r="J48" s="42"/>
      <c r="K48" s="42"/>
      <c r="L48" s="13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hidden="1" s="2" customFormat="1" ht="12" customHeight="1">
      <c r="A49" s="40"/>
      <c r="B49" s="41"/>
      <c r="C49" s="33" t="s">
        <v>134</v>
      </c>
      <c r="D49" s="42"/>
      <c r="E49" s="42"/>
      <c r="F49" s="42"/>
      <c r="G49" s="42"/>
      <c r="H49" s="42"/>
      <c r="I49" s="42"/>
      <c r="J49" s="42"/>
      <c r="K49" s="42"/>
      <c r="L49" s="13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hidden="1" s="2" customFormat="1" ht="16.5" customHeight="1">
      <c r="A50" s="40"/>
      <c r="B50" s="41"/>
      <c r="C50" s="42"/>
      <c r="D50" s="42"/>
      <c r="E50" s="71" t="str">
        <f>E9</f>
        <v>08 - Zpevněné plochy</v>
      </c>
      <c r="F50" s="42"/>
      <c r="G50" s="42"/>
      <c r="H50" s="42"/>
      <c r="I50" s="42"/>
      <c r="J50" s="42"/>
      <c r="K50" s="42"/>
      <c r="L50" s="13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hidden="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3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hidden="1" s="2" customFormat="1" ht="12" customHeight="1">
      <c r="A52" s="40"/>
      <c r="B52" s="41"/>
      <c r="C52" s="33" t="s">
        <v>22</v>
      </c>
      <c r="D52" s="42"/>
      <c r="E52" s="42"/>
      <c r="F52" s="28" t="str">
        <f>F12</f>
        <v>Třemošná</v>
      </c>
      <c r="G52" s="42"/>
      <c r="H52" s="42"/>
      <c r="I52" s="33" t="s">
        <v>24</v>
      </c>
      <c r="J52" s="74" t="str">
        <f>IF(J12="","",J12)</f>
        <v>20. 12. 2023</v>
      </c>
      <c r="K52" s="42"/>
      <c r="L52" s="13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hidden="1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3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hidden="1" s="2" customFormat="1" ht="25.65" customHeight="1">
      <c r="A54" s="40"/>
      <c r="B54" s="41"/>
      <c r="C54" s="33" t="s">
        <v>30</v>
      </c>
      <c r="D54" s="42"/>
      <c r="E54" s="42"/>
      <c r="F54" s="28" t="str">
        <f>E15</f>
        <v>Město Třemošná, Sídliště 992, 330 01 Třemošná</v>
      </c>
      <c r="G54" s="42"/>
      <c r="H54" s="42"/>
      <c r="I54" s="33" t="s">
        <v>37</v>
      </c>
      <c r="J54" s="38" t="str">
        <f>E21</f>
        <v>RAVAL projekt v. o. s.</v>
      </c>
      <c r="K54" s="42"/>
      <c r="L54" s="13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hidden="1" s="2" customFormat="1" ht="15.15" customHeight="1">
      <c r="A55" s="40"/>
      <c r="B55" s="41"/>
      <c r="C55" s="33" t="s">
        <v>35</v>
      </c>
      <c r="D55" s="42"/>
      <c r="E55" s="42"/>
      <c r="F55" s="28" t="str">
        <f>IF(E18="","",E18)</f>
        <v>Vyplň údaj</v>
      </c>
      <c r="G55" s="42"/>
      <c r="H55" s="42"/>
      <c r="I55" s="33" t="s">
        <v>40</v>
      </c>
      <c r="J55" s="38" t="str">
        <f>E24</f>
        <v xml:space="preserve"> </v>
      </c>
      <c r="K55" s="42"/>
      <c r="L55" s="13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hidden="1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3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hidden="1" s="2" customFormat="1" ht="29.28" customHeight="1">
      <c r="A57" s="40"/>
      <c r="B57" s="41"/>
      <c r="C57" s="166" t="s">
        <v>156</v>
      </c>
      <c r="D57" s="167"/>
      <c r="E57" s="167"/>
      <c r="F57" s="167"/>
      <c r="G57" s="167"/>
      <c r="H57" s="167"/>
      <c r="I57" s="167"/>
      <c r="J57" s="168" t="s">
        <v>157</v>
      </c>
      <c r="K57" s="167"/>
      <c r="L57" s="13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hidden="1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3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hidden="1" s="2" customFormat="1" ht="22.8" customHeight="1">
      <c r="A59" s="40"/>
      <c r="B59" s="41"/>
      <c r="C59" s="169" t="s">
        <v>76</v>
      </c>
      <c r="D59" s="42"/>
      <c r="E59" s="42"/>
      <c r="F59" s="42"/>
      <c r="G59" s="42"/>
      <c r="H59" s="42"/>
      <c r="I59" s="42"/>
      <c r="J59" s="104">
        <f>J89</f>
        <v>0</v>
      </c>
      <c r="K59" s="42"/>
      <c r="L59" s="13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8" t="s">
        <v>158</v>
      </c>
    </row>
    <row r="60" hidden="1" s="9" customFormat="1" ht="24.96" customHeight="1">
      <c r="A60" s="9"/>
      <c r="B60" s="170"/>
      <c r="C60" s="171"/>
      <c r="D60" s="172" t="s">
        <v>159</v>
      </c>
      <c r="E60" s="173"/>
      <c r="F60" s="173"/>
      <c r="G60" s="173"/>
      <c r="H60" s="173"/>
      <c r="I60" s="173"/>
      <c r="J60" s="174">
        <f>J90</f>
        <v>0</v>
      </c>
      <c r="K60" s="171"/>
      <c r="L60" s="175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idden="1" s="10" customFormat="1" ht="19.92" customHeight="1">
      <c r="A61" s="10"/>
      <c r="B61" s="176"/>
      <c r="C61" s="177"/>
      <c r="D61" s="178" t="s">
        <v>160</v>
      </c>
      <c r="E61" s="179"/>
      <c r="F61" s="179"/>
      <c r="G61" s="179"/>
      <c r="H61" s="179"/>
      <c r="I61" s="179"/>
      <c r="J61" s="180">
        <f>J91</f>
        <v>0</v>
      </c>
      <c r="K61" s="177"/>
      <c r="L61" s="181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hidden="1" s="10" customFormat="1" ht="19.92" customHeight="1">
      <c r="A62" s="10"/>
      <c r="B62" s="176"/>
      <c r="C62" s="177"/>
      <c r="D62" s="178" t="s">
        <v>161</v>
      </c>
      <c r="E62" s="179"/>
      <c r="F62" s="179"/>
      <c r="G62" s="179"/>
      <c r="H62" s="179"/>
      <c r="I62" s="179"/>
      <c r="J62" s="180">
        <f>J137</f>
        <v>0</v>
      </c>
      <c r="K62" s="177"/>
      <c r="L62" s="181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hidden="1" s="10" customFormat="1" ht="19.92" customHeight="1">
      <c r="A63" s="10"/>
      <c r="B63" s="176"/>
      <c r="C63" s="177"/>
      <c r="D63" s="178" t="s">
        <v>162</v>
      </c>
      <c r="E63" s="179"/>
      <c r="F63" s="179"/>
      <c r="G63" s="179"/>
      <c r="H63" s="179"/>
      <c r="I63" s="179"/>
      <c r="J63" s="180">
        <f>J152</f>
        <v>0</v>
      </c>
      <c r="K63" s="177"/>
      <c r="L63" s="181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hidden="1" s="10" customFormat="1" ht="19.92" customHeight="1">
      <c r="A64" s="10"/>
      <c r="B64" s="176"/>
      <c r="C64" s="177"/>
      <c r="D64" s="178" t="s">
        <v>3248</v>
      </c>
      <c r="E64" s="179"/>
      <c r="F64" s="179"/>
      <c r="G64" s="179"/>
      <c r="H64" s="179"/>
      <c r="I64" s="179"/>
      <c r="J64" s="180">
        <f>J182</f>
        <v>0</v>
      </c>
      <c r="K64" s="177"/>
      <c r="L64" s="181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hidden="1" s="10" customFormat="1" ht="19.92" customHeight="1">
      <c r="A65" s="10"/>
      <c r="B65" s="176"/>
      <c r="C65" s="177"/>
      <c r="D65" s="178" t="s">
        <v>164</v>
      </c>
      <c r="E65" s="179"/>
      <c r="F65" s="179"/>
      <c r="G65" s="179"/>
      <c r="H65" s="179"/>
      <c r="I65" s="179"/>
      <c r="J65" s="180">
        <f>J229</f>
        <v>0</v>
      </c>
      <c r="K65" s="177"/>
      <c r="L65" s="181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hidden="1" s="10" customFormat="1" ht="19.92" customHeight="1">
      <c r="A66" s="10"/>
      <c r="B66" s="176"/>
      <c r="C66" s="177"/>
      <c r="D66" s="178" t="s">
        <v>165</v>
      </c>
      <c r="E66" s="179"/>
      <c r="F66" s="179"/>
      <c r="G66" s="179"/>
      <c r="H66" s="179"/>
      <c r="I66" s="179"/>
      <c r="J66" s="180">
        <f>J237</f>
        <v>0</v>
      </c>
      <c r="K66" s="177"/>
      <c r="L66" s="181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hidden="1" s="10" customFormat="1" ht="19.92" customHeight="1">
      <c r="A67" s="10"/>
      <c r="B67" s="176"/>
      <c r="C67" s="177"/>
      <c r="D67" s="178" t="s">
        <v>166</v>
      </c>
      <c r="E67" s="179"/>
      <c r="F67" s="179"/>
      <c r="G67" s="179"/>
      <c r="H67" s="179"/>
      <c r="I67" s="179"/>
      <c r="J67" s="180">
        <f>J256</f>
        <v>0</v>
      </c>
      <c r="K67" s="177"/>
      <c r="L67" s="181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hidden="1" s="10" customFormat="1" ht="19.92" customHeight="1">
      <c r="A68" s="10"/>
      <c r="B68" s="176"/>
      <c r="C68" s="177"/>
      <c r="D68" s="178" t="s">
        <v>3249</v>
      </c>
      <c r="E68" s="179"/>
      <c r="F68" s="179"/>
      <c r="G68" s="179"/>
      <c r="H68" s="179"/>
      <c r="I68" s="179"/>
      <c r="J68" s="180">
        <f>J326</f>
        <v>0</v>
      </c>
      <c r="K68" s="177"/>
      <c r="L68" s="181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hidden="1" s="10" customFormat="1" ht="19.92" customHeight="1">
      <c r="A69" s="10"/>
      <c r="B69" s="176"/>
      <c r="C69" s="177"/>
      <c r="D69" s="178" t="s">
        <v>167</v>
      </c>
      <c r="E69" s="179"/>
      <c r="F69" s="179"/>
      <c r="G69" s="179"/>
      <c r="H69" s="179"/>
      <c r="I69" s="179"/>
      <c r="J69" s="180">
        <f>J341</f>
        <v>0</v>
      </c>
      <c r="K69" s="177"/>
      <c r="L69" s="181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hidden="1" s="2" customFormat="1" ht="21.84" customHeight="1">
      <c r="A70" s="40"/>
      <c r="B70" s="41"/>
      <c r="C70" s="42"/>
      <c r="D70" s="42"/>
      <c r="E70" s="42"/>
      <c r="F70" s="42"/>
      <c r="G70" s="42"/>
      <c r="H70" s="42"/>
      <c r="I70" s="42"/>
      <c r="J70" s="42"/>
      <c r="K70" s="42"/>
      <c r="L70" s="137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 hidden="1" s="2" customFormat="1" ht="6.96" customHeight="1">
      <c r="A71" s="40"/>
      <c r="B71" s="61"/>
      <c r="C71" s="62"/>
      <c r="D71" s="62"/>
      <c r="E71" s="62"/>
      <c r="F71" s="62"/>
      <c r="G71" s="62"/>
      <c r="H71" s="62"/>
      <c r="I71" s="62"/>
      <c r="J71" s="62"/>
      <c r="K71" s="62"/>
      <c r="L71" s="137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 hidden="1"/>
    <row r="73" hidden="1"/>
    <row r="74" hidden="1"/>
    <row r="75" s="2" customFormat="1" ht="6.96" customHeight="1">
      <c r="A75" s="40"/>
      <c r="B75" s="63"/>
      <c r="C75" s="64"/>
      <c r="D75" s="64"/>
      <c r="E75" s="64"/>
      <c r="F75" s="64"/>
      <c r="G75" s="64"/>
      <c r="H75" s="64"/>
      <c r="I75" s="64"/>
      <c r="J75" s="64"/>
      <c r="K75" s="64"/>
      <c r="L75" s="137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24.96" customHeight="1">
      <c r="A76" s="40"/>
      <c r="B76" s="41"/>
      <c r="C76" s="24" t="s">
        <v>185</v>
      </c>
      <c r="D76" s="42"/>
      <c r="E76" s="42"/>
      <c r="F76" s="42"/>
      <c r="G76" s="42"/>
      <c r="H76" s="42"/>
      <c r="I76" s="42"/>
      <c r="J76" s="42"/>
      <c r="K76" s="42"/>
      <c r="L76" s="137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6.96" customHeight="1">
      <c r="A77" s="40"/>
      <c r="B77" s="41"/>
      <c r="C77" s="42"/>
      <c r="D77" s="42"/>
      <c r="E77" s="42"/>
      <c r="F77" s="42"/>
      <c r="G77" s="42"/>
      <c r="H77" s="42"/>
      <c r="I77" s="42"/>
      <c r="J77" s="42"/>
      <c r="K77" s="42"/>
      <c r="L77" s="137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12" customHeight="1">
      <c r="A78" s="40"/>
      <c r="B78" s="41"/>
      <c r="C78" s="33" t="s">
        <v>16</v>
      </c>
      <c r="D78" s="42"/>
      <c r="E78" s="42"/>
      <c r="F78" s="42"/>
      <c r="G78" s="42"/>
      <c r="H78" s="42"/>
      <c r="I78" s="42"/>
      <c r="J78" s="42"/>
      <c r="K78" s="42"/>
      <c r="L78" s="137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16.5" customHeight="1">
      <c r="A79" s="40"/>
      <c r="B79" s="41"/>
      <c r="C79" s="42"/>
      <c r="D79" s="42"/>
      <c r="E79" s="165" t="str">
        <f>E7</f>
        <v>Kulturní dům ČP 1, Třemošná- rev 03</v>
      </c>
      <c r="F79" s="33"/>
      <c r="G79" s="33"/>
      <c r="H79" s="33"/>
      <c r="I79" s="42"/>
      <c r="J79" s="42"/>
      <c r="K79" s="42"/>
      <c r="L79" s="13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12" customHeight="1">
      <c r="A80" s="40"/>
      <c r="B80" s="41"/>
      <c r="C80" s="33" t="s">
        <v>134</v>
      </c>
      <c r="D80" s="42"/>
      <c r="E80" s="42"/>
      <c r="F80" s="42"/>
      <c r="G80" s="42"/>
      <c r="H80" s="42"/>
      <c r="I80" s="42"/>
      <c r="J80" s="42"/>
      <c r="K80" s="42"/>
      <c r="L80" s="13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6.5" customHeight="1">
      <c r="A81" s="40"/>
      <c r="B81" s="41"/>
      <c r="C81" s="42"/>
      <c r="D81" s="42"/>
      <c r="E81" s="71" t="str">
        <f>E9</f>
        <v>08 - Zpevněné plochy</v>
      </c>
      <c r="F81" s="42"/>
      <c r="G81" s="42"/>
      <c r="H81" s="42"/>
      <c r="I81" s="42"/>
      <c r="J81" s="42"/>
      <c r="K81" s="42"/>
      <c r="L81" s="13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6.96" customHeight="1">
      <c r="A82" s="40"/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13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2" customHeight="1">
      <c r="A83" s="40"/>
      <c r="B83" s="41"/>
      <c r="C83" s="33" t="s">
        <v>22</v>
      </c>
      <c r="D83" s="42"/>
      <c r="E83" s="42"/>
      <c r="F83" s="28" t="str">
        <f>F12</f>
        <v>Třemošná</v>
      </c>
      <c r="G83" s="42"/>
      <c r="H83" s="42"/>
      <c r="I83" s="33" t="s">
        <v>24</v>
      </c>
      <c r="J83" s="74" t="str">
        <f>IF(J12="","",J12)</f>
        <v>20. 12. 2023</v>
      </c>
      <c r="K83" s="42"/>
      <c r="L83" s="137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6.96" customHeight="1">
      <c r="A84" s="40"/>
      <c r="B84" s="41"/>
      <c r="C84" s="42"/>
      <c r="D84" s="42"/>
      <c r="E84" s="42"/>
      <c r="F84" s="42"/>
      <c r="G84" s="42"/>
      <c r="H84" s="42"/>
      <c r="I84" s="42"/>
      <c r="J84" s="42"/>
      <c r="K84" s="42"/>
      <c r="L84" s="13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25.65" customHeight="1">
      <c r="A85" s="40"/>
      <c r="B85" s="41"/>
      <c r="C85" s="33" t="s">
        <v>30</v>
      </c>
      <c r="D85" s="42"/>
      <c r="E85" s="42"/>
      <c r="F85" s="28" t="str">
        <f>E15</f>
        <v>Město Třemošná, Sídliště 992, 330 01 Třemošná</v>
      </c>
      <c r="G85" s="42"/>
      <c r="H85" s="42"/>
      <c r="I85" s="33" t="s">
        <v>37</v>
      </c>
      <c r="J85" s="38" t="str">
        <f>E21</f>
        <v>RAVAL projekt v. o. s.</v>
      </c>
      <c r="K85" s="42"/>
      <c r="L85" s="13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15.15" customHeight="1">
      <c r="A86" s="40"/>
      <c r="B86" s="41"/>
      <c r="C86" s="33" t="s">
        <v>35</v>
      </c>
      <c r="D86" s="42"/>
      <c r="E86" s="42"/>
      <c r="F86" s="28" t="str">
        <f>IF(E18="","",E18)</f>
        <v>Vyplň údaj</v>
      </c>
      <c r="G86" s="42"/>
      <c r="H86" s="42"/>
      <c r="I86" s="33" t="s">
        <v>40</v>
      </c>
      <c r="J86" s="38" t="str">
        <f>E24</f>
        <v xml:space="preserve"> </v>
      </c>
      <c r="K86" s="42"/>
      <c r="L86" s="13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0.32" customHeight="1">
      <c r="A87" s="40"/>
      <c r="B87" s="41"/>
      <c r="C87" s="42"/>
      <c r="D87" s="42"/>
      <c r="E87" s="42"/>
      <c r="F87" s="42"/>
      <c r="G87" s="42"/>
      <c r="H87" s="42"/>
      <c r="I87" s="42"/>
      <c r="J87" s="42"/>
      <c r="K87" s="42"/>
      <c r="L87" s="13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11" customFormat="1" ht="29.28" customHeight="1">
      <c r="A88" s="182"/>
      <c r="B88" s="183"/>
      <c r="C88" s="184" t="s">
        <v>186</v>
      </c>
      <c r="D88" s="185" t="s">
        <v>63</v>
      </c>
      <c r="E88" s="185" t="s">
        <v>59</v>
      </c>
      <c r="F88" s="185" t="s">
        <v>60</v>
      </c>
      <c r="G88" s="185" t="s">
        <v>187</v>
      </c>
      <c r="H88" s="185" t="s">
        <v>188</v>
      </c>
      <c r="I88" s="185" t="s">
        <v>189</v>
      </c>
      <c r="J88" s="185" t="s">
        <v>157</v>
      </c>
      <c r="K88" s="186" t="s">
        <v>190</v>
      </c>
      <c r="L88" s="187"/>
      <c r="M88" s="94" t="s">
        <v>32</v>
      </c>
      <c r="N88" s="95" t="s">
        <v>48</v>
      </c>
      <c r="O88" s="95" t="s">
        <v>191</v>
      </c>
      <c r="P88" s="95" t="s">
        <v>192</v>
      </c>
      <c r="Q88" s="95" t="s">
        <v>193</v>
      </c>
      <c r="R88" s="95" t="s">
        <v>194</v>
      </c>
      <c r="S88" s="95" t="s">
        <v>195</v>
      </c>
      <c r="T88" s="96" t="s">
        <v>196</v>
      </c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</row>
    <row r="89" s="2" customFormat="1" ht="22.8" customHeight="1">
      <c r="A89" s="40"/>
      <c r="B89" s="41"/>
      <c r="C89" s="101" t="s">
        <v>197</v>
      </c>
      <c r="D89" s="42"/>
      <c r="E89" s="42"/>
      <c r="F89" s="42"/>
      <c r="G89" s="42"/>
      <c r="H89" s="42"/>
      <c r="I89" s="42"/>
      <c r="J89" s="188">
        <f>BK89</f>
        <v>0</v>
      </c>
      <c r="K89" s="42"/>
      <c r="L89" s="46"/>
      <c r="M89" s="97"/>
      <c r="N89" s="189"/>
      <c r="O89" s="98"/>
      <c r="P89" s="190">
        <f>P90</f>
        <v>0</v>
      </c>
      <c r="Q89" s="98"/>
      <c r="R89" s="190">
        <f>R90</f>
        <v>266.81997325999998</v>
      </c>
      <c r="S89" s="98"/>
      <c r="T89" s="191">
        <f>T90</f>
        <v>575.10015999999996</v>
      </c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T89" s="18" t="s">
        <v>77</v>
      </c>
      <c r="AU89" s="18" t="s">
        <v>158</v>
      </c>
      <c r="BK89" s="192">
        <f>BK90</f>
        <v>0</v>
      </c>
    </row>
    <row r="90" s="12" customFormat="1" ht="25.92" customHeight="1">
      <c r="A90" s="12"/>
      <c r="B90" s="193"/>
      <c r="C90" s="194"/>
      <c r="D90" s="195" t="s">
        <v>77</v>
      </c>
      <c r="E90" s="196" t="s">
        <v>198</v>
      </c>
      <c r="F90" s="196" t="s">
        <v>199</v>
      </c>
      <c r="G90" s="194"/>
      <c r="H90" s="194"/>
      <c r="I90" s="197"/>
      <c r="J90" s="198">
        <f>BK90</f>
        <v>0</v>
      </c>
      <c r="K90" s="194"/>
      <c r="L90" s="199"/>
      <c r="M90" s="200"/>
      <c r="N90" s="201"/>
      <c r="O90" s="201"/>
      <c r="P90" s="202">
        <f>P91+P137+P152+P182+P229+P237+P256+P326+P341</f>
        <v>0</v>
      </c>
      <c r="Q90" s="201"/>
      <c r="R90" s="202">
        <f>R91+R137+R152+R182+R229+R237+R256+R326+R341</f>
        <v>266.81997325999998</v>
      </c>
      <c r="S90" s="201"/>
      <c r="T90" s="203">
        <f>T91+T137+T152+T182+T229+T237+T256+T326+T341</f>
        <v>575.10015999999996</v>
      </c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R90" s="204" t="s">
        <v>86</v>
      </c>
      <c r="AT90" s="205" t="s">
        <v>77</v>
      </c>
      <c r="AU90" s="205" t="s">
        <v>78</v>
      </c>
      <c r="AY90" s="204" t="s">
        <v>200</v>
      </c>
      <c r="BK90" s="206">
        <f>BK91+BK137+BK152+BK182+BK229+BK237+BK256+BK326+BK341</f>
        <v>0</v>
      </c>
    </row>
    <row r="91" s="12" customFormat="1" ht="22.8" customHeight="1">
      <c r="A91" s="12"/>
      <c r="B91" s="193"/>
      <c r="C91" s="194"/>
      <c r="D91" s="195" t="s">
        <v>77</v>
      </c>
      <c r="E91" s="207" t="s">
        <v>86</v>
      </c>
      <c r="F91" s="207" t="s">
        <v>201</v>
      </c>
      <c r="G91" s="194"/>
      <c r="H91" s="194"/>
      <c r="I91" s="197"/>
      <c r="J91" s="208">
        <f>BK91</f>
        <v>0</v>
      </c>
      <c r="K91" s="194"/>
      <c r="L91" s="199"/>
      <c r="M91" s="200"/>
      <c r="N91" s="201"/>
      <c r="O91" s="201"/>
      <c r="P91" s="202">
        <f>SUM(P92:P136)</f>
        <v>0</v>
      </c>
      <c r="Q91" s="201"/>
      <c r="R91" s="202">
        <f>SUM(R92:R136)</f>
        <v>33.67221</v>
      </c>
      <c r="S91" s="201"/>
      <c r="T91" s="203">
        <f>SUM(T92:T136)</f>
        <v>358.40899999999999</v>
      </c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R91" s="204" t="s">
        <v>86</v>
      </c>
      <c r="AT91" s="205" t="s">
        <v>77</v>
      </c>
      <c r="AU91" s="205" t="s">
        <v>86</v>
      </c>
      <c r="AY91" s="204" t="s">
        <v>200</v>
      </c>
      <c r="BK91" s="206">
        <f>SUM(BK92:BK136)</f>
        <v>0</v>
      </c>
    </row>
    <row r="92" s="2" customFormat="1" ht="37.8" customHeight="1">
      <c r="A92" s="40"/>
      <c r="B92" s="41"/>
      <c r="C92" s="209" t="s">
        <v>86</v>
      </c>
      <c r="D92" s="209" t="s">
        <v>202</v>
      </c>
      <c r="E92" s="210" t="s">
        <v>3250</v>
      </c>
      <c r="F92" s="211" t="s">
        <v>3251</v>
      </c>
      <c r="G92" s="212" t="s">
        <v>272</v>
      </c>
      <c r="H92" s="213">
        <v>18</v>
      </c>
      <c r="I92" s="214"/>
      <c r="J92" s="215">
        <f>ROUND(I92*H92,1)</f>
        <v>0</v>
      </c>
      <c r="K92" s="211" t="s">
        <v>206</v>
      </c>
      <c r="L92" s="46"/>
      <c r="M92" s="216" t="s">
        <v>32</v>
      </c>
      <c r="N92" s="217" t="s">
        <v>49</v>
      </c>
      <c r="O92" s="86"/>
      <c r="P92" s="218">
        <f>O92*H92</f>
        <v>0</v>
      </c>
      <c r="Q92" s="218">
        <v>0</v>
      </c>
      <c r="R92" s="218">
        <f>Q92*H92</f>
        <v>0</v>
      </c>
      <c r="S92" s="218">
        <v>0.255</v>
      </c>
      <c r="T92" s="219">
        <f>S92*H92</f>
        <v>4.5899999999999999</v>
      </c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R92" s="220" t="s">
        <v>207</v>
      </c>
      <c r="AT92" s="220" t="s">
        <v>202</v>
      </c>
      <c r="AU92" s="220" t="s">
        <v>88</v>
      </c>
      <c r="AY92" s="18" t="s">
        <v>200</v>
      </c>
      <c r="BE92" s="221">
        <f>IF(N92="základní",J92,0)</f>
        <v>0</v>
      </c>
      <c r="BF92" s="221">
        <f>IF(N92="snížená",J92,0)</f>
        <v>0</v>
      </c>
      <c r="BG92" s="221">
        <f>IF(N92="zákl. přenesená",J92,0)</f>
        <v>0</v>
      </c>
      <c r="BH92" s="221">
        <f>IF(N92="sníž. přenesená",J92,0)</f>
        <v>0</v>
      </c>
      <c r="BI92" s="221">
        <f>IF(N92="nulová",J92,0)</f>
        <v>0</v>
      </c>
      <c r="BJ92" s="18" t="s">
        <v>86</v>
      </c>
      <c r="BK92" s="221">
        <f>ROUND(I92*H92,1)</f>
        <v>0</v>
      </c>
      <c r="BL92" s="18" t="s">
        <v>207</v>
      </c>
      <c r="BM92" s="220" t="s">
        <v>3252</v>
      </c>
    </row>
    <row r="93" s="2" customFormat="1">
      <c r="A93" s="40"/>
      <c r="B93" s="41"/>
      <c r="C93" s="42"/>
      <c r="D93" s="222" t="s">
        <v>209</v>
      </c>
      <c r="E93" s="42"/>
      <c r="F93" s="223" t="s">
        <v>3253</v>
      </c>
      <c r="G93" s="42"/>
      <c r="H93" s="42"/>
      <c r="I93" s="224"/>
      <c r="J93" s="42"/>
      <c r="K93" s="42"/>
      <c r="L93" s="46"/>
      <c r="M93" s="225"/>
      <c r="N93" s="226"/>
      <c r="O93" s="86"/>
      <c r="P93" s="86"/>
      <c r="Q93" s="86"/>
      <c r="R93" s="86"/>
      <c r="S93" s="86"/>
      <c r="T93" s="87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T93" s="18" t="s">
        <v>209</v>
      </c>
      <c r="AU93" s="18" t="s">
        <v>88</v>
      </c>
    </row>
    <row r="94" s="2" customFormat="1" ht="33" customHeight="1">
      <c r="A94" s="40"/>
      <c r="B94" s="41"/>
      <c r="C94" s="209" t="s">
        <v>88</v>
      </c>
      <c r="D94" s="209" t="s">
        <v>202</v>
      </c>
      <c r="E94" s="210" t="s">
        <v>3254</v>
      </c>
      <c r="F94" s="211" t="s">
        <v>3255</v>
      </c>
      <c r="G94" s="212" t="s">
        <v>272</v>
      </c>
      <c r="H94" s="213">
        <v>254</v>
      </c>
      <c r="I94" s="214"/>
      <c r="J94" s="215">
        <f>ROUND(I94*H94,1)</f>
        <v>0</v>
      </c>
      <c r="K94" s="211" t="s">
        <v>206</v>
      </c>
      <c r="L94" s="46"/>
      <c r="M94" s="216" t="s">
        <v>32</v>
      </c>
      <c r="N94" s="217" t="s">
        <v>49</v>
      </c>
      <c r="O94" s="86"/>
      <c r="P94" s="218">
        <f>O94*H94</f>
        <v>0</v>
      </c>
      <c r="Q94" s="218">
        <v>0</v>
      </c>
      <c r="R94" s="218">
        <f>Q94*H94</f>
        <v>0</v>
      </c>
      <c r="S94" s="218">
        <v>0.625</v>
      </c>
      <c r="T94" s="219">
        <f>S94*H94</f>
        <v>158.75</v>
      </c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R94" s="220" t="s">
        <v>207</v>
      </c>
      <c r="AT94" s="220" t="s">
        <v>202</v>
      </c>
      <c r="AU94" s="220" t="s">
        <v>88</v>
      </c>
      <c r="AY94" s="18" t="s">
        <v>200</v>
      </c>
      <c r="BE94" s="221">
        <f>IF(N94="základní",J94,0)</f>
        <v>0</v>
      </c>
      <c r="BF94" s="221">
        <f>IF(N94="snížená",J94,0)</f>
        <v>0</v>
      </c>
      <c r="BG94" s="221">
        <f>IF(N94="zákl. přenesená",J94,0)</f>
        <v>0</v>
      </c>
      <c r="BH94" s="221">
        <f>IF(N94="sníž. přenesená",J94,0)</f>
        <v>0</v>
      </c>
      <c r="BI94" s="221">
        <f>IF(N94="nulová",J94,0)</f>
        <v>0</v>
      </c>
      <c r="BJ94" s="18" t="s">
        <v>86</v>
      </c>
      <c r="BK94" s="221">
        <f>ROUND(I94*H94,1)</f>
        <v>0</v>
      </c>
      <c r="BL94" s="18" t="s">
        <v>207</v>
      </c>
      <c r="BM94" s="220" t="s">
        <v>3256</v>
      </c>
    </row>
    <row r="95" s="2" customFormat="1">
      <c r="A95" s="40"/>
      <c r="B95" s="41"/>
      <c r="C95" s="42"/>
      <c r="D95" s="222" t="s">
        <v>209</v>
      </c>
      <c r="E95" s="42"/>
      <c r="F95" s="223" t="s">
        <v>3257</v>
      </c>
      <c r="G95" s="42"/>
      <c r="H95" s="42"/>
      <c r="I95" s="224"/>
      <c r="J95" s="42"/>
      <c r="K95" s="42"/>
      <c r="L95" s="46"/>
      <c r="M95" s="225"/>
      <c r="N95" s="226"/>
      <c r="O95" s="86"/>
      <c r="P95" s="86"/>
      <c r="Q95" s="86"/>
      <c r="R95" s="86"/>
      <c r="S95" s="86"/>
      <c r="T95" s="87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T95" s="18" t="s">
        <v>209</v>
      </c>
      <c r="AU95" s="18" t="s">
        <v>88</v>
      </c>
    </row>
    <row r="96" s="2" customFormat="1" ht="33" customHeight="1">
      <c r="A96" s="40"/>
      <c r="B96" s="41"/>
      <c r="C96" s="209" t="s">
        <v>148</v>
      </c>
      <c r="D96" s="209" t="s">
        <v>202</v>
      </c>
      <c r="E96" s="210" t="s">
        <v>3258</v>
      </c>
      <c r="F96" s="211" t="s">
        <v>3259</v>
      </c>
      <c r="G96" s="212" t="s">
        <v>272</v>
      </c>
      <c r="H96" s="213">
        <v>295</v>
      </c>
      <c r="I96" s="214"/>
      <c r="J96" s="215">
        <f>ROUND(I96*H96,1)</f>
        <v>0</v>
      </c>
      <c r="K96" s="211" t="s">
        <v>206</v>
      </c>
      <c r="L96" s="46"/>
      <c r="M96" s="216" t="s">
        <v>32</v>
      </c>
      <c r="N96" s="217" t="s">
        <v>49</v>
      </c>
      <c r="O96" s="86"/>
      <c r="P96" s="218">
        <f>O96*H96</f>
        <v>0</v>
      </c>
      <c r="Q96" s="218">
        <v>0</v>
      </c>
      <c r="R96" s="218">
        <f>Q96*H96</f>
        <v>0</v>
      </c>
      <c r="S96" s="218">
        <v>0.22</v>
      </c>
      <c r="T96" s="219">
        <f>S96*H96</f>
        <v>64.900000000000006</v>
      </c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R96" s="220" t="s">
        <v>207</v>
      </c>
      <c r="AT96" s="220" t="s">
        <v>202</v>
      </c>
      <c r="AU96" s="220" t="s">
        <v>88</v>
      </c>
      <c r="AY96" s="18" t="s">
        <v>200</v>
      </c>
      <c r="BE96" s="221">
        <f>IF(N96="základní",J96,0)</f>
        <v>0</v>
      </c>
      <c r="BF96" s="221">
        <f>IF(N96="snížená",J96,0)</f>
        <v>0</v>
      </c>
      <c r="BG96" s="221">
        <f>IF(N96="zákl. přenesená",J96,0)</f>
        <v>0</v>
      </c>
      <c r="BH96" s="221">
        <f>IF(N96="sníž. přenesená",J96,0)</f>
        <v>0</v>
      </c>
      <c r="BI96" s="221">
        <f>IF(N96="nulová",J96,0)</f>
        <v>0</v>
      </c>
      <c r="BJ96" s="18" t="s">
        <v>86</v>
      </c>
      <c r="BK96" s="221">
        <f>ROUND(I96*H96,1)</f>
        <v>0</v>
      </c>
      <c r="BL96" s="18" t="s">
        <v>207</v>
      </c>
      <c r="BM96" s="220" t="s">
        <v>3260</v>
      </c>
    </row>
    <row r="97" s="2" customFormat="1">
      <c r="A97" s="40"/>
      <c r="B97" s="41"/>
      <c r="C97" s="42"/>
      <c r="D97" s="222" t="s">
        <v>209</v>
      </c>
      <c r="E97" s="42"/>
      <c r="F97" s="223" t="s">
        <v>3261</v>
      </c>
      <c r="G97" s="42"/>
      <c r="H97" s="42"/>
      <c r="I97" s="224"/>
      <c r="J97" s="42"/>
      <c r="K97" s="42"/>
      <c r="L97" s="46"/>
      <c r="M97" s="225"/>
      <c r="N97" s="226"/>
      <c r="O97" s="86"/>
      <c r="P97" s="86"/>
      <c r="Q97" s="86"/>
      <c r="R97" s="86"/>
      <c r="S97" s="86"/>
      <c r="T97" s="87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8" t="s">
        <v>209</v>
      </c>
      <c r="AU97" s="18" t="s">
        <v>88</v>
      </c>
    </row>
    <row r="98" s="2" customFormat="1" ht="33" customHeight="1">
      <c r="A98" s="40"/>
      <c r="B98" s="41"/>
      <c r="C98" s="209" t="s">
        <v>207</v>
      </c>
      <c r="D98" s="209" t="s">
        <v>202</v>
      </c>
      <c r="E98" s="210" t="s">
        <v>3262</v>
      </c>
      <c r="F98" s="211" t="s">
        <v>3263</v>
      </c>
      <c r="G98" s="212" t="s">
        <v>272</v>
      </c>
      <c r="H98" s="213">
        <v>250.5</v>
      </c>
      <c r="I98" s="214"/>
      <c r="J98" s="215">
        <f>ROUND(I98*H98,1)</f>
        <v>0</v>
      </c>
      <c r="K98" s="211" t="s">
        <v>206</v>
      </c>
      <c r="L98" s="46"/>
      <c r="M98" s="216" t="s">
        <v>32</v>
      </c>
      <c r="N98" s="217" t="s">
        <v>49</v>
      </c>
      <c r="O98" s="86"/>
      <c r="P98" s="218">
        <f>O98*H98</f>
        <v>0</v>
      </c>
      <c r="Q98" s="218">
        <v>0</v>
      </c>
      <c r="R98" s="218">
        <f>Q98*H98</f>
        <v>0</v>
      </c>
      <c r="S98" s="218">
        <v>0.316</v>
      </c>
      <c r="T98" s="219">
        <f>S98*H98</f>
        <v>79.158000000000001</v>
      </c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R98" s="220" t="s">
        <v>207</v>
      </c>
      <c r="AT98" s="220" t="s">
        <v>202</v>
      </c>
      <c r="AU98" s="220" t="s">
        <v>88</v>
      </c>
      <c r="AY98" s="18" t="s">
        <v>200</v>
      </c>
      <c r="BE98" s="221">
        <f>IF(N98="základní",J98,0)</f>
        <v>0</v>
      </c>
      <c r="BF98" s="221">
        <f>IF(N98="snížená",J98,0)</f>
        <v>0</v>
      </c>
      <c r="BG98" s="221">
        <f>IF(N98="zákl. přenesená",J98,0)</f>
        <v>0</v>
      </c>
      <c r="BH98" s="221">
        <f>IF(N98="sníž. přenesená",J98,0)</f>
        <v>0</v>
      </c>
      <c r="BI98" s="221">
        <f>IF(N98="nulová",J98,0)</f>
        <v>0</v>
      </c>
      <c r="BJ98" s="18" t="s">
        <v>86</v>
      </c>
      <c r="BK98" s="221">
        <f>ROUND(I98*H98,1)</f>
        <v>0</v>
      </c>
      <c r="BL98" s="18" t="s">
        <v>207</v>
      </c>
      <c r="BM98" s="220" t="s">
        <v>3264</v>
      </c>
    </row>
    <row r="99" s="2" customFormat="1">
      <c r="A99" s="40"/>
      <c r="B99" s="41"/>
      <c r="C99" s="42"/>
      <c r="D99" s="222" t="s">
        <v>209</v>
      </c>
      <c r="E99" s="42"/>
      <c r="F99" s="223" t="s">
        <v>3265</v>
      </c>
      <c r="G99" s="42"/>
      <c r="H99" s="42"/>
      <c r="I99" s="224"/>
      <c r="J99" s="42"/>
      <c r="K99" s="42"/>
      <c r="L99" s="46"/>
      <c r="M99" s="225"/>
      <c r="N99" s="226"/>
      <c r="O99" s="86"/>
      <c r="P99" s="86"/>
      <c r="Q99" s="86"/>
      <c r="R99" s="86"/>
      <c r="S99" s="86"/>
      <c r="T99" s="87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8" t="s">
        <v>209</v>
      </c>
      <c r="AU99" s="18" t="s">
        <v>88</v>
      </c>
    </row>
    <row r="100" s="2" customFormat="1" ht="33" customHeight="1">
      <c r="A100" s="40"/>
      <c r="B100" s="41"/>
      <c r="C100" s="209" t="s">
        <v>234</v>
      </c>
      <c r="D100" s="209" t="s">
        <v>202</v>
      </c>
      <c r="E100" s="210" t="s">
        <v>3266</v>
      </c>
      <c r="F100" s="211" t="s">
        <v>3267</v>
      </c>
      <c r="G100" s="212" t="s">
        <v>272</v>
      </c>
      <c r="H100" s="213">
        <v>40</v>
      </c>
      <c r="I100" s="214"/>
      <c r="J100" s="215">
        <f>ROUND(I100*H100,1)</f>
        <v>0</v>
      </c>
      <c r="K100" s="211" t="s">
        <v>206</v>
      </c>
      <c r="L100" s="46"/>
      <c r="M100" s="216" t="s">
        <v>32</v>
      </c>
      <c r="N100" s="217" t="s">
        <v>49</v>
      </c>
      <c r="O100" s="86"/>
      <c r="P100" s="218">
        <f>O100*H100</f>
        <v>0</v>
      </c>
      <c r="Q100" s="218">
        <v>0</v>
      </c>
      <c r="R100" s="218">
        <f>Q100*H100</f>
        <v>0</v>
      </c>
      <c r="S100" s="218">
        <v>0.32500000000000001</v>
      </c>
      <c r="T100" s="219">
        <f>S100*H100</f>
        <v>13</v>
      </c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0" t="s">
        <v>207</v>
      </c>
      <c r="AT100" s="220" t="s">
        <v>202</v>
      </c>
      <c r="AU100" s="220" t="s">
        <v>88</v>
      </c>
      <c r="AY100" s="18" t="s">
        <v>200</v>
      </c>
      <c r="BE100" s="221">
        <f>IF(N100="základní",J100,0)</f>
        <v>0</v>
      </c>
      <c r="BF100" s="221">
        <f>IF(N100="snížená",J100,0)</f>
        <v>0</v>
      </c>
      <c r="BG100" s="221">
        <f>IF(N100="zákl. přenesená",J100,0)</f>
        <v>0</v>
      </c>
      <c r="BH100" s="221">
        <f>IF(N100="sníž. přenesená",J100,0)</f>
        <v>0</v>
      </c>
      <c r="BI100" s="221">
        <f>IF(N100="nulová",J100,0)</f>
        <v>0</v>
      </c>
      <c r="BJ100" s="18" t="s">
        <v>86</v>
      </c>
      <c r="BK100" s="221">
        <f>ROUND(I100*H100,1)</f>
        <v>0</v>
      </c>
      <c r="BL100" s="18" t="s">
        <v>207</v>
      </c>
      <c r="BM100" s="220" t="s">
        <v>3268</v>
      </c>
    </row>
    <row r="101" s="2" customFormat="1">
      <c r="A101" s="40"/>
      <c r="B101" s="41"/>
      <c r="C101" s="42"/>
      <c r="D101" s="222" t="s">
        <v>209</v>
      </c>
      <c r="E101" s="42"/>
      <c r="F101" s="223" t="s">
        <v>3269</v>
      </c>
      <c r="G101" s="42"/>
      <c r="H101" s="42"/>
      <c r="I101" s="224"/>
      <c r="J101" s="42"/>
      <c r="K101" s="42"/>
      <c r="L101" s="46"/>
      <c r="M101" s="225"/>
      <c r="N101" s="226"/>
      <c r="O101" s="86"/>
      <c r="P101" s="86"/>
      <c r="Q101" s="86"/>
      <c r="R101" s="86"/>
      <c r="S101" s="86"/>
      <c r="T101" s="87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8" t="s">
        <v>209</v>
      </c>
      <c r="AU101" s="18" t="s">
        <v>88</v>
      </c>
    </row>
    <row r="102" s="2" customFormat="1" ht="24.15" customHeight="1">
      <c r="A102" s="40"/>
      <c r="B102" s="41"/>
      <c r="C102" s="209" t="s">
        <v>241</v>
      </c>
      <c r="D102" s="209" t="s">
        <v>202</v>
      </c>
      <c r="E102" s="210" t="s">
        <v>3270</v>
      </c>
      <c r="F102" s="211" t="s">
        <v>3271</v>
      </c>
      <c r="G102" s="212" t="s">
        <v>280</v>
      </c>
      <c r="H102" s="213">
        <v>121</v>
      </c>
      <c r="I102" s="214"/>
      <c r="J102" s="215">
        <f>ROUND(I102*H102,1)</f>
        <v>0</v>
      </c>
      <c r="K102" s="211" t="s">
        <v>206</v>
      </c>
      <c r="L102" s="46"/>
      <c r="M102" s="216" t="s">
        <v>32</v>
      </c>
      <c r="N102" s="217" t="s">
        <v>49</v>
      </c>
      <c r="O102" s="86"/>
      <c r="P102" s="218">
        <f>O102*H102</f>
        <v>0</v>
      </c>
      <c r="Q102" s="218">
        <v>0</v>
      </c>
      <c r="R102" s="218">
        <f>Q102*H102</f>
        <v>0</v>
      </c>
      <c r="S102" s="218">
        <v>0.28999999999999998</v>
      </c>
      <c r="T102" s="219">
        <f>S102*H102</f>
        <v>35.089999999999996</v>
      </c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R102" s="220" t="s">
        <v>207</v>
      </c>
      <c r="AT102" s="220" t="s">
        <v>202</v>
      </c>
      <c r="AU102" s="220" t="s">
        <v>88</v>
      </c>
      <c r="AY102" s="18" t="s">
        <v>200</v>
      </c>
      <c r="BE102" s="221">
        <f>IF(N102="základní",J102,0)</f>
        <v>0</v>
      </c>
      <c r="BF102" s="221">
        <f>IF(N102="snížená",J102,0)</f>
        <v>0</v>
      </c>
      <c r="BG102" s="221">
        <f>IF(N102="zákl. přenesená",J102,0)</f>
        <v>0</v>
      </c>
      <c r="BH102" s="221">
        <f>IF(N102="sníž. přenesená",J102,0)</f>
        <v>0</v>
      </c>
      <c r="BI102" s="221">
        <f>IF(N102="nulová",J102,0)</f>
        <v>0</v>
      </c>
      <c r="BJ102" s="18" t="s">
        <v>86</v>
      </c>
      <c r="BK102" s="221">
        <f>ROUND(I102*H102,1)</f>
        <v>0</v>
      </c>
      <c r="BL102" s="18" t="s">
        <v>207</v>
      </c>
      <c r="BM102" s="220" t="s">
        <v>3272</v>
      </c>
    </row>
    <row r="103" s="2" customFormat="1">
      <c r="A103" s="40"/>
      <c r="B103" s="41"/>
      <c r="C103" s="42"/>
      <c r="D103" s="222" t="s">
        <v>209</v>
      </c>
      <c r="E103" s="42"/>
      <c r="F103" s="223" t="s">
        <v>3273</v>
      </c>
      <c r="G103" s="42"/>
      <c r="H103" s="42"/>
      <c r="I103" s="224"/>
      <c r="J103" s="42"/>
      <c r="K103" s="42"/>
      <c r="L103" s="46"/>
      <c r="M103" s="225"/>
      <c r="N103" s="226"/>
      <c r="O103" s="86"/>
      <c r="P103" s="86"/>
      <c r="Q103" s="86"/>
      <c r="R103" s="86"/>
      <c r="S103" s="86"/>
      <c r="T103" s="87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T103" s="18" t="s">
        <v>209</v>
      </c>
      <c r="AU103" s="18" t="s">
        <v>88</v>
      </c>
    </row>
    <row r="104" s="2" customFormat="1" ht="24.15" customHeight="1">
      <c r="A104" s="40"/>
      <c r="B104" s="41"/>
      <c r="C104" s="209" t="s">
        <v>247</v>
      </c>
      <c r="D104" s="209" t="s">
        <v>202</v>
      </c>
      <c r="E104" s="210" t="s">
        <v>3274</v>
      </c>
      <c r="F104" s="211" t="s">
        <v>3275</v>
      </c>
      <c r="G104" s="212" t="s">
        <v>280</v>
      </c>
      <c r="H104" s="213">
        <v>25.399999999999999</v>
      </c>
      <c r="I104" s="214"/>
      <c r="J104" s="215">
        <f>ROUND(I104*H104,1)</f>
        <v>0</v>
      </c>
      <c r="K104" s="211" t="s">
        <v>206</v>
      </c>
      <c r="L104" s="46"/>
      <c r="M104" s="216" t="s">
        <v>32</v>
      </c>
      <c r="N104" s="217" t="s">
        <v>49</v>
      </c>
      <c r="O104" s="86"/>
      <c r="P104" s="218">
        <f>O104*H104</f>
        <v>0</v>
      </c>
      <c r="Q104" s="218">
        <v>0</v>
      </c>
      <c r="R104" s="218">
        <f>Q104*H104</f>
        <v>0</v>
      </c>
      <c r="S104" s="218">
        <v>0.11500000000000001</v>
      </c>
      <c r="T104" s="219">
        <f>S104*H104</f>
        <v>2.9209999999999998</v>
      </c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0" t="s">
        <v>207</v>
      </c>
      <c r="AT104" s="220" t="s">
        <v>202</v>
      </c>
      <c r="AU104" s="220" t="s">
        <v>88</v>
      </c>
      <c r="AY104" s="18" t="s">
        <v>200</v>
      </c>
      <c r="BE104" s="221">
        <f>IF(N104="základní",J104,0)</f>
        <v>0</v>
      </c>
      <c r="BF104" s="221">
        <f>IF(N104="snížená",J104,0)</f>
        <v>0</v>
      </c>
      <c r="BG104" s="221">
        <f>IF(N104="zákl. přenesená",J104,0)</f>
        <v>0</v>
      </c>
      <c r="BH104" s="221">
        <f>IF(N104="sníž. přenesená",J104,0)</f>
        <v>0</v>
      </c>
      <c r="BI104" s="221">
        <f>IF(N104="nulová",J104,0)</f>
        <v>0</v>
      </c>
      <c r="BJ104" s="18" t="s">
        <v>86</v>
      </c>
      <c r="BK104" s="221">
        <f>ROUND(I104*H104,1)</f>
        <v>0</v>
      </c>
      <c r="BL104" s="18" t="s">
        <v>207</v>
      </c>
      <c r="BM104" s="220" t="s">
        <v>3276</v>
      </c>
    </row>
    <row r="105" s="2" customFormat="1">
      <c r="A105" s="40"/>
      <c r="B105" s="41"/>
      <c r="C105" s="42"/>
      <c r="D105" s="222" t="s">
        <v>209</v>
      </c>
      <c r="E105" s="42"/>
      <c r="F105" s="223" t="s">
        <v>3277</v>
      </c>
      <c r="G105" s="42"/>
      <c r="H105" s="42"/>
      <c r="I105" s="224"/>
      <c r="J105" s="42"/>
      <c r="K105" s="42"/>
      <c r="L105" s="46"/>
      <c r="M105" s="225"/>
      <c r="N105" s="226"/>
      <c r="O105" s="86"/>
      <c r="P105" s="86"/>
      <c r="Q105" s="86"/>
      <c r="R105" s="86"/>
      <c r="S105" s="86"/>
      <c r="T105" s="87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8" t="s">
        <v>209</v>
      </c>
      <c r="AU105" s="18" t="s">
        <v>88</v>
      </c>
    </row>
    <row r="106" s="2" customFormat="1" ht="16.5" customHeight="1">
      <c r="A106" s="40"/>
      <c r="B106" s="41"/>
      <c r="C106" s="209" t="s">
        <v>254</v>
      </c>
      <c r="D106" s="209" t="s">
        <v>202</v>
      </c>
      <c r="E106" s="210" t="s">
        <v>3278</v>
      </c>
      <c r="F106" s="211" t="s">
        <v>3279</v>
      </c>
      <c r="G106" s="212" t="s">
        <v>272</v>
      </c>
      <c r="H106" s="213">
        <v>220</v>
      </c>
      <c r="I106" s="214"/>
      <c r="J106" s="215">
        <f>ROUND(I106*H106,1)</f>
        <v>0</v>
      </c>
      <c r="K106" s="211" t="s">
        <v>206</v>
      </c>
      <c r="L106" s="46"/>
      <c r="M106" s="216" t="s">
        <v>32</v>
      </c>
      <c r="N106" s="217" t="s">
        <v>49</v>
      </c>
      <c r="O106" s="86"/>
      <c r="P106" s="218">
        <f>O106*H106</f>
        <v>0</v>
      </c>
      <c r="Q106" s="218">
        <v>0</v>
      </c>
      <c r="R106" s="218">
        <f>Q106*H106</f>
        <v>0</v>
      </c>
      <c r="S106" s="218">
        <v>0</v>
      </c>
      <c r="T106" s="219">
        <f>S106*H106</f>
        <v>0</v>
      </c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0" t="s">
        <v>207</v>
      </c>
      <c r="AT106" s="220" t="s">
        <v>202</v>
      </c>
      <c r="AU106" s="220" t="s">
        <v>88</v>
      </c>
      <c r="AY106" s="18" t="s">
        <v>200</v>
      </c>
      <c r="BE106" s="221">
        <f>IF(N106="základní",J106,0)</f>
        <v>0</v>
      </c>
      <c r="BF106" s="221">
        <f>IF(N106="snížená",J106,0)</f>
        <v>0</v>
      </c>
      <c r="BG106" s="221">
        <f>IF(N106="zákl. přenesená",J106,0)</f>
        <v>0</v>
      </c>
      <c r="BH106" s="221">
        <f>IF(N106="sníž. přenesená",J106,0)</f>
        <v>0</v>
      </c>
      <c r="BI106" s="221">
        <f>IF(N106="nulová",J106,0)</f>
        <v>0</v>
      </c>
      <c r="BJ106" s="18" t="s">
        <v>86</v>
      </c>
      <c r="BK106" s="221">
        <f>ROUND(I106*H106,1)</f>
        <v>0</v>
      </c>
      <c r="BL106" s="18" t="s">
        <v>207</v>
      </c>
      <c r="BM106" s="220" t="s">
        <v>3280</v>
      </c>
    </row>
    <row r="107" s="2" customFormat="1">
      <c r="A107" s="40"/>
      <c r="B107" s="41"/>
      <c r="C107" s="42"/>
      <c r="D107" s="222" t="s">
        <v>209</v>
      </c>
      <c r="E107" s="42"/>
      <c r="F107" s="223" t="s">
        <v>3281</v>
      </c>
      <c r="G107" s="42"/>
      <c r="H107" s="42"/>
      <c r="I107" s="224"/>
      <c r="J107" s="42"/>
      <c r="K107" s="42"/>
      <c r="L107" s="46"/>
      <c r="M107" s="225"/>
      <c r="N107" s="226"/>
      <c r="O107" s="86"/>
      <c r="P107" s="86"/>
      <c r="Q107" s="86"/>
      <c r="R107" s="86"/>
      <c r="S107" s="86"/>
      <c r="T107" s="87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T107" s="18" t="s">
        <v>209</v>
      </c>
      <c r="AU107" s="18" t="s">
        <v>88</v>
      </c>
    </row>
    <row r="108" s="2" customFormat="1" ht="21.75" customHeight="1">
      <c r="A108" s="40"/>
      <c r="B108" s="41"/>
      <c r="C108" s="209" t="s">
        <v>261</v>
      </c>
      <c r="D108" s="209" t="s">
        <v>202</v>
      </c>
      <c r="E108" s="210" t="s">
        <v>203</v>
      </c>
      <c r="F108" s="211" t="s">
        <v>204</v>
      </c>
      <c r="G108" s="212" t="s">
        <v>205</v>
      </c>
      <c r="H108" s="213">
        <v>10</v>
      </c>
      <c r="I108" s="214"/>
      <c r="J108" s="215">
        <f>ROUND(I108*H108,1)</f>
        <v>0</v>
      </c>
      <c r="K108" s="211" t="s">
        <v>206</v>
      </c>
      <c r="L108" s="46"/>
      <c r="M108" s="216" t="s">
        <v>32</v>
      </c>
      <c r="N108" s="217" t="s">
        <v>49</v>
      </c>
      <c r="O108" s="86"/>
      <c r="P108" s="218">
        <f>O108*H108</f>
        <v>0</v>
      </c>
      <c r="Q108" s="218">
        <v>0</v>
      </c>
      <c r="R108" s="218">
        <f>Q108*H108</f>
        <v>0</v>
      </c>
      <c r="S108" s="218">
        <v>0</v>
      </c>
      <c r="T108" s="219">
        <f>S108*H108</f>
        <v>0</v>
      </c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0" t="s">
        <v>207</v>
      </c>
      <c r="AT108" s="220" t="s">
        <v>202</v>
      </c>
      <c r="AU108" s="220" t="s">
        <v>88</v>
      </c>
      <c r="AY108" s="18" t="s">
        <v>200</v>
      </c>
      <c r="BE108" s="221">
        <f>IF(N108="základní",J108,0)</f>
        <v>0</v>
      </c>
      <c r="BF108" s="221">
        <f>IF(N108="snížená",J108,0)</f>
        <v>0</v>
      </c>
      <c r="BG108" s="221">
        <f>IF(N108="zákl. přenesená",J108,0)</f>
        <v>0</v>
      </c>
      <c r="BH108" s="221">
        <f>IF(N108="sníž. přenesená",J108,0)</f>
        <v>0</v>
      </c>
      <c r="BI108" s="221">
        <f>IF(N108="nulová",J108,0)</f>
        <v>0</v>
      </c>
      <c r="BJ108" s="18" t="s">
        <v>86</v>
      </c>
      <c r="BK108" s="221">
        <f>ROUND(I108*H108,1)</f>
        <v>0</v>
      </c>
      <c r="BL108" s="18" t="s">
        <v>207</v>
      </c>
      <c r="BM108" s="220" t="s">
        <v>3282</v>
      </c>
    </row>
    <row r="109" s="2" customFormat="1">
      <c r="A109" s="40"/>
      <c r="B109" s="41"/>
      <c r="C109" s="42"/>
      <c r="D109" s="222" t="s">
        <v>209</v>
      </c>
      <c r="E109" s="42"/>
      <c r="F109" s="223" t="s">
        <v>210</v>
      </c>
      <c r="G109" s="42"/>
      <c r="H109" s="42"/>
      <c r="I109" s="224"/>
      <c r="J109" s="42"/>
      <c r="K109" s="42"/>
      <c r="L109" s="46"/>
      <c r="M109" s="225"/>
      <c r="N109" s="226"/>
      <c r="O109" s="86"/>
      <c r="P109" s="86"/>
      <c r="Q109" s="86"/>
      <c r="R109" s="86"/>
      <c r="S109" s="86"/>
      <c r="T109" s="87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T109" s="18" t="s">
        <v>209</v>
      </c>
      <c r="AU109" s="18" t="s">
        <v>88</v>
      </c>
    </row>
    <row r="110" s="13" customFormat="1">
      <c r="A110" s="13"/>
      <c r="B110" s="227"/>
      <c r="C110" s="228"/>
      <c r="D110" s="229" t="s">
        <v>211</v>
      </c>
      <c r="E110" s="230" t="s">
        <v>32</v>
      </c>
      <c r="F110" s="231" t="s">
        <v>269</v>
      </c>
      <c r="G110" s="228"/>
      <c r="H110" s="232">
        <v>10</v>
      </c>
      <c r="I110" s="233"/>
      <c r="J110" s="228"/>
      <c r="K110" s="228"/>
      <c r="L110" s="234"/>
      <c r="M110" s="235"/>
      <c r="N110" s="236"/>
      <c r="O110" s="236"/>
      <c r="P110" s="236"/>
      <c r="Q110" s="236"/>
      <c r="R110" s="236"/>
      <c r="S110" s="236"/>
      <c r="T110" s="237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T110" s="238" t="s">
        <v>211</v>
      </c>
      <c r="AU110" s="238" t="s">
        <v>88</v>
      </c>
      <c r="AV110" s="13" t="s">
        <v>88</v>
      </c>
      <c r="AW110" s="13" t="s">
        <v>213</v>
      </c>
      <c r="AX110" s="13" t="s">
        <v>86</v>
      </c>
      <c r="AY110" s="238" t="s">
        <v>200</v>
      </c>
    </row>
    <row r="111" s="2" customFormat="1" ht="16.5" customHeight="1">
      <c r="A111" s="40"/>
      <c r="B111" s="41"/>
      <c r="C111" s="209" t="s">
        <v>269</v>
      </c>
      <c r="D111" s="209" t="s">
        <v>202</v>
      </c>
      <c r="E111" s="210" t="s">
        <v>3283</v>
      </c>
      <c r="F111" s="211" t="s">
        <v>3284</v>
      </c>
      <c r="G111" s="212" t="s">
        <v>280</v>
      </c>
      <c r="H111" s="213">
        <v>27.199999999999999</v>
      </c>
      <c r="I111" s="214"/>
      <c r="J111" s="215">
        <f>ROUND(I111*H111,1)</f>
        <v>0</v>
      </c>
      <c r="K111" s="211" t="s">
        <v>206</v>
      </c>
      <c r="L111" s="46"/>
      <c r="M111" s="216" t="s">
        <v>32</v>
      </c>
      <c r="N111" s="217" t="s">
        <v>49</v>
      </c>
      <c r="O111" s="86"/>
      <c r="P111" s="218">
        <f>O111*H111</f>
        <v>0</v>
      </c>
      <c r="Q111" s="218">
        <v>0</v>
      </c>
      <c r="R111" s="218">
        <f>Q111*H111</f>
        <v>0</v>
      </c>
      <c r="S111" s="218">
        <v>0</v>
      </c>
      <c r="T111" s="219">
        <f>S111*H111</f>
        <v>0</v>
      </c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R111" s="220" t="s">
        <v>207</v>
      </c>
      <c r="AT111" s="220" t="s">
        <v>202</v>
      </c>
      <c r="AU111" s="220" t="s">
        <v>88</v>
      </c>
      <c r="AY111" s="18" t="s">
        <v>200</v>
      </c>
      <c r="BE111" s="221">
        <f>IF(N111="základní",J111,0)</f>
        <v>0</v>
      </c>
      <c r="BF111" s="221">
        <f>IF(N111="snížená",J111,0)</f>
        <v>0</v>
      </c>
      <c r="BG111" s="221">
        <f>IF(N111="zákl. přenesená",J111,0)</f>
        <v>0</v>
      </c>
      <c r="BH111" s="221">
        <f>IF(N111="sníž. přenesená",J111,0)</f>
        <v>0</v>
      </c>
      <c r="BI111" s="221">
        <f>IF(N111="nulová",J111,0)</f>
        <v>0</v>
      </c>
      <c r="BJ111" s="18" t="s">
        <v>86</v>
      </c>
      <c r="BK111" s="221">
        <f>ROUND(I111*H111,1)</f>
        <v>0</v>
      </c>
      <c r="BL111" s="18" t="s">
        <v>207</v>
      </c>
      <c r="BM111" s="220" t="s">
        <v>3285</v>
      </c>
    </row>
    <row r="112" s="2" customFormat="1">
      <c r="A112" s="40"/>
      <c r="B112" s="41"/>
      <c r="C112" s="42"/>
      <c r="D112" s="222" t="s">
        <v>209</v>
      </c>
      <c r="E112" s="42"/>
      <c r="F112" s="223" t="s">
        <v>3286</v>
      </c>
      <c r="G112" s="42"/>
      <c r="H112" s="42"/>
      <c r="I112" s="224"/>
      <c r="J112" s="42"/>
      <c r="K112" s="42"/>
      <c r="L112" s="46"/>
      <c r="M112" s="225"/>
      <c r="N112" s="226"/>
      <c r="O112" s="86"/>
      <c r="P112" s="86"/>
      <c r="Q112" s="86"/>
      <c r="R112" s="86"/>
      <c r="S112" s="86"/>
      <c r="T112" s="87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T112" s="18" t="s">
        <v>209</v>
      </c>
      <c r="AU112" s="18" t="s">
        <v>88</v>
      </c>
    </row>
    <row r="113" s="13" customFormat="1">
      <c r="A113" s="13"/>
      <c r="B113" s="227"/>
      <c r="C113" s="228"/>
      <c r="D113" s="229" t="s">
        <v>211</v>
      </c>
      <c r="E113" s="230" t="s">
        <v>32</v>
      </c>
      <c r="F113" s="231" t="s">
        <v>3287</v>
      </c>
      <c r="G113" s="228"/>
      <c r="H113" s="232">
        <v>27.199999999999999</v>
      </c>
      <c r="I113" s="233"/>
      <c r="J113" s="228"/>
      <c r="K113" s="228"/>
      <c r="L113" s="234"/>
      <c r="M113" s="235"/>
      <c r="N113" s="236"/>
      <c r="O113" s="236"/>
      <c r="P113" s="236"/>
      <c r="Q113" s="236"/>
      <c r="R113" s="236"/>
      <c r="S113" s="236"/>
      <c r="T113" s="237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T113" s="238" t="s">
        <v>211</v>
      </c>
      <c r="AU113" s="238" t="s">
        <v>88</v>
      </c>
      <c r="AV113" s="13" t="s">
        <v>88</v>
      </c>
      <c r="AW113" s="13" t="s">
        <v>213</v>
      </c>
      <c r="AX113" s="13" t="s">
        <v>86</v>
      </c>
      <c r="AY113" s="238" t="s">
        <v>200</v>
      </c>
    </row>
    <row r="114" s="2" customFormat="1" ht="37.8" customHeight="1">
      <c r="A114" s="40"/>
      <c r="B114" s="41"/>
      <c r="C114" s="209" t="s">
        <v>277</v>
      </c>
      <c r="D114" s="209" t="s">
        <v>202</v>
      </c>
      <c r="E114" s="210" t="s">
        <v>221</v>
      </c>
      <c r="F114" s="211" t="s">
        <v>222</v>
      </c>
      <c r="G114" s="212" t="s">
        <v>205</v>
      </c>
      <c r="H114" s="213">
        <v>65.709000000000003</v>
      </c>
      <c r="I114" s="214"/>
      <c r="J114" s="215">
        <f>ROUND(I114*H114,1)</f>
        <v>0</v>
      </c>
      <c r="K114" s="211" t="s">
        <v>206</v>
      </c>
      <c r="L114" s="46"/>
      <c r="M114" s="216" t="s">
        <v>32</v>
      </c>
      <c r="N114" s="217" t="s">
        <v>49</v>
      </c>
      <c r="O114" s="86"/>
      <c r="P114" s="218">
        <f>O114*H114</f>
        <v>0</v>
      </c>
      <c r="Q114" s="218">
        <v>0</v>
      </c>
      <c r="R114" s="218">
        <f>Q114*H114</f>
        <v>0</v>
      </c>
      <c r="S114" s="218">
        <v>0</v>
      </c>
      <c r="T114" s="219">
        <f>S114*H114</f>
        <v>0</v>
      </c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0" t="s">
        <v>207</v>
      </c>
      <c r="AT114" s="220" t="s">
        <v>202</v>
      </c>
      <c r="AU114" s="220" t="s">
        <v>88</v>
      </c>
      <c r="AY114" s="18" t="s">
        <v>200</v>
      </c>
      <c r="BE114" s="221">
        <f>IF(N114="základní",J114,0)</f>
        <v>0</v>
      </c>
      <c r="BF114" s="221">
        <f>IF(N114="snížená",J114,0)</f>
        <v>0</v>
      </c>
      <c r="BG114" s="221">
        <f>IF(N114="zákl. přenesená",J114,0)</f>
        <v>0</v>
      </c>
      <c r="BH114" s="221">
        <f>IF(N114="sníž. přenesená",J114,0)</f>
        <v>0</v>
      </c>
      <c r="BI114" s="221">
        <f>IF(N114="nulová",J114,0)</f>
        <v>0</v>
      </c>
      <c r="BJ114" s="18" t="s">
        <v>86</v>
      </c>
      <c r="BK114" s="221">
        <f>ROUND(I114*H114,1)</f>
        <v>0</v>
      </c>
      <c r="BL114" s="18" t="s">
        <v>207</v>
      </c>
      <c r="BM114" s="220" t="s">
        <v>3288</v>
      </c>
    </row>
    <row r="115" s="2" customFormat="1">
      <c r="A115" s="40"/>
      <c r="B115" s="41"/>
      <c r="C115" s="42"/>
      <c r="D115" s="222" t="s">
        <v>209</v>
      </c>
      <c r="E115" s="42"/>
      <c r="F115" s="223" t="s">
        <v>224</v>
      </c>
      <c r="G115" s="42"/>
      <c r="H115" s="42"/>
      <c r="I115" s="224"/>
      <c r="J115" s="42"/>
      <c r="K115" s="42"/>
      <c r="L115" s="46"/>
      <c r="M115" s="225"/>
      <c r="N115" s="226"/>
      <c r="O115" s="86"/>
      <c r="P115" s="86"/>
      <c r="Q115" s="86"/>
      <c r="R115" s="86"/>
      <c r="S115" s="86"/>
      <c r="T115" s="87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8" t="s">
        <v>209</v>
      </c>
      <c r="AU115" s="18" t="s">
        <v>88</v>
      </c>
    </row>
    <row r="116" s="13" customFormat="1">
      <c r="A116" s="13"/>
      <c r="B116" s="227"/>
      <c r="C116" s="228"/>
      <c r="D116" s="229" t="s">
        <v>211</v>
      </c>
      <c r="E116" s="230" t="s">
        <v>32</v>
      </c>
      <c r="F116" s="231" t="s">
        <v>3289</v>
      </c>
      <c r="G116" s="228"/>
      <c r="H116" s="232">
        <v>21.709026403553001</v>
      </c>
      <c r="I116" s="233"/>
      <c r="J116" s="228"/>
      <c r="K116" s="228"/>
      <c r="L116" s="234"/>
      <c r="M116" s="235"/>
      <c r="N116" s="236"/>
      <c r="O116" s="236"/>
      <c r="P116" s="236"/>
      <c r="Q116" s="236"/>
      <c r="R116" s="236"/>
      <c r="S116" s="236"/>
      <c r="T116" s="237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T116" s="238" t="s">
        <v>211</v>
      </c>
      <c r="AU116" s="238" t="s">
        <v>88</v>
      </c>
      <c r="AV116" s="13" t="s">
        <v>88</v>
      </c>
      <c r="AW116" s="13" t="s">
        <v>213</v>
      </c>
      <c r="AX116" s="13" t="s">
        <v>78</v>
      </c>
      <c r="AY116" s="238" t="s">
        <v>200</v>
      </c>
    </row>
    <row r="117" s="13" customFormat="1">
      <c r="A117" s="13"/>
      <c r="B117" s="227"/>
      <c r="C117" s="228"/>
      <c r="D117" s="229" t="s">
        <v>211</v>
      </c>
      <c r="E117" s="230" t="s">
        <v>32</v>
      </c>
      <c r="F117" s="231" t="s">
        <v>3290</v>
      </c>
      <c r="G117" s="228"/>
      <c r="H117" s="232">
        <v>44</v>
      </c>
      <c r="I117" s="233"/>
      <c r="J117" s="228"/>
      <c r="K117" s="228"/>
      <c r="L117" s="234"/>
      <c r="M117" s="235"/>
      <c r="N117" s="236"/>
      <c r="O117" s="236"/>
      <c r="P117" s="236"/>
      <c r="Q117" s="236"/>
      <c r="R117" s="236"/>
      <c r="S117" s="236"/>
      <c r="T117" s="237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T117" s="238" t="s">
        <v>211</v>
      </c>
      <c r="AU117" s="238" t="s">
        <v>88</v>
      </c>
      <c r="AV117" s="13" t="s">
        <v>88</v>
      </c>
      <c r="AW117" s="13" t="s">
        <v>213</v>
      </c>
      <c r="AX117" s="13" t="s">
        <v>78</v>
      </c>
      <c r="AY117" s="238" t="s">
        <v>200</v>
      </c>
    </row>
    <row r="118" s="14" customFormat="1">
      <c r="A118" s="14"/>
      <c r="B118" s="239"/>
      <c r="C118" s="240"/>
      <c r="D118" s="229" t="s">
        <v>211</v>
      </c>
      <c r="E118" s="241" t="s">
        <v>32</v>
      </c>
      <c r="F118" s="242" t="s">
        <v>220</v>
      </c>
      <c r="G118" s="240"/>
      <c r="H118" s="243">
        <v>65.709026403552997</v>
      </c>
      <c r="I118" s="244"/>
      <c r="J118" s="240"/>
      <c r="K118" s="240"/>
      <c r="L118" s="245"/>
      <c r="M118" s="246"/>
      <c r="N118" s="247"/>
      <c r="O118" s="247"/>
      <c r="P118" s="247"/>
      <c r="Q118" s="247"/>
      <c r="R118" s="247"/>
      <c r="S118" s="247"/>
      <c r="T118" s="248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T118" s="249" t="s">
        <v>211</v>
      </c>
      <c r="AU118" s="249" t="s">
        <v>88</v>
      </c>
      <c r="AV118" s="14" t="s">
        <v>207</v>
      </c>
      <c r="AW118" s="14" t="s">
        <v>213</v>
      </c>
      <c r="AX118" s="14" t="s">
        <v>86</v>
      </c>
      <c r="AY118" s="249" t="s">
        <v>200</v>
      </c>
    </row>
    <row r="119" s="2" customFormat="1" ht="24.15" customHeight="1">
      <c r="A119" s="40"/>
      <c r="B119" s="41"/>
      <c r="C119" s="209" t="s">
        <v>285</v>
      </c>
      <c r="D119" s="209" t="s">
        <v>202</v>
      </c>
      <c r="E119" s="210" t="s">
        <v>242</v>
      </c>
      <c r="F119" s="211" t="s">
        <v>243</v>
      </c>
      <c r="G119" s="212" t="s">
        <v>205</v>
      </c>
      <c r="H119" s="213">
        <v>733.03700000000003</v>
      </c>
      <c r="I119" s="214"/>
      <c r="J119" s="215">
        <f>ROUND(I119*H119,1)</f>
        <v>0</v>
      </c>
      <c r="K119" s="211" t="s">
        <v>206</v>
      </c>
      <c r="L119" s="46"/>
      <c r="M119" s="216" t="s">
        <v>32</v>
      </c>
      <c r="N119" s="217" t="s">
        <v>49</v>
      </c>
      <c r="O119" s="86"/>
      <c r="P119" s="218">
        <f>O119*H119</f>
        <v>0</v>
      </c>
      <c r="Q119" s="218">
        <v>0</v>
      </c>
      <c r="R119" s="218">
        <f>Q119*H119</f>
        <v>0</v>
      </c>
      <c r="S119" s="218">
        <v>0</v>
      </c>
      <c r="T119" s="219">
        <f>S119*H119</f>
        <v>0</v>
      </c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R119" s="220" t="s">
        <v>207</v>
      </c>
      <c r="AT119" s="220" t="s">
        <v>202</v>
      </c>
      <c r="AU119" s="220" t="s">
        <v>88</v>
      </c>
      <c r="AY119" s="18" t="s">
        <v>200</v>
      </c>
      <c r="BE119" s="221">
        <f>IF(N119="základní",J119,0)</f>
        <v>0</v>
      </c>
      <c r="BF119" s="221">
        <f>IF(N119="snížená",J119,0)</f>
        <v>0</v>
      </c>
      <c r="BG119" s="221">
        <f>IF(N119="zákl. přenesená",J119,0)</f>
        <v>0</v>
      </c>
      <c r="BH119" s="221">
        <f>IF(N119="sníž. přenesená",J119,0)</f>
        <v>0</v>
      </c>
      <c r="BI119" s="221">
        <f>IF(N119="nulová",J119,0)</f>
        <v>0</v>
      </c>
      <c r="BJ119" s="18" t="s">
        <v>86</v>
      </c>
      <c r="BK119" s="221">
        <f>ROUND(I119*H119,1)</f>
        <v>0</v>
      </c>
      <c r="BL119" s="18" t="s">
        <v>207</v>
      </c>
      <c r="BM119" s="220" t="s">
        <v>3291</v>
      </c>
    </row>
    <row r="120" s="2" customFormat="1">
      <c r="A120" s="40"/>
      <c r="B120" s="41"/>
      <c r="C120" s="42"/>
      <c r="D120" s="222" t="s">
        <v>209</v>
      </c>
      <c r="E120" s="42"/>
      <c r="F120" s="223" t="s">
        <v>245</v>
      </c>
      <c r="G120" s="42"/>
      <c r="H120" s="42"/>
      <c r="I120" s="224"/>
      <c r="J120" s="42"/>
      <c r="K120" s="42"/>
      <c r="L120" s="46"/>
      <c r="M120" s="225"/>
      <c r="N120" s="226"/>
      <c r="O120" s="86"/>
      <c r="P120" s="86"/>
      <c r="Q120" s="86"/>
      <c r="R120" s="86"/>
      <c r="S120" s="86"/>
      <c r="T120" s="87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T120" s="18" t="s">
        <v>209</v>
      </c>
      <c r="AU120" s="18" t="s">
        <v>88</v>
      </c>
    </row>
    <row r="121" s="13" customFormat="1">
      <c r="A121" s="13"/>
      <c r="B121" s="227"/>
      <c r="C121" s="228"/>
      <c r="D121" s="229" t="s">
        <v>211</v>
      </c>
      <c r="E121" s="230" t="s">
        <v>32</v>
      </c>
      <c r="F121" s="231" t="s">
        <v>3292</v>
      </c>
      <c r="G121" s="228"/>
      <c r="H121" s="232">
        <v>733.03700000000003</v>
      </c>
      <c r="I121" s="233"/>
      <c r="J121" s="228"/>
      <c r="K121" s="228"/>
      <c r="L121" s="234"/>
      <c r="M121" s="235"/>
      <c r="N121" s="236"/>
      <c r="O121" s="236"/>
      <c r="P121" s="236"/>
      <c r="Q121" s="236"/>
      <c r="R121" s="236"/>
      <c r="S121" s="236"/>
      <c r="T121" s="237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T121" s="238" t="s">
        <v>211</v>
      </c>
      <c r="AU121" s="238" t="s">
        <v>88</v>
      </c>
      <c r="AV121" s="13" t="s">
        <v>88</v>
      </c>
      <c r="AW121" s="13" t="s">
        <v>213</v>
      </c>
      <c r="AX121" s="13" t="s">
        <v>86</v>
      </c>
      <c r="AY121" s="238" t="s">
        <v>200</v>
      </c>
    </row>
    <row r="122" s="2" customFormat="1" ht="24.15" customHeight="1">
      <c r="A122" s="40"/>
      <c r="B122" s="41"/>
      <c r="C122" s="209" t="s">
        <v>291</v>
      </c>
      <c r="D122" s="209" t="s">
        <v>202</v>
      </c>
      <c r="E122" s="210" t="s">
        <v>3293</v>
      </c>
      <c r="F122" s="211" t="s">
        <v>3294</v>
      </c>
      <c r="G122" s="212" t="s">
        <v>205</v>
      </c>
      <c r="H122" s="213">
        <v>10.855</v>
      </c>
      <c r="I122" s="214"/>
      <c r="J122" s="215">
        <f>ROUND(I122*H122,1)</f>
        <v>0</v>
      </c>
      <c r="K122" s="211" t="s">
        <v>206</v>
      </c>
      <c r="L122" s="46"/>
      <c r="M122" s="216" t="s">
        <v>32</v>
      </c>
      <c r="N122" s="217" t="s">
        <v>49</v>
      </c>
      <c r="O122" s="86"/>
      <c r="P122" s="218">
        <f>O122*H122</f>
        <v>0</v>
      </c>
      <c r="Q122" s="218">
        <v>0</v>
      </c>
      <c r="R122" s="218">
        <f>Q122*H122</f>
        <v>0</v>
      </c>
      <c r="S122" s="218">
        <v>0</v>
      </c>
      <c r="T122" s="219">
        <f>S122*H122</f>
        <v>0</v>
      </c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0" t="s">
        <v>207</v>
      </c>
      <c r="AT122" s="220" t="s">
        <v>202</v>
      </c>
      <c r="AU122" s="220" t="s">
        <v>88</v>
      </c>
      <c r="AY122" s="18" t="s">
        <v>200</v>
      </c>
      <c r="BE122" s="221">
        <f>IF(N122="základní",J122,0)</f>
        <v>0</v>
      </c>
      <c r="BF122" s="221">
        <f>IF(N122="snížená",J122,0)</f>
        <v>0</v>
      </c>
      <c r="BG122" s="221">
        <f>IF(N122="zákl. přenesená",J122,0)</f>
        <v>0</v>
      </c>
      <c r="BH122" s="221">
        <f>IF(N122="sníž. přenesená",J122,0)</f>
        <v>0</v>
      </c>
      <c r="BI122" s="221">
        <f>IF(N122="nulová",J122,0)</f>
        <v>0</v>
      </c>
      <c r="BJ122" s="18" t="s">
        <v>86</v>
      </c>
      <c r="BK122" s="221">
        <f>ROUND(I122*H122,1)</f>
        <v>0</v>
      </c>
      <c r="BL122" s="18" t="s">
        <v>207</v>
      </c>
      <c r="BM122" s="220" t="s">
        <v>3295</v>
      </c>
    </row>
    <row r="123" s="2" customFormat="1">
      <c r="A123" s="40"/>
      <c r="B123" s="41"/>
      <c r="C123" s="42"/>
      <c r="D123" s="222" t="s">
        <v>209</v>
      </c>
      <c r="E123" s="42"/>
      <c r="F123" s="223" t="s">
        <v>3296</v>
      </c>
      <c r="G123" s="42"/>
      <c r="H123" s="42"/>
      <c r="I123" s="224"/>
      <c r="J123" s="42"/>
      <c r="K123" s="42"/>
      <c r="L123" s="46"/>
      <c r="M123" s="225"/>
      <c r="N123" s="226"/>
      <c r="O123" s="86"/>
      <c r="P123" s="86"/>
      <c r="Q123" s="86"/>
      <c r="R123" s="86"/>
      <c r="S123" s="86"/>
      <c r="T123" s="87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T123" s="18" t="s">
        <v>209</v>
      </c>
      <c r="AU123" s="18" t="s">
        <v>88</v>
      </c>
    </row>
    <row r="124" s="13" customFormat="1">
      <c r="A124" s="13"/>
      <c r="B124" s="227"/>
      <c r="C124" s="228"/>
      <c r="D124" s="229" t="s">
        <v>211</v>
      </c>
      <c r="E124" s="230" t="s">
        <v>32</v>
      </c>
      <c r="F124" s="231" t="s">
        <v>3297</v>
      </c>
      <c r="G124" s="228"/>
      <c r="H124" s="232">
        <v>10.8545132017765</v>
      </c>
      <c r="I124" s="233"/>
      <c r="J124" s="228"/>
      <c r="K124" s="228"/>
      <c r="L124" s="234"/>
      <c r="M124" s="235"/>
      <c r="N124" s="236"/>
      <c r="O124" s="236"/>
      <c r="P124" s="236"/>
      <c r="Q124" s="236"/>
      <c r="R124" s="236"/>
      <c r="S124" s="236"/>
      <c r="T124" s="237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T124" s="238" t="s">
        <v>211</v>
      </c>
      <c r="AU124" s="238" t="s">
        <v>88</v>
      </c>
      <c r="AV124" s="13" t="s">
        <v>88</v>
      </c>
      <c r="AW124" s="13" t="s">
        <v>213</v>
      </c>
      <c r="AX124" s="13" t="s">
        <v>86</v>
      </c>
      <c r="AY124" s="238" t="s">
        <v>200</v>
      </c>
    </row>
    <row r="125" s="2" customFormat="1" ht="24.15" customHeight="1">
      <c r="A125" s="40"/>
      <c r="B125" s="41"/>
      <c r="C125" s="209" t="s">
        <v>297</v>
      </c>
      <c r="D125" s="209" t="s">
        <v>202</v>
      </c>
      <c r="E125" s="210" t="s">
        <v>3298</v>
      </c>
      <c r="F125" s="211" t="s">
        <v>3299</v>
      </c>
      <c r="G125" s="212" t="s">
        <v>272</v>
      </c>
      <c r="H125" s="213">
        <v>407</v>
      </c>
      <c r="I125" s="214"/>
      <c r="J125" s="215">
        <f>ROUND(I125*H125,1)</f>
        <v>0</v>
      </c>
      <c r="K125" s="211" t="s">
        <v>206</v>
      </c>
      <c r="L125" s="46"/>
      <c r="M125" s="216" t="s">
        <v>32</v>
      </c>
      <c r="N125" s="217" t="s">
        <v>49</v>
      </c>
      <c r="O125" s="86"/>
      <c r="P125" s="218">
        <f>O125*H125</f>
        <v>0</v>
      </c>
      <c r="Q125" s="218">
        <v>0</v>
      </c>
      <c r="R125" s="218">
        <f>Q125*H125</f>
        <v>0</v>
      </c>
      <c r="S125" s="218">
        <v>0</v>
      </c>
      <c r="T125" s="219">
        <f>S125*H125</f>
        <v>0</v>
      </c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R125" s="220" t="s">
        <v>207</v>
      </c>
      <c r="AT125" s="220" t="s">
        <v>202</v>
      </c>
      <c r="AU125" s="220" t="s">
        <v>88</v>
      </c>
      <c r="AY125" s="18" t="s">
        <v>200</v>
      </c>
      <c r="BE125" s="221">
        <f>IF(N125="základní",J125,0)</f>
        <v>0</v>
      </c>
      <c r="BF125" s="221">
        <f>IF(N125="snížená",J125,0)</f>
        <v>0</v>
      </c>
      <c r="BG125" s="221">
        <f>IF(N125="zákl. přenesená",J125,0)</f>
        <v>0</v>
      </c>
      <c r="BH125" s="221">
        <f>IF(N125="sníž. přenesená",J125,0)</f>
        <v>0</v>
      </c>
      <c r="BI125" s="221">
        <f>IF(N125="nulová",J125,0)</f>
        <v>0</v>
      </c>
      <c r="BJ125" s="18" t="s">
        <v>86</v>
      </c>
      <c r="BK125" s="221">
        <f>ROUND(I125*H125,1)</f>
        <v>0</v>
      </c>
      <c r="BL125" s="18" t="s">
        <v>207</v>
      </c>
      <c r="BM125" s="220" t="s">
        <v>3300</v>
      </c>
    </row>
    <row r="126" s="2" customFormat="1">
      <c r="A126" s="40"/>
      <c r="B126" s="41"/>
      <c r="C126" s="42"/>
      <c r="D126" s="222" t="s">
        <v>209</v>
      </c>
      <c r="E126" s="42"/>
      <c r="F126" s="223" t="s">
        <v>3301</v>
      </c>
      <c r="G126" s="42"/>
      <c r="H126" s="42"/>
      <c r="I126" s="224"/>
      <c r="J126" s="42"/>
      <c r="K126" s="42"/>
      <c r="L126" s="46"/>
      <c r="M126" s="225"/>
      <c r="N126" s="226"/>
      <c r="O126" s="86"/>
      <c r="P126" s="86"/>
      <c r="Q126" s="86"/>
      <c r="R126" s="86"/>
      <c r="S126" s="86"/>
      <c r="T126" s="87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T126" s="18" t="s">
        <v>209</v>
      </c>
      <c r="AU126" s="18" t="s">
        <v>88</v>
      </c>
    </row>
    <row r="127" s="13" customFormat="1">
      <c r="A127" s="13"/>
      <c r="B127" s="227"/>
      <c r="C127" s="228"/>
      <c r="D127" s="229" t="s">
        <v>211</v>
      </c>
      <c r="E127" s="230" t="s">
        <v>32</v>
      </c>
      <c r="F127" s="231" t="s">
        <v>3302</v>
      </c>
      <c r="G127" s="228"/>
      <c r="H127" s="232">
        <v>407</v>
      </c>
      <c r="I127" s="233"/>
      <c r="J127" s="228"/>
      <c r="K127" s="228"/>
      <c r="L127" s="234"/>
      <c r="M127" s="235"/>
      <c r="N127" s="236"/>
      <c r="O127" s="236"/>
      <c r="P127" s="236"/>
      <c r="Q127" s="236"/>
      <c r="R127" s="236"/>
      <c r="S127" s="236"/>
      <c r="T127" s="237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T127" s="238" t="s">
        <v>211</v>
      </c>
      <c r="AU127" s="238" t="s">
        <v>88</v>
      </c>
      <c r="AV127" s="13" t="s">
        <v>88</v>
      </c>
      <c r="AW127" s="13" t="s">
        <v>213</v>
      </c>
      <c r="AX127" s="13" t="s">
        <v>86</v>
      </c>
      <c r="AY127" s="238" t="s">
        <v>200</v>
      </c>
    </row>
    <row r="128" s="2" customFormat="1" ht="16.5" customHeight="1">
      <c r="A128" s="40"/>
      <c r="B128" s="41"/>
      <c r="C128" s="260" t="s">
        <v>8</v>
      </c>
      <c r="D128" s="260" t="s">
        <v>292</v>
      </c>
      <c r="E128" s="261" t="s">
        <v>3303</v>
      </c>
      <c r="F128" s="262" t="s">
        <v>3304</v>
      </c>
      <c r="G128" s="263" t="s">
        <v>250</v>
      </c>
      <c r="H128" s="264">
        <v>33.659999999999997</v>
      </c>
      <c r="I128" s="265"/>
      <c r="J128" s="266">
        <f>ROUND(I128*H128,1)</f>
        <v>0</v>
      </c>
      <c r="K128" s="262" t="s">
        <v>206</v>
      </c>
      <c r="L128" s="267"/>
      <c r="M128" s="268" t="s">
        <v>32</v>
      </c>
      <c r="N128" s="269" t="s">
        <v>49</v>
      </c>
      <c r="O128" s="86"/>
      <c r="P128" s="218">
        <f>O128*H128</f>
        <v>0</v>
      </c>
      <c r="Q128" s="218">
        <v>1</v>
      </c>
      <c r="R128" s="218">
        <f>Q128*H128</f>
        <v>33.659999999999997</v>
      </c>
      <c r="S128" s="218">
        <v>0</v>
      </c>
      <c r="T128" s="219">
        <f>S128*H128</f>
        <v>0</v>
      </c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R128" s="220" t="s">
        <v>254</v>
      </c>
      <c r="AT128" s="220" t="s">
        <v>292</v>
      </c>
      <c r="AU128" s="220" t="s">
        <v>88</v>
      </c>
      <c r="AY128" s="18" t="s">
        <v>200</v>
      </c>
      <c r="BE128" s="221">
        <f>IF(N128="základní",J128,0)</f>
        <v>0</v>
      </c>
      <c r="BF128" s="221">
        <f>IF(N128="snížená",J128,0)</f>
        <v>0</v>
      </c>
      <c r="BG128" s="221">
        <f>IF(N128="zákl. přenesená",J128,0)</f>
        <v>0</v>
      </c>
      <c r="BH128" s="221">
        <f>IF(N128="sníž. přenesená",J128,0)</f>
        <v>0</v>
      </c>
      <c r="BI128" s="221">
        <f>IF(N128="nulová",J128,0)</f>
        <v>0</v>
      </c>
      <c r="BJ128" s="18" t="s">
        <v>86</v>
      </c>
      <c r="BK128" s="221">
        <f>ROUND(I128*H128,1)</f>
        <v>0</v>
      </c>
      <c r="BL128" s="18" t="s">
        <v>207</v>
      </c>
      <c r="BM128" s="220" t="s">
        <v>3305</v>
      </c>
    </row>
    <row r="129" s="13" customFormat="1">
      <c r="A129" s="13"/>
      <c r="B129" s="227"/>
      <c r="C129" s="228"/>
      <c r="D129" s="229" t="s">
        <v>211</v>
      </c>
      <c r="E129" s="230" t="s">
        <v>32</v>
      </c>
      <c r="F129" s="231" t="s">
        <v>3306</v>
      </c>
      <c r="G129" s="228"/>
      <c r="H129" s="232">
        <v>33.659999999999997</v>
      </c>
      <c r="I129" s="233"/>
      <c r="J129" s="228"/>
      <c r="K129" s="228"/>
      <c r="L129" s="234"/>
      <c r="M129" s="235"/>
      <c r="N129" s="236"/>
      <c r="O129" s="236"/>
      <c r="P129" s="236"/>
      <c r="Q129" s="236"/>
      <c r="R129" s="236"/>
      <c r="S129" s="236"/>
      <c r="T129" s="237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38" t="s">
        <v>211</v>
      </c>
      <c r="AU129" s="238" t="s">
        <v>88</v>
      </c>
      <c r="AV129" s="13" t="s">
        <v>88</v>
      </c>
      <c r="AW129" s="13" t="s">
        <v>213</v>
      </c>
      <c r="AX129" s="13" t="s">
        <v>86</v>
      </c>
      <c r="AY129" s="238" t="s">
        <v>200</v>
      </c>
    </row>
    <row r="130" s="2" customFormat="1" ht="16.5" customHeight="1">
      <c r="A130" s="40"/>
      <c r="B130" s="41"/>
      <c r="C130" s="209" t="s">
        <v>310</v>
      </c>
      <c r="D130" s="209" t="s">
        <v>202</v>
      </c>
      <c r="E130" s="210" t="s">
        <v>3307</v>
      </c>
      <c r="F130" s="211" t="s">
        <v>3308</v>
      </c>
      <c r="G130" s="212" t="s">
        <v>272</v>
      </c>
      <c r="H130" s="213">
        <v>407</v>
      </c>
      <c r="I130" s="214"/>
      <c r="J130" s="215">
        <f>ROUND(I130*H130,1)</f>
        <v>0</v>
      </c>
      <c r="K130" s="211" t="s">
        <v>206</v>
      </c>
      <c r="L130" s="46"/>
      <c r="M130" s="216" t="s">
        <v>32</v>
      </c>
      <c r="N130" s="217" t="s">
        <v>49</v>
      </c>
      <c r="O130" s="86"/>
      <c r="P130" s="218">
        <f>O130*H130</f>
        <v>0</v>
      </c>
      <c r="Q130" s="218">
        <v>0</v>
      </c>
      <c r="R130" s="218">
        <f>Q130*H130</f>
        <v>0</v>
      </c>
      <c r="S130" s="218">
        <v>0</v>
      </c>
      <c r="T130" s="219">
        <f>S130*H130</f>
        <v>0</v>
      </c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0" t="s">
        <v>207</v>
      </c>
      <c r="AT130" s="220" t="s">
        <v>202</v>
      </c>
      <c r="AU130" s="220" t="s">
        <v>88</v>
      </c>
      <c r="AY130" s="18" t="s">
        <v>200</v>
      </c>
      <c r="BE130" s="221">
        <f>IF(N130="základní",J130,0)</f>
        <v>0</v>
      </c>
      <c r="BF130" s="221">
        <f>IF(N130="snížená",J130,0)</f>
        <v>0</v>
      </c>
      <c r="BG130" s="221">
        <f>IF(N130="zákl. přenesená",J130,0)</f>
        <v>0</v>
      </c>
      <c r="BH130" s="221">
        <f>IF(N130="sníž. přenesená",J130,0)</f>
        <v>0</v>
      </c>
      <c r="BI130" s="221">
        <f>IF(N130="nulová",J130,0)</f>
        <v>0</v>
      </c>
      <c r="BJ130" s="18" t="s">
        <v>86</v>
      </c>
      <c r="BK130" s="221">
        <f>ROUND(I130*H130,1)</f>
        <v>0</v>
      </c>
      <c r="BL130" s="18" t="s">
        <v>207</v>
      </c>
      <c r="BM130" s="220" t="s">
        <v>3309</v>
      </c>
    </row>
    <row r="131" s="2" customFormat="1">
      <c r="A131" s="40"/>
      <c r="B131" s="41"/>
      <c r="C131" s="42"/>
      <c r="D131" s="222" t="s">
        <v>209</v>
      </c>
      <c r="E131" s="42"/>
      <c r="F131" s="223" t="s">
        <v>3310</v>
      </c>
      <c r="G131" s="42"/>
      <c r="H131" s="42"/>
      <c r="I131" s="224"/>
      <c r="J131" s="42"/>
      <c r="K131" s="42"/>
      <c r="L131" s="46"/>
      <c r="M131" s="225"/>
      <c r="N131" s="226"/>
      <c r="O131" s="86"/>
      <c r="P131" s="86"/>
      <c r="Q131" s="86"/>
      <c r="R131" s="86"/>
      <c r="S131" s="86"/>
      <c r="T131" s="87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T131" s="18" t="s">
        <v>209</v>
      </c>
      <c r="AU131" s="18" t="s">
        <v>88</v>
      </c>
    </row>
    <row r="132" s="2" customFormat="1" ht="16.5" customHeight="1">
      <c r="A132" s="40"/>
      <c r="B132" s="41"/>
      <c r="C132" s="260" t="s">
        <v>320</v>
      </c>
      <c r="D132" s="260" t="s">
        <v>292</v>
      </c>
      <c r="E132" s="261" t="s">
        <v>3311</v>
      </c>
      <c r="F132" s="262" t="s">
        <v>3312</v>
      </c>
      <c r="G132" s="263" t="s">
        <v>1732</v>
      </c>
      <c r="H132" s="264">
        <v>12.210000000000001</v>
      </c>
      <c r="I132" s="265"/>
      <c r="J132" s="266">
        <f>ROUND(I132*H132,1)</f>
        <v>0</v>
      </c>
      <c r="K132" s="262" t="s">
        <v>206</v>
      </c>
      <c r="L132" s="267"/>
      <c r="M132" s="268" t="s">
        <v>32</v>
      </c>
      <c r="N132" s="269" t="s">
        <v>49</v>
      </c>
      <c r="O132" s="86"/>
      <c r="P132" s="218">
        <f>O132*H132</f>
        <v>0</v>
      </c>
      <c r="Q132" s="218">
        <v>0.001</v>
      </c>
      <c r="R132" s="218">
        <f>Q132*H132</f>
        <v>0.01221</v>
      </c>
      <c r="S132" s="218">
        <v>0</v>
      </c>
      <c r="T132" s="219">
        <f>S132*H132</f>
        <v>0</v>
      </c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R132" s="220" t="s">
        <v>254</v>
      </c>
      <c r="AT132" s="220" t="s">
        <v>292</v>
      </c>
      <c r="AU132" s="220" t="s">
        <v>88</v>
      </c>
      <c r="AY132" s="18" t="s">
        <v>200</v>
      </c>
      <c r="BE132" s="221">
        <f>IF(N132="základní",J132,0)</f>
        <v>0</v>
      </c>
      <c r="BF132" s="221">
        <f>IF(N132="snížená",J132,0)</f>
        <v>0</v>
      </c>
      <c r="BG132" s="221">
        <f>IF(N132="zákl. přenesená",J132,0)</f>
        <v>0</v>
      </c>
      <c r="BH132" s="221">
        <f>IF(N132="sníž. přenesená",J132,0)</f>
        <v>0</v>
      </c>
      <c r="BI132" s="221">
        <f>IF(N132="nulová",J132,0)</f>
        <v>0</v>
      </c>
      <c r="BJ132" s="18" t="s">
        <v>86</v>
      </c>
      <c r="BK132" s="221">
        <f>ROUND(I132*H132,1)</f>
        <v>0</v>
      </c>
      <c r="BL132" s="18" t="s">
        <v>207</v>
      </c>
      <c r="BM132" s="220" t="s">
        <v>3313</v>
      </c>
    </row>
    <row r="133" s="13" customFormat="1">
      <c r="A133" s="13"/>
      <c r="B133" s="227"/>
      <c r="C133" s="228"/>
      <c r="D133" s="229" t="s">
        <v>211</v>
      </c>
      <c r="E133" s="228"/>
      <c r="F133" s="231" t="s">
        <v>3314</v>
      </c>
      <c r="G133" s="228"/>
      <c r="H133" s="232">
        <v>12.210000000000001</v>
      </c>
      <c r="I133" s="233"/>
      <c r="J133" s="228"/>
      <c r="K133" s="228"/>
      <c r="L133" s="234"/>
      <c r="M133" s="235"/>
      <c r="N133" s="236"/>
      <c r="O133" s="236"/>
      <c r="P133" s="236"/>
      <c r="Q133" s="236"/>
      <c r="R133" s="236"/>
      <c r="S133" s="236"/>
      <c r="T133" s="237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38" t="s">
        <v>211</v>
      </c>
      <c r="AU133" s="238" t="s">
        <v>88</v>
      </c>
      <c r="AV133" s="13" t="s">
        <v>88</v>
      </c>
      <c r="AW133" s="13" t="s">
        <v>4</v>
      </c>
      <c r="AX133" s="13" t="s">
        <v>86</v>
      </c>
      <c r="AY133" s="238" t="s">
        <v>200</v>
      </c>
    </row>
    <row r="134" s="2" customFormat="1" ht="21.75" customHeight="1">
      <c r="A134" s="40"/>
      <c r="B134" s="41"/>
      <c r="C134" s="209" t="s">
        <v>326</v>
      </c>
      <c r="D134" s="209" t="s">
        <v>202</v>
      </c>
      <c r="E134" s="210" t="s">
        <v>270</v>
      </c>
      <c r="F134" s="211" t="s">
        <v>271</v>
      </c>
      <c r="G134" s="212" t="s">
        <v>272</v>
      </c>
      <c r="H134" s="213">
        <v>1056.0999999999999</v>
      </c>
      <c r="I134" s="214"/>
      <c r="J134" s="215">
        <f>ROUND(I134*H134,1)</f>
        <v>0</v>
      </c>
      <c r="K134" s="211" t="s">
        <v>206</v>
      </c>
      <c r="L134" s="46"/>
      <c r="M134" s="216" t="s">
        <v>32</v>
      </c>
      <c r="N134" s="217" t="s">
        <v>49</v>
      </c>
      <c r="O134" s="86"/>
      <c r="P134" s="218">
        <f>O134*H134</f>
        <v>0</v>
      </c>
      <c r="Q134" s="218">
        <v>0</v>
      </c>
      <c r="R134" s="218">
        <f>Q134*H134</f>
        <v>0</v>
      </c>
      <c r="S134" s="218">
        <v>0</v>
      </c>
      <c r="T134" s="219">
        <f>S134*H134</f>
        <v>0</v>
      </c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0" t="s">
        <v>207</v>
      </c>
      <c r="AT134" s="220" t="s">
        <v>202</v>
      </c>
      <c r="AU134" s="220" t="s">
        <v>88</v>
      </c>
      <c r="AY134" s="18" t="s">
        <v>200</v>
      </c>
      <c r="BE134" s="221">
        <f>IF(N134="základní",J134,0)</f>
        <v>0</v>
      </c>
      <c r="BF134" s="221">
        <f>IF(N134="snížená",J134,0)</f>
        <v>0</v>
      </c>
      <c r="BG134" s="221">
        <f>IF(N134="zákl. přenesená",J134,0)</f>
        <v>0</v>
      </c>
      <c r="BH134" s="221">
        <f>IF(N134="sníž. přenesená",J134,0)</f>
        <v>0</v>
      </c>
      <c r="BI134" s="221">
        <f>IF(N134="nulová",J134,0)</f>
        <v>0</v>
      </c>
      <c r="BJ134" s="18" t="s">
        <v>86</v>
      </c>
      <c r="BK134" s="221">
        <f>ROUND(I134*H134,1)</f>
        <v>0</v>
      </c>
      <c r="BL134" s="18" t="s">
        <v>207</v>
      </c>
      <c r="BM134" s="220" t="s">
        <v>3315</v>
      </c>
    </row>
    <row r="135" s="2" customFormat="1">
      <c r="A135" s="40"/>
      <c r="B135" s="41"/>
      <c r="C135" s="42"/>
      <c r="D135" s="222" t="s">
        <v>209</v>
      </c>
      <c r="E135" s="42"/>
      <c r="F135" s="223" t="s">
        <v>274</v>
      </c>
      <c r="G135" s="42"/>
      <c r="H135" s="42"/>
      <c r="I135" s="224"/>
      <c r="J135" s="42"/>
      <c r="K135" s="42"/>
      <c r="L135" s="46"/>
      <c r="M135" s="225"/>
      <c r="N135" s="226"/>
      <c r="O135" s="86"/>
      <c r="P135" s="86"/>
      <c r="Q135" s="86"/>
      <c r="R135" s="86"/>
      <c r="S135" s="86"/>
      <c r="T135" s="87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T135" s="18" t="s">
        <v>209</v>
      </c>
      <c r="AU135" s="18" t="s">
        <v>88</v>
      </c>
    </row>
    <row r="136" s="13" customFormat="1">
      <c r="A136" s="13"/>
      <c r="B136" s="227"/>
      <c r="C136" s="228"/>
      <c r="D136" s="229" t="s">
        <v>211</v>
      </c>
      <c r="E136" s="230" t="s">
        <v>32</v>
      </c>
      <c r="F136" s="231" t="s">
        <v>3316</v>
      </c>
      <c r="G136" s="228"/>
      <c r="H136" s="232">
        <v>1056.0999999999999</v>
      </c>
      <c r="I136" s="233"/>
      <c r="J136" s="228"/>
      <c r="K136" s="228"/>
      <c r="L136" s="234"/>
      <c r="M136" s="235"/>
      <c r="N136" s="236"/>
      <c r="O136" s="236"/>
      <c r="P136" s="236"/>
      <c r="Q136" s="236"/>
      <c r="R136" s="236"/>
      <c r="S136" s="236"/>
      <c r="T136" s="237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T136" s="238" t="s">
        <v>211</v>
      </c>
      <c r="AU136" s="238" t="s">
        <v>88</v>
      </c>
      <c r="AV136" s="13" t="s">
        <v>88</v>
      </c>
      <c r="AW136" s="13" t="s">
        <v>213</v>
      </c>
      <c r="AX136" s="13" t="s">
        <v>86</v>
      </c>
      <c r="AY136" s="238" t="s">
        <v>200</v>
      </c>
    </row>
    <row r="137" s="12" customFormat="1" ht="22.8" customHeight="1">
      <c r="A137" s="12"/>
      <c r="B137" s="193"/>
      <c r="C137" s="194"/>
      <c r="D137" s="195" t="s">
        <v>77</v>
      </c>
      <c r="E137" s="207" t="s">
        <v>88</v>
      </c>
      <c r="F137" s="207" t="s">
        <v>276</v>
      </c>
      <c r="G137" s="194"/>
      <c r="H137" s="194"/>
      <c r="I137" s="197"/>
      <c r="J137" s="208">
        <f>BK137</f>
        <v>0</v>
      </c>
      <c r="K137" s="194"/>
      <c r="L137" s="199"/>
      <c r="M137" s="200"/>
      <c r="N137" s="201"/>
      <c r="O137" s="201"/>
      <c r="P137" s="202">
        <f>SUM(P138:P151)</f>
        <v>0</v>
      </c>
      <c r="Q137" s="201"/>
      <c r="R137" s="202">
        <f>SUM(R138:R151)</f>
        <v>11.270159259999998</v>
      </c>
      <c r="S137" s="201"/>
      <c r="T137" s="203">
        <f>SUM(T138:T151)</f>
        <v>0</v>
      </c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R137" s="204" t="s">
        <v>86</v>
      </c>
      <c r="AT137" s="205" t="s">
        <v>77</v>
      </c>
      <c r="AU137" s="205" t="s">
        <v>86</v>
      </c>
      <c r="AY137" s="204" t="s">
        <v>200</v>
      </c>
      <c r="BK137" s="206">
        <f>SUM(BK138:BK151)</f>
        <v>0</v>
      </c>
    </row>
    <row r="138" s="2" customFormat="1" ht="24.15" customHeight="1">
      <c r="A138" s="40"/>
      <c r="B138" s="41"/>
      <c r="C138" s="209" t="s">
        <v>337</v>
      </c>
      <c r="D138" s="209" t="s">
        <v>202</v>
      </c>
      <c r="E138" s="210" t="s">
        <v>3317</v>
      </c>
      <c r="F138" s="211" t="s">
        <v>3318</v>
      </c>
      <c r="G138" s="212" t="s">
        <v>205</v>
      </c>
      <c r="H138" s="213">
        <v>1</v>
      </c>
      <c r="I138" s="214"/>
      <c r="J138" s="215">
        <f>ROUND(I138*H138,1)</f>
        <v>0</v>
      </c>
      <c r="K138" s="211" t="s">
        <v>206</v>
      </c>
      <c r="L138" s="46"/>
      <c r="M138" s="216" t="s">
        <v>32</v>
      </c>
      <c r="N138" s="217" t="s">
        <v>49</v>
      </c>
      <c r="O138" s="86"/>
      <c r="P138" s="218">
        <f>O138*H138</f>
        <v>0</v>
      </c>
      <c r="Q138" s="218">
        <v>0</v>
      </c>
      <c r="R138" s="218">
        <f>Q138*H138</f>
        <v>0</v>
      </c>
      <c r="S138" s="218">
        <v>0</v>
      </c>
      <c r="T138" s="219">
        <f>S138*H138</f>
        <v>0</v>
      </c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0" t="s">
        <v>207</v>
      </c>
      <c r="AT138" s="220" t="s">
        <v>202</v>
      </c>
      <c r="AU138" s="220" t="s">
        <v>88</v>
      </c>
      <c r="AY138" s="18" t="s">
        <v>200</v>
      </c>
      <c r="BE138" s="221">
        <f>IF(N138="základní",J138,0)</f>
        <v>0</v>
      </c>
      <c r="BF138" s="221">
        <f>IF(N138="snížená",J138,0)</f>
        <v>0</v>
      </c>
      <c r="BG138" s="221">
        <f>IF(N138="zákl. přenesená",J138,0)</f>
        <v>0</v>
      </c>
      <c r="BH138" s="221">
        <f>IF(N138="sníž. přenesená",J138,0)</f>
        <v>0</v>
      </c>
      <c r="BI138" s="221">
        <f>IF(N138="nulová",J138,0)</f>
        <v>0</v>
      </c>
      <c r="BJ138" s="18" t="s">
        <v>86</v>
      </c>
      <c r="BK138" s="221">
        <f>ROUND(I138*H138,1)</f>
        <v>0</v>
      </c>
      <c r="BL138" s="18" t="s">
        <v>207</v>
      </c>
      <c r="BM138" s="220" t="s">
        <v>3319</v>
      </c>
    </row>
    <row r="139" s="2" customFormat="1">
      <c r="A139" s="40"/>
      <c r="B139" s="41"/>
      <c r="C139" s="42"/>
      <c r="D139" s="222" t="s">
        <v>209</v>
      </c>
      <c r="E139" s="42"/>
      <c r="F139" s="223" t="s">
        <v>3320</v>
      </c>
      <c r="G139" s="42"/>
      <c r="H139" s="42"/>
      <c r="I139" s="224"/>
      <c r="J139" s="42"/>
      <c r="K139" s="42"/>
      <c r="L139" s="46"/>
      <c r="M139" s="225"/>
      <c r="N139" s="226"/>
      <c r="O139" s="86"/>
      <c r="P139" s="86"/>
      <c r="Q139" s="86"/>
      <c r="R139" s="86"/>
      <c r="S139" s="86"/>
      <c r="T139" s="87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T139" s="18" t="s">
        <v>209</v>
      </c>
      <c r="AU139" s="18" t="s">
        <v>88</v>
      </c>
    </row>
    <row r="140" s="13" customFormat="1">
      <c r="A140" s="13"/>
      <c r="B140" s="227"/>
      <c r="C140" s="228"/>
      <c r="D140" s="229" t="s">
        <v>211</v>
      </c>
      <c r="E140" s="230" t="s">
        <v>32</v>
      </c>
      <c r="F140" s="231" t="s">
        <v>3321</v>
      </c>
      <c r="G140" s="228"/>
      <c r="H140" s="232">
        <v>1</v>
      </c>
      <c r="I140" s="233"/>
      <c r="J140" s="228"/>
      <c r="K140" s="228"/>
      <c r="L140" s="234"/>
      <c r="M140" s="235"/>
      <c r="N140" s="236"/>
      <c r="O140" s="236"/>
      <c r="P140" s="236"/>
      <c r="Q140" s="236"/>
      <c r="R140" s="236"/>
      <c r="S140" s="236"/>
      <c r="T140" s="237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38" t="s">
        <v>211</v>
      </c>
      <c r="AU140" s="238" t="s">
        <v>88</v>
      </c>
      <c r="AV140" s="13" t="s">
        <v>88</v>
      </c>
      <c r="AW140" s="13" t="s">
        <v>213</v>
      </c>
      <c r="AX140" s="13" t="s">
        <v>86</v>
      </c>
      <c r="AY140" s="238" t="s">
        <v>200</v>
      </c>
    </row>
    <row r="141" s="2" customFormat="1" ht="24.15" customHeight="1">
      <c r="A141" s="40"/>
      <c r="B141" s="41"/>
      <c r="C141" s="209" t="s">
        <v>342</v>
      </c>
      <c r="D141" s="209" t="s">
        <v>202</v>
      </c>
      <c r="E141" s="210" t="s">
        <v>3322</v>
      </c>
      <c r="F141" s="211" t="s">
        <v>3323</v>
      </c>
      <c r="G141" s="212" t="s">
        <v>272</v>
      </c>
      <c r="H141" s="213">
        <v>50</v>
      </c>
      <c r="I141" s="214"/>
      <c r="J141" s="215">
        <f>ROUND(I141*H141,1)</f>
        <v>0</v>
      </c>
      <c r="K141" s="211" t="s">
        <v>206</v>
      </c>
      <c r="L141" s="46"/>
      <c r="M141" s="216" t="s">
        <v>32</v>
      </c>
      <c r="N141" s="217" t="s">
        <v>49</v>
      </c>
      <c r="O141" s="86"/>
      <c r="P141" s="218">
        <f>O141*H141</f>
        <v>0</v>
      </c>
      <c r="Q141" s="218">
        <v>0.00031</v>
      </c>
      <c r="R141" s="218">
        <f>Q141*H141</f>
        <v>0.0155</v>
      </c>
      <c r="S141" s="218">
        <v>0</v>
      </c>
      <c r="T141" s="219">
        <f>S141*H141</f>
        <v>0</v>
      </c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R141" s="220" t="s">
        <v>207</v>
      </c>
      <c r="AT141" s="220" t="s">
        <v>202</v>
      </c>
      <c r="AU141" s="220" t="s">
        <v>88</v>
      </c>
      <c r="AY141" s="18" t="s">
        <v>200</v>
      </c>
      <c r="BE141" s="221">
        <f>IF(N141="základní",J141,0)</f>
        <v>0</v>
      </c>
      <c r="BF141" s="221">
        <f>IF(N141="snížená",J141,0)</f>
        <v>0</v>
      </c>
      <c r="BG141" s="221">
        <f>IF(N141="zákl. přenesená",J141,0)</f>
        <v>0</v>
      </c>
      <c r="BH141" s="221">
        <f>IF(N141="sníž. přenesená",J141,0)</f>
        <v>0</v>
      </c>
      <c r="BI141" s="221">
        <f>IF(N141="nulová",J141,0)</f>
        <v>0</v>
      </c>
      <c r="BJ141" s="18" t="s">
        <v>86</v>
      </c>
      <c r="BK141" s="221">
        <f>ROUND(I141*H141,1)</f>
        <v>0</v>
      </c>
      <c r="BL141" s="18" t="s">
        <v>207</v>
      </c>
      <c r="BM141" s="220" t="s">
        <v>3324</v>
      </c>
    </row>
    <row r="142" s="2" customFormat="1">
      <c r="A142" s="40"/>
      <c r="B142" s="41"/>
      <c r="C142" s="42"/>
      <c r="D142" s="222" t="s">
        <v>209</v>
      </c>
      <c r="E142" s="42"/>
      <c r="F142" s="223" t="s">
        <v>3325</v>
      </c>
      <c r="G142" s="42"/>
      <c r="H142" s="42"/>
      <c r="I142" s="224"/>
      <c r="J142" s="42"/>
      <c r="K142" s="42"/>
      <c r="L142" s="46"/>
      <c r="M142" s="225"/>
      <c r="N142" s="226"/>
      <c r="O142" s="86"/>
      <c r="P142" s="86"/>
      <c r="Q142" s="86"/>
      <c r="R142" s="86"/>
      <c r="S142" s="86"/>
      <c r="T142" s="87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T142" s="18" t="s">
        <v>209</v>
      </c>
      <c r="AU142" s="18" t="s">
        <v>88</v>
      </c>
    </row>
    <row r="143" s="2" customFormat="1" ht="16.5" customHeight="1">
      <c r="A143" s="40"/>
      <c r="B143" s="41"/>
      <c r="C143" s="260" t="s">
        <v>7</v>
      </c>
      <c r="D143" s="260" t="s">
        <v>292</v>
      </c>
      <c r="E143" s="261" t="s">
        <v>3326</v>
      </c>
      <c r="F143" s="262" t="s">
        <v>3327</v>
      </c>
      <c r="G143" s="263" t="s">
        <v>272</v>
      </c>
      <c r="H143" s="264">
        <v>59.225000000000001</v>
      </c>
      <c r="I143" s="265"/>
      <c r="J143" s="266">
        <f>ROUND(I143*H143,1)</f>
        <v>0</v>
      </c>
      <c r="K143" s="262" t="s">
        <v>206</v>
      </c>
      <c r="L143" s="267"/>
      <c r="M143" s="268" t="s">
        <v>32</v>
      </c>
      <c r="N143" s="269" t="s">
        <v>49</v>
      </c>
      <c r="O143" s="86"/>
      <c r="P143" s="218">
        <f>O143*H143</f>
        <v>0</v>
      </c>
      <c r="Q143" s="218">
        <v>0.00029999999999999997</v>
      </c>
      <c r="R143" s="218">
        <f>Q143*H143</f>
        <v>0.017767499999999999</v>
      </c>
      <c r="S143" s="218">
        <v>0</v>
      </c>
      <c r="T143" s="219">
        <f>S143*H143</f>
        <v>0</v>
      </c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R143" s="220" t="s">
        <v>254</v>
      </c>
      <c r="AT143" s="220" t="s">
        <v>292</v>
      </c>
      <c r="AU143" s="220" t="s">
        <v>88</v>
      </c>
      <c r="AY143" s="18" t="s">
        <v>200</v>
      </c>
      <c r="BE143" s="221">
        <f>IF(N143="základní",J143,0)</f>
        <v>0</v>
      </c>
      <c r="BF143" s="221">
        <f>IF(N143="snížená",J143,0)</f>
        <v>0</v>
      </c>
      <c r="BG143" s="221">
        <f>IF(N143="zákl. přenesená",J143,0)</f>
        <v>0</v>
      </c>
      <c r="BH143" s="221">
        <f>IF(N143="sníž. přenesená",J143,0)</f>
        <v>0</v>
      </c>
      <c r="BI143" s="221">
        <f>IF(N143="nulová",J143,0)</f>
        <v>0</v>
      </c>
      <c r="BJ143" s="18" t="s">
        <v>86</v>
      </c>
      <c r="BK143" s="221">
        <f>ROUND(I143*H143,1)</f>
        <v>0</v>
      </c>
      <c r="BL143" s="18" t="s">
        <v>207</v>
      </c>
      <c r="BM143" s="220" t="s">
        <v>3328</v>
      </c>
    </row>
    <row r="144" s="13" customFormat="1">
      <c r="A144" s="13"/>
      <c r="B144" s="227"/>
      <c r="C144" s="228"/>
      <c r="D144" s="229" t="s">
        <v>211</v>
      </c>
      <c r="E144" s="228"/>
      <c r="F144" s="231" t="s">
        <v>3329</v>
      </c>
      <c r="G144" s="228"/>
      <c r="H144" s="232">
        <v>59.225000000000001</v>
      </c>
      <c r="I144" s="233"/>
      <c r="J144" s="228"/>
      <c r="K144" s="228"/>
      <c r="L144" s="234"/>
      <c r="M144" s="235"/>
      <c r="N144" s="236"/>
      <c r="O144" s="236"/>
      <c r="P144" s="236"/>
      <c r="Q144" s="236"/>
      <c r="R144" s="236"/>
      <c r="S144" s="236"/>
      <c r="T144" s="237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38" t="s">
        <v>211</v>
      </c>
      <c r="AU144" s="238" t="s">
        <v>88</v>
      </c>
      <c r="AV144" s="13" t="s">
        <v>88</v>
      </c>
      <c r="AW144" s="13" t="s">
        <v>4</v>
      </c>
      <c r="AX144" s="13" t="s">
        <v>86</v>
      </c>
      <c r="AY144" s="238" t="s">
        <v>200</v>
      </c>
    </row>
    <row r="145" s="2" customFormat="1" ht="16.5" customHeight="1">
      <c r="A145" s="40"/>
      <c r="B145" s="41"/>
      <c r="C145" s="209" t="s">
        <v>363</v>
      </c>
      <c r="D145" s="209" t="s">
        <v>202</v>
      </c>
      <c r="E145" s="210" t="s">
        <v>3330</v>
      </c>
      <c r="F145" s="211" t="s">
        <v>3331</v>
      </c>
      <c r="G145" s="212" t="s">
        <v>205</v>
      </c>
      <c r="H145" s="213">
        <v>5</v>
      </c>
      <c r="I145" s="214"/>
      <c r="J145" s="215">
        <f>ROUND(I145*H145,1)</f>
        <v>0</v>
      </c>
      <c r="K145" s="211" t="s">
        <v>206</v>
      </c>
      <c r="L145" s="46"/>
      <c r="M145" s="216" t="s">
        <v>32</v>
      </c>
      <c r="N145" s="217" t="s">
        <v>49</v>
      </c>
      <c r="O145" s="86"/>
      <c r="P145" s="218">
        <f>O145*H145</f>
        <v>0</v>
      </c>
      <c r="Q145" s="218">
        <v>1.9199999999999999</v>
      </c>
      <c r="R145" s="218">
        <f>Q145*H145</f>
        <v>9.5999999999999996</v>
      </c>
      <c r="S145" s="218">
        <v>0</v>
      </c>
      <c r="T145" s="219">
        <f>S145*H145</f>
        <v>0</v>
      </c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R145" s="220" t="s">
        <v>207</v>
      </c>
      <c r="AT145" s="220" t="s">
        <v>202</v>
      </c>
      <c r="AU145" s="220" t="s">
        <v>88</v>
      </c>
      <c r="AY145" s="18" t="s">
        <v>200</v>
      </c>
      <c r="BE145" s="221">
        <f>IF(N145="základní",J145,0)</f>
        <v>0</v>
      </c>
      <c r="BF145" s="221">
        <f>IF(N145="snížená",J145,0)</f>
        <v>0</v>
      </c>
      <c r="BG145" s="221">
        <f>IF(N145="zákl. přenesená",J145,0)</f>
        <v>0</v>
      </c>
      <c r="BH145" s="221">
        <f>IF(N145="sníž. přenesená",J145,0)</f>
        <v>0</v>
      </c>
      <c r="BI145" s="221">
        <f>IF(N145="nulová",J145,0)</f>
        <v>0</v>
      </c>
      <c r="BJ145" s="18" t="s">
        <v>86</v>
      </c>
      <c r="BK145" s="221">
        <f>ROUND(I145*H145,1)</f>
        <v>0</v>
      </c>
      <c r="BL145" s="18" t="s">
        <v>207</v>
      </c>
      <c r="BM145" s="220" t="s">
        <v>3332</v>
      </c>
    </row>
    <row r="146" s="2" customFormat="1">
      <c r="A146" s="40"/>
      <c r="B146" s="41"/>
      <c r="C146" s="42"/>
      <c r="D146" s="222" t="s">
        <v>209</v>
      </c>
      <c r="E146" s="42"/>
      <c r="F146" s="223" t="s">
        <v>3333</v>
      </c>
      <c r="G146" s="42"/>
      <c r="H146" s="42"/>
      <c r="I146" s="224"/>
      <c r="J146" s="42"/>
      <c r="K146" s="42"/>
      <c r="L146" s="46"/>
      <c r="M146" s="225"/>
      <c r="N146" s="226"/>
      <c r="O146" s="86"/>
      <c r="P146" s="86"/>
      <c r="Q146" s="86"/>
      <c r="R146" s="86"/>
      <c r="S146" s="86"/>
      <c r="T146" s="87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T146" s="18" t="s">
        <v>209</v>
      </c>
      <c r="AU146" s="18" t="s">
        <v>88</v>
      </c>
    </row>
    <row r="147" s="2" customFormat="1" ht="16.5" customHeight="1">
      <c r="A147" s="40"/>
      <c r="B147" s="41"/>
      <c r="C147" s="209" t="s">
        <v>374</v>
      </c>
      <c r="D147" s="209" t="s">
        <v>202</v>
      </c>
      <c r="E147" s="210" t="s">
        <v>3334</v>
      </c>
      <c r="F147" s="211" t="s">
        <v>3335</v>
      </c>
      <c r="G147" s="212" t="s">
        <v>280</v>
      </c>
      <c r="H147" s="213">
        <v>32</v>
      </c>
      <c r="I147" s="214"/>
      <c r="J147" s="215">
        <f>ROUND(I147*H147,1)</f>
        <v>0</v>
      </c>
      <c r="K147" s="211" t="s">
        <v>206</v>
      </c>
      <c r="L147" s="46"/>
      <c r="M147" s="216" t="s">
        <v>32</v>
      </c>
      <c r="N147" s="217" t="s">
        <v>49</v>
      </c>
      <c r="O147" s="86"/>
      <c r="P147" s="218">
        <f>O147*H147</f>
        <v>0</v>
      </c>
      <c r="Q147" s="218">
        <v>0.00048999999999999998</v>
      </c>
      <c r="R147" s="218">
        <f>Q147*H147</f>
        <v>0.015679999999999999</v>
      </c>
      <c r="S147" s="218">
        <v>0</v>
      </c>
      <c r="T147" s="219">
        <f>S147*H147</f>
        <v>0</v>
      </c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R147" s="220" t="s">
        <v>207</v>
      </c>
      <c r="AT147" s="220" t="s">
        <v>202</v>
      </c>
      <c r="AU147" s="220" t="s">
        <v>88</v>
      </c>
      <c r="AY147" s="18" t="s">
        <v>200</v>
      </c>
      <c r="BE147" s="221">
        <f>IF(N147="základní",J147,0)</f>
        <v>0</v>
      </c>
      <c r="BF147" s="221">
        <f>IF(N147="snížená",J147,0)</f>
        <v>0</v>
      </c>
      <c r="BG147" s="221">
        <f>IF(N147="zákl. přenesená",J147,0)</f>
        <v>0</v>
      </c>
      <c r="BH147" s="221">
        <f>IF(N147="sníž. přenesená",J147,0)</f>
        <v>0</v>
      </c>
      <c r="BI147" s="221">
        <f>IF(N147="nulová",J147,0)</f>
        <v>0</v>
      </c>
      <c r="BJ147" s="18" t="s">
        <v>86</v>
      </c>
      <c r="BK147" s="221">
        <f>ROUND(I147*H147,1)</f>
        <v>0</v>
      </c>
      <c r="BL147" s="18" t="s">
        <v>207</v>
      </c>
      <c r="BM147" s="220" t="s">
        <v>3336</v>
      </c>
    </row>
    <row r="148" s="2" customFormat="1">
      <c r="A148" s="40"/>
      <c r="B148" s="41"/>
      <c r="C148" s="42"/>
      <c r="D148" s="222" t="s">
        <v>209</v>
      </c>
      <c r="E148" s="42"/>
      <c r="F148" s="223" t="s">
        <v>3337</v>
      </c>
      <c r="G148" s="42"/>
      <c r="H148" s="42"/>
      <c r="I148" s="224"/>
      <c r="J148" s="42"/>
      <c r="K148" s="42"/>
      <c r="L148" s="46"/>
      <c r="M148" s="225"/>
      <c r="N148" s="226"/>
      <c r="O148" s="86"/>
      <c r="P148" s="86"/>
      <c r="Q148" s="86"/>
      <c r="R148" s="86"/>
      <c r="S148" s="86"/>
      <c r="T148" s="87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T148" s="18" t="s">
        <v>209</v>
      </c>
      <c r="AU148" s="18" t="s">
        <v>88</v>
      </c>
    </row>
    <row r="149" s="2" customFormat="1" ht="16.5" customHeight="1">
      <c r="A149" s="40"/>
      <c r="B149" s="41"/>
      <c r="C149" s="209" t="s">
        <v>379</v>
      </c>
      <c r="D149" s="209" t="s">
        <v>202</v>
      </c>
      <c r="E149" s="210" t="s">
        <v>3338</v>
      </c>
      <c r="F149" s="211" t="s">
        <v>3339</v>
      </c>
      <c r="G149" s="212" t="s">
        <v>205</v>
      </c>
      <c r="H149" s="213">
        <v>0.64800000000000002</v>
      </c>
      <c r="I149" s="214"/>
      <c r="J149" s="215">
        <f>ROUND(I149*H149,1)</f>
        <v>0</v>
      </c>
      <c r="K149" s="211" t="s">
        <v>206</v>
      </c>
      <c r="L149" s="46"/>
      <c r="M149" s="216" t="s">
        <v>32</v>
      </c>
      <c r="N149" s="217" t="s">
        <v>49</v>
      </c>
      <c r="O149" s="86"/>
      <c r="P149" s="218">
        <f>O149*H149</f>
        <v>0</v>
      </c>
      <c r="Q149" s="218">
        <v>2.5018699999999998</v>
      </c>
      <c r="R149" s="218">
        <f>Q149*H149</f>
        <v>1.62121176</v>
      </c>
      <c r="S149" s="218">
        <v>0</v>
      </c>
      <c r="T149" s="219">
        <f>S149*H149</f>
        <v>0</v>
      </c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R149" s="220" t="s">
        <v>207</v>
      </c>
      <c r="AT149" s="220" t="s">
        <v>202</v>
      </c>
      <c r="AU149" s="220" t="s">
        <v>88</v>
      </c>
      <c r="AY149" s="18" t="s">
        <v>200</v>
      </c>
      <c r="BE149" s="221">
        <f>IF(N149="základní",J149,0)</f>
        <v>0</v>
      </c>
      <c r="BF149" s="221">
        <f>IF(N149="snížená",J149,0)</f>
        <v>0</v>
      </c>
      <c r="BG149" s="221">
        <f>IF(N149="zákl. přenesená",J149,0)</f>
        <v>0</v>
      </c>
      <c r="BH149" s="221">
        <f>IF(N149="sníž. přenesená",J149,0)</f>
        <v>0</v>
      </c>
      <c r="BI149" s="221">
        <f>IF(N149="nulová",J149,0)</f>
        <v>0</v>
      </c>
      <c r="BJ149" s="18" t="s">
        <v>86</v>
      </c>
      <c r="BK149" s="221">
        <f>ROUND(I149*H149,1)</f>
        <v>0</v>
      </c>
      <c r="BL149" s="18" t="s">
        <v>207</v>
      </c>
      <c r="BM149" s="220" t="s">
        <v>3340</v>
      </c>
    </row>
    <row r="150" s="2" customFormat="1">
      <c r="A150" s="40"/>
      <c r="B150" s="41"/>
      <c r="C150" s="42"/>
      <c r="D150" s="222" t="s">
        <v>209</v>
      </c>
      <c r="E150" s="42"/>
      <c r="F150" s="223" t="s">
        <v>3341</v>
      </c>
      <c r="G150" s="42"/>
      <c r="H150" s="42"/>
      <c r="I150" s="224"/>
      <c r="J150" s="42"/>
      <c r="K150" s="42"/>
      <c r="L150" s="46"/>
      <c r="M150" s="225"/>
      <c r="N150" s="226"/>
      <c r="O150" s="86"/>
      <c r="P150" s="86"/>
      <c r="Q150" s="86"/>
      <c r="R150" s="86"/>
      <c r="S150" s="86"/>
      <c r="T150" s="87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T150" s="18" t="s">
        <v>209</v>
      </c>
      <c r="AU150" s="18" t="s">
        <v>88</v>
      </c>
    </row>
    <row r="151" s="13" customFormat="1">
      <c r="A151" s="13"/>
      <c r="B151" s="227"/>
      <c r="C151" s="228"/>
      <c r="D151" s="229" t="s">
        <v>211</v>
      </c>
      <c r="E151" s="230" t="s">
        <v>32</v>
      </c>
      <c r="F151" s="231" t="s">
        <v>3342</v>
      </c>
      <c r="G151" s="228"/>
      <c r="H151" s="232">
        <v>0.64800000000000002</v>
      </c>
      <c r="I151" s="233"/>
      <c r="J151" s="228"/>
      <c r="K151" s="228"/>
      <c r="L151" s="234"/>
      <c r="M151" s="235"/>
      <c r="N151" s="236"/>
      <c r="O151" s="236"/>
      <c r="P151" s="236"/>
      <c r="Q151" s="236"/>
      <c r="R151" s="236"/>
      <c r="S151" s="236"/>
      <c r="T151" s="237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T151" s="238" t="s">
        <v>211</v>
      </c>
      <c r="AU151" s="238" t="s">
        <v>88</v>
      </c>
      <c r="AV151" s="13" t="s">
        <v>88</v>
      </c>
      <c r="AW151" s="13" t="s">
        <v>213</v>
      </c>
      <c r="AX151" s="13" t="s">
        <v>86</v>
      </c>
      <c r="AY151" s="238" t="s">
        <v>200</v>
      </c>
    </row>
    <row r="152" s="12" customFormat="1" ht="22.8" customHeight="1">
      <c r="A152" s="12"/>
      <c r="B152" s="193"/>
      <c r="C152" s="194"/>
      <c r="D152" s="195" t="s">
        <v>77</v>
      </c>
      <c r="E152" s="207" t="s">
        <v>148</v>
      </c>
      <c r="F152" s="207" t="s">
        <v>408</v>
      </c>
      <c r="G152" s="194"/>
      <c r="H152" s="194"/>
      <c r="I152" s="197"/>
      <c r="J152" s="208">
        <f>BK152</f>
        <v>0</v>
      </c>
      <c r="K152" s="194"/>
      <c r="L152" s="199"/>
      <c r="M152" s="200"/>
      <c r="N152" s="201"/>
      <c r="O152" s="201"/>
      <c r="P152" s="202">
        <f>SUM(P153:P181)</f>
        <v>0</v>
      </c>
      <c r="Q152" s="201"/>
      <c r="R152" s="202">
        <f>SUM(R153:R181)</f>
        <v>6.0039600000000002</v>
      </c>
      <c r="S152" s="201"/>
      <c r="T152" s="203">
        <f>SUM(T153:T181)</f>
        <v>0</v>
      </c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R152" s="204" t="s">
        <v>86</v>
      </c>
      <c r="AT152" s="205" t="s">
        <v>77</v>
      </c>
      <c r="AU152" s="205" t="s">
        <v>86</v>
      </c>
      <c r="AY152" s="204" t="s">
        <v>200</v>
      </c>
      <c r="BK152" s="206">
        <f>SUM(BK153:BK181)</f>
        <v>0</v>
      </c>
    </row>
    <row r="153" s="2" customFormat="1" ht="24.15" customHeight="1">
      <c r="A153" s="40"/>
      <c r="B153" s="41"/>
      <c r="C153" s="209" t="s">
        <v>385</v>
      </c>
      <c r="D153" s="282" t="s">
        <v>202</v>
      </c>
      <c r="E153" s="210" t="s">
        <v>3343</v>
      </c>
      <c r="F153" s="211" t="s">
        <v>3344</v>
      </c>
      <c r="G153" s="212" t="s">
        <v>449</v>
      </c>
      <c r="H153" s="213">
        <v>20</v>
      </c>
      <c r="I153" s="214"/>
      <c r="J153" s="215">
        <f>ROUND(I153*H153,1)</f>
        <v>0</v>
      </c>
      <c r="K153" s="211" t="s">
        <v>206</v>
      </c>
      <c r="L153" s="46"/>
      <c r="M153" s="216" t="s">
        <v>32</v>
      </c>
      <c r="N153" s="217" t="s">
        <v>49</v>
      </c>
      <c r="O153" s="86"/>
      <c r="P153" s="218">
        <f>O153*H153</f>
        <v>0</v>
      </c>
      <c r="Q153" s="218">
        <v>0.17488999999999999</v>
      </c>
      <c r="R153" s="218">
        <f>Q153*H153</f>
        <v>3.4977999999999998</v>
      </c>
      <c r="S153" s="218">
        <v>0</v>
      </c>
      <c r="T153" s="219">
        <f>S153*H153</f>
        <v>0</v>
      </c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R153" s="220" t="s">
        <v>207</v>
      </c>
      <c r="AT153" s="220" t="s">
        <v>202</v>
      </c>
      <c r="AU153" s="220" t="s">
        <v>88</v>
      </c>
      <c r="AY153" s="18" t="s">
        <v>200</v>
      </c>
      <c r="BE153" s="221">
        <f>IF(N153="základní",J153,0)</f>
        <v>0</v>
      </c>
      <c r="BF153" s="221">
        <f>IF(N153="snížená",J153,0)</f>
        <v>0</v>
      </c>
      <c r="BG153" s="221">
        <f>IF(N153="zákl. přenesená",J153,0)</f>
        <v>0</v>
      </c>
      <c r="BH153" s="221">
        <f>IF(N153="sníž. přenesená",J153,0)</f>
        <v>0</v>
      </c>
      <c r="BI153" s="221">
        <f>IF(N153="nulová",J153,0)</f>
        <v>0</v>
      </c>
      <c r="BJ153" s="18" t="s">
        <v>86</v>
      </c>
      <c r="BK153" s="221">
        <f>ROUND(I153*H153,1)</f>
        <v>0</v>
      </c>
      <c r="BL153" s="18" t="s">
        <v>207</v>
      </c>
      <c r="BM153" s="220" t="s">
        <v>3345</v>
      </c>
    </row>
    <row r="154" s="2" customFormat="1">
      <c r="A154" s="40"/>
      <c r="B154" s="41"/>
      <c r="C154" s="42"/>
      <c r="D154" s="222" t="s">
        <v>209</v>
      </c>
      <c r="E154" s="42"/>
      <c r="F154" s="223" t="s">
        <v>3346</v>
      </c>
      <c r="G154" s="42"/>
      <c r="H154" s="42"/>
      <c r="I154" s="224"/>
      <c r="J154" s="42"/>
      <c r="K154" s="42"/>
      <c r="L154" s="46"/>
      <c r="M154" s="225"/>
      <c r="N154" s="226"/>
      <c r="O154" s="86"/>
      <c r="P154" s="86"/>
      <c r="Q154" s="86"/>
      <c r="R154" s="86"/>
      <c r="S154" s="86"/>
      <c r="T154" s="87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T154" s="18" t="s">
        <v>209</v>
      </c>
      <c r="AU154" s="18" t="s">
        <v>88</v>
      </c>
    </row>
    <row r="155" s="13" customFormat="1">
      <c r="A155" s="13"/>
      <c r="B155" s="227"/>
      <c r="C155" s="228"/>
      <c r="D155" s="229" t="s">
        <v>211</v>
      </c>
      <c r="E155" s="230" t="s">
        <v>32</v>
      </c>
      <c r="F155" s="231" t="s">
        <v>342</v>
      </c>
      <c r="G155" s="228"/>
      <c r="H155" s="232">
        <v>20</v>
      </c>
      <c r="I155" s="233"/>
      <c r="J155" s="228"/>
      <c r="K155" s="228"/>
      <c r="L155" s="234"/>
      <c r="M155" s="235"/>
      <c r="N155" s="236"/>
      <c r="O155" s="236"/>
      <c r="P155" s="236"/>
      <c r="Q155" s="236"/>
      <c r="R155" s="236"/>
      <c r="S155" s="236"/>
      <c r="T155" s="237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38" t="s">
        <v>211</v>
      </c>
      <c r="AU155" s="238" t="s">
        <v>88</v>
      </c>
      <c r="AV155" s="13" t="s">
        <v>88</v>
      </c>
      <c r="AW155" s="13" t="s">
        <v>213</v>
      </c>
      <c r="AX155" s="13" t="s">
        <v>86</v>
      </c>
      <c r="AY155" s="238" t="s">
        <v>200</v>
      </c>
    </row>
    <row r="156" s="2" customFormat="1" ht="16.5" customHeight="1">
      <c r="A156" s="40"/>
      <c r="B156" s="41"/>
      <c r="C156" s="260" t="s">
        <v>391</v>
      </c>
      <c r="D156" s="296" t="s">
        <v>292</v>
      </c>
      <c r="E156" s="261" t="s">
        <v>3347</v>
      </c>
      <c r="F156" s="262" t="s">
        <v>3348</v>
      </c>
      <c r="G156" s="263" t="s">
        <v>250</v>
      </c>
      <c r="H156" s="264">
        <v>0.88900000000000001</v>
      </c>
      <c r="I156" s="265"/>
      <c r="J156" s="266">
        <f>ROUND(I156*H156,1)</f>
        <v>0</v>
      </c>
      <c r="K156" s="262" t="s">
        <v>206</v>
      </c>
      <c r="L156" s="267"/>
      <c r="M156" s="268" t="s">
        <v>32</v>
      </c>
      <c r="N156" s="269" t="s">
        <v>49</v>
      </c>
      <c r="O156" s="86"/>
      <c r="P156" s="218">
        <f>O156*H156</f>
        <v>0</v>
      </c>
      <c r="Q156" s="218">
        <v>1</v>
      </c>
      <c r="R156" s="218">
        <f>Q156*H156</f>
        <v>0.88900000000000001</v>
      </c>
      <c r="S156" s="218">
        <v>0</v>
      </c>
      <c r="T156" s="219">
        <f>S156*H156</f>
        <v>0</v>
      </c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R156" s="220" t="s">
        <v>254</v>
      </c>
      <c r="AT156" s="220" t="s">
        <v>292</v>
      </c>
      <c r="AU156" s="220" t="s">
        <v>88</v>
      </c>
      <c r="AY156" s="18" t="s">
        <v>200</v>
      </c>
      <c r="BE156" s="221">
        <f>IF(N156="základní",J156,0)</f>
        <v>0</v>
      </c>
      <c r="BF156" s="221">
        <f>IF(N156="snížená",J156,0)</f>
        <v>0</v>
      </c>
      <c r="BG156" s="221">
        <f>IF(N156="zákl. přenesená",J156,0)</f>
        <v>0</v>
      </c>
      <c r="BH156" s="221">
        <f>IF(N156="sníž. přenesená",J156,0)</f>
        <v>0</v>
      </c>
      <c r="BI156" s="221">
        <f>IF(N156="nulová",J156,0)</f>
        <v>0</v>
      </c>
      <c r="BJ156" s="18" t="s">
        <v>86</v>
      </c>
      <c r="BK156" s="221">
        <f>ROUND(I156*H156,1)</f>
        <v>0</v>
      </c>
      <c r="BL156" s="18" t="s">
        <v>207</v>
      </c>
      <c r="BM156" s="220" t="s">
        <v>3349</v>
      </c>
    </row>
    <row r="157" s="2" customFormat="1">
      <c r="A157" s="40"/>
      <c r="B157" s="41"/>
      <c r="C157" s="42"/>
      <c r="D157" s="229" t="s">
        <v>355</v>
      </c>
      <c r="E157" s="42"/>
      <c r="F157" s="281" t="s">
        <v>3350</v>
      </c>
      <c r="G157" s="42"/>
      <c r="H157" s="42"/>
      <c r="I157" s="224"/>
      <c r="J157" s="42"/>
      <c r="K157" s="42"/>
      <c r="L157" s="46"/>
      <c r="M157" s="225"/>
      <c r="N157" s="226"/>
      <c r="O157" s="86"/>
      <c r="P157" s="86"/>
      <c r="Q157" s="86"/>
      <c r="R157" s="86"/>
      <c r="S157" s="86"/>
      <c r="T157" s="87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T157" s="18" t="s">
        <v>355</v>
      </c>
      <c r="AU157" s="18" t="s">
        <v>88</v>
      </c>
    </row>
    <row r="158" s="13" customFormat="1">
      <c r="A158" s="13"/>
      <c r="B158" s="227"/>
      <c r="C158" s="228"/>
      <c r="D158" s="229" t="s">
        <v>211</v>
      </c>
      <c r="E158" s="230" t="s">
        <v>32</v>
      </c>
      <c r="F158" s="231" t="s">
        <v>3351</v>
      </c>
      <c r="G158" s="228"/>
      <c r="H158" s="232">
        <v>0.88919999999999999</v>
      </c>
      <c r="I158" s="233"/>
      <c r="J158" s="228"/>
      <c r="K158" s="228"/>
      <c r="L158" s="234"/>
      <c r="M158" s="235"/>
      <c r="N158" s="236"/>
      <c r="O158" s="236"/>
      <c r="P158" s="236"/>
      <c r="Q158" s="236"/>
      <c r="R158" s="236"/>
      <c r="S158" s="236"/>
      <c r="T158" s="237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38" t="s">
        <v>211</v>
      </c>
      <c r="AU158" s="238" t="s">
        <v>88</v>
      </c>
      <c r="AV158" s="13" t="s">
        <v>88</v>
      </c>
      <c r="AW158" s="13" t="s">
        <v>213</v>
      </c>
      <c r="AX158" s="13" t="s">
        <v>86</v>
      </c>
      <c r="AY158" s="238" t="s">
        <v>200</v>
      </c>
    </row>
    <row r="159" s="2" customFormat="1" ht="16.5" customHeight="1">
      <c r="A159" s="40"/>
      <c r="B159" s="41"/>
      <c r="C159" s="209" t="s">
        <v>397</v>
      </c>
      <c r="D159" s="209" t="s">
        <v>202</v>
      </c>
      <c r="E159" s="210" t="s">
        <v>3352</v>
      </c>
      <c r="F159" s="211" t="s">
        <v>3353</v>
      </c>
      <c r="G159" s="212" t="s">
        <v>449</v>
      </c>
      <c r="H159" s="213">
        <v>2</v>
      </c>
      <c r="I159" s="214"/>
      <c r="J159" s="215">
        <f>ROUND(I159*H159,1)</f>
        <v>0</v>
      </c>
      <c r="K159" s="211" t="s">
        <v>206</v>
      </c>
      <c r="L159" s="46"/>
      <c r="M159" s="216" t="s">
        <v>32</v>
      </c>
      <c r="N159" s="217" t="s">
        <v>49</v>
      </c>
      <c r="O159" s="86"/>
      <c r="P159" s="218">
        <f>O159*H159</f>
        <v>0</v>
      </c>
      <c r="Q159" s="218">
        <v>0</v>
      </c>
      <c r="R159" s="218">
        <f>Q159*H159</f>
        <v>0</v>
      </c>
      <c r="S159" s="218">
        <v>0</v>
      </c>
      <c r="T159" s="219">
        <f>S159*H159</f>
        <v>0</v>
      </c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R159" s="220" t="s">
        <v>207</v>
      </c>
      <c r="AT159" s="220" t="s">
        <v>202</v>
      </c>
      <c r="AU159" s="220" t="s">
        <v>88</v>
      </c>
      <c r="AY159" s="18" t="s">
        <v>200</v>
      </c>
      <c r="BE159" s="221">
        <f>IF(N159="základní",J159,0)</f>
        <v>0</v>
      </c>
      <c r="BF159" s="221">
        <f>IF(N159="snížená",J159,0)</f>
        <v>0</v>
      </c>
      <c r="BG159" s="221">
        <f>IF(N159="zákl. přenesená",J159,0)</f>
        <v>0</v>
      </c>
      <c r="BH159" s="221">
        <f>IF(N159="sníž. přenesená",J159,0)</f>
        <v>0</v>
      </c>
      <c r="BI159" s="221">
        <f>IF(N159="nulová",J159,0)</f>
        <v>0</v>
      </c>
      <c r="BJ159" s="18" t="s">
        <v>86</v>
      </c>
      <c r="BK159" s="221">
        <f>ROUND(I159*H159,1)</f>
        <v>0</v>
      </c>
      <c r="BL159" s="18" t="s">
        <v>207</v>
      </c>
      <c r="BM159" s="220" t="s">
        <v>3354</v>
      </c>
    </row>
    <row r="160" s="2" customFormat="1">
      <c r="A160" s="40"/>
      <c r="B160" s="41"/>
      <c r="C160" s="42"/>
      <c r="D160" s="222" t="s">
        <v>209</v>
      </c>
      <c r="E160" s="42"/>
      <c r="F160" s="223" t="s">
        <v>3355</v>
      </c>
      <c r="G160" s="42"/>
      <c r="H160" s="42"/>
      <c r="I160" s="224"/>
      <c r="J160" s="42"/>
      <c r="K160" s="42"/>
      <c r="L160" s="46"/>
      <c r="M160" s="225"/>
      <c r="N160" s="226"/>
      <c r="O160" s="86"/>
      <c r="P160" s="86"/>
      <c r="Q160" s="86"/>
      <c r="R160" s="86"/>
      <c r="S160" s="86"/>
      <c r="T160" s="87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T160" s="18" t="s">
        <v>209</v>
      </c>
      <c r="AU160" s="18" t="s">
        <v>88</v>
      </c>
    </row>
    <row r="161" s="2" customFormat="1" ht="16.5" customHeight="1">
      <c r="A161" s="40"/>
      <c r="B161" s="41"/>
      <c r="C161" s="260" t="s">
        <v>402</v>
      </c>
      <c r="D161" s="296" t="s">
        <v>292</v>
      </c>
      <c r="E161" s="261" t="s">
        <v>3356</v>
      </c>
      <c r="F161" s="262" t="s">
        <v>3357</v>
      </c>
      <c r="G161" s="263" t="s">
        <v>449</v>
      </c>
      <c r="H161" s="264">
        <v>2</v>
      </c>
      <c r="I161" s="265"/>
      <c r="J161" s="266">
        <f>ROUND(I161*H161,1)</f>
        <v>0</v>
      </c>
      <c r="K161" s="262" t="s">
        <v>32</v>
      </c>
      <c r="L161" s="267"/>
      <c r="M161" s="268" t="s">
        <v>32</v>
      </c>
      <c r="N161" s="269" t="s">
        <v>49</v>
      </c>
      <c r="O161" s="86"/>
      <c r="P161" s="218">
        <f>O161*H161</f>
        <v>0</v>
      </c>
      <c r="Q161" s="218">
        <v>0.063030000000000003</v>
      </c>
      <c r="R161" s="218">
        <f>Q161*H161</f>
        <v>0.12606000000000001</v>
      </c>
      <c r="S161" s="218">
        <v>0</v>
      </c>
      <c r="T161" s="219">
        <f>S161*H161</f>
        <v>0</v>
      </c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R161" s="220" t="s">
        <v>254</v>
      </c>
      <c r="AT161" s="220" t="s">
        <v>292</v>
      </c>
      <c r="AU161" s="220" t="s">
        <v>88</v>
      </c>
      <c r="AY161" s="18" t="s">
        <v>200</v>
      </c>
      <c r="BE161" s="221">
        <f>IF(N161="základní",J161,0)</f>
        <v>0</v>
      </c>
      <c r="BF161" s="221">
        <f>IF(N161="snížená",J161,0)</f>
        <v>0</v>
      </c>
      <c r="BG161" s="221">
        <f>IF(N161="zákl. přenesená",J161,0)</f>
        <v>0</v>
      </c>
      <c r="BH161" s="221">
        <f>IF(N161="sníž. přenesená",J161,0)</f>
        <v>0</v>
      </c>
      <c r="BI161" s="221">
        <f>IF(N161="nulová",J161,0)</f>
        <v>0</v>
      </c>
      <c r="BJ161" s="18" t="s">
        <v>86</v>
      </c>
      <c r="BK161" s="221">
        <f>ROUND(I161*H161,1)</f>
        <v>0</v>
      </c>
      <c r="BL161" s="18" t="s">
        <v>207</v>
      </c>
      <c r="BM161" s="220" t="s">
        <v>3358</v>
      </c>
    </row>
    <row r="162" s="2" customFormat="1">
      <c r="A162" s="40"/>
      <c r="B162" s="41"/>
      <c r="C162" s="42"/>
      <c r="D162" s="229" t="s">
        <v>355</v>
      </c>
      <c r="E162" s="42"/>
      <c r="F162" s="281" t="s">
        <v>3359</v>
      </c>
      <c r="G162" s="42"/>
      <c r="H162" s="42"/>
      <c r="I162" s="224"/>
      <c r="J162" s="42"/>
      <c r="K162" s="42"/>
      <c r="L162" s="46"/>
      <c r="M162" s="225"/>
      <c r="N162" s="226"/>
      <c r="O162" s="86"/>
      <c r="P162" s="86"/>
      <c r="Q162" s="86"/>
      <c r="R162" s="86"/>
      <c r="S162" s="86"/>
      <c r="T162" s="87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T162" s="18" t="s">
        <v>355</v>
      </c>
      <c r="AU162" s="18" t="s">
        <v>88</v>
      </c>
    </row>
    <row r="163" s="2" customFormat="1" ht="16.5" customHeight="1">
      <c r="A163" s="40"/>
      <c r="B163" s="41"/>
      <c r="C163" s="209" t="s">
        <v>409</v>
      </c>
      <c r="D163" s="282" t="s">
        <v>202</v>
      </c>
      <c r="E163" s="210" t="s">
        <v>3360</v>
      </c>
      <c r="F163" s="211" t="s">
        <v>3361</v>
      </c>
      <c r="G163" s="212" t="s">
        <v>449</v>
      </c>
      <c r="H163" s="213">
        <v>17</v>
      </c>
      <c r="I163" s="214"/>
      <c r="J163" s="215">
        <f>ROUND(I163*H163,1)</f>
        <v>0</v>
      </c>
      <c r="K163" s="211" t="s">
        <v>206</v>
      </c>
      <c r="L163" s="46"/>
      <c r="M163" s="216" t="s">
        <v>32</v>
      </c>
      <c r="N163" s="217" t="s">
        <v>49</v>
      </c>
      <c r="O163" s="86"/>
      <c r="P163" s="218">
        <f>O163*H163</f>
        <v>0</v>
      </c>
      <c r="Q163" s="218">
        <v>0.0011999999999999999</v>
      </c>
      <c r="R163" s="218">
        <f>Q163*H163</f>
        <v>0.020399999999999998</v>
      </c>
      <c r="S163" s="218">
        <v>0</v>
      </c>
      <c r="T163" s="219">
        <f>S163*H163</f>
        <v>0</v>
      </c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0" t="s">
        <v>207</v>
      </c>
      <c r="AT163" s="220" t="s">
        <v>202</v>
      </c>
      <c r="AU163" s="220" t="s">
        <v>88</v>
      </c>
      <c r="AY163" s="18" t="s">
        <v>200</v>
      </c>
      <c r="BE163" s="221">
        <f>IF(N163="základní",J163,0)</f>
        <v>0</v>
      </c>
      <c r="BF163" s="221">
        <f>IF(N163="snížená",J163,0)</f>
        <v>0</v>
      </c>
      <c r="BG163" s="221">
        <f>IF(N163="zákl. přenesená",J163,0)</f>
        <v>0</v>
      </c>
      <c r="BH163" s="221">
        <f>IF(N163="sníž. přenesená",J163,0)</f>
        <v>0</v>
      </c>
      <c r="BI163" s="221">
        <f>IF(N163="nulová",J163,0)</f>
        <v>0</v>
      </c>
      <c r="BJ163" s="18" t="s">
        <v>86</v>
      </c>
      <c r="BK163" s="221">
        <f>ROUND(I163*H163,1)</f>
        <v>0</v>
      </c>
      <c r="BL163" s="18" t="s">
        <v>207</v>
      </c>
      <c r="BM163" s="220" t="s">
        <v>3362</v>
      </c>
    </row>
    <row r="164" s="2" customFormat="1">
      <c r="A164" s="40"/>
      <c r="B164" s="41"/>
      <c r="C164" s="42"/>
      <c r="D164" s="222" t="s">
        <v>209</v>
      </c>
      <c r="E164" s="42"/>
      <c r="F164" s="223" t="s">
        <v>3363</v>
      </c>
      <c r="G164" s="42"/>
      <c r="H164" s="42"/>
      <c r="I164" s="224"/>
      <c r="J164" s="42"/>
      <c r="K164" s="42"/>
      <c r="L164" s="46"/>
      <c r="M164" s="225"/>
      <c r="N164" s="226"/>
      <c r="O164" s="86"/>
      <c r="P164" s="86"/>
      <c r="Q164" s="86"/>
      <c r="R164" s="86"/>
      <c r="S164" s="86"/>
      <c r="T164" s="87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T164" s="18" t="s">
        <v>209</v>
      </c>
      <c r="AU164" s="18" t="s">
        <v>88</v>
      </c>
    </row>
    <row r="165" s="13" customFormat="1">
      <c r="A165" s="13"/>
      <c r="B165" s="227"/>
      <c r="C165" s="228"/>
      <c r="D165" s="229" t="s">
        <v>211</v>
      </c>
      <c r="E165" s="230" t="s">
        <v>32</v>
      </c>
      <c r="F165" s="231" t="s">
        <v>3364</v>
      </c>
      <c r="G165" s="228"/>
      <c r="H165" s="232">
        <v>6</v>
      </c>
      <c r="I165" s="233"/>
      <c r="J165" s="228"/>
      <c r="K165" s="228"/>
      <c r="L165" s="234"/>
      <c r="M165" s="235"/>
      <c r="N165" s="236"/>
      <c r="O165" s="236"/>
      <c r="P165" s="236"/>
      <c r="Q165" s="236"/>
      <c r="R165" s="236"/>
      <c r="S165" s="236"/>
      <c r="T165" s="237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T165" s="238" t="s">
        <v>211</v>
      </c>
      <c r="AU165" s="238" t="s">
        <v>88</v>
      </c>
      <c r="AV165" s="13" t="s">
        <v>88</v>
      </c>
      <c r="AW165" s="13" t="s">
        <v>213</v>
      </c>
      <c r="AX165" s="13" t="s">
        <v>78</v>
      </c>
      <c r="AY165" s="238" t="s">
        <v>200</v>
      </c>
    </row>
    <row r="166" s="13" customFormat="1">
      <c r="A166" s="13"/>
      <c r="B166" s="227"/>
      <c r="C166" s="228"/>
      <c r="D166" s="229" t="s">
        <v>211</v>
      </c>
      <c r="E166" s="230" t="s">
        <v>32</v>
      </c>
      <c r="F166" s="231" t="s">
        <v>3365</v>
      </c>
      <c r="G166" s="228"/>
      <c r="H166" s="232">
        <v>11</v>
      </c>
      <c r="I166" s="233"/>
      <c r="J166" s="228"/>
      <c r="K166" s="228"/>
      <c r="L166" s="234"/>
      <c r="M166" s="235"/>
      <c r="N166" s="236"/>
      <c r="O166" s="236"/>
      <c r="P166" s="236"/>
      <c r="Q166" s="236"/>
      <c r="R166" s="236"/>
      <c r="S166" s="236"/>
      <c r="T166" s="237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38" t="s">
        <v>211</v>
      </c>
      <c r="AU166" s="238" t="s">
        <v>88</v>
      </c>
      <c r="AV166" s="13" t="s">
        <v>88</v>
      </c>
      <c r="AW166" s="13" t="s">
        <v>213</v>
      </c>
      <c r="AX166" s="13" t="s">
        <v>78</v>
      </c>
      <c r="AY166" s="238" t="s">
        <v>200</v>
      </c>
    </row>
    <row r="167" s="14" customFormat="1">
      <c r="A167" s="14"/>
      <c r="B167" s="239"/>
      <c r="C167" s="240"/>
      <c r="D167" s="229" t="s">
        <v>211</v>
      </c>
      <c r="E167" s="241" t="s">
        <v>32</v>
      </c>
      <c r="F167" s="242" t="s">
        <v>220</v>
      </c>
      <c r="G167" s="240"/>
      <c r="H167" s="243">
        <v>17</v>
      </c>
      <c r="I167" s="244"/>
      <c r="J167" s="240"/>
      <c r="K167" s="240"/>
      <c r="L167" s="245"/>
      <c r="M167" s="246"/>
      <c r="N167" s="247"/>
      <c r="O167" s="247"/>
      <c r="P167" s="247"/>
      <c r="Q167" s="247"/>
      <c r="R167" s="247"/>
      <c r="S167" s="247"/>
      <c r="T167" s="248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T167" s="249" t="s">
        <v>211</v>
      </c>
      <c r="AU167" s="249" t="s">
        <v>88</v>
      </c>
      <c r="AV167" s="14" t="s">
        <v>207</v>
      </c>
      <c r="AW167" s="14" t="s">
        <v>213</v>
      </c>
      <c r="AX167" s="14" t="s">
        <v>86</v>
      </c>
      <c r="AY167" s="249" t="s">
        <v>200</v>
      </c>
    </row>
    <row r="168" s="2" customFormat="1" ht="16.5" customHeight="1">
      <c r="A168" s="40"/>
      <c r="B168" s="41"/>
      <c r="C168" s="260" t="s">
        <v>416</v>
      </c>
      <c r="D168" s="296" t="s">
        <v>292</v>
      </c>
      <c r="E168" s="261" t="s">
        <v>3366</v>
      </c>
      <c r="F168" s="262" t="s">
        <v>3367</v>
      </c>
      <c r="G168" s="263" t="s">
        <v>449</v>
      </c>
      <c r="H168" s="264">
        <v>17</v>
      </c>
      <c r="I168" s="265"/>
      <c r="J168" s="266">
        <f>ROUND(I168*H168,1)</f>
        <v>0</v>
      </c>
      <c r="K168" s="262" t="s">
        <v>32</v>
      </c>
      <c r="L168" s="267"/>
      <c r="M168" s="268" t="s">
        <v>32</v>
      </c>
      <c r="N168" s="269" t="s">
        <v>49</v>
      </c>
      <c r="O168" s="86"/>
      <c r="P168" s="218">
        <f>O168*H168</f>
        <v>0</v>
      </c>
      <c r="Q168" s="218">
        <v>0.066000000000000003</v>
      </c>
      <c r="R168" s="218">
        <f>Q168*H168</f>
        <v>1.1220000000000001</v>
      </c>
      <c r="S168" s="218">
        <v>0</v>
      </c>
      <c r="T168" s="219">
        <f>S168*H168</f>
        <v>0</v>
      </c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R168" s="220" t="s">
        <v>254</v>
      </c>
      <c r="AT168" s="220" t="s">
        <v>292</v>
      </c>
      <c r="AU168" s="220" t="s">
        <v>88</v>
      </c>
      <c r="AY168" s="18" t="s">
        <v>200</v>
      </c>
      <c r="BE168" s="221">
        <f>IF(N168="základní",J168,0)</f>
        <v>0</v>
      </c>
      <c r="BF168" s="221">
        <f>IF(N168="snížená",J168,0)</f>
        <v>0</v>
      </c>
      <c r="BG168" s="221">
        <f>IF(N168="zákl. přenesená",J168,0)</f>
        <v>0</v>
      </c>
      <c r="BH168" s="221">
        <f>IF(N168="sníž. přenesená",J168,0)</f>
        <v>0</v>
      </c>
      <c r="BI168" s="221">
        <f>IF(N168="nulová",J168,0)</f>
        <v>0</v>
      </c>
      <c r="BJ168" s="18" t="s">
        <v>86</v>
      </c>
      <c r="BK168" s="221">
        <f>ROUND(I168*H168,1)</f>
        <v>0</v>
      </c>
      <c r="BL168" s="18" t="s">
        <v>207</v>
      </c>
      <c r="BM168" s="220" t="s">
        <v>3368</v>
      </c>
    </row>
    <row r="169" s="2" customFormat="1" ht="21.75" customHeight="1">
      <c r="A169" s="40"/>
      <c r="B169" s="41"/>
      <c r="C169" s="260" t="s">
        <v>422</v>
      </c>
      <c r="D169" s="296" t="s">
        <v>292</v>
      </c>
      <c r="E169" s="261" t="s">
        <v>3369</v>
      </c>
      <c r="F169" s="262" t="s">
        <v>3370</v>
      </c>
      <c r="G169" s="263" t="s">
        <v>449</v>
      </c>
      <c r="H169" s="264">
        <v>20</v>
      </c>
      <c r="I169" s="265"/>
      <c r="J169" s="266">
        <f>ROUND(I169*H169,1)</f>
        <v>0</v>
      </c>
      <c r="K169" s="262" t="s">
        <v>206</v>
      </c>
      <c r="L169" s="267"/>
      <c r="M169" s="268" t="s">
        <v>32</v>
      </c>
      <c r="N169" s="269" t="s">
        <v>49</v>
      </c>
      <c r="O169" s="86"/>
      <c r="P169" s="218">
        <f>O169*H169</f>
        <v>0</v>
      </c>
      <c r="Q169" s="218">
        <v>0.0011999999999999999</v>
      </c>
      <c r="R169" s="218">
        <f>Q169*H169</f>
        <v>0.023999999999999997</v>
      </c>
      <c r="S169" s="218">
        <v>0</v>
      </c>
      <c r="T169" s="219">
        <f>S169*H169</f>
        <v>0</v>
      </c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0" t="s">
        <v>254</v>
      </c>
      <c r="AT169" s="220" t="s">
        <v>292</v>
      </c>
      <c r="AU169" s="220" t="s">
        <v>88</v>
      </c>
      <c r="AY169" s="18" t="s">
        <v>200</v>
      </c>
      <c r="BE169" s="221">
        <f>IF(N169="základní",J169,0)</f>
        <v>0</v>
      </c>
      <c r="BF169" s="221">
        <f>IF(N169="snížená",J169,0)</f>
        <v>0</v>
      </c>
      <c r="BG169" s="221">
        <f>IF(N169="zákl. přenesená",J169,0)</f>
        <v>0</v>
      </c>
      <c r="BH169" s="221">
        <f>IF(N169="sníž. přenesená",J169,0)</f>
        <v>0</v>
      </c>
      <c r="BI169" s="221">
        <f>IF(N169="nulová",J169,0)</f>
        <v>0</v>
      </c>
      <c r="BJ169" s="18" t="s">
        <v>86</v>
      </c>
      <c r="BK169" s="221">
        <f>ROUND(I169*H169,1)</f>
        <v>0</v>
      </c>
      <c r="BL169" s="18" t="s">
        <v>207</v>
      </c>
      <c r="BM169" s="220" t="s">
        <v>3371</v>
      </c>
    </row>
    <row r="170" s="13" customFormat="1">
      <c r="A170" s="13"/>
      <c r="B170" s="227"/>
      <c r="C170" s="228"/>
      <c r="D170" s="229" t="s">
        <v>211</v>
      </c>
      <c r="E170" s="230" t="s">
        <v>32</v>
      </c>
      <c r="F170" s="231" t="s">
        <v>342</v>
      </c>
      <c r="G170" s="228"/>
      <c r="H170" s="232">
        <v>20</v>
      </c>
      <c r="I170" s="233"/>
      <c r="J170" s="228"/>
      <c r="K170" s="228"/>
      <c r="L170" s="234"/>
      <c r="M170" s="235"/>
      <c r="N170" s="236"/>
      <c r="O170" s="236"/>
      <c r="P170" s="236"/>
      <c r="Q170" s="236"/>
      <c r="R170" s="236"/>
      <c r="S170" s="236"/>
      <c r="T170" s="237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38" t="s">
        <v>211</v>
      </c>
      <c r="AU170" s="238" t="s">
        <v>88</v>
      </c>
      <c r="AV170" s="13" t="s">
        <v>88</v>
      </c>
      <c r="AW170" s="13" t="s">
        <v>213</v>
      </c>
      <c r="AX170" s="13" t="s">
        <v>86</v>
      </c>
      <c r="AY170" s="238" t="s">
        <v>200</v>
      </c>
    </row>
    <row r="171" s="2" customFormat="1" ht="24.15" customHeight="1">
      <c r="A171" s="40"/>
      <c r="B171" s="41"/>
      <c r="C171" s="209" t="s">
        <v>429</v>
      </c>
      <c r="D171" s="282" t="s">
        <v>202</v>
      </c>
      <c r="E171" s="210" t="s">
        <v>3372</v>
      </c>
      <c r="F171" s="211" t="s">
        <v>3373</v>
      </c>
      <c r="G171" s="212" t="s">
        <v>280</v>
      </c>
      <c r="H171" s="213">
        <v>38.700000000000003</v>
      </c>
      <c r="I171" s="214"/>
      <c r="J171" s="215">
        <f>ROUND(I171*H171,1)</f>
        <v>0</v>
      </c>
      <c r="K171" s="211" t="s">
        <v>206</v>
      </c>
      <c r="L171" s="46"/>
      <c r="M171" s="216" t="s">
        <v>32</v>
      </c>
      <c r="N171" s="217" t="s">
        <v>49</v>
      </c>
      <c r="O171" s="86"/>
      <c r="P171" s="218">
        <f>O171*H171</f>
        <v>0</v>
      </c>
      <c r="Q171" s="218">
        <v>0</v>
      </c>
      <c r="R171" s="218">
        <f>Q171*H171</f>
        <v>0</v>
      </c>
      <c r="S171" s="218">
        <v>0</v>
      </c>
      <c r="T171" s="219">
        <f>S171*H171</f>
        <v>0</v>
      </c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0" t="s">
        <v>207</v>
      </c>
      <c r="AT171" s="220" t="s">
        <v>202</v>
      </c>
      <c r="AU171" s="220" t="s">
        <v>88</v>
      </c>
      <c r="AY171" s="18" t="s">
        <v>200</v>
      </c>
      <c r="BE171" s="221">
        <f>IF(N171="základní",J171,0)</f>
        <v>0</v>
      </c>
      <c r="BF171" s="221">
        <f>IF(N171="snížená",J171,0)</f>
        <v>0</v>
      </c>
      <c r="BG171" s="221">
        <f>IF(N171="zákl. přenesená",J171,0)</f>
        <v>0</v>
      </c>
      <c r="BH171" s="221">
        <f>IF(N171="sníž. přenesená",J171,0)</f>
        <v>0</v>
      </c>
      <c r="BI171" s="221">
        <f>IF(N171="nulová",J171,0)</f>
        <v>0</v>
      </c>
      <c r="BJ171" s="18" t="s">
        <v>86</v>
      </c>
      <c r="BK171" s="221">
        <f>ROUND(I171*H171,1)</f>
        <v>0</v>
      </c>
      <c r="BL171" s="18" t="s">
        <v>207</v>
      </c>
      <c r="BM171" s="220" t="s">
        <v>3374</v>
      </c>
    </row>
    <row r="172" s="2" customFormat="1">
      <c r="A172" s="40"/>
      <c r="B172" s="41"/>
      <c r="C172" s="42"/>
      <c r="D172" s="222" t="s">
        <v>209</v>
      </c>
      <c r="E172" s="42"/>
      <c r="F172" s="223" t="s">
        <v>3375</v>
      </c>
      <c r="G172" s="42"/>
      <c r="H172" s="42"/>
      <c r="I172" s="224"/>
      <c r="J172" s="42"/>
      <c r="K172" s="42"/>
      <c r="L172" s="46"/>
      <c r="M172" s="225"/>
      <c r="N172" s="226"/>
      <c r="O172" s="86"/>
      <c r="P172" s="86"/>
      <c r="Q172" s="86"/>
      <c r="R172" s="86"/>
      <c r="S172" s="86"/>
      <c r="T172" s="87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T172" s="18" t="s">
        <v>209</v>
      </c>
      <c r="AU172" s="18" t="s">
        <v>88</v>
      </c>
    </row>
    <row r="173" s="2" customFormat="1">
      <c r="A173" s="40"/>
      <c r="B173" s="41"/>
      <c r="C173" s="42"/>
      <c r="D173" s="229" t="s">
        <v>355</v>
      </c>
      <c r="E173" s="42"/>
      <c r="F173" s="281" t="s">
        <v>3376</v>
      </c>
      <c r="G173" s="42"/>
      <c r="H173" s="42"/>
      <c r="I173" s="224"/>
      <c r="J173" s="42"/>
      <c r="K173" s="42"/>
      <c r="L173" s="46"/>
      <c r="M173" s="225"/>
      <c r="N173" s="226"/>
      <c r="O173" s="86"/>
      <c r="P173" s="86"/>
      <c r="Q173" s="86"/>
      <c r="R173" s="86"/>
      <c r="S173" s="86"/>
      <c r="T173" s="87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T173" s="18" t="s">
        <v>355</v>
      </c>
      <c r="AU173" s="18" t="s">
        <v>88</v>
      </c>
    </row>
    <row r="174" s="13" customFormat="1">
      <c r="A174" s="13"/>
      <c r="B174" s="227"/>
      <c r="C174" s="228"/>
      <c r="D174" s="229" t="s">
        <v>211</v>
      </c>
      <c r="E174" s="230" t="s">
        <v>32</v>
      </c>
      <c r="F174" s="231" t="s">
        <v>3377</v>
      </c>
      <c r="G174" s="228"/>
      <c r="H174" s="232">
        <v>13.699999999999999</v>
      </c>
      <c r="I174" s="233"/>
      <c r="J174" s="228"/>
      <c r="K174" s="228"/>
      <c r="L174" s="234"/>
      <c r="M174" s="235"/>
      <c r="N174" s="236"/>
      <c r="O174" s="236"/>
      <c r="P174" s="236"/>
      <c r="Q174" s="236"/>
      <c r="R174" s="236"/>
      <c r="S174" s="236"/>
      <c r="T174" s="237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38" t="s">
        <v>211</v>
      </c>
      <c r="AU174" s="238" t="s">
        <v>88</v>
      </c>
      <c r="AV174" s="13" t="s">
        <v>88</v>
      </c>
      <c r="AW174" s="13" t="s">
        <v>213</v>
      </c>
      <c r="AX174" s="13" t="s">
        <v>78</v>
      </c>
      <c r="AY174" s="238" t="s">
        <v>200</v>
      </c>
    </row>
    <row r="175" s="13" customFormat="1">
      <c r="A175" s="13"/>
      <c r="B175" s="227"/>
      <c r="C175" s="228"/>
      <c r="D175" s="229" t="s">
        <v>211</v>
      </c>
      <c r="E175" s="230" t="s">
        <v>32</v>
      </c>
      <c r="F175" s="231" t="s">
        <v>3378</v>
      </c>
      <c r="G175" s="228"/>
      <c r="H175" s="232">
        <v>25</v>
      </c>
      <c r="I175" s="233"/>
      <c r="J175" s="228"/>
      <c r="K175" s="228"/>
      <c r="L175" s="234"/>
      <c r="M175" s="235"/>
      <c r="N175" s="236"/>
      <c r="O175" s="236"/>
      <c r="P175" s="236"/>
      <c r="Q175" s="236"/>
      <c r="R175" s="236"/>
      <c r="S175" s="236"/>
      <c r="T175" s="237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T175" s="238" t="s">
        <v>211</v>
      </c>
      <c r="AU175" s="238" t="s">
        <v>88</v>
      </c>
      <c r="AV175" s="13" t="s">
        <v>88</v>
      </c>
      <c r="AW175" s="13" t="s">
        <v>213</v>
      </c>
      <c r="AX175" s="13" t="s">
        <v>78</v>
      </c>
      <c r="AY175" s="238" t="s">
        <v>200</v>
      </c>
    </row>
    <row r="176" s="14" customFormat="1">
      <c r="A176" s="14"/>
      <c r="B176" s="239"/>
      <c r="C176" s="240"/>
      <c r="D176" s="229" t="s">
        <v>211</v>
      </c>
      <c r="E176" s="241" t="s">
        <v>32</v>
      </c>
      <c r="F176" s="242" t="s">
        <v>220</v>
      </c>
      <c r="G176" s="240"/>
      <c r="H176" s="243">
        <v>38.700000000000003</v>
      </c>
      <c r="I176" s="244"/>
      <c r="J176" s="240"/>
      <c r="K176" s="240"/>
      <c r="L176" s="245"/>
      <c r="M176" s="246"/>
      <c r="N176" s="247"/>
      <c r="O176" s="247"/>
      <c r="P176" s="247"/>
      <c r="Q176" s="247"/>
      <c r="R176" s="247"/>
      <c r="S176" s="247"/>
      <c r="T176" s="248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T176" s="249" t="s">
        <v>211</v>
      </c>
      <c r="AU176" s="249" t="s">
        <v>88</v>
      </c>
      <c r="AV176" s="14" t="s">
        <v>207</v>
      </c>
      <c r="AW176" s="14" t="s">
        <v>213</v>
      </c>
      <c r="AX176" s="14" t="s">
        <v>86</v>
      </c>
      <c r="AY176" s="249" t="s">
        <v>200</v>
      </c>
    </row>
    <row r="177" s="2" customFormat="1" ht="24.15" customHeight="1">
      <c r="A177" s="40"/>
      <c r="B177" s="41"/>
      <c r="C177" s="260" t="s">
        <v>434</v>
      </c>
      <c r="D177" s="296" t="s">
        <v>292</v>
      </c>
      <c r="E177" s="261" t="s">
        <v>3379</v>
      </c>
      <c r="F177" s="262" t="s">
        <v>3380</v>
      </c>
      <c r="G177" s="263" t="s">
        <v>449</v>
      </c>
      <c r="H177" s="264">
        <v>17</v>
      </c>
      <c r="I177" s="265"/>
      <c r="J177" s="266">
        <f>ROUND(I177*H177,1)</f>
        <v>0</v>
      </c>
      <c r="K177" s="262" t="s">
        <v>206</v>
      </c>
      <c r="L177" s="267"/>
      <c r="M177" s="268" t="s">
        <v>32</v>
      </c>
      <c r="N177" s="269" t="s">
        <v>49</v>
      </c>
      <c r="O177" s="86"/>
      <c r="P177" s="218">
        <f>O177*H177</f>
        <v>0</v>
      </c>
      <c r="Q177" s="218">
        <v>0.019099999999999999</v>
      </c>
      <c r="R177" s="218">
        <f>Q177*H177</f>
        <v>0.32469999999999999</v>
      </c>
      <c r="S177" s="218">
        <v>0</v>
      </c>
      <c r="T177" s="219">
        <f>S177*H177</f>
        <v>0</v>
      </c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R177" s="220" t="s">
        <v>254</v>
      </c>
      <c r="AT177" s="220" t="s">
        <v>292</v>
      </c>
      <c r="AU177" s="220" t="s">
        <v>88</v>
      </c>
      <c r="AY177" s="18" t="s">
        <v>200</v>
      </c>
      <c r="BE177" s="221">
        <f>IF(N177="základní",J177,0)</f>
        <v>0</v>
      </c>
      <c r="BF177" s="221">
        <f>IF(N177="snížená",J177,0)</f>
        <v>0</v>
      </c>
      <c r="BG177" s="221">
        <f>IF(N177="zákl. přenesená",J177,0)</f>
        <v>0</v>
      </c>
      <c r="BH177" s="221">
        <f>IF(N177="sníž. přenesená",J177,0)</f>
        <v>0</v>
      </c>
      <c r="BI177" s="221">
        <f>IF(N177="nulová",J177,0)</f>
        <v>0</v>
      </c>
      <c r="BJ177" s="18" t="s">
        <v>86</v>
      </c>
      <c r="BK177" s="221">
        <f>ROUND(I177*H177,1)</f>
        <v>0</v>
      </c>
      <c r="BL177" s="18" t="s">
        <v>207</v>
      </c>
      <c r="BM177" s="220" t="s">
        <v>3381</v>
      </c>
    </row>
    <row r="178" s="2" customFormat="1">
      <c r="A178" s="40"/>
      <c r="B178" s="41"/>
      <c r="C178" s="42"/>
      <c r="D178" s="229" t="s">
        <v>355</v>
      </c>
      <c r="E178" s="42"/>
      <c r="F178" s="281" t="s">
        <v>3382</v>
      </c>
      <c r="G178" s="42"/>
      <c r="H178" s="42"/>
      <c r="I178" s="224"/>
      <c r="J178" s="42"/>
      <c r="K178" s="42"/>
      <c r="L178" s="46"/>
      <c r="M178" s="225"/>
      <c r="N178" s="226"/>
      <c r="O178" s="86"/>
      <c r="P178" s="86"/>
      <c r="Q178" s="86"/>
      <c r="R178" s="86"/>
      <c r="S178" s="86"/>
      <c r="T178" s="87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T178" s="18" t="s">
        <v>355</v>
      </c>
      <c r="AU178" s="18" t="s">
        <v>88</v>
      </c>
    </row>
    <row r="179" s="13" customFormat="1">
      <c r="A179" s="13"/>
      <c r="B179" s="227"/>
      <c r="C179" s="228"/>
      <c r="D179" s="229" t="s">
        <v>211</v>
      </c>
      <c r="E179" s="230" t="s">
        <v>32</v>
      </c>
      <c r="F179" s="231" t="s">
        <v>3383</v>
      </c>
      <c r="G179" s="228"/>
      <c r="H179" s="232">
        <v>6</v>
      </c>
      <c r="I179" s="233"/>
      <c r="J179" s="228"/>
      <c r="K179" s="228"/>
      <c r="L179" s="234"/>
      <c r="M179" s="235"/>
      <c r="N179" s="236"/>
      <c r="O179" s="236"/>
      <c r="P179" s="236"/>
      <c r="Q179" s="236"/>
      <c r="R179" s="236"/>
      <c r="S179" s="236"/>
      <c r="T179" s="237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T179" s="238" t="s">
        <v>211</v>
      </c>
      <c r="AU179" s="238" t="s">
        <v>88</v>
      </c>
      <c r="AV179" s="13" t="s">
        <v>88</v>
      </c>
      <c r="AW179" s="13" t="s">
        <v>213</v>
      </c>
      <c r="AX179" s="13" t="s">
        <v>78</v>
      </c>
      <c r="AY179" s="238" t="s">
        <v>200</v>
      </c>
    </row>
    <row r="180" s="13" customFormat="1">
      <c r="A180" s="13"/>
      <c r="B180" s="227"/>
      <c r="C180" s="228"/>
      <c r="D180" s="229" t="s">
        <v>211</v>
      </c>
      <c r="E180" s="230" t="s">
        <v>32</v>
      </c>
      <c r="F180" s="231" t="s">
        <v>3384</v>
      </c>
      <c r="G180" s="228"/>
      <c r="H180" s="232">
        <v>11</v>
      </c>
      <c r="I180" s="233"/>
      <c r="J180" s="228"/>
      <c r="K180" s="228"/>
      <c r="L180" s="234"/>
      <c r="M180" s="235"/>
      <c r="N180" s="236"/>
      <c r="O180" s="236"/>
      <c r="P180" s="236"/>
      <c r="Q180" s="236"/>
      <c r="R180" s="236"/>
      <c r="S180" s="236"/>
      <c r="T180" s="237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T180" s="238" t="s">
        <v>211</v>
      </c>
      <c r="AU180" s="238" t="s">
        <v>88</v>
      </c>
      <c r="AV180" s="13" t="s">
        <v>88</v>
      </c>
      <c r="AW180" s="13" t="s">
        <v>213</v>
      </c>
      <c r="AX180" s="13" t="s">
        <v>78</v>
      </c>
      <c r="AY180" s="238" t="s">
        <v>200</v>
      </c>
    </row>
    <row r="181" s="14" customFormat="1">
      <c r="A181" s="14"/>
      <c r="B181" s="239"/>
      <c r="C181" s="240"/>
      <c r="D181" s="229" t="s">
        <v>211</v>
      </c>
      <c r="E181" s="241" t="s">
        <v>32</v>
      </c>
      <c r="F181" s="242" t="s">
        <v>220</v>
      </c>
      <c r="G181" s="240"/>
      <c r="H181" s="243">
        <v>17</v>
      </c>
      <c r="I181" s="244"/>
      <c r="J181" s="240"/>
      <c r="K181" s="240"/>
      <c r="L181" s="245"/>
      <c r="M181" s="246"/>
      <c r="N181" s="247"/>
      <c r="O181" s="247"/>
      <c r="P181" s="247"/>
      <c r="Q181" s="247"/>
      <c r="R181" s="247"/>
      <c r="S181" s="247"/>
      <c r="T181" s="24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T181" s="249" t="s">
        <v>211</v>
      </c>
      <c r="AU181" s="249" t="s">
        <v>88</v>
      </c>
      <c r="AV181" s="14" t="s">
        <v>207</v>
      </c>
      <c r="AW181" s="14" t="s">
        <v>213</v>
      </c>
      <c r="AX181" s="14" t="s">
        <v>86</v>
      </c>
      <c r="AY181" s="249" t="s">
        <v>200</v>
      </c>
    </row>
    <row r="182" s="12" customFormat="1" ht="22.8" customHeight="1">
      <c r="A182" s="12"/>
      <c r="B182" s="193"/>
      <c r="C182" s="194"/>
      <c r="D182" s="195" t="s">
        <v>77</v>
      </c>
      <c r="E182" s="207" t="s">
        <v>234</v>
      </c>
      <c r="F182" s="207" t="s">
        <v>3385</v>
      </c>
      <c r="G182" s="194"/>
      <c r="H182" s="194"/>
      <c r="I182" s="197"/>
      <c r="J182" s="208">
        <f>BK182</f>
        <v>0</v>
      </c>
      <c r="K182" s="194"/>
      <c r="L182" s="199"/>
      <c r="M182" s="200"/>
      <c r="N182" s="201"/>
      <c r="O182" s="201"/>
      <c r="P182" s="202">
        <f>SUM(P183:P228)</f>
        <v>0</v>
      </c>
      <c r="Q182" s="201"/>
      <c r="R182" s="202">
        <f>SUM(R183:R228)</f>
        <v>95.876672999999997</v>
      </c>
      <c r="S182" s="201"/>
      <c r="T182" s="203">
        <f>SUM(T183:T228)</f>
        <v>0</v>
      </c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R182" s="204" t="s">
        <v>86</v>
      </c>
      <c r="AT182" s="205" t="s">
        <v>77</v>
      </c>
      <c r="AU182" s="205" t="s">
        <v>86</v>
      </c>
      <c r="AY182" s="204" t="s">
        <v>200</v>
      </c>
      <c r="BK182" s="206">
        <f>SUM(BK183:BK228)</f>
        <v>0</v>
      </c>
    </row>
    <row r="183" s="2" customFormat="1" ht="21.75" customHeight="1">
      <c r="A183" s="40"/>
      <c r="B183" s="41"/>
      <c r="C183" s="209" t="s">
        <v>440</v>
      </c>
      <c r="D183" s="209" t="s">
        <v>202</v>
      </c>
      <c r="E183" s="210" t="s">
        <v>3386</v>
      </c>
      <c r="F183" s="211" t="s">
        <v>3387</v>
      </c>
      <c r="G183" s="212" t="s">
        <v>272</v>
      </c>
      <c r="H183" s="213">
        <v>1856.5999999999999</v>
      </c>
      <c r="I183" s="214"/>
      <c r="J183" s="215">
        <f>ROUND(I183*H183,1)</f>
        <v>0</v>
      </c>
      <c r="K183" s="211" t="s">
        <v>206</v>
      </c>
      <c r="L183" s="46"/>
      <c r="M183" s="216" t="s">
        <v>32</v>
      </c>
      <c r="N183" s="217" t="s">
        <v>49</v>
      </c>
      <c r="O183" s="86"/>
      <c r="P183" s="218">
        <f>O183*H183</f>
        <v>0</v>
      </c>
      <c r="Q183" s="218">
        <v>0</v>
      </c>
      <c r="R183" s="218">
        <f>Q183*H183</f>
        <v>0</v>
      </c>
      <c r="S183" s="218">
        <v>0</v>
      </c>
      <c r="T183" s="219">
        <f>S183*H183</f>
        <v>0</v>
      </c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R183" s="220" t="s">
        <v>207</v>
      </c>
      <c r="AT183" s="220" t="s">
        <v>202</v>
      </c>
      <c r="AU183" s="220" t="s">
        <v>88</v>
      </c>
      <c r="AY183" s="18" t="s">
        <v>200</v>
      </c>
      <c r="BE183" s="221">
        <f>IF(N183="základní",J183,0)</f>
        <v>0</v>
      </c>
      <c r="BF183" s="221">
        <f>IF(N183="snížená",J183,0)</f>
        <v>0</v>
      </c>
      <c r="BG183" s="221">
        <f>IF(N183="zákl. přenesená",J183,0)</f>
        <v>0</v>
      </c>
      <c r="BH183" s="221">
        <f>IF(N183="sníž. přenesená",J183,0)</f>
        <v>0</v>
      </c>
      <c r="BI183" s="221">
        <f>IF(N183="nulová",J183,0)</f>
        <v>0</v>
      </c>
      <c r="BJ183" s="18" t="s">
        <v>86</v>
      </c>
      <c r="BK183" s="221">
        <f>ROUND(I183*H183,1)</f>
        <v>0</v>
      </c>
      <c r="BL183" s="18" t="s">
        <v>207</v>
      </c>
      <c r="BM183" s="220" t="s">
        <v>3388</v>
      </c>
    </row>
    <row r="184" s="2" customFormat="1">
      <c r="A184" s="40"/>
      <c r="B184" s="41"/>
      <c r="C184" s="42"/>
      <c r="D184" s="222" t="s">
        <v>209</v>
      </c>
      <c r="E184" s="42"/>
      <c r="F184" s="223" t="s">
        <v>3389</v>
      </c>
      <c r="G184" s="42"/>
      <c r="H184" s="42"/>
      <c r="I184" s="224"/>
      <c r="J184" s="42"/>
      <c r="K184" s="42"/>
      <c r="L184" s="46"/>
      <c r="M184" s="225"/>
      <c r="N184" s="226"/>
      <c r="O184" s="86"/>
      <c r="P184" s="86"/>
      <c r="Q184" s="86"/>
      <c r="R184" s="86"/>
      <c r="S184" s="86"/>
      <c r="T184" s="87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T184" s="18" t="s">
        <v>209</v>
      </c>
      <c r="AU184" s="18" t="s">
        <v>88</v>
      </c>
    </row>
    <row r="185" s="13" customFormat="1">
      <c r="A185" s="13"/>
      <c r="B185" s="227"/>
      <c r="C185" s="228"/>
      <c r="D185" s="229" t="s">
        <v>211</v>
      </c>
      <c r="E185" s="230" t="s">
        <v>32</v>
      </c>
      <c r="F185" s="231" t="s">
        <v>3390</v>
      </c>
      <c r="G185" s="228"/>
      <c r="H185" s="232">
        <v>799</v>
      </c>
      <c r="I185" s="233"/>
      <c r="J185" s="228"/>
      <c r="K185" s="228"/>
      <c r="L185" s="234"/>
      <c r="M185" s="235"/>
      <c r="N185" s="236"/>
      <c r="O185" s="236"/>
      <c r="P185" s="236"/>
      <c r="Q185" s="236"/>
      <c r="R185" s="236"/>
      <c r="S185" s="236"/>
      <c r="T185" s="237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T185" s="238" t="s">
        <v>211</v>
      </c>
      <c r="AU185" s="238" t="s">
        <v>88</v>
      </c>
      <c r="AV185" s="13" t="s">
        <v>88</v>
      </c>
      <c r="AW185" s="13" t="s">
        <v>213</v>
      </c>
      <c r="AX185" s="13" t="s">
        <v>78</v>
      </c>
      <c r="AY185" s="238" t="s">
        <v>200</v>
      </c>
    </row>
    <row r="186" s="13" customFormat="1">
      <c r="A186" s="13"/>
      <c r="B186" s="227"/>
      <c r="C186" s="228"/>
      <c r="D186" s="229" t="s">
        <v>211</v>
      </c>
      <c r="E186" s="230" t="s">
        <v>32</v>
      </c>
      <c r="F186" s="231" t="s">
        <v>3391</v>
      </c>
      <c r="G186" s="228"/>
      <c r="H186" s="232">
        <v>1050</v>
      </c>
      <c r="I186" s="233"/>
      <c r="J186" s="228"/>
      <c r="K186" s="228"/>
      <c r="L186" s="234"/>
      <c r="M186" s="235"/>
      <c r="N186" s="236"/>
      <c r="O186" s="236"/>
      <c r="P186" s="236"/>
      <c r="Q186" s="236"/>
      <c r="R186" s="236"/>
      <c r="S186" s="236"/>
      <c r="T186" s="237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T186" s="238" t="s">
        <v>211</v>
      </c>
      <c r="AU186" s="238" t="s">
        <v>88</v>
      </c>
      <c r="AV186" s="13" t="s">
        <v>88</v>
      </c>
      <c r="AW186" s="13" t="s">
        <v>213</v>
      </c>
      <c r="AX186" s="13" t="s">
        <v>78</v>
      </c>
      <c r="AY186" s="238" t="s">
        <v>200</v>
      </c>
    </row>
    <row r="187" s="13" customFormat="1">
      <c r="A187" s="13"/>
      <c r="B187" s="227"/>
      <c r="C187" s="228"/>
      <c r="D187" s="229" t="s">
        <v>211</v>
      </c>
      <c r="E187" s="230" t="s">
        <v>32</v>
      </c>
      <c r="F187" s="231" t="s">
        <v>3392</v>
      </c>
      <c r="G187" s="228"/>
      <c r="H187" s="232">
        <v>7.5999999999999996</v>
      </c>
      <c r="I187" s="233"/>
      <c r="J187" s="228"/>
      <c r="K187" s="228"/>
      <c r="L187" s="234"/>
      <c r="M187" s="235"/>
      <c r="N187" s="236"/>
      <c r="O187" s="236"/>
      <c r="P187" s="236"/>
      <c r="Q187" s="236"/>
      <c r="R187" s="236"/>
      <c r="S187" s="236"/>
      <c r="T187" s="237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T187" s="238" t="s">
        <v>211</v>
      </c>
      <c r="AU187" s="238" t="s">
        <v>88</v>
      </c>
      <c r="AV187" s="13" t="s">
        <v>88</v>
      </c>
      <c r="AW187" s="13" t="s">
        <v>213</v>
      </c>
      <c r="AX187" s="13" t="s">
        <v>78</v>
      </c>
      <c r="AY187" s="238" t="s">
        <v>200</v>
      </c>
    </row>
    <row r="188" s="14" customFormat="1">
      <c r="A188" s="14"/>
      <c r="B188" s="239"/>
      <c r="C188" s="240"/>
      <c r="D188" s="229" t="s">
        <v>211</v>
      </c>
      <c r="E188" s="241" t="s">
        <v>32</v>
      </c>
      <c r="F188" s="242" t="s">
        <v>220</v>
      </c>
      <c r="G188" s="240"/>
      <c r="H188" s="243">
        <v>1856.5999999999999</v>
      </c>
      <c r="I188" s="244"/>
      <c r="J188" s="240"/>
      <c r="K188" s="240"/>
      <c r="L188" s="245"/>
      <c r="M188" s="246"/>
      <c r="N188" s="247"/>
      <c r="O188" s="247"/>
      <c r="P188" s="247"/>
      <c r="Q188" s="247"/>
      <c r="R188" s="247"/>
      <c r="S188" s="247"/>
      <c r="T188" s="24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T188" s="249" t="s">
        <v>211</v>
      </c>
      <c r="AU188" s="249" t="s">
        <v>88</v>
      </c>
      <c r="AV188" s="14" t="s">
        <v>207</v>
      </c>
      <c r="AW188" s="14" t="s">
        <v>213</v>
      </c>
      <c r="AX188" s="14" t="s">
        <v>86</v>
      </c>
      <c r="AY188" s="249" t="s">
        <v>200</v>
      </c>
    </row>
    <row r="189" s="2" customFormat="1" ht="24.15" customHeight="1">
      <c r="A189" s="40"/>
      <c r="B189" s="41"/>
      <c r="C189" s="209" t="s">
        <v>446</v>
      </c>
      <c r="D189" s="209" t="s">
        <v>202</v>
      </c>
      <c r="E189" s="210" t="s">
        <v>3393</v>
      </c>
      <c r="F189" s="211" t="s">
        <v>3394</v>
      </c>
      <c r="G189" s="212" t="s">
        <v>272</v>
      </c>
      <c r="H189" s="213">
        <v>646</v>
      </c>
      <c r="I189" s="214"/>
      <c r="J189" s="215">
        <f>ROUND(I189*H189,1)</f>
        <v>0</v>
      </c>
      <c r="K189" s="211" t="s">
        <v>206</v>
      </c>
      <c r="L189" s="46"/>
      <c r="M189" s="216" t="s">
        <v>32</v>
      </c>
      <c r="N189" s="217" t="s">
        <v>49</v>
      </c>
      <c r="O189" s="86"/>
      <c r="P189" s="218">
        <f>O189*H189</f>
        <v>0</v>
      </c>
      <c r="Q189" s="218">
        <v>0</v>
      </c>
      <c r="R189" s="218">
        <f>Q189*H189</f>
        <v>0</v>
      </c>
      <c r="S189" s="218">
        <v>0</v>
      </c>
      <c r="T189" s="219">
        <f>S189*H189</f>
        <v>0</v>
      </c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R189" s="220" t="s">
        <v>207</v>
      </c>
      <c r="AT189" s="220" t="s">
        <v>202</v>
      </c>
      <c r="AU189" s="220" t="s">
        <v>88</v>
      </c>
      <c r="AY189" s="18" t="s">
        <v>200</v>
      </c>
      <c r="BE189" s="221">
        <f>IF(N189="základní",J189,0)</f>
        <v>0</v>
      </c>
      <c r="BF189" s="221">
        <f>IF(N189="snížená",J189,0)</f>
        <v>0</v>
      </c>
      <c r="BG189" s="221">
        <f>IF(N189="zákl. přenesená",J189,0)</f>
        <v>0</v>
      </c>
      <c r="BH189" s="221">
        <f>IF(N189="sníž. přenesená",J189,0)</f>
        <v>0</v>
      </c>
      <c r="BI189" s="221">
        <f>IF(N189="nulová",J189,0)</f>
        <v>0</v>
      </c>
      <c r="BJ189" s="18" t="s">
        <v>86</v>
      </c>
      <c r="BK189" s="221">
        <f>ROUND(I189*H189,1)</f>
        <v>0</v>
      </c>
      <c r="BL189" s="18" t="s">
        <v>207</v>
      </c>
      <c r="BM189" s="220" t="s">
        <v>3395</v>
      </c>
    </row>
    <row r="190" s="2" customFormat="1">
      <c r="A190" s="40"/>
      <c r="B190" s="41"/>
      <c r="C190" s="42"/>
      <c r="D190" s="222" t="s">
        <v>209</v>
      </c>
      <c r="E190" s="42"/>
      <c r="F190" s="223" t="s">
        <v>3396</v>
      </c>
      <c r="G190" s="42"/>
      <c r="H190" s="42"/>
      <c r="I190" s="224"/>
      <c r="J190" s="42"/>
      <c r="K190" s="42"/>
      <c r="L190" s="46"/>
      <c r="M190" s="225"/>
      <c r="N190" s="226"/>
      <c r="O190" s="86"/>
      <c r="P190" s="86"/>
      <c r="Q190" s="86"/>
      <c r="R190" s="86"/>
      <c r="S190" s="86"/>
      <c r="T190" s="87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T190" s="18" t="s">
        <v>209</v>
      </c>
      <c r="AU190" s="18" t="s">
        <v>88</v>
      </c>
    </row>
    <row r="191" s="2" customFormat="1" ht="16.5" customHeight="1">
      <c r="A191" s="40"/>
      <c r="B191" s="41"/>
      <c r="C191" s="209" t="s">
        <v>453</v>
      </c>
      <c r="D191" s="209" t="s">
        <v>202</v>
      </c>
      <c r="E191" s="210" t="s">
        <v>3397</v>
      </c>
      <c r="F191" s="211" t="s">
        <v>3398</v>
      </c>
      <c r="G191" s="212" t="s">
        <v>272</v>
      </c>
      <c r="H191" s="213">
        <v>646</v>
      </c>
      <c r="I191" s="214"/>
      <c r="J191" s="215">
        <f>ROUND(I191*H191,1)</f>
        <v>0</v>
      </c>
      <c r="K191" s="211" t="s">
        <v>206</v>
      </c>
      <c r="L191" s="46"/>
      <c r="M191" s="216" t="s">
        <v>32</v>
      </c>
      <c r="N191" s="217" t="s">
        <v>49</v>
      </c>
      <c r="O191" s="86"/>
      <c r="P191" s="218">
        <f>O191*H191</f>
        <v>0</v>
      </c>
      <c r="Q191" s="218">
        <v>0</v>
      </c>
      <c r="R191" s="218">
        <f>Q191*H191</f>
        <v>0</v>
      </c>
      <c r="S191" s="218">
        <v>0</v>
      </c>
      <c r="T191" s="219">
        <f>S191*H191</f>
        <v>0</v>
      </c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R191" s="220" t="s">
        <v>207</v>
      </c>
      <c r="AT191" s="220" t="s">
        <v>202</v>
      </c>
      <c r="AU191" s="220" t="s">
        <v>88</v>
      </c>
      <c r="AY191" s="18" t="s">
        <v>200</v>
      </c>
      <c r="BE191" s="221">
        <f>IF(N191="základní",J191,0)</f>
        <v>0</v>
      </c>
      <c r="BF191" s="221">
        <f>IF(N191="snížená",J191,0)</f>
        <v>0</v>
      </c>
      <c r="BG191" s="221">
        <f>IF(N191="zákl. přenesená",J191,0)</f>
        <v>0</v>
      </c>
      <c r="BH191" s="221">
        <f>IF(N191="sníž. přenesená",J191,0)</f>
        <v>0</v>
      </c>
      <c r="BI191" s="221">
        <f>IF(N191="nulová",J191,0)</f>
        <v>0</v>
      </c>
      <c r="BJ191" s="18" t="s">
        <v>86</v>
      </c>
      <c r="BK191" s="221">
        <f>ROUND(I191*H191,1)</f>
        <v>0</v>
      </c>
      <c r="BL191" s="18" t="s">
        <v>207</v>
      </c>
      <c r="BM191" s="220" t="s">
        <v>3399</v>
      </c>
    </row>
    <row r="192" s="2" customFormat="1">
      <c r="A192" s="40"/>
      <c r="B192" s="41"/>
      <c r="C192" s="42"/>
      <c r="D192" s="222" t="s">
        <v>209</v>
      </c>
      <c r="E192" s="42"/>
      <c r="F192" s="223" t="s">
        <v>3400</v>
      </c>
      <c r="G192" s="42"/>
      <c r="H192" s="42"/>
      <c r="I192" s="224"/>
      <c r="J192" s="42"/>
      <c r="K192" s="42"/>
      <c r="L192" s="46"/>
      <c r="M192" s="225"/>
      <c r="N192" s="226"/>
      <c r="O192" s="86"/>
      <c r="P192" s="86"/>
      <c r="Q192" s="86"/>
      <c r="R192" s="86"/>
      <c r="S192" s="86"/>
      <c r="T192" s="87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T192" s="18" t="s">
        <v>209</v>
      </c>
      <c r="AU192" s="18" t="s">
        <v>88</v>
      </c>
    </row>
    <row r="193" s="2" customFormat="1" ht="24.15" customHeight="1">
      <c r="A193" s="40"/>
      <c r="B193" s="41"/>
      <c r="C193" s="209" t="s">
        <v>459</v>
      </c>
      <c r="D193" s="209" t="s">
        <v>202</v>
      </c>
      <c r="E193" s="210" t="s">
        <v>3401</v>
      </c>
      <c r="F193" s="211" t="s">
        <v>3402</v>
      </c>
      <c r="G193" s="212" t="s">
        <v>272</v>
      </c>
      <c r="H193" s="213">
        <v>646</v>
      </c>
      <c r="I193" s="214"/>
      <c r="J193" s="215">
        <f>ROUND(I193*H193,1)</f>
        <v>0</v>
      </c>
      <c r="K193" s="211" t="s">
        <v>206</v>
      </c>
      <c r="L193" s="46"/>
      <c r="M193" s="216" t="s">
        <v>32</v>
      </c>
      <c r="N193" s="217" t="s">
        <v>49</v>
      </c>
      <c r="O193" s="86"/>
      <c r="P193" s="218">
        <f>O193*H193</f>
        <v>0</v>
      </c>
      <c r="Q193" s="218">
        <v>0</v>
      </c>
      <c r="R193" s="218">
        <f>Q193*H193</f>
        <v>0</v>
      </c>
      <c r="S193" s="218">
        <v>0</v>
      </c>
      <c r="T193" s="219">
        <f>S193*H193</f>
        <v>0</v>
      </c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R193" s="220" t="s">
        <v>207</v>
      </c>
      <c r="AT193" s="220" t="s">
        <v>202</v>
      </c>
      <c r="AU193" s="220" t="s">
        <v>88</v>
      </c>
      <c r="AY193" s="18" t="s">
        <v>200</v>
      </c>
      <c r="BE193" s="221">
        <f>IF(N193="základní",J193,0)</f>
        <v>0</v>
      </c>
      <c r="BF193" s="221">
        <f>IF(N193="snížená",J193,0)</f>
        <v>0</v>
      </c>
      <c r="BG193" s="221">
        <f>IF(N193="zákl. přenesená",J193,0)</f>
        <v>0</v>
      </c>
      <c r="BH193" s="221">
        <f>IF(N193="sníž. přenesená",J193,0)</f>
        <v>0</v>
      </c>
      <c r="BI193" s="221">
        <f>IF(N193="nulová",J193,0)</f>
        <v>0</v>
      </c>
      <c r="BJ193" s="18" t="s">
        <v>86</v>
      </c>
      <c r="BK193" s="221">
        <f>ROUND(I193*H193,1)</f>
        <v>0</v>
      </c>
      <c r="BL193" s="18" t="s">
        <v>207</v>
      </c>
      <c r="BM193" s="220" t="s">
        <v>3403</v>
      </c>
    </row>
    <row r="194" s="2" customFormat="1">
      <c r="A194" s="40"/>
      <c r="B194" s="41"/>
      <c r="C194" s="42"/>
      <c r="D194" s="222" t="s">
        <v>209</v>
      </c>
      <c r="E194" s="42"/>
      <c r="F194" s="223" t="s">
        <v>3404</v>
      </c>
      <c r="G194" s="42"/>
      <c r="H194" s="42"/>
      <c r="I194" s="224"/>
      <c r="J194" s="42"/>
      <c r="K194" s="42"/>
      <c r="L194" s="46"/>
      <c r="M194" s="225"/>
      <c r="N194" s="226"/>
      <c r="O194" s="86"/>
      <c r="P194" s="86"/>
      <c r="Q194" s="86"/>
      <c r="R194" s="86"/>
      <c r="S194" s="86"/>
      <c r="T194" s="87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T194" s="18" t="s">
        <v>209</v>
      </c>
      <c r="AU194" s="18" t="s">
        <v>88</v>
      </c>
    </row>
    <row r="195" s="2" customFormat="1" ht="44.25" customHeight="1">
      <c r="A195" s="40"/>
      <c r="B195" s="41"/>
      <c r="C195" s="209" t="s">
        <v>465</v>
      </c>
      <c r="D195" s="209" t="s">
        <v>202</v>
      </c>
      <c r="E195" s="210" t="s">
        <v>3405</v>
      </c>
      <c r="F195" s="211" t="s">
        <v>3406</v>
      </c>
      <c r="G195" s="212" t="s">
        <v>272</v>
      </c>
      <c r="H195" s="213">
        <v>176</v>
      </c>
      <c r="I195" s="214"/>
      <c r="J195" s="215">
        <f>ROUND(I195*H195,1)</f>
        <v>0</v>
      </c>
      <c r="K195" s="211" t="s">
        <v>206</v>
      </c>
      <c r="L195" s="46"/>
      <c r="M195" s="216" t="s">
        <v>32</v>
      </c>
      <c r="N195" s="217" t="s">
        <v>49</v>
      </c>
      <c r="O195" s="86"/>
      <c r="P195" s="218">
        <f>O195*H195</f>
        <v>0</v>
      </c>
      <c r="Q195" s="218">
        <v>0.089219999999999994</v>
      </c>
      <c r="R195" s="218">
        <f>Q195*H195</f>
        <v>15.702719999999999</v>
      </c>
      <c r="S195" s="218">
        <v>0</v>
      </c>
      <c r="T195" s="219">
        <f>S195*H195</f>
        <v>0</v>
      </c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R195" s="220" t="s">
        <v>207</v>
      </c>
      <c r="AT195" s="220" t="s">
        <v>202</v>
      </c>
      <c r="AU195" s="220" t="s">
        <v>88</v>
      </c>
      <c r="AY195" s="18" t="s">
        <v>200</v>
      </c>
      <c r="BE195" s="221">
        <f>IF(N195="základní",J195,0)</f>
        <v>0</v>
      </c>
      <c r="BF195" s="221">
        <f>IF(N195="snížená",J195,0)</f>
        <v>0</v>
      </c>
      <c r="BG195" s="221">
        <f>IF(N195="zákl. přenesená",J195,0)</f>
        <v>0</v>
      </c>
      <c r="BH195" s="221">
        <f>IF(N195="sníž. přenesená",J195,0)</f>
        <v>0</v>
      </c>
      <c r="BI195" s="221">
        <f>IF(N195="nulová",J195,0)</f>
        <v>0</v>
      </c>
      <c r="BJ195" s="18" t="s">
        <v>86</v>
      </c>
      <c r="BK195" s="221">
        <f>ROUND(I195*H195,1)</f>
        <v>0</v>
      </c>
      <c r="BL195" s="18" t="s">
        <v>207</v>
      </c>
      <c r="BM195" s="220" t="s">
        <v>3407</v>
      </c>
    </row>
    <row r="196" s="2" customFormat="1">
      <c r="A196" s="40"/>
      <c r="B196" s="41"/>
      <c r="C196" s="42"/>
      <c r="D196" s="222" t="s">
        <v>209</v>
      </c>
      <c r="E196" s="42"/>
      <c r="F196" s="223" t="s">
        <v>3408</v>
      </c>
      <c r="G196" s="42"/>
      <c r="H196" s="42"/>
      <c r="I196" s="224"/>
      <c r="J196" s="42"/>
      <c r="K196" s="42"/>
      <c r="L196" s="46"/>
      <c r="M196" s="225"/>
      <c r="N196" s="226"/>
      <c r="O196" s="86"/>
      <c r="P196" s="86"/>
      <c r="Q196" s="86"/>
      <c r="R196" s="86"/>
      <c r="S196" s="86"/>
      <c r="T196" s="87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T196" s="18" t="s">
        <v>209</v>
      </c>
      <c r="AU196" s="18" t="s">
        <v>88</v>
      </c>
    </row>
    <row r="197" s="13" customFormat="1">
      <c r="A197" s="13"/>
      <c r="B197" s="227"/>
      <c r="C197" s="228"/>
      <c r="D197" s="229" t="s">
        <v>211</v>
      </c>
      <c r="E197" s="230" t="s">
        <v>32</v>
      </c>
      <c r="F197" s="231" t="s">
        <v>3409</v>
      </c>
      <c r="G197" s="228"/>
      <c r="H197" s="232">
        <v>164.30000000000001</v>
      </c>
      <c r="I197" s="233"/>
      <c r="J197" s="228"/>
      <c r="K197" s="228"/>
      <c r="L197" s="234"/>
      <c r="M197" s="235"/>
      <c r="N197" s="236"/>
      <c r="O197" s="236"/>
      <c r="P197" s="236"/>
      <c r="Q197" s="236"/>
      <c r="R197" s="236"/>
      <c r="S197" s="236"/>
      <c r="T197" s="237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T197" s="238" t="s">
        <v>211</v>
      </c>
      <c r="AU197" s="238" t="s">
        <v>88</v>
      </c>
      <c r="AV197" s="13" t="s">
        <v>88</v>
      </c>
      <c r="AW197" s="13" t="s">
        <v>213</v>
      </c>
      <c r="AX197" s="13" t="s">
        <v>78</v>
      </c>
      <c r="AY197" s="238" t="s">
        <v>200</v>
      </c>
    </row>
    <row r="198" s="13" customFormat="1">
      <c r="A198" s="13"/>
      <c r="B198" s="227"/>
      <c r="C198" s="228"/>
      <c r="D198" s="229" t="s">
        <v>211</v>
      </c>
      <c r="E198" s="230" t="s">
        <v>32</v>
      </c>
      <c r="F198" s="231" t="s">
        <v>3410</v>
      </c>
      <c r="G198" s="228"/>
      <c r="H198" s="232">
        <v>4.7999999999999998</v>
      </c>
      <c r="I198" s="233"/>
      <c r="J198" s="228"/>
      <c r="K198" s="228"/>
      <c r="L198" s="234"/>
      <c r="M198" s="235"/>
      <c r="N198" s="236"/>
      <c r="O198" s="236"/>
      <c r="P198" s="236"/>
      <c r="Q198" s="236"/>
      <c r="R198" s="236"/>
      <c r="S198" s="236"/>
      <c r="T198" s="237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T198" s="238" t="s">
        <v>211</v>
      </c>
      <c r="AU198" s="238" t="s">
        <v>88</v>
      </c>
      <c r="AV198" s="13" t="s">
        <v>88</v>
      </c>
      <c r="AW198" s="13" t="s">
        <v>213</v>
      </c>
      <c r="AX198" s="13" t="s">
        <v>78</v>
      </c>
      <c r="AY198" s="238" t="s">
        <v>200</v>
      </c>
    </row>
    <row r="199" s="13" customFormat="1">
      <c r="A199" s="13"/>
      <c r="B199" s="227"/>
      <c r="C199" s="228"/>
      <c r="D199" s="229" t="s">
        <v>211</v>
      </c>
      <c r="E199" s="230" t="s">
        <v>32</v>
      </c>
      <c r="F199" s="231" t="s">
        <v>3411</v>
      </c>
      <c r="G199" s="228"/>
      <c r="H199" s="232">
        <v>6.9000000000000004</v>
      </c>
      <c r="I199" s="233"/>
      <c r="J199" s="228"/>
      <c r="K199" s="228"/>
      <c r="L199" s="234"/>
      <c r="M199" s="235"/>
      <c r="N199" s="236"/>
      <c r="O199" s="236"/>
      <c r="P199" s="236"/>
      <c r="Q199" s="236"/>
      <c r="R199" s="236"/>
      <c r="S199" s="236"/>
      <c r="T199" s="237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T199" s="238" t="s">
        <v>211</v>
      </c>
      <c r="AU199" s="238" t="s">
        <v>88</v>
      </c>
      <c r="AV199" s="13" t="s">
        <v>88</v>
      </c>
      <c r="AW199" s="13" t="s">
        <v>213</v>
      </c>
      <c r="AX199" s="13" t="s">
        <v>78</v>
      </c>
      <c r="AY199" s="238" t="s">
        <v>200</v>
      </c>
    </row>
    <row r="200" s="14" customFormat="1">
      <c r="A200" s="14"/>
      <c r="B200" s="239"/>
      <c r="C200" s="240"/>
      <c r="D200" s="229" t="s">
        <v>211</v>
      </c>
      <c r="E200" s="241" t="s">
        <v>32</v>
      </c>
      <c r="F200" s="242" t="s">
        <v>220</v>
      </c>
      <c r="G200" s="240"/>
      <c r="H200" s="243">
        <v>176</v>
      </c>
      <c r="I200" s="244"/>
      <c r="J200" s="240"/>
      <c r="K200" s="240"/>
      <c r="L200" s="245"/>
      <c r="M200" s="246"/>
      <c r="N200" s="247"/>
      <c r="O200" s="247"/>
      <c r="P200" s="247"/>
      <c r="Q200" s="247"/>
      <c r="R200" s="247"/>
      <c r="S200" s="247"/>
      <c r="T200" s="248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T200" s="249" t="s">
        <v>211</v>
      </c>
      <c r="AU200" s="249" t="s">
        <v>88</v>
      </c>
      <c r="AV200" s="14" t="s">
        <v>207</v>
      </c>
      <c r="AW200" s="14" t="s">
        <v>213</v>
      </c>
      <c r="AX200" s="14" t="s">
        <v>86</v>
      </c>
      <c r="AY200" s="249" t="s">
        <v>200</v>
      </c>
    </row>
    <row r="201" s="2" customFormat="1" ht="16.5" customHeight="1">
      <c r="A201" s="40"/>
      <c r="B201" s="41"/>
      <c r="C201" s="260" t="s">
        <v>471</v>
      </c>
      <c r="D201" s="260" t="s">
        <v>292</v>
      </c>
      <c r="E201" s="261" t="s">
        <v>3412</v>
      </c>
      <c r="F201" s="262" t="s">
        <v>3413</v>
      </c>
      <c r="G201" s="263" t="s">
        <v>272</v>
      </c>
      <c r="H201" s="264">
        <v>167.58600000000001</v>
      </c>
      <c r="I201" s="265"/>
      <c r="J201" s="266">
        <f>ROUND(I201*H201,1)</f>
        <v>0</v>
      </c>
      <c r="K201" s="262" t="s">
        <v>206</v>
      </c>
      <c r="L201" s="267"/>
      <c r="M201" s="268" t="s">
        <v>32</v>
      </c>
      <c r="N201" s="269" t="s">
        <v>49</v>
      </c>
      <c r="O201" s="86"/>
      <c r="P201" s="218">
        <f>O201*H201</f>
        <v>0</v>
      </c>
      <c r="Q201" s="218">
        <v>0.113</v>
      </c>
      <c r="R201" s="218">
        <f>Q201*H201</f>
        <v>18.937218000000001</v>
      </c>
      <c r="S201" s="218">
        <v>0</v>
      </c>
      <c r="T201" s="219">
        <f>S201*H201</f>
        <v>0</v>
      </c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R201" s="220" t="s">
        <v>254</v>
      </c>
      <c r="AT201" s="220" t="s">
        <v>292</v>
      </c>
      <c r="AU201" s="220" t="s">
        <v>88</v>
      </c>
      <c r="AY201" s="18" t="s">
        <v>200</v>
      </c>
      <c r="BE201" s="221">
        <f>IF(N201="základní",J201,0)</f>
        <v>0</v>
      </c>
      <c r="BF201" s="221">
        <f>IF(N201="snížená",J201,0)</f>
        <v>0</v>
      </c>
      <c r="BG201" s="221">
        <f>IF(N201="zákl. přenesená",J201,0)</f>
        <v>0</v>
      </c>
      <c r="BH201" s="221">
        <f>IF(N201="sníž. přenesená",J201,0)</f>
        <v>0</v>
      </c>
      <c r="BI201" s="221">
        <f>IF(N201="nulová",J201,0)</f>
        <v>0</v>
      </c>
      <c r="BJ201" s="18" t="s">
        <v>86</v>
      </c>
      <c r="BK201" s="221">
        <f>ROUND(I201*H201,1)</f>
        <v>0</v>
      </c>
      <c r="BL201" s="18" t="s">
        <v>207</v>
      </c>
      <c r="BM201" s="220" t="s">
        <v>3414</v>
      </c>
    </row>
    <row r="202" s="13" customFormat="1">
      <c r="A202" s="13"/>
      <c r="B202" s="227"/>
      <c r="C202" s="228"/>
      <c r="D202" s="229" t="s">
        <v>211</v>
      </c>
      <c r="E202" s="230" t="s">
        <v>32</v>
      </c>
      <c r="F202" s="231" t="s">
        <v>3409</v>
      </c>
      <c r="G202" s="228"/>
      <c r="H202" s="232">
        <v>164.30000000000001</v>
      </c>
      <c r="I202" s="233"/>
      <c r="J202" s="228"/>
      <c r="K202" s="228"/>
      <c r="L202" s="234"/>
      <c r="M202" s="235"/>
      <c r="N202" s="236"/>
      <c r="O202" s="236"/>
      <c r="P202" s="236"/>
      <c r="Q202" s="236"/>
      <c r="R202" s="236"/>
      <c r="S202" s="236"/>
      <c r="T202" s="237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T202" s="238" t="s">
        <v>211</v>
      </c>
      <c r="AU202" s="238" t="s">
        <v>88</v>
      </c>
      <c r="AV202" s="13" t="s">
        <v>88</v>
      </c>
      <c r="AW202" s="13" t="s">
        <v>213</v>
      </c>
      <c r="AX202" s="13" t="s">
        <v>86</v>
      </c>
      <c r="AY202" s="238" t="s">
        <v>200</v>
      </c>
    </row>
    <row r="203" s="13" customFormat="1">
      <c r="A203" s="13"/>
      <c r="B203" s="227"/>
      <c r="C203" s="228"/>
      <c r="D203" s="229" t="s">
        <v>211</v>
      </c>
      <c r="E203" s="228"/>
      <c r="F203" s="231" t="s">
        <v>3415</v>
      </c>
      <c r="G203" s="228"/>
      <c r="H203" s="232">
        <v>167.58600000000001</v>
      </c>
      <c r="I203" s="233"/>
      <c r="J203" s="228"/>
      <c r="K203" s="228"/>
      <c r="L203" s="234"/>
      <c r="M203" s="235"/>
      <c r="N203" s="236"/>
      <c r="O203" s="236"/>
      <c r="P203" s="236"/>
      <c r="Q203" s="236"/>
      <c r="R203" s="236"/>
      <c r="S203" s="236"/>
      <c r="T203" s="237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T203" s="238" t="s">
        <v>211</v>
      </c>
      <c r="AU203" s="238" t="s">
        <v>88</v>
      </c>
      <c r="AV203" s="13" t="s">
        <v>88</v>
      </c>
      <c r="AW203" s="13" t="s">
        <v>4</v>
      </c>
      <c r="AX203" s="13" t="s">
        <v>86</v>
      </c>
      <c r="AY203" s="238" t="s">
        <v>200</v>
      </c>
    </row>
    <row r="204" s="2" customFormat="1" ht="16.5" customHeight="1">
      <c r="A204" s="40"/>
      <c r="B204" s="41"/>
      <c r="C204" s="260" t="s">
        <v>476</v>
      </c>
      <c r="D204" s="260" t="s">
        <v>292</v>
      </c>
      <c r="E204" s="261" t="s">
        <v>3416</v>
      </c>
      <c r="F204" s="262" t="s">
        <v>3417</v>
      </c>
      <c r="G204" s="263" t="s">
        <v>272</v>
      </c>
      <c r="H204" s="264">
        <v>4.7999999999999998</v>
      </c>
      <c r="I204" s="265"/>
      <c r="J204" s="266">
        <f>ROUND(I204*H204,1)</f>
        <v>0</v>
      </c>
      <c r="K204" s="262" t="s">
        <v>206</v>
      </c>
      <c r="L204" s="267"/>
      <c r="M204" s="268" t="s">
        <v>32</v>
      </c>
      <c r="N204" s="269" t="s">
        <v>49</v>
      </c>
      <c r="O204" s="86"/>
      <c r="P204" s="218">
        <f>O204*H204</f>
        <v>0</v>
      </c>
      <c r="Q204" s="218">
        <v>0.113</v>
      </c>
      <c r="R204" s="218">
        <f>Q204*H204</f>
        <v>0.54239999999999999</v>
      </c>
      <c r="S204" s="218">
        <v>0</v>
      </c>
      <c r="T204" s="219">
        <f>S204*H204</f>
        <v>0</v>
      </c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R204" s="220" t="s">
        <v>254</v>
      </c>
      <c r="AT204" s="220" t="s">
        <v>292</v>
      </c>
      <c r="AU204" s="220" t="s">
        <v>88</v>
      </c>
      <c r="AY204" s="18" t="s">
        <v>200</v>
      </c>
      <c r="BE204" s="221">
        <f>IF(N204="základní",J204,0)</f>
        <v>0</v>
      </c>
      <c r="BF204" s="221">
        <f>IF(N204="snížená",J204,0)</f>
        <v>0</v>
      </c>
      <c r="BG204" s="221">
        <f>IF(N204="zákl. přenesená",J204,0)</f>
        <v>0</v>
      </c>
      <c r="BH204" s="221">
        <f>IF(N204="sníž. přenesená",J204,0)</f>
        <v>0</v>
      </c>
      <c r="BI204" s="221">
        <f>IF(N204="nulová",J204,0)</f>
        <v>0</v>
      </c>
      <c r="BJ204" s="18" t="s">
        <v>86</v>
      </c>
      <c r="BK204" s="221">
        <f>ROUND(I204*H204,1)</f>
        <v>0</v>
      </c>
      <c r="BL204" s="18" t="s">
        <v>207</v>
      </c>
      <c r="BM204" s="220" t="s">
        <v>3418</v>
      </c>
    </row>
    <row r="205" s="13" customFormat="1">
      <c r="A205" s="13"/>
      <c r="B205" s="227"/>
      <c r="C205" s="228"/>
      <c r="D205" s="229" t="s">
        <v>211</v>
      </c>
      <c r="E205" s="230" t="s">
        <v>32</v>
      </c>
      <c r="F205" s="231" t="s">
        <v>3410</v>
      </c>
      <c r="G205" s="228"/>
      <c r="H205" s="232">
        <v>4.7999999999999998</v>
      </c>
      <c r="I205" s="233"/>
      <c r="J205" s="228"/>
      <c r="K205" s="228"/>
      <c r="L205" s="234"/>
      <c r="M205" s="235"/>
      <c r="N205" s="236"/>
      <c r="O205" s="236"/>
      <c r="P205" s="236"/>
      <c r="Q205" s="236"/>
      <c r="R205" s="236"/>
      <c r="S205" s="236"/>
      <c r="T205" s="237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38" t="s">
        <v>211</v>
      </c>
      <c r="AU205" s="238" t="s">
        <v>88</v>
      </c>
      <c r="AV205" s="13" t="s">
        <v>88</v>
      </c>
      <c r="AW205" s="13" t="s">
        <v>213</v>
      </c>
      <c r="AX205" s="13" t="s">
        <v>86</v>
      </c>
      <c r="AY205" s="238" t="s">
        <v>200</v>
      </c>
    </row>
    <row r="206" s="2" customFormat="1" ht="16.5" customHeight="1">
      <c r="A206" s="40"/>
      <c r="B206" s="41"/>
      <c r="C206" s="260" t="s">
        <v>482</v>
      </c>
      <c r="D206" s="260" t="s">
        <v>292</v>
      </c>
      <c r="E206" s="261" t="s">
        <v>3419</v>
      </c>
      <c r="F206" s="262" t="s">
        <v>3420</v>
      </c>
      <c r="G206" s="263" t="s">
        <v>272</v>
      </c>
      <c r="H206" s="264">
        <v>6.9000000000000004</v>
      </c>
      <c r="I206" s="265"/>
      <c r="J206" s="266">
        <f>ROUND(I206*H206,1)</f>
        <v>0</v>
      </c>
      <c r="K206" s="262" t="s">
        <v>206</v>
      </c>
      <c r="L206" s="267"/>
      <c r="M206" s="268" t="s">
        <v>32</v>
      </c>
      <c r="N206" s="269" t="s">
        <v>49</v>
      </c>
      <c r="O206" s="86"/>
      <c r="P206" s="218">
        <f>O206*H206</f>
        <v>0</v>
      </c>
      <c r="Q206" s="218">
        <v>0.13</v>
      </c>
      <c r="R206" s="218">
        <f>Q206*H206</f>
        <v>0.89700000000000013</v>
      </c>
      <c r="S206" s="218">
        <v>0</v>
      </c>
      <c r="T206" s="219">
        <f>S206*H206</f>
        <v>0</v>
      </c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R206" s="220" t="s">
        <v>254</v>
      </c>
      <c r="AT206" s="220" t="s">
        <v>292</v>
      </c>
      <c r="AU206" s="220" t="s">
        <v>88</v>
      </c>
      <c r="AY206" s="18" t="s">
        <v>200</v>
      </c>
      <c r="BE206" s="221">
        <f>IF(N206="základní",J206,0)</f>
        <v>0</v>
      </c>
      <c r="BF206" s="221">
        <f>IF(N206="snížená",J206,0)</f>
        <v>0</v>
      </c>
      <c r="BG206" s="221">
        <f>IF(N206="zákl. přenesená",J206,0)</f>
        <v>0</v>
      </c>
      <c r="BH206" s="221">
        <f>IF(N206="sníž. přenesená",J206,0)</f>
        <v>0</v>
      </c>
      <c r="BI206" s="221">
        <f>IF(N206="nulová",J206,0)</f>
        <v>0</v>
      </c>
      <c r="BJ206" s="18" t="s">
        <v>86</v>
      </c>
      <c r="BK206" s="221">
        <f>ROUND(I206*H206,1)</f>
        <v>0</v>
      </c>
      <c r="BL206" s="18" t="s">
        <v>207</v>
      </c>
      <c r="BM206" s="220" t="s">
        <v>3421</v>
      </c>
    </row>
    <row r="207" s="13" customFormat="1">
      <c r="A207" s="13"/>
      <c r="B207" s="227"/>
      <c r="C207" s="228"/>
      <c r="D207" s="229" t="s">
        <v>211</v>
      </c>
      <c r="E207" s="230" t="s">
        <v>32</v>
      </c>
      <c r="F207" s="231" t="s">
        <v>3411</v>
      </c>
      <c r="G207" s="228"/>
      <c r="H207" s="232">
        <v>6.9000000000000004</v>
      </c>
      <c r="I207" s="233"/>
      <c r="J207" s="228"/>
      <c r="K207" s="228"/>
      <c r="L207" s="234"/>
      <c r="M207" s="235"/>
      <c r="N207" s="236"/>
      <c r="O207" s="236"/>
      <c r="P207" s="236"/>
      <c r="Q207" s="236"/>
      <c r="R207" s="236"/>
      <c r="S207" s="236"/>
      <c r="T207" s="237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T207" s="238" t="s">
        <v>211</v>
      </c>
      <c r="AU207" s="238" t="s">
        <v>88</v>
      </c>
      <c r="AV207" s="13" t="s">
        <v>88</v>
      </c>
      <c r="AW207" s="13" t="s">
        <v>213</v>
      </c>
      <c r="AX207" s="13" t="s">
        <v>86</v>
      </c>
      <c r="AY207" s="238" t="s">
        <v>200</v>
      </c>
    </row>
    <row r="208" s="2" customFormat="1" ht="44.25" customHeight="1">
      <c r="A208" s="40"/>
      <c r="B208" s="41"/>
      <c r="C208" s="209" t="s">
        <v>511</v>
      </c>
      <c r="D208" s="209" t="s">
        <v>202</v>
      </c>
      <c r="E208" s="210" t="s">
        <v>3422</v>
      </c>
      <c r="F208" s="211" t="s">
        <v>3423</v>
      </c>
      <c r="G208" s="212" t="s">
        <v>272</v>
      </c>
      <c r="H208" s="213">
        <v>153</v>
      </c>
      <c r="I208" s="214"/>
      <c r="J208" s="215">
        <f>ROUND(I208*H208,1)</f>
        <v>0</v>
      </c>
      <c r="K208" s="211" t="s">
        <v>206</v>
      </c>
      <c r="L208" s="46"/>
      <c r="M208" s="216" t="s">
        <v>32</v>
      </c>
      <c r="N208" s="217" t="s">
        <v>49</v>
      </c>
      <c r="O208" s="86"/>
      <c r="P208" s="218">
        <f>O208*H208</f>
        <v>0</v>
      </c>
      <c r="Q208" s="218">
        <v>0.11162</v>
      </c>
      <c r="R208" s="218">
        <f>Q208*H208</f>
        <v>17.077860000000001</v>
      </c>
      <c r="S208" s="218">
        <v>0</v>
      </c>
      <c r="T208" s="219">
        <f>S208*H208</f>
        <v>0</v>
      </c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R208" s="220" t="s">
        <v>207</v>
      </c>
      <c r="AT208" s="220" t="s">
        <v>202</v>
      </c>
      <c r="AU208" s="220" t="s">
        <v>88</v>
      </c>
      <c r="AY208" s="18" t="s">
        <v>200</v>
      </c>
      <c r="BE208" s="221">
        <f>IF(N208="základní",J208,0)</f>
        <v>0</v>
      </c>
      <c r="BF208" s="221">
        <f>IF(N208="snížená",J208,0)</f>
        <v>0</v>
      </c>
      <c r="BG208" s="221">
        <f>IF(N208="zákl. přenesená",J208,0)</f>
        <v>0</v>
      </c>
      <c r="BH208" s="221">
        <f>IF(N208="sníž. přenesená",J208,0)</f>
        <v>0</v>
      </c>
      <c r="BI208" s="221">
        <f>IF(N208="nulová",J208,0)</f>
        <v>0</v>
      </c>
      <c r="BJ208" s="18" t="s">
        <v>86</v>
      </c>
      <c r="BK208" s="221">
        <f>ROUND(I208*H208,1)</f>
        <v>0</v>
      </c>
      <c r="BL208" s="18" t="s">
        <v>207</v>
      </c>
      <c r="BM208" s="220" t="s">
        <v>3424</v>
      </c>
    </row>
    <row r="209" s="2" customFormat="1">
      <c r="A209" s="40"/>
      <c r="B209" s="41"/>
      <c r="C209" s="42"/>
      <c r="D209" s="222" t="s">
        <v>209</v>
      </c>
      <c r="E209" s="42"/>
      <c r="F209" s="223" t="s">
        <v>3425</v>
      </c>
      <c r="G209" s="42"/>
      <c r="H209" s="42"/>
      <c r="I209" s="224"/>
      <c r="J209" s="42"/>
      <c r="K209" s="42"/>
      <c r="L209" s="46"/>
      <c r="M209" s="225"/>
      <c r="N209" s="226"/>
      <c r="O209" s="86"/>
      <c r="P209" s="86"/>
      <c r="Q209" s="86"/>
      <c r="R209" s="86"/>
      <c r="S209" s="86"/>
      <c r="T209" s="87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T209" s="18" t="s">
        <v>209</v>
      </c>
      <c r="AU209" s="18" t="s">
        <v>88</v>
      </c>
    </row>
    <row r="210" s="13" customFormat="1">
      <c r="A210" s="13"/>
      <c r="B210" s="227"/>
      <c r="C210" s="228"/>
      <c r="D210" s="229" t="s">
        <v>211</v>
      </c>
      <c r="E210" s="230" t="s">
        <v>32</v>
      </c>
      <c r="F210" s="231" t="s">
        <v>3426</v>
      </c>
      <c r="G210" s="228"/>
      <c r="H210" s="232">
        <v>119.5</v>
      </c>
      <c r="I210" s="233"/>
      <c r="J210" s="228"/>
      <c r="K210" s="228"/>
      <c r="L210" s="234"/>
      <c r="M210" s="235"/>
      <c r="N210" s="236"/>
      <c r="O210" s="236"/>
      <c r="P210" s="236"/>
      <c r="Q210" s="236"/>
      <c r="R210" s="236"/>
      <c r="S210" s="236"/>
      <c r="T210" s="237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T210" s="238" t="s">
        <v>211</v>
      </c>
      <c r="AU210" s="238" t="s">
        <v>88</v>
      </c>
      <c r="AV210" s="13" t="s">
        <v>88</v>
      </c>
      <c r="AW210" s="13" t="s">
        <v>213</v>
      </c>
      <c r="AX210" s="13" t="s">
        <v>78</v>
      </c>
      <c r="AY210" s="238" t="s">
        <v>200</v>
      </c>
    </row>
    <row r="211" s="13" customFormat="1">
      <c r="A211" s="13"/>
      <c r="B211" s="227"/>
      <c r="C211" s="228"/>
      <c r="D211" s="229" t="s">
        <v>211</v>
      </c>
      <c r="E211" s="230" t="s">
        <v>32</v>
      </c>
      <c r="F211" s="231" t="s">
        <v>3427</v>
      </c>
      <c r="G211" s="228"/>
      <c r="H211" s="232">
        <v>4.5</v>
      </c>
      <c r="I211" s="233"/>
      <c r="J211" s="228"/>
      <c r="K211" s="228"/>
      <c r="L211" s="234"/>
      <c r="M211" s="235"/>
      <c r="N211" s="236"/>
      <c r="O211" s="236"/>
      <c r="P211" s="236"/>
      <c r="Q211" s="236"/>
      <c r="R211" s="236"/>
      <c r="S211" s="236"/>
      <c r="T211" s="237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T211" s="238" t="s">
        <v>211</v>
      </c>
      <c r="AU211" s="238" t="s">
        <v>88</v>
      </c>
      <c r="AV211" s="13" t="s">
        <v>88</v>
      </c>
      <c r="AW211" s="13" t="s">
        <v>213</v>
      </c>
      <c r="AX211" s="13" t="s">
        <v>78</v>
      </c>
      <c r="AY211" s="238" t="s">
        <v>200</v>
      </c>
    </row>
    <row r="212" s="13" customFormat="1">
      <c r="A212" s="13"/>
      <c r="B212" s="227"/>
      <c r="C212" s="228"/>
      <c r="D212" s="229" t="s">
        <v>211</v>
      </c>
      <c r="E212" s="230" t="s">
        <v>32</v>
      </c>
      <c r="F212" s="231" t="s">
        <v>3428</v>
      </c>
      <c r="G212" s="228"/>
      <c r="H212" s="232">
        <v>28</v>
      </c>
      <c r="I212" s="233"/>
      <c r="J212" s="228"/>
      <c r="K212" s="228"/>
      <c r="L212" s="234"/>
      <c r="M212" s="235"/>
      <c r="N212" s="236"/>
      <c r="O212" s="236"/>
      <c r="P212" s="236"/>
      <c r="Q212" s="236"/>
      <c r="R212" s="236"/>
      <c r="S212" s="236"/>
      <c r="T212" s="237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T212" s="238" t="s">
        <v>211</v>
      </c>
      <c r="AU212" s="238" t="s">
        <v>88</v>
      </c>
      <c r="AV212" s="13" t="s">
        <v>88</v>
      </c>
      <c r="AW212" s="13" t="s">
        <v>213</v>
      </c>
      <c r="AX212" s="13" t="s">
        <v>78</v>
      </c>
      <c r="AY212" s="238" t="s">
        <v>200</v>
      </c>
    </row>
    <row r="213" s="13" customFormat="1">
      <c r="A213" s="13"/>
      <c r="B213" s="227"/>
      <c r="C213" s="228"/>
      <c r="D213" s="229" t="s">
        <v>211</v>
      </c>
      <c r="E213" s="230" t="s">
        <v>32</v>
      </c>
      <c r="F213" s="231" t="s">
        <v>3429</v>
      </c>
      <c r="G213" s="228"/>
      <c r="H213" s="232">
        <v>1</v>
      </c>
      <c r="I213" s="233"/>
      <c r="J213" s="228"/>
      <c r="K213" s="228"/>
      <c r="L213" s="234"/>
      <c r="M213" s="235"/>
      <c r="N213" s="236"/>
      <c r="O213" s="236"/>
      <c r="P213" s="236"/>
      <c r="Q213" s="236"/>
      <c r="R213" s="236"/>
      <c r="S213" s="236"/>
      <c r="T213" s="237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T213" s="238" t="s">
        <v>211</v>
      </c>
      <c r="AU213" s="238" t="s">
        <v>88</v>
      </c>
      <c r="AV213" s="13" t="s">
        <v>88</v>
      </c>
      <c r="AW213" s="13" t="s">
        <v>213</v>
      </c>
      <c r="AX213" s="13" t="s">
        <v>78</v>
      </c>
      <c r="AY213" s="238" t="s">
        <v>200</v>
      </c>
    </row>
    <row r="214" s="14" customFormat="1">
      <c r="A214" s="14"/>
      <c r="B214" s="239"/>
      <c r="C214" s="240"/>
      <c r="D214" s="229" t="s">
        <v>211</v>
      </c>
      <c r="E214" s="241" t="s">
        <v>32</v>
      </c>
      <c r="F214" s="242" t="s">
        <v>220</v>
      </c>
      <c r="G214" s="240"/>
      <c r="H214" s="243">
        <v>153</v>
      </c>
      <c r="I214" s="244"/>
      <c r="J214" s="240"/>
      <c r="K214" s="240"/>
      <c r="L214" s="245"/>
      <c r="M214" s="246"/>
      <c r="N214" s="247"/>
      <c r="O214" s="247"/>
      <c r="P214" s="247"/>
      <c r="Q214" s="247"/>
      <c r="R214" s="247"/>
      <c r="S214" s="247"/>
      <c r="T214" s="248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T214" s="249" t="s">
        <v>211</v>
      </c>
      <c r="AU214" s="249" t="s">
        <v>88</v>
      </c>
      <c r="AV214" s="14" t="s">
        <v>207</v>
      </c>
      <c r="AW214" s="14" t="s">
        <v>213</v>
      </c>
      <c r="AX214" s="14" t="s">
        <v>86</v>
      </c>
      <c r="AY214" s="249" t="s">
        <v>200</v>
      </c>
    </row>
    <row r="215" s="2" customFormat="1" ht="16.5" customHeight="1">
      <c r="A215" s="40"/>
      <c r="B215" s="41"/>
      <c r="C215" s="260" t="s">
        <v>523</v>
      </c>
      <c r="D215" s="260" t="s">
        <v>292</v>
      </c>
      <c r="E215" s="261" t="s">
        <v>3430</v>
      </c>
      <c r="F215" s="262" t="s">
        <v>3431</v>
      </c>
      <c r="G215" s="263" t="s">
        <v>272</v>
      </c>
      <c r="H215" s="264">
        <v>28.559999999999999</v>
      </c>
      <c r="I215" s="265"/>
      <c r="J215" s="266">
        <f>ROUND(I215*H215,1)</f>
        <v>0</v>
      </c>
      <c r="K215" s="262" t="s">
        <v>206</v>
      </c>
      <c r="L215" s="267"/>
      <c r="M215" s="268" t="s">
        <v>32</v>
      </c>
      <c r="N215" s="269" t="s">
        <v>49</v>
      </c>
      <c r="O215" s="86"/>
      <c r="P215" s="218">
        <f>O215*H215</f>
        <v>0</v>
      </c>
      <c r="Q215" s="218">
        <v>0.17599999999999999</v>
      </c>
      <c r="R215" s="218">
        <f>Q215*H215</f>
        <v>5.0265599999999999</v>
      </c>
      <c r="S215" s="218">
        <v>0</v>
      </c>
      <c r="T215" s="219">
        <f>S215*H215</f>
        <v>0</v>
      </c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R215" s="220" t="s">
        <v>254</v>
      </c>
      <c r="AT215" s="220" t="s">
        <v>292</v>
      </c>
      <c r="AU215" s="220" t="s">
        <v>88</v>
      </c>
      <c r="AY215" s="18" t="s">
        <v>200</v>
      </c>
      <c r="BE215" s="221">
        <f>IF(N215="základní",J215,0)</f>
        <v>0</v>
      </c>
      <c r="BF215" s="221">
        <f>IF(N215="snížená",J215,0)</f>
        <v>0</v>
      </c>
      <c r="BG215" s="221">
        <f>IF(N215="zákl. přenesená",J215,0)</f>
        <v>0</v>
      </c>
      <c r="BH215" s="221">
        <f>IF(N215="sníž. přenesená",J215,0)</f>
        <v>0</v>
      </c>
      <c r="BI215" s="221">
        <f>IF(N215="nulová",J215,0)</f>
        <v>0</v>
      </c>
      <c r="BJ215" s="18" t="s">
        <v>86</v>
      </c>
      <c r="BK215" s="221">
        <f>ROUND(I215*H215,1)</f>
        <v>0</v>
      </c>
      <c r="BL215" s="18" t="s">
        <v>207</v>
      </c>
      <c r="BM215" s="220" t="s">
        <v>3432</v>
      </c>
    </row>
    <row r="216" s="13" customFormat="1">
      <c r="A216" s="13"/>
      <c r="B216" s="227"/>
      <c r="C216" s="228"/>
      <c r="D216" s="229" t="s">
        <v>211</v>
      </c>
      <c r="E216" s="230" t="s">
        <v>32</v>
      </c>
      <c r="F216" s="231" t="s">
        <v>3428</v>
      </c>
      <c r="G216" s="228"/>
      <c r="H216" s="232">
        <v>28</v>
      </c>
      <c r="I216" s="233"/>
      <c r="J216" s="228"/>
      <c r="K216" s="228"/>
      <c r="L216" s="234"/>
      <c r="M216" s="235"/>
      <c r="N216" s="236"/>
      <c r="O216" s="236"/>
      <c r="P216" s="236"/>
      <c r="Q216" s="236"/>
      <c r="R216" s="236"/>
      <c r="S216" s="236"/>
      <c r="T216" s="237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T216" s="238" t="s">
        <v>211</v>
      </c>
      <c r="AU216" s="238" t="s">
        <v>88</v>
      </c>
      <c r="AV216" s="13" t="s">
        <v>88</v>
      </c>
      <c r="AW216" s="13" t="s">
        <v>213</v>
      </c>
      <c r="AX216" s="13" t="s">
        <v>86</v>
      </c>
      <c r="AY216" s="238" t="s">
        <v>200</v>
      </c>
    </row>
    <row r="217" s="13" customFormat="1">
      <c r="A217" s="13"/>
      <c r="B217" s="227"/>
      <c r="C217" s="228"/>
      <c r="D217" s="229" t="s">
        <v>211</v>
      </c>
      <c r="E217" s="228"/>
      <c r="F217" s="231" t="s">
        <v>3433</v>
      </c>
      <c r="G217" s="228"/>
      <c r="H217" s="232">
        <v>28.559999999999999</v>
      </c>
      <c r="I217" s="233"/>
      <c r="J217" s="228"/>
      <c r="K217" s="228"/>
      <c r="L217" s="234"/>
      <c r="M217" s="235"/>
      <c r="N217" s="236"/>
      <c r="O217" s="236"/>
      <c r="P217" s="236"/>
      <c r="Q217" s="236"/>
      <c r="R217" s="236"/>
      <c r="S217" s="236"/>
      <c r="T217" s="237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T217" s="238" t="s">
        <v>211</v>
      </c>
      <c r="AU217" s="238" t="s">
        <v>88</v>
      </c>
      <c r="AV217" s="13" t="s">
        <v>88</v>
      </c>
      <c r="AW217" s="13" t="s">
        <v>4</v>
      </c>
      <c r="AX217" s="13" t="s">
        <v>86</v>
      </c>
      <c r="AY217" s="238" t="s">
        <v>200</v>
      </c>
    </row>
    <row r="218" s="2" customFormat="1" ht="16.5" customHeight="1">
      <c r="A218" s="40"/>
      <c r="B218" s="41"/>
      <c r="C218" s="260" t="s">
        <v>528</v>
      </c>
      <c r="D218" s="260" t="s">
        <v>292</v>
      </c>
      <c r="E218" s="261" t="s">
        <v>3434</v>
      </c>
      <c r="F218" s="262" t="s">
        <v>3435</v>
      </c>
      <c r="G218" s="263" t="s">
        <v>272</v>
      </c>
      <c r="H218" s="264">
        <v>119.5</v>
      </c>
      <c r="I218" s="265"/>
      <c r="J218" s="266">
        <f>ROUND(I218*H218,1)</f>
        <v>0</v>
      </c>
      <c r="K218" s="262" t="s">
        <v>206</v>
      </c>
      <c r="L218" s="267"/>
      <c r="M218" s="268" t="s">
        <v>32</v>
      </c>
      <c r="N218" s="269" t="s">
        <v>49</v>
      </c>
      <c r="O218" s="86"/>
      <c r="P218" s="218">
        <f>O218*H218</f>
        <v>0</v>
      </c>
      <c r="Q218" s="218">
        <v>0.159</v>
      </c>
      <c r="R218" s="218">
        <f>Q218*H218</f>
        <v>19.000499999999999</v>
      </c>
      <c r="S218" s="218">
        <v>0</v>
      </c>
      <c r="T218" s="219">
        <f>S218*H218</f>
        <v>0</v>
      </c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R218" s="220" t="s">
        <v>254</v>
      </c>
      <c r="AT218" s="220" t="s">
        <v>292</v>
      </c>
      <c r="AU218" s="220" t="s">
        <v>88</v>
      </c>
      <c r="AY218" s="18" t="s">
        <v>200</v>
      </c>
      <c r="BE218" s="221">
        <f>IF(N218="základní",J218,0)</f>
        <v>0</v>
      </c>
      <c r="BF218" s="221">
        <f>IF(N218="snížená",J218,0)</f>
        <v>0</v>
      </c>
      <c r="BG218" s="221">
        <f>IF(N218="zákl. přenesená",J218,0)</f>
        <v>0</v>
      </c>
      <c r="BH218" s="221">
        <f>IF(N218="sníž. přenesená",J218,0)</f>
        <v>0</v>
      </c>
      <c r="BI218" s="221">
        <f>IF(N218="nulová",J218,0)</f>
        <v>0</v>
      </c>
      <c r="BJ218" s="18" t="s">
        <v>86</v>
      </c>
      <c r="BK218" s="221">
        <f>ROUND(I218*H218,1)</f>
        <v>0</v>
      </c>
      <c r="BL218" s="18" t="s">
        <v>207</v>
      </c>
      <c r="BM218" s="220" t="s">
        <v>3436</v>
      </c>
    </row>
    <row r="219" s="13" customFormat="1">
      <c r="A219" s="13"/>
      <c r="B219" s="227"/>
      <c r="C219" s="228"/>
      <c r="D219" s="229" t="s">
        <v>211</v>
      </c>
      <c r="E219" s="230" t="s">
        <v>32</v>
      </c>
      <c r="F219" s="231" t="s">
        <v>3426</v>
      </c>
      <c r="G219" s="228"/>
      <c r="H219" s="232">
        <v>119.5</v>
      </c>
      <c r="I219" s="233"/>
      <c r="J219" s="228"/>
      <c r="K219" s="228"/>
      <c r="L219" s="234"/>
      <c r="M219" s="235"/>
      <c r="N219" s="236"/>
      <c r="O219" s="236"/>
      <c r="P219" s="236"/>
      <c r="Q219" s="236"/>
      <c r="R219" s="236"/>
      <c r="S219" s="236"/>
      <c r="T219" s="237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T219" s="238" t="s">
        <v>211</v>
      </c>
      <c r="AU219" s="238" t="s">
        <v>88</v>
      </c>
      <c r="AV219" s="13" t="s">
        <v>88</v>
      </c>
      <c r="AW219" s="13" t="s">
        <v>213</v>
      </c>
      <c r="AX219" s="13" t="s">
        <v>86</v>
      </c>
      <c r="AY219" s="238" t="s">
        <v>200</v>
      </c>
    </row>
    <row r="220" s="2" customFormat="1" ht="16.5" customHeight="1">
      <c r="A220" s="40"/>
      <c r="B220" s="41"/>
      <c r="C220" s="260" t="s">
        <v>534</v>
      </c>
      <c r="D220" s="260" t="s">
        <v>292</v>
      </c>
      <c r="E220" s="261" t="s">
        <v>3437</v>
      </c>
      <c r="F220" s="262" t="s">
        <v>3438</v>
      </c>
      <c r="G220" s="263" t="s">
        <v>272</v>
      </c>
      <c r="H220" s="264">
        <v>4.5</v>
      </c>
      <c r="I220" s="265"/>
      <c r="J220" s="266">
        <f>ROUND(I220*H220,1)</f>
        <v>0</v>
      </c>
      <c r="K220" s="262" t="s">
        <v>206</v>
      </c>
      <c r="L220" s="267"/>
      <c r="M220" s="268" t="s">
        <v>32</v>
      </c>
      <c r="N220" s="269" t="s">
        <v>49</v>
      </c>
      <c r="O220" s="86"/>
      <c r="P220" s="218">
        <f>O220*H220</f>
        <v>0</v>
      </c>
      <c r="Q220" s="218">
        <v>0.159</v>
      </c>
      <c r="R220" s="218">
        <f>Q220*H220</f>
        <v>0.71550000000000002</v>
      </c>
      <c r="S220" s="218">
        <v>0</v>
      </c>
      <c r="T220" s="219">
        <f>S220*H220</f>
        <v>0</v>
      </c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R220" s="220" t="s">
        <v>254</v>
      </c>
      <c r="AT220" s="220" t="s">
        <v>292</v>
      </c>
      <c r="AU220" s="220" t="s">
        <v>88</v>
      </c>
      <c r="AY220" s="18" t="s">
        <v>200</v>
      </c>
      <c r="BE220" s="221">
        <f>IF(N220="základní",J220,0)</f>
        <v>0</v>
      </c>
      <c r="BF220" s="221">
        <f>IF(N220="snížená",J220,0)</f>
        <v>0</v>
      </c>
      <c r="BG220" s="221">
        <f>IF(N220="zákl. přenesená",J220,0)</f>
        <v>0</v>
      </c>
      <c r="BH220" s="221">
        <f>IF(N220="sníž. přenesená",J220,0)</f>
        <v>0</v>
      </c>
      <c r="BI220" s="221">
        <f>IF(N220="nulová",J220,0)</f>
        <v>0</v>
      </c>
      <c r="BJ220" s="18" t="s">
        <v>86</v>
      </c>
      <c r="BK220" s="221">
        <f>ROUND(I220*H220,1)</f>
        <v>0</v>
      </c>
      <c r="BL220" s="18" t="s">
        <v>207</v>
      </c>
      <c r="BM220" s="220" t="s">
        <v>3439</v>
      </c>
    </row>
    <row r="221" s="13" customFormat="1">
      <c r="A221" s="13"/>
      <c r="B221" s="227"/>
      <c r="C221" s="228"/>
      <c r="D221" s="229" t="s">
        <v>211</v>
      </c>
      <c r="E221" s="230" t="s">
        <v>32</v>
      </c>
      <c r="F221" s="231" t="s">
        <v>3427</v>
      </c>
      <c r="G221" s="228"/>
      <c r="H221" s="232">
        <v>4.5</v>
      </c>
      <c r="I221" s="233"/>
      <c r="J221" s="228"/>
      <c r="K221" s="228"/>
      <c r="L221" s="234"/>
      <c r="M221" s="235"/>
      <c r="N221" s="236"/>
      <c r="O221" s="236"/>
      <c r="P221" s="236"/>
      <c r="Q221" s="236"/>
      <c r="R221" s="236"/>
      <c r="S221" s="236"/>
      <c r="T221" s="237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T221" s="238" t="s">
        <v>211</v>
      </c>
      <c r="AU221" s="238" t="s">
        <v>88</v>
      </c>
      <c r="AV221" s="13" t="s">
        <v>88</v>
      </c>
      <c r="AW221" s="13" t="s">
        <v>213</v>
      </c>
      <c r="AX221" s="13" t="s">
        <v>86</v>
      </c>
      <c r="AY221" s="238" t="s">
        <v>200</v>
      </c>
    </row>
    <row r="222" s="2" customFormat="1" ht="16.5" customHeight="1">
      <c r="A222" s="40"/>
      <c r="B222" s="41"/>
      <c r="C222" s="260" t="s">
        <v>542</v>
      </c>
      <c r="D222" s="260" t="s">
        <v>292</v>
      </c>
      <c r="E222" s="261" t="s">
        <v>3440</v>
      </c>
      <c r="F222" s="262" t="s">
        <v>3441</v>
      </c>
      <c r="G222" s="263" t="s">
        <v>272</v>
      </c>
      <c r="H222" s="264">
        <v>1.02</v>
      </c>
      <c r="I222" s="265"/>
      <c r="J222" s="266">
        <f>ROUND(I222*H222,1)</f>
        <v>0</v>
      </c>
      <c r="K222" s="262" t="s">
        <v>206</v>
      </c>
      <c r="L222" s="267"/>
      <c r="M222" s="268" t="s">
        <v>32</v>
      </c>
      <c r="N222" s="269" t="s">
        <v>49</v>
      </c>
      <c r="O222" s="86"/>
      <c r="P222" s="218">
        <f>O222*H222</f>
        <v>0</v>
      </c>
      <c r="Q222" s="218">
        <v>0.17599999999999999</v>
      </c>
      <c r="R222" s="218">
        <f>Q222*H222</f>
        <v>0.17951999999999999</v>
      </c>
      <c r="S222" s="218">
        <v>0</v>
      </c>
      <c r="T222" s="219">
        <f>S222*H222</f>
        <v>0</v>
      </c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R222" s="220" t="s">
        <v>254</v>
      </c>
      <c r="AT222" s="220" t="s">
        <v>292</v>
      </c>
      <c r="AU222" s="220" t="s">
        <v>88</v>
      </c>
      <c r="AY222" s="18" t="s">
        <v>200</v>
      </c>
      <c r="BE222" s="221">
        <f>IF(N222="základní",J222,0)</f>
        <v>0</v>
      </c>
      <c r="BF222" s="221">
        <f>IF(N222="snížená",J222,0)</f>
        <v>0</v>
      </c>
      <c r="BG222" s="221">
        <f>IF(N222="zákl. přenesená",J222,0)</f>
        <v>0</v>
      </c>
      <c r="BH222" s="221">
        <f>IF(N222="sníž. přenesená",J222,0)</f>
        <v>0</v>
      </c>
      <c r="BI222" s="221">
        <f>IF(N222="nulová",J222,0)</f>
        <v>0</v>
      </c>
      <c r="BJ222" s="18" t="s">
        <v>86</v>
      </c>
      <c r="BK222" s="221">
        <f>ROUND(I222*H222,1)</f>
        <v>0</v>
      </c>
      <c r="BL222" s="18" t="s">
        <v>207</v>
      </c>
      <c r="BM222" s="220" t="s">
        <v>3442</v>
      </c>
    </row>
    <row r="223" s="13" customFormat="1">
      <c r="A223" s="13"/>
      <c r="B223" s="227"/>
      <c r="C223" s="228"/>
      <c r="D223" s="229" t="s">
        <v>211</v>
      </c>
      <c r="E223" s="230" t="s">
        <v>32</v>
      </c>
      <c r="F223" s="231" t="s">
        <v>3429</v>
      </c>
      <c r="G223" s="228"/>
      <c r="H223" s="232">
        <v>1</v>
      </c>
      <c r="I223" s="233"/>
      <c r="J223" s="228"/>
      <c r="K223" s="228"/>
      <c r="L223" s="234"/>
      <c r="M223" s="235"/>
      <c r="N223" s="236"/>
      <c r="O223" s="236"/>
      <c r="P223" s="236"/>
      <c r="Q223" s="236"/>
      <c r="R223" s="236"/>
      <c r="S223" s="236"/>
      <c r="T223" s="237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T223" s="238" t="s">
        <v>211</v>
      </c>
      <c r="AU223" s="238" t="s">
        <v>88</v>
      </c>
      <c r="AV223" s="13" t="s">
        <v>88</v>
      </c>
      <c r="AW223" s="13" t="s">
        <v>213</v>
      </c>
      <c r="AX223" s="13" t="s">
        <v>86</v>
      </c>
      <c r="AY223" s="238" t="s">
        <v>200</v>
      </c>
    </row>
    <row r="224" s="13" customFormat="1">
      <c r="A224" s="13"/>
      <c r="B224" s="227"/>
      <c r="C224" s="228"/>
      <c r="D224" s="229" t="s">
        <v>211</v>
      </c>
      <c r="E224" s="228"/>
      <c r="F224" s="231" t="s">
        <v>3443</v>
      </c>
      <c r="G224" s="228"/>
      <c r="H224" s="232">
        <v>1.02</v>
      </c>
      <c r="I224" s="233"/>
      <c r="J224" s="228"/>
      <c r="K224" s="228"/>
      <c r="L224" s="234"/>
      <c r="M224" s="235"/>
      <c r="N224" s="236"/>
      <c r="O224" s="236"/>
      <c r="P224" s="236"/>
      <c r="Q224" s="236"/>
      <c r="R224" s="236"/>
      <c r="S224" s="236"/>
      <c r="T224" s="237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38" t="s">
        <v>211</v>
      </c>
      <c r="AU224" s="238" t="s">
        <v>88</v>
      </c>
      <c r="AV224" s="13" t="s">
        <v>88</v>
      </c>
      <c r="AW224" s="13" t="s">
        <v>4</v>
      </c>
      <c r="AX224" s="13" t="s">
        <v>86</v>
      </c>
      <c r="AY224" s="238" t="s">
        <v>200</v>
      </c>
    </row>
    <row r="225" s="2" customFormat="1" ht="37.8" customHeight="1">
      <c r="A225" s="40"/>
      <c r="B225" s="41"/>
      <c r="C225" s="209" t="s">
        <v>549</v>
      </c>
      <c r="D225" s="209" t="s">
        <v>202</v>
      </c>
      <c r="E225" s="210" t="s">
        <v>3444</v>
      </c>
      <c r="F225" s="211" t="s">
        <v>3445</v>
      </c>
      <c r="G225" s="212" t="s">
        <v>272</v>
      </c>
      <c r="H225" s="213">
        <v>81.099999999999994</v>
      </c>
      <c r="I225" s="214"/>
      <c r="J225" s="215">
        <f>ROUND(I225*H225,1)</f>
        <v>0</v>
      </c>
      <c r="K225" s="211" t="s">
        <v>206</v>
      </c>
      <c r="L225" s="46"/>
      <c r="M225" s="216" t="s">
        <v>32</v>
      </c>
      <c r="N225" s="217" t="s">
        <v>49</v>
      </c>
      <c r="O225" s="86"/>
      <c r="P225" s="218">
        <f>O225*H225</f>
        <v>0</v>
      </c>
      <c r="Q225" s="218">
        <v>0.10100000000000001</v>
      </c>
      <c r="R225" s="218">
        <f>Q225*H225</f>
        <v>8.1911000000000005</v>
      </c>
      <c r="S225" s="218">
        <v>0</v>
      </c>
      <c r="T225" s="219">
        <f>S225*H225</f>
        <v>0</v>
      </c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R225" s="220" t="s">
        <v>207</v>
      </c>
      <c r="AT225" s="220" t="s">
        <v>202</v>
      </c>
      <c r="AU225" s="220" t="s">
        <v>88</v>
      </c>
      <c r="AY225" s="18" t="s">
        <v>200</v>
      </c>
      <c r="BE225" s="221">
        <f>IF(N225="základní",J225,0)</f>
        <v>0</v>
      </c>
      <c r="BF225" s="221">
        <f>IF(N225="snížená",J225,0)</f>
        <v>0</v>
      </c>
      <c r="BG225" s="221">
        <f>IF(N225="zákl. přenesená",J225,0)</f>
        <v>0</v>
      </c>
      <c r="BH225" s="221">
        <f>IF(N225="sníž. přenesená",J225,0)</f>
        <v>0</v>
      </c>
      <c r="BI225" s="221">
        <f>IF(N225="nulová",J225,0)</f>
        <v>0</v>
      </c>
      <c r="BJ225" s="18" t="s">
        <v>86</v>
      </c>
      <c r="BK225" s="221">
        <f>ROUND(I225*H225,1)</f>
        <v>0</v>
      </c>
      <c r="BL225" s="18" t="s">
        <v>207</v>
      </c>
      <c r="BM225" s="220" t="s">
        <v>3446</v>
      </c>
    </row>
    <row r="226" s="2" customFormat="1">
      <c r="A226" s="40"/>
      <c r="B226" s="41"/>
      <c r="C226" s="42"/>
      <c r="D226" s="222" t="s">
        <v>209</v>
      </c>
      <c r="E226" s="42"/>
      <c r="F226" s="223" t="s">
        <v>3447</v>
      </c>
      <c r="G226" s="42"/>
      <c r="H226" s="42"/>
      <c r="I226" s="224"/>
      <c r="J226" s="42"/>
      <c r="K226" s="42"/>
      <c r="L226" s="46"/>
      <c r="M226" s="225"/>
      <c r="N226" s="226"/>
      <c r="O226" s="86"/>
      <c r="P226" s="86"/>
      <c r="Q226" s="86"/>
      <c r="R226" s="86"/>
      <c r="S226" s="86"/>
      <c r="T226" s="87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T226" s="18" t="s">
        <v>209</v>
      </c>
      <c r="AU226" s="18" t="s">
        <v>88</v>
      </c>
    </row>
    <row r="227" s="2" customFormat="1" ht="16.5" customHeight="1">
      <c r="A227" s="40"/>
      <c r="B227" s="41"/>
      <c r="C227" s="260" t="s">
        <v>555</v>
      </c>
      <c r="D227" s="260" t="s">
        <v>292</v>
      </c>
      <c r="E227" s="261" t="s">
        <v>3448</v>
      </c>
      <c r="F227" s="262" t="s">
        <v>3449</v>
      </c>
      <c r="G227" s="263" t="s">
        <v>272</v>
      </c>
      <c r="H227" s="264">
        <v>83.533000000000001</v>
      </c>
      <c r="I227" s="265"/>
      <c r="J227" s="266">
        <f>ROUND(I227*H227,1)</f>
        <v>0</v>
      </c>
      <c r="K227" s="262" t="s">
        <v>32</v>
      </c>
      <c r="L227" s="267"/>
      <c r="M227" s="268" t="s">
        <v>32</v>
      </c>
      <c r="N227" s="269" t="s">
        <v>49</v>
      </c>
      <c r="O227" s="86"/>
      <c r="P227" s="218">
        <f>O227*H227</f>
        <v>0</v>
      </c>
      <c r="Q227" s="218">
        <v>0.11500000000000001</v>
      </c>
      <c r="R227" s="218">
        <f>Q227*H227</f>
        <v>9.6062950000000011</v>
      </c>
      <c r="S227" s="218">
        <v>0</v>
      </c>
      <c r="T227" s="219">
        <f>S227*H227</f>
        <v>0</v>
      </c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R227" s="220" t="s">
        <v>254</v>
      </c>
      <c r="AT227" s="220" t="s">
        <v>292</v>
      </c>
      <c r="AU227" s="220" t="s">
        <v>88</v>
      </c>
      <c r="AY227" s="18" t="s">
        <v>200</v>
      </c>
      <c r="BE227" s="221">
        <f>IF(N227="základní",J227,0)</f>
        <v>0</v>
      </c>
      <c r="BF227" s="221">
        <f>IF(N227="snížená",J227,0)</f>
        <v>0</v>
      </c>
      <c r="BG227" s="221">
        <f>IF(N227="zákl. přenesená",J227,0)</f>
        <v>0</v>
      </c>
      <c r="BH227" s="221">
        <f>IF(N227="sníž. přenesená",J227,0)</f>
        <v>0</v>
      </c>
      <c r="BI227" s="221">
        <f>IF(N227="nulová",J227,0)</f>
        <v>0</v>
      </c>
      <c r="BJ227" s="18" t="s">
        <v>86</v>
      </c>
      <c r="BK227" s="221">
        <f>ROUND(I227*H227,1)</f>
        <v>0</v>
      </c>
      <c r="BL227" s="18" t="s">
        <v>207</v>
      </c>
      <c r="BM227" s="220" t="s">
        <v>3450</v>
      </c>
    </row>
    <row r="228" s="13" customFormat="1">
      <c r="A228" s="13"/>
      <c r="B228" s="227"/>
      <c r="C228" s="228"/>
      <c r="D228" s="229" t="s">
        <v>211</v>
      </c>
      <c r="E228" s="228"/>
      <c r="F228" s="231" t="s">
        <v>3451</v>
      </c>
      <c r="G228" s="228"/>
      <c r="H228" s="232">
        <v>83.533000000000001</v>
      </c>
      <c r="I228" s="233"/>
      <c r="J228" s="228"/>
      <c r="K228" s="228"/>
      <c r="L228" s="234"/>
      <c r="M228" s="235"/>
      <c r="N228" s="236"/>
      <c r="O228" s="236"/>
      <c r="P228" s="236"/>
      <c r="Q228" s="236"/>
      <c r="R228" s="236"/>
      <c r="S228" s="236"/>
      <c r="T228" s="237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T228" s="238" t="s">
        <v>211</v>
      </c>
      <c r="AU228" s="238" t="s">
        <v>88</v>
      </c>
      <c r="AV228" s="13" t="s">
        <v>88</v>
      </c>
      <c r="AW228" s="13" t="s">
        <v>4</v>
      </c>
      <c r="AX228" s="13" t="s">
        <v>86</v>
      </c>
      <c r="AY228" s="238" t="s">
        <v>200</v>
      </c>
    </row>
    <row r="229" s="12" customFormat="1" ht="22.8" customHeight="1">
      <c r="A229" s="12"/>
      <c r="B229" s="193"/>
      <c r="C229" s="194"/>
      <c r="D229" s="195" t="s">
        <v>77</v>
      </c>
      <c r="E229" s="207" t="s">
        <v>241</v>
      </c>
      <c r="F229" s="207" t="s">
        <v>592</v>
      </c>
      <c r="G229" s="194"/>
      <c r="H229" s="194"/>
      <c r="I229" s="197"/>
      <c r="J229" s="208">
        <f>BK229</f>
        <v>0</v>
      </c>
      <c r="K229" s="194"/>
      <c r="L229" s="199"/>
      <c r="M229" s="200"/>
      <c r="N229" s="201"/>
      <c r="O229" s="201"/>
      <c r="P229" s="202">
        <f>SUM(P230:P236)</f>
        <v>0</v>
      </c>
      <c r="Q229" s="201"/>
      <c r="R229" s="202">
        <f>SUM(R230:R236)</f>
        <v>23.883426</v>
      </c>
      <c r="S229" s="201"/>
      <c r="T229" s="203">
        <f>SUM(T230:T236)</f>
        <v>0</v>
      </c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R229" s="204" t="s">
        <v>86</v>
      </c>
      <c r="AT229" s="205" t="s">
        <v>77</v>
      </c>
      <c r="AU229" s="205" t="s">
        <v>86</v>
      </c>
      <c r="AY229" s="204" t="s">
        <v>200</v>
      </c>
      <c r="BK229" s="206">
        <f>SUM(BK230:BK236)</f>
        <v>0</v>
      </c>
    </row>
    <row r="230" s="2" customFormat="1" ht="21.75" customHeight="1">
      <c r="A230" s="40"/>
      <c r="B230" s="41"/>
      <c r="C230" s="209" t="s">
        <v>560</v>
      </c>
      <c r="D230" s="209" t="s">
        <v>202</v>
      </c>
      <c r="E230" s="210" t="s">
        <v>3452</v>
      </c>
      <c r="F230" s="211" t="s">
        <v>3453</v>
      </c>
      <c r="G230" s="212" t="s">
        <v>272</v>
      </c>
      <c r="H230" s="213">
        <v>81</v>
      </c>
      <c r="I230" s="214"/>
      <c r="J230" s="215">
        <f>ROUND(I230*H230,1)</f>
        <v>0</v>
      </c>
      <c r="K230" s="211" t="s">
        <v>32</v>
      </c>
      <c r="L230" s="46"/>
      <c r="M230" s="216" t="s">
        <v>32</v>
      </c>
      <c r="N230" s="217" t="s">
        <v>49</v>
      </c>
      <c r="O230" s="86"/>
      <c r="P230" s="218">
        <f>O230*H230</f>
        <v>0</v>
      </c>
      <c r="Q230" s="218">
        <v>0.24384</v>
      </c>
      <c r="R230" s="218">
        <f>Q230*H230</f>
        <v>19.75104</v>
      </c>
      <c r="S230" s="218">
        <v>0</v>
      </c>
      <c r="T230" s="219">
        <f>S230*H230</f>
        <v>0</v>
      </c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R230" s="220" t="s">
        <v>207</v>
      </c>
      <c r="AT230" s="220" t="s">
        <v>202</v>
      </c>
      <c r="AU230" s="220" t="s">
        <v>88</v>
      </c>
      <c r="AY230" s="18" t="s">
        <v>200</v>
      </c>
      <c r="BE230" s="221">
        <f>IF(N230="základní",J230,0)</f>
        <v>0</v>
      </c>
      <c r="BF230" s="221">
        <f>IF(N230="snížená",J230,0)</f>
        <v>0</v>
      </c>
      <c r="BG230" s="221">
        <f>IF(N230="zákl. přenesená",J230,0)</f>
        <v>0</v>
      </c>
      <c r="BH230" s="221">
        <f>IF(N230="sníž. přenesená",J230,0)</f>
        <v>0</v>
      </c>
      <c r="BI230" s="221">
        <f>IF(N230="nulová",J230,0)</f>
        <v>0</v>
      </c>
      <c r="BJ230" s="18" t="s">
        <v>86</v>
      </c>
      <c r="BK230" s="221">
        <f>ROUND(I230*H230,1)</f>
        <v>0</v>
      </c>
      <c r="BL230" s="18" t="s">
        <v>207</v>
      </c>
      <c r="BM230" s="220" t="s">
        <v>3454</v>
      </c>
    </row>
    <row r="231" s="13" customFormat="1">
      <c r="A231" s="13"/>
      <c r="B231" s="227"/>
      <c r="C231" s="228"/>
      <c r="D231" s="229" t="s">
        <v>211</v>
      </c>
      <c r="E231" s="230" t="s">
        <v>32</v>
      </c>
      <c r="F231" s="231" t="s">
        <v>3455</v>
      </c>
      <c r="G231" s="228"/>
      <c r="H231" s="232">
        <v>81</v>
      </c>
      <c r="I231" s="233"/>
      <c r="J231" s="228"/>
      <c r="K231" s="228"/>
      <c r="L231" s="234"/>
      <c r="M231" s="235"/>
      <c r="N231" s="236"/>
      <c r="O231" s="236"/>
      <c r="P231" s="236"/>
      <c r="Q231" s="236"/>
      <c r="R231" s="236"/>
      <c r="S231" s="236"/>
      <c r="T231" s="237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T231" s="238" t="s">
        <v>211</v>
      </c>
      <c r="AU231" s="238" t="s">
        <v>88</v>
      </c>
      <c r="AV231" s="13" t="s">
        <v>88</v>
      </c>
      <c r="AW231" s="13" t="s">
        <v>213</v>
      </c>
      <c r="AX231" s="13" t="s">
        <v>86</v>
      </c>
      <c r="AY231" s="238" t="s">
        <v>200</v>
      </c>
    </row>
    <row r="232" s="2" customFormat="1" ht="21.75" customHeight="1">
      <c r="A232" s="40"/>
      <c r="B232" s="41"/>
      <c r="C232" s="209" t="s">
        <v>565</v>
      </c>
      <c r="D232" s="209" t="s">
        <v>202</v>
      </c>
      <c r="E232" s="210" t="s">
        <v>3456</v>
      </c>
      <c r="F232" s="211" t="s">
        <v>3457</v>
      </c>
      <c r="G232" s="212" t="s">
        <v>272</v>
      </c>
      <c r="H232" s="213">
        <v>7.5999999999999996</v>
      </c>
      <c r="I232" s="214"/>
      <c r="J232" s="215">
        <f>ROUND(I232*H232,1)</f>
        <v>0</v>
      </c>
      <c r="K232" s="211" t="s">
        <v>206</v>
      </c>
      <c r="L232" s="46"/>
      <c r="M232" s="216" t="s">
        <v>32</v>
      </c>
      <c r="N232" s="217" t="s">
        <v>49</v>
      </c>
      <c r="O232" s="86"/>
      <c r="P232" s="218">
        <f>O232*H232</f>
        <v>0</v>
      </c>
      <c r="Q232" s="218">
        <v>0.22136</v>
      </c>
      <c r="R232" s="218">
        <f>Q232*H232</f>
        <v>1.6823359999999998</v>
      </c>
      <c r="S232" s="218">
        <v>0</v>
      </c>
      <c r="T232" s="219">
        <f>S232*H232</f>
        <v>0</v>
      </c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R232" s="220" t="s">
        <v>207</v>
      </c>
      <c r="AT232" s="220" t="s">
        <v>202</v>
      </c>
      <c r="AU232" s="220" t="s">
        <v>88</v>
      </c>
      <c r="AY232" s="18" t="s">
        <v>200</v>
      </c>
      <c r="BE232" s="221">
        <f>IF(N232="základní",J232,0)</f>
        <v>0</v>
      </c>
      <c r="BF232" s="221">
        <f>IF(N232="snížená",J232,0)</f>
        <v>0</v>
      </c>
      <c r="BG232" s="221">
        <f>IF(N232="zákl. přenesená",J232,0)</f>
        <v>0</v>
      </c>
      <c r="BH232" s="221">
        <f>IF(N232="sníž. přenesená",J232,0)</f>
        <v>0</v>
      </c>
      <c r="BI232" s="221">
        <f>IF(N232="nulová",J232,0)</f>
        <v>0</v>
      </c>
      <c r="BJ232" s="18" t="s">
        <v>86</v>
      </c>
      <c r="BK232" s="221">
        <f>ROUND(I232*H232,1)</f>
        <v>0</v>
      </c>
      <c r="BL232" s="18" t="s">
        <v>207</v>
      </c>
      <c r="BM232" s="220" t="s">
        <v>3458</v>
      </c>
    </row>
    <row r="233" s="2" customFormat="1">
      <c r="A233" s="40"/>
      <c r="B233" s="41"/>
      <c r="C233" s="42"/>
      <c r="D233" s="222" t="s">
        <v>209</v>
      </c>
      <c r="E233" s="42"/>
      <c r="F233" s="223" t="s">
        <v>3459</v>
      </c>
      <c r="G233" s="42"/>
      <c r="H233" s="42"/>
      <c r="I233" s="224"/>
      <c r="J233" s="42"/>
      <c r="K233" s="42"/>
      <c r="L233" s="46"/>
      <c r="M233" s="225"/>
      <c r="N233" s="226"/>
      <c r="O233" s="86"/>
      <c r="P233" s="86"/>
      <c r="Q233" s="86"/>
      <c r="R233" s="86"/>
      <c r="S233" s="86"/>
      <c r="T233" s="87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T233" s="18" t="s">
        <v>209</v>
      </c>
      <c r="AU233" s="18" t="s">
        <v>88</v>
      </c>
    </row>
    <row r="234" s="13" customFormat="1">
      <c r="A234" s="13"/>
      <c r="B234" s="227"/>
      <c r="C234" s="228"/>
      <c r="D234" s="229" t="s">
        <v>211</v>
      </c>
      <c r="E234" s="230" t="s">
        <v>32</v>
      </c>
      <c r="F234" s="231" t="s">
        <v>3460</v>
      </c>
      <c r="G234" s="228"/>
      <c r="H234" s="232">
        <v>7.5999999999999996</v>
      </c>
      <c r="I234" s="233"/>
      <c r="J234" s="228"/>
      <c r="K234" s="228"/>
      <c r="L234" s="234"/>
      <c r="M234" s="235"/>
      <c r="N234" s="236"/>
      <c r="O234" s="236"/>
      <c r="P234" s="236"/>
      <c r="Q234" s="236"/>
      <c r="R234" s="236"/>
      <c r="S234" s="236"/>
      <c r="T234" s="237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T234" s="238" t="s">
        <v>211</v>
      </c>
      <c r="AU234" s="238" t="s">
        <v>88</v>
      </c>
      <c r="AV234" s="13" t="s">
        <v>88</v>
      </c>
      <c r="AW234" s="13" t="s">
        <v>213</v>
      </c>
      <c r="AX234" s="13" t="s">
        <v>86</v>
      </c>
      <c r="AY234" s="238" t="s">
        <v>200</v>
      </c>
    </row>
    <row r="235" s="2" customFormat="1" ht="24.15" customHeight="1">
      <c r="A235" s="40"/>
      <c r="B235" s="41"/>
      <c r="C235" s="209" t="s">
        <v>570</v>
      </c>
      <c r="D235" s="209" t="s">
        <v>202</v>
      </c>
      <c r="E235" s="210" t="s">
        <v>3461</v>
      </c>
      <c r="F235" s="211" t="s">
        <v>3462</v>
      </c>
      <c r="G235" s="212" t="s">
        <v>280</v>
      </c>
      <c r="H235" s="213">
        <v>19</v>
      </c>
      <c r="I235" s="214"/>
      <c r="J235" s="215">
        <f>ROUND(I235*H235,1)</f>
        <v>0</v>
      </c>
      <c r="K235" s="211" t="s">
        <v>206</v>
      </c>
      <c r="L235" s="46"/>
      <c r="M235" s="216" t="s">
        <v>32</v>
      </c>
      <c r="N235" s="217" t="s">
        <v>49</v>
      </c>
      <c r="O235" s="86"/>
      <c r="P235" s="218">
        <f>O235*H235</f>
        <v>0</v>
      </c>
      <c r="Q235" s="218">
        <v>0.12895000000000001</v>
      </c>
      <c r="R235" s="218">
        <f>Q235*H235</f>
        <v>2.4500500000000001</v>
      </c>
      <c r="S235" s="218">
        <v>0</v>
      </c>
      <c r="T235" s="219">
        <f>S235*H235</f>
        <v>0</v>
      </c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R235" s="220" t="s">
        <v>207</v>
      </c>
      <c r="AT235" s="220" t="s">
        <v>202</v>
      </c>
      <c r="AU235" s="220" t="s">
        <v>88</v>
      </c>
      <c r="AY235" s="18" t="s">
        <v>200</v>
      </c>
      <c r="BE235" s="221">
        <f>IF(N235="základní",J235,0)</f>
        <v>0</v>
      </c>
      <c r="BF235" s="221">
        <f>IF(N235="snížená",J235,0)</f>
        <v>0</v>
      </c>
      <c r="BG235" s="221">
        <f>IF(N235="zákl. přenesená",J235,0)</f>
        <v>0</v>
      </c>
      <c r="BH235" s="221">
        <f>IF(N235="sníž. přenesená",J235,0)</f>
        <v>0</v>
      </c>
      <c r="BI235" s="221">
        <f>IF(N235="nulová",J235,0)</f>
        <v>0</v>
      </c>
      <c r="BJ235" s="18" t="s">
        <v>86</v>
      </c>
      <c r="BK235" s="221">
        <f>ROUND(I235*H235,1)</f>
        <v>0</v>
      </c>
      <c r="BL235" s="18" t="s">
        <v>207</v>
      </c>
      <c r="BM235" s="220" t="s">
        <v>3463</v>
      </c>
    </row>
    <row r="236" s="2" customFormat="1">
      <c r="A236" s="40"/>
      <c r="B236" s="41"/>
      <c r="C236" s="42"/>
      <c r="D236" s="222" t="s">
        <v>209</v>
      </c>
      <c r="E236" s="42"/>
      <c r="F236" s="223" t="s">
        <v>3464</v>
      </c>
      <c r="G236" s="42"/>
      <c r="H236" s="42"/>
      <c r="I236" s="224"/>
      <c r="J236" s="42"/>
      <c r="K236" s="42"/>
      <c r="L236" s="46"/>
      <c r="M236" s="225"/>
      <c r="N236" s="226"/>
      <c r="O236" s="86"/>
      <c r="P236" s="86"/>
      <c r="Q236" s="86"/>
      <c r="R236" s="86"/>
      <c r="S236" s="86"/>
      <c r="T236" s="87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T236" s="18" t="s">
        <v>209</v>
      </c>
      <c r="AU236" s="18" t="s">
        <v>88</v>
      </c>
    </row>
    <row r="237" s="12" customFormat="1" ht="22.8" customHeight="1">
      <c r="A237" s="12"/>
      <c r="B237" s="193"/>
      <c r="C237" s="194"/>
      <c r="D237" s="195" t="s">
        <v>77</v>
      </c>
      <c r="E237" s="207" t="s">
        <v>254</v>
      </c>
      <c r="F237" s="207" t="s">
        <v>737</v>
      </c>
      <c r="G237" s="194"/>
      <c r="H237" s="194"/>
      <c r="I237" s="197"/>
      <c r="J237" s="208">
        <f>BK237</f>
        <v>0</v>
      </c>
      <c r="K237" s="194"/>
      <c r="L237" s="199"/>
      <c r="M237" s="200"/>
      <c r="N237" s="201"/>
      <c r="O237" s="201"/>
      <c r="P237" s="202">
        <f>SUM(P238:P255)</f>
        <v>0</v>
      </c>
      <c r="Q237" s="201"/>
      <c r="R237" s="202">
        <f>SUM(R238:R255)</f>
        <v>0.89546999999999999</v>
      </c>
      <c r="S237" s="201"/>
      <c r="T237" s="203">
        <f>SUM(T238:T255)</f>
        <v>0</v>
      </c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R237" s="204" t="s">
        <v>86</v>
      </c>
      <c r="AT237" s="205" t="s">
        <v>77</v>
      </c>
      <c r="AU237" s="205" t="s">
        <v>86</v>
      </c>
      <c r="AY237" s="204" t="s">
        <v>200</v>
      </c>
      <c r="BK237" s="206">
        <f>SUM(BK238:BK255)</f>
        <v>0</v>
      </c>
    </row>
    <row r="238" s="2" customFormat="1" ht="24.15" customHeight="1">
      <c r="A238" s="40"/>
      <c r="B238" s="41"/>
      <c r="C238" s="209" t="s">
        <v>575</v>
      </c>
      <c r="D238" s="209" t="s">
        <v>202</v>
      </c>
      <c r="E238" s="210" t="s">
        <v>3465</v>
      </c>
      <c r="F238" s="211" t="s">
        <v>3466</v>
      </c>
      <c r="G238" s="212" t="s">
        <v>280</v>
      </c>
      <c r="H238" s="213">
        <v>5.5</v>
      </c>
      <c r="I238" s="214"/>
      <c r="J238" s="215">
        <f>ROUND(I238*H238,1)</f>
        <v>0</v>
      </c>
      <c r="K238" s="211" t="s">
        <v>206</v>
      </c>
      <c r="L238" s="46"/>
      <c r="M238" s="216" t="s">
        <v>32</v>
      </c>
      <c r="N238" s="217" t="s">
        <v>49</v>
      </c>
      <c r="O238" s="86"/>
      <c r="P238" s="218">
        <f>O238*H238</f>
        <v>0</v>
      </c>
      <c r="Q238" s="218">
        <v>0.0042199999999999998</v>
      </c>
      <c r="R238" s="218">
        <f>Q238*H238</f>
        <v>0.023209999999999998</v>
      </c>
      <c r="S238" s="218">
        <v>0</v>
      </c>
      <c r="T238" s="219">
        <f>S238*H238</f>
        <v>0</v>
      </c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R238" s="220" t="s">
        <v>207</v>
      </c>
      <c r="AT238" s="220" t="s">
        <v>202</v>
      </c>
      <c r="AU238" s="220" t="s">
        <v>88</v>
      </c>
      <c r="AY238" s="18" t="s">
        <v>200</v>
      </c>
      <c r="BE238" s="221">
        <f>IF(N238="základní",J238,0)</f>
        <v>0</v>
      </c>
      <c r="BF238" s="221">
        <f>IF(N238="snížená",J238,0)</f>
        <v>0</v>
      </c>
      <c r="BG238" s="221">
        <f>IF(N238="zákl. přenesená",J238,0)</f>
        <v>0</v>
      </c>
      <c r="BH238" s="221">
        <f>IF(N238="sníž. přenesená",J238,0)</f>
        <v>0</v>
      </c>
      <c r="BI238" s="221">
        <f>IF(N238="nulová",J238,0)</f>
        <v>0</v>
      </c>
      <c r="BJ238" s="18" t="s">
        <v>86</v>
      </c>
      <c r="BK238" s="221">
        <f>ROUND(I238*H238,1)</f>
        <v>0</v>
      </c>
      <c r="BL238" s="18" t="s">
        <v>207</v>
      </c>
      <c r="BM238" s="220" t="s">
        <v>3467</v>
      </c>
    </row>
    <row r="239" s="2" customFormat="1">
      <c r="A239" s="40"/>
      <c r="B239" s="41"/>
      <c r="C239" s="42"/>
      <c r="D239" s="222" t="s">
        <v>209</v>
      </c>
      <c r="E239" s="42"/>
      <c r="F239" s="223" t="s">
        <v>3468</v>
      </c>
      <c r="G239" s="42"/>
      <c r="H239" s="42"/>
      <c r="I239" s="224"/>
      <c r="J239" s="42"/>
      <c r="K239" s="42"/>
      <c r="L239" s="46"/>
      <c r="M239" s="225"/>
      <c r="N239" s="226"/>
      <c r="O239" s="86"/>
      <c r="P239" s="86"/>
      <c r="Q239" s="86"/>
      <c r="R239" s="86"/>
      <c r="S239" s="86"/>
      <c r="T239" s="87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T239" s="18" t="s">
        <v>209</v>
      </c>
      <c r="AU239" s="18" t="s">
        <v>88</v>
      </c>
    </row>
    <row r="240" s="13" customFormat="1">
      <c r="A240" s="13"/>
      <c r="B240" s="227"/>
      <c r="C240" s="228"/>
      <c r="D240" s="229" t="s">
        <v>211</v>
      </c>
      <c r="E240" s="230" t="s">
        <v>32</v>
      </c>
      <c r="F240" s="231" t="s">
        <v>3469</v>
      </c>
      <c r="G240" s="228"/>
      <c r="H240" s="232">
        <v>0.5</v>
      </c>
      <c r="I240" s="233"/>
      <c r="J240" s="228"/>
      <c r="K240" s="228"/>
      <c r="L240" s="234"/>
      <c r="M240" s="235"/>
      <c r="N240" s="236"/>
      <c r="O240" s="236"/>
      <c r="P240" s="236"/>
      <c r="Q240" s="236"/>
      <c r="R240" s="236"/>
      <c r="S240" s="236"/>
      <c r="T240" s="237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T240" s="238" t="s">
        <v>211</v>
      </c>
      <c r="AU240" s="238" t="s">
        <v>88</v>
      </c>
      <c r="AV240" s="13" t="s">
        <v>88</v>
      </c>
      <c r="AW240" s="13" t="s">
        <v>213</v>
      </c>
      <c r="AX240" s="13" t="s">
        <v>78</v>
      </c>
      <c r="AY240" s="238" t="s">
        <v>200</v>
      </c>
    </row>
    <row r="241" s="13" customFormat="1">
      <c r="A241" s="13"/>
      <c r="B241" s="227"/>
      <c r="C241" s="228"/>
      <c r="D241" s="229" t="s">
        <v>211</v>
      </c>
      <c r="E241" s="230" t="s">
        <v>32</v>
      </c>
      <c r="F241" s="231" t="s">
        <v>3470</v>
      </c>
      <c r="G241" s="228"/>
      <c r="H241" s="232">
        <v>5</v>
      </c>
      <c r="I241" s="233"/>
      <c r="J241" s="228"/>
      <c r="K241" s="228"/>
      <c r="L241" s="234"/>
      <c r="M241" s="235"/>
      <c r="N241" s="236"/>
      <c r="O241" s="236"/>
      <c r="P241" s="236"/>
      <c r="Q241" s="236"/>
      <c r="R241" s="236"/>
      <c r="S241" s="236"/>
      <c r="T241" s="237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T241" s="238" t="s">
        <v>211</v>
      </c>
      <c r="AU241" s="238" t="s">
        <v>88</v>
      </c>
      <c r="AV241" s="13" t="s">
        <v>88</v>
      </c>
      <c r="AW241" s="13" t="s">
        <v>213</v>
      </c>
      <c r="AX241" s="13" t="s">
        <v>78</v>
      </c>
      <c r="AY241" s="238" t="s">
        <v>200</v>
      </c>
    </row>
    <row r="242" s="14" customFormat="1">
      <c r="A242" s="14"/>
      <c r="B242" s="239"/>
      <c r="C242" s="240"/>
      <c r="D242" s="229" t="s">
        <v>211</v>
      </c>
      <c r="E242" s="241" t="s">
        <v>32</v>
      </c>
      <c r="F242" s="242" t="s">
        <v>220</v>
      </c>
      <c r="G242" s="240"/>
      <c r="H242" s="243">
        <v>5.5</v>
      </c>
      <c r="I242" s="244"/>
      <c r="J242" s="240"/>
      <c r="K242" s="240"/>
      <c r="L242" s="245"/>
      <c r="M242" s="246"/>
      <c r="N242" s="247"/>
      <c r="O242" s="247"/>
      <c r="P242" s="247"/>
      <c r="Q242" s="247"/>
      <c r="R242" s="247"/>
      <c r="S242" s="247"/>
      <c r="T242" s="248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T242" s="249" t="s">
        <v>211</v>
      </c>
      <c r="AU242" s="249" t="s">
        <v>88</v>
      </c>
      <c r="AV242" s="14" t="s">
        <v>207</v>
      </c>
      <c r="AW242" s="14" t="s">
        <v>213</v>
      </c>
      <c r="AX242" s="14" t="s">
        <v>86</v>
      </c>
      <c r="AY242" s="249" t="s">
        <v>200</v>
      </c>
    </row>
    <row r="243" s="2" customFormat="1" ht="16.5" customHeight="1">
      <c r="A243" s="40"/>
      <c r="B243" s="41"/>
      <c r="C243" s="209" t="s">
        <v>581</v>
      </c>
      <c r="D243" s="209" t="s">
        <v>202</v>
      </c>
      <c r="E243" s="210" t="s">
        <v>3471</v>
      </c>
      <c r="F243" s="211" t="s">
        <v>3472</v>
      </c>
      <c r="G243" s="212" t="s">
        <v>449</v>
      </c>
      <c r="H243" s="213">
        <v>2</v>
      </c>
      <c r="I243" s="214"/>
      <c r="J243" s="215">
        <f>ROUND(I243*H243,1)</f>
        <v>0</v>
      </c>
      <c r="K243" s="211" t="s">
        <v>32</v>
      </c>
      <c r="L243" s="46"/>
      <c r="M243" s="216" t="s">
        <v>32</v>
      </c>
      <c r="N243" s="217" t="s">
        <v>49</v>
      </c>
      <c r="O243" s="86"/>
      <c r="P243" s="218">
        <f>O243*H243</f>
        <v>0</v>
      </c>
      <c r="Q243" s="218">
        <v>6.9999999999999994E-05</v>
      </c>
      <c r="R243" s="218">
        <f>Q243*H243</f>
        <v>0.00013999999999999999</v>
      </c>
      <c r="S243" s="218">
        <v>0</v>
      </c>
      <c r="T243" s="219">
        <f>S243*H243</f>
        <v>0</v>
      </c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R243" s="220" t="s">
        <v>207</v>
      </c>
      <c r="AT243" s="220" t="s">
        <v>202</v>
      </c>
      <c r="AU243" s="220" t="s">
        <v>88</v>
      </c>
      <c r="AY243" s="18" t="s">
        <v>200</v>
      </c>
      <c r="BE243" s="221">
        <f>IF(N243="základní",J243,0)</f>
        <v>0</v>
      </c>
      <c r="BF243" s="221">
        <f>IF(N243="snížená",J243,0)</f>
        <v>0</v>
      </c>
      <c r="BG243" s="221">
        <f>IF(N243="zákl. přenesená",J243,0)</f>
        <v>0</v>
      </c>
      <c r="BH243" s="221">
        <f>IF(N243="sníž. přenesená",J243,0)</f>
        <v>0</v>
      </c>
      <c r="BI243" s="221">
        <f>IF(N243="nulová",J243,0)</f>
        <v>0</v>
      </c>
      <c r="BJ243" s="18" t="s">
        <v>86</v>
      </c>
      <c r="BK243" s="221">
        <f>ROUND(I243*H243,1)</f>
        <v>0</v>
      </c>
      <c r="BL243" s="18" t="s">
        <v>207</v>
      </c>
      <c r="BM243" s="220" t="s">
        <v>3473</v>
      </c>
    </row>
    <row r="244" s="2" customFormat="1" ht="16.5" customHeight="1">
      <c r="A244" s="40"/>
      <c r="B244" s="41"/>
      <c r="C244" s="209" t="s">
        <v>587</v>
      </c>
      <c r="D244" s="209" t="s">
        <v>202</v>
      </c>
      <c r="E244" s="210" t="s">
        <v>3474</v>
      </c>
      <c r="F244" s="211" t="s">
        <v>3475</v>
      </c>
      <c r="G244" s="212" t="s">
        <v>449</v>
      </c>
      <c r="H244" s="213">
        <v>1</v>
      </c>
      <c r="I244" s="214"/>
      <c r="J244" s="215">
        <f>ROUND(I244*H244,1)</f>
        <v>0</v>
      </c>
      <c r="K244" s="211" t="s">
        <v>206</v>
      </c>
      <c r="L244" s="46"/>
      <c r="M244" s="216" t="s">
        <v>32</v>
      </c>
      <c r="N244" s="217" t="s">
        <v>49</v>
      </c>
      <c r="O244" s="86"/>
      <c r="P244" s="218">
        <f>O244*H244</f>
        <v>0</v>
      </c>
      <c r="Q244" s="218">
        <v>0.12526000000000001</v>
      </c>
      <c r="R244" s="218">
        <f>Q244*H244</f>
        <v>0.12526000000000001</v>
      </c>
      <c r="S244" s="218">
        <v>0</v>
      </c>
      <c r="T244" s="219">
        <f>S244*H244</f>
        <v>0</v>
      </c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R244" s="220" t="s">
        <v>207</v>
      </c>
      <c r="AT244" s="220" t="s">
        <v>202</v>
      </c>
      <c r="AU244" s="220" t="s">
        <v>88</v>
      </c>
      <c r="AY244" s="18" t="s">
        <v>200</v>
      </c>
      <c r="BE244" s="221">
        <f>IF(N244="základní",J244,0)</f>
        <v>0</v>
      </c>
      <c r="BF244" s="221">
        <f>IF(N244="snížená",J244,0)</f>
        <v>0</v>
      </c>
      <c r="BG244" s="221">
        <f>IF(N244="zákl. přenesená",J244,0)</f>
        <v>0</v>
      </c>
      <c r="BH244" s="221">
        <f>IF(N244="sníž. přenesená",J244,0)</f>
        <v>0</v>
      </c>
      <c r="BI244" s="221">
        <f>IF(N244="nulová",J244,0)</f>
        <v>0</v>
      </c>
      <c r="BJ244" s="18" t="s">
        <v>86</v>
      </c>
      <c r="BK244" s="221">
        <f>ROUND(I244*H244,1)</f>
        <v>0</v>
      </c>
      <c r="BL244" s="18" t="s">
        <v>207</v>
      </c>
      <c r="BM244" s="220" t="s">
        <v>3476</v>
      </c>
    </row>
    <row r="245" s="2" customFormat="1">
      <c r="A245" s="40"/>
      <c r="B245" s="41"/>
      <c r="C245" s="42"/>
      <c r="D245" s="222" t="s">
        <v>209</v>
      </c>
      <c r="E245" s="42"/>
      <c r="F245" s="223" t="s">
        <v>3477</v>
      </c>
      <c r="G245" s="42"/>
      <c r="H245" s="42"/>
      <c r="I245" s="224"/>
      <c r="J245" s="42"/>
      <c r="K245" s="42"/>
      <c r="L245" s="46"/>
      <c r="M245" s="225"/>
      <c r="N245" s="226"/>
      <c r="O245" s="86"/>
      <c r="P245" s="86"/>
      <c r="Q245" s="86"/>
      <c r="R245" s="86"/>
      <c r="S245" s="86"/>
      <c r="T245" s="87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T245" s="18" t="s">
        <v>209</v>
      </c>
      <c r="AU245" s="18" t="s">
        <v>88</v>
      </c>
    </row>
    <row r="246" s="2" customFormat="1" ht="16.5" customHeight="1">
      <c r="A246" s="40"/>
      <c r="B246" s="41"/>
      <c r="C246" s="260" t="s">
        <v>593</v>
      </c>
      <c r="D246" s="260" t="s">
        <v>292</v>
      </c>
      <c r="E246" s="261" t="s">
        <v>3478</v>
      </c>
      <c r="F246" s="262" t="s">
        <v>3479</v>
      </c>
      <c r="G246" s="263" t="s">
        <v>449</v>
      </c>
      <c r="H246" s="264">
        <v>1</v>
      </c>
      <c r="I246" s="265"/>
      <c r="J246" s="266">
        <f>ROUND(I246*H246,1)</f>
        <v>0</v>
      </c>
      <c r="K246" s="262" t="s">
        <v>206</v>
      </c>
      <c r="L246" s="267"/>
      <c r="M246" s="268" t="s">
        <v>32</v>
      </c>
      <c r="N246" s="269" t="s">
        <v>49</v>
      </c>
      <c r="O246" s="86"/>
      <c r="P246" s="218">
        <f>O246*H246</f>
        <v>0</v>
      </c>
      <c r="Q246" s="218">
        <v>0.13500000000000001</v>
      </c>
      <c r="R246" s="218">
        <f>Q246*H246</f>
        <v>0.13500000000000001</v>
      </c>
      <c r="S246" s="218">
        <v>0</v>
      </c>
      <c r="T246" s="219">
        <f>S246*H246</f>
        <v>0</v>
      </c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R246" s="220" t="s">
        <v>254</v>
      </c>
      <c r="AT246" s="220" t="s">
        <v>292</v>
      </c>
      <c r="AU246" s="220" t="s">
        <v>88</v>
      </c>
      <c r="AY246" s="18" t="s">
        <v>200</v>
      </c>
      <c r="BE246" s="221">
        <f>IF(N246="základní",J246,0)</f>
        <v>0</v>
      </c>
      <c r="BF246" s="221">
        <f>IF(N246="snížená",J246,0)</f>
        <v>0</v>
      </c>
      <c r="BG246" s="221">
        <f>IF(N246="zákl. přenesená",J246,0)</f>
        <v>0</v>
      </c>
      <c r="BH246" s="221">
        <f>IF(N246="sníž. přenesená",J246,0)</f>
        <v>0</v>
      </c>
      <c r="BI246" s="221">
        <f>IF(N246="nulová",J246,0)</f>
        <v>0</v>
      </c>
      <c r="BJ246" s="18" t="s">
        <v>86</v>
      </c>
      <c r="BK246" s="221">
        <f>ROUND(I246*H246,1)</f>
        <v>0</v>
      </c>
      <c r="BL246" s="18" t="s">
        <v>207</v>
      </c>
      <c r="BM246" s="220" t="s">
        <v>3480</v>
      </c>
    </row>
    <row r="247" s="2" customFormat="1" ht="16.5" customHeight="1">
      <c r="A247" s="40"/>
      <c r="B247" s="41"/>
      <c r="C247" s="209" t="s">
        <v>599</v>
      </c>
      <c r="D247" s="209" t="s">
        <v>202</v>
      </c>
      <c r="E247" s="210" t="s">
        <v>3481</v>
      </c>
      <c r="F247" s="211" t="s">
        <v>3482</v>
      </c>
      <c r="G247" s="212" t="s">
        <v>449</v>
      </c>
      <c r="H247" s="213">
        <v>1</v>
      </c>
      <c r="I247" s="214"/>
      <c r="J247" s="215">
        <f>ROUND(I247*H247,1)</f>
        <v>0</v>
      </c>
      <c r="K247" s="211" t="s">
        <v>206</v>
      </c>
      <c r="L247" s="46"/>
      <c r="M247" s="216" t="s">
        <v>32</v>
      </c>
      <c r="N247" s="217" t="s">
        <v>49</v>
      </c>
      <c r="O247" s="86"/>
      <c r="P247" s="218">
        <f>O247*H247</f>
        <v>0</v>
      </c>
      <c r="Q247" s="218">
        <v>0.030759999999999999</v>
      </c>
      <c r="R247" s="218">
        <f>Q247*H247</f>
        <v>0.030759999999999999</v>
      </c>
      <c r="S247" s="218">
        <v>0</v>
      </c>
      <c r="T247" s="219">
        <f>S247*H247</f>
        <v>0</v>
      </c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R247" s="220" t="s">
        <v>207</v>
      </c>
      <c r="AT247" s="220" t="s">
        <v>202</v>
      </c>
      <c r="AU247" s="220" t="s">
        <v>88</v>
      </c>
      <c r="AY247" s="18" t="s">
        <v>200</v>
      </c>
      <c r="BE247" s="221">
        <f>IF(N247="základní",J247,0)</f>
        <v>0</v>
      </c>
      <c r="BF247" s="221">
        <f>IF(N247="snížená",J247,0)</f>
        <v>0</v>
      </c>
      <c r="BG247" s="221">
        <f>IF(N247="zákl. přenesená",J247,0)</f>
        <v>0</v>
      </c>
      <c r="BH247" s="221">
        <f>IF(N247="sníž. přenesená",J247,0)</f>
        <v>0</v>
      </c>
      <c r="BI247" s="221">
        <f>IF(N247="nulová",J247,0)</f>
        <v>0</v>
      </c>
      <c r="BJ247" s="18" t="s">
        <v>86</v>
      </c>
      <c r="BK247" s="221">
        <f>ROUND(I247*H247,1)</f>
        <v>0</v>
      </c>
      <c r="BL247" s="18" t="s">
        <v>207</v>
      </c>
      <c r="BM247" s="220" t="s">
        <v>3483</v>
      </c>
    </row>
    <row r="248" s="2" customFormat="1">
      <c r="A248" s="40"/>
      <c r="B248" s="41"/>
      <c r="C248" s="42"/>
      <c r="D248" s="222" t="s">
        <v>209</v>
      </c>
      <c r="E248" s="42"/>
      <c r="F248" s="223" t="s">
        <v>3484</v>
      </c>
      <c r="G248" s="42"/>
      <c r="H248" s="42"/>
      <c r="I248" s="224"/>
      <c r="J248" s="42"/>
      <c r="K248" s="42"/>
      <c r="L248" s="46"/>
      <c r="M248" s="225"/>
      <c r="N248" s="226"/>
      <c r="O248" s="86"/>
      <c r="P248" s="86"/>
      <c r="Q248" s="86"/>
      <c r="R248" s="86"/>
      <c r="S248" s="86"/>
      <c r="T248" s="87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T248" s="18" t="s">
        <v>209</v>
      </c>
      <c r="AU248" s="18" t="s">
        <v>88</v>
      </c>
    </row>
    <row r="249" s="2" customFormat="1" ht="16.5" customHeight="1">
      <c r="A249" s="40"/>
      <c r="B249" s="41"/>
      <c r="C249" s="260" t="s">
        <v>604</v>
      </c>
      <c r="D249" s="260" t="s">
        <v>292</v>
      </c>
      <c r="E249" s="261" t="s">
        <v>3485</v>
      </c>
      <c r="F249" s="262" t="s">
        <v>3486</v>
      </c>
      <c r="G249" s="263" t="s">
        <v>449</v>
      </c>
      <c r="H249" s="264">
        <v>1</v>
      </c>
      <c r="I249" s="265"/>
      <c r="J249" s="266">
        <f>ROUND(I249*H249,1)</f>
        <v>0</v>
      </c>
      <c r="K249" s="262" t="s">
        <v>206</v>
      </c>
      <c r="L249" s="267"/>
      <c r="M249" s="268" t="s">
        <v>32</v>
      </c>
      <c r="N249" s="269" t="s">
        <v>49</v>
      </c>
      <c r="O249" s="86"/>
      <c r="P249" s="218">
        <f>O249*H249</f>
        <v>0</v>
      </c>
      <c r="Q249" s="218">
        <v>0.070000000000000007</v>
      </c>
      <c r="R249" s="218">
        <f>Q249*H249</f>
        <v>0.070000000000000007</v>
      </c>
      <c r="S249" s="218">
        <v>0</v>
      </c>
      <c r="T249" s="219">
        <f>S249*H249</f>
        <v>0</v>
      </c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R249" s="220" t="s">
        <v>254</v>
      </c>
      <c r="AT249" s="220" t="s">
        <v>292</v>
      </c>
      <c r="AU249" s="220" t="s">
        <v>88</v>
      </c>
      <c r="AY249" s="18" t="s">
        <v>200</v>
      </c>
      <c r="BE249" s="221">
        <f>IF(N249="základní",J249,0)</f>
        <v>0</v>
      </c>
      <c r="BF249" s="221">
        <f>IF(N249="snížená",J249,0)</f>
        <v>0</v>
      </c>
      <c r="BG249" s="221">
        <f>IF(N249="zákl. přenesená",J249,0)</f>
        <v>0</v>
      </c>
      <c r="BH249" s="221">
        <f>IF(N249="sníž. přenesená",J249,0)</f>
        <v>0</v>
      </c>
      <c r="BI249" s="221">
        <f>IF(N249="nulová",J249,0)</f>
        <v>0</v>
      </c>
      <c r="BJ249" s="18" t="s">
        <v>86</v>
      </c>
      <c r="BK249" s="221">
        <f>ROUND(I249*H249,1)</f>
        <v>0</v>
      </c>
      <c r="BL249" s="18" t="s">
        <v>207</v>
      </c>
      <c r="BM249" s="220" t="s">
        <v>3487</v>
      </c>
    </row>
    <row r="250" s="2" customFormat="1" ht="16.5" customHeight="1">
      <c r="A250" s="40"/>
      <c r="B250" s="41"/>
      <c r="C250" s="209" t="s">
        <v>609</v>
      </c>
      <c r="D250" s="209" t="s">
        <v>202</v>
      </c>
      <c r="E250" s="210" t="s">
        <v>3488</v>
      </c>
      <c r="F250" s="211" t="s">
        <v>3489</v>
      </c>
      <c r="G250" s="212" t="s">
        <v>449</v>
      </c>
      <c r="H250" s="213">
        <v>1</v>
      </c>
      <c r="I250" s="214"/>
      <c r="J250" s="215">
        <f>ROUND(I250*H250,1)</f>
        <v>0</v>
      </c>
      <c r="K250" s="211" t="s">
        <v>206</v>
      </c>
      <c r="L250" s="46"/>
      <c r="M250" s="216" t="s">
        <v>32</v>
      </c>
      <c r="N250" s="217" t="s">
        <v>49</v>
      </c>
      <c r="O250" s="86"/>
      <c r="P250" s="218">
        <f>O250*H250</f>
        <v>0</v>
      </c>
      <c r="Q250" s="218">
        <v>0.030759999999999999</v>
      </c>
      <c r="R250" s="218">
        <f>Q250*H250</f>
        <v>0.030759999999999999</v>
      </c>
      <c r="S250" s="218">
        <v>0</v>
      </c>
      <c r="T250" s="219">
        <f>S250*H250</f>
        <v>0</v>
      </c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R250" s="220" t="s">
        <v>207</v>
      </c>
      <c r="AT250" s="220" t="s">
        <v>202</v>
      </c>
      <c r="AU250" s="220" t="s">
        <v>88</v>
      </c>
      <c r="AY250" s="18" t="s">
        <v>200</v>
      </c>
      <c r="BE250" s="221">
        <f>IF(N250="základní",J250,0)</f>
        <v>0</v>
      </c>
      <c r="BF250" s="221">
        <f>IF(N250="snížená",J250,0)</f>
        <v>0</v>
      </c>
      <c r="BG250" s="221">
        <f>IF(N250="zákl. přenesená",J250,0)</f>
        <v>0</v>
      </c>
      <c r="BH250" s="221">
        <f>IF(N250="sníž. přenesená",J250,0)</f>
        <v>0</v>
      </c>
      <c r="BI250" s="221">
        <f>IF(N250="nulová",J250,0)</f>
        <v>0</v>
      </c>
      <c r="BJ250" s="18" t="s">
        <v>86</v>
      </c>
      <c r="BK250" s="221">
        <f>ROUND(I250*H250,1)</f>
        <v>0</v>
      </c>
      <c r="BL250" s="18" t="s">
        <v>207</v>
      </c>
      <c r="BM250" s="220" t="s">
        <v>3490</v>
      </c>
    </row>
    <row r="251" s="2" customFormat="1">
      <c r="A251" s="40"/>
      <c r="B251" s="41"/>
      <c r="C251" s="42"/>
      <c r="D251" s="222" t="s">
        <v>209</v>
      </c>
      <c r="E251" s="42"/>
      <c r="F251" s="223" t="s">
        <v>3491</v>
      </c>
      <c r="G251" s="42"/>
      <c r="H251" s="42"/>
      <c r="I251" s="224"/>
      <c r="J251" s="42"/>
      <c r="K251" s="42"/>
      <c r="L251" s="46"/>
      <c r="M251" s="225"/>
      <c r="N251" s="226"/>
      <c r="O251" s="86"/>
      <c r="P251" s="86"/>
      <c r="Q251" s="86"/>
      <c r="R251" s="86"/>
      <c r="S251" s="86"/>
      <c r="T251" s="87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T251" s="18" t="s">
        <v>209</v>
      </c>
      <c r="AU251" s="18" t="s">
        <v>88</v>
      </c>
    </row>
    <row r="252" s="2" customFormat="1" ht="16.5" customHeight="1">
      <c r="A252" s="40"/>
      <c r="B252" s="41"/>
      <c r="C252" s="260" t="s">
        <v>632</v>
      </c>
      <c r="D252" s="260" t="s">
        <v>292</v>
      </c>
      <c r="E252" s="261" t="s">
        <v>3492</v>
      </c>
      <c r="F252" s="262" t="s">
        <v>3493</v>
      </c>
      <c r="G252" s="263" t="s">
        <v>449</v>
      </c>
      <c r="H252" s="264">
        <v>1</v>
      </c>
      <c r="I252" s="265"/>
      <c r="J252" s="266">
        <f>ROUND(I252*H252,1)</f>
        <v>0</v>
      </c>
      <c r="K252" s="262" t="s">
        <v>206</v>
      </c>
      <c r="L252" s="267"/>
      <c r="M252" s="268" t="s">
        <v>32</v>
      </c>
      <c r="N252" s="269" t="s">
        <v>49</v>
      </c>
      <c r="O252" s="86"/>
      <c r="P252" s="218">
        <f>O252*H252</f>
        <v>0</v>
      </c>
      <c r="Q252" s="218">
        <v>0.155</v>
      </c>
      <c r="R252" s="218">
        <f>Q252*H252</f>
        <v>0.155</v>
      </c>
      <c r="S252" s="218">
        <v>0</v>
      </c>
      <c r="T252" s="219">
        <f>S252*H252</f>
        <v>0</v>
      </c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R252" s="220" t="s">
        <v>254</v>
      </c>
      <c r="AT252" s="220" t="s">
        <v>292</v>
      </c>
      <c r="AU252" s="220" t="s">
        <v>88</v>
      </c>
      <c r="AY252" s="18" t="s">
        <v>200</v>
      </c>
      <c r="BE252" s="221">
        <f>IF(N252="základní",J252,0)</f>
        <v>0</v>
      </c>
      <c r="BF252" s="221">
        <f>IF(N252="snížená",J252,0)</f>
        <v>0</v>
      </c>
      <c r="BG252" s="221">
        <f>IF(N252="zákl. přenesená",J252,0)</f>
        <v>0</v>
      </c>
      <c r="BH252" s="221">
        <f>IF(N252="sníž. přenesená",J252,0)</f>
        <v>0</v>
      </c>
      <c r="BI252" s="221">
        <f>IF(N252="nulová",J252,0)</f>
        <v>0</v>
      </c>
      <c r="BJ252" s="18" t="s">
        <v>86</v>
      </c>
      <c r="BK252" s="221">
        <f>ROUND(I252*H252,1)</f>
        <v>0</v>
      </c>
      <c r="BL252" s="18" t="s">
        <v>207</v>
      </c>
      <c r="BM252" s="220" t="s">
        <v>3494</v>
      </c>
    </row>
    <row r="253" s="2" customFormat="1" ht="16.5" customHeight="1">
      <c r="A253" s="40"/>
      <c r="B253" s="41"/>
      <c r="C253" s="209" t="s">
        <v>638</v>
      </c>
      <c r="D253" s="209" t="s">
        <v>202</v>
      </c>
      <c r="E253" s="210" t="s">
        <v>3495</v>
      </c>
      <c r="F253" s="211" t="s">
        <v>3496</v>
      </c>
      <c r="G253" s="212" t="s">
        <v>449</v>
      </c>
      <c r="H253" s="213">
        <v>1</v>
      </c>
      <c r="I253" s="214"/>
      <c r="J253" s="215">
        <f>ROUND(I253*H253,1)</f>
        <v>0</v>
      </c>
      <c r="K253" s="211" t="s">
        <v>206</v>
      </c>
      <c r="L253" s="46"/>
      <c r="M253" s="216" t="s">
        <v>32</v>
      </c>
      <c r="N253" s="217" t="s">
        <v>49</v>
      </c>
      <c r="O253" s="86"/>
      <c r="P253" s="218">
        <f>O253*H253</f>
        <v>0</v>
      </c>
      <c r="Q253" s="218">
        <v>0.21734000000000001</v>
      </c>
      <c r="R253" s="218">
        <f>Q253*H253</f>
        <v>0.21734000000000001</v>
      </c>
      <c r="S253" s="218">
        <v>0</v>
      </c>
      <c r="T253" s="219">
        <f>S253*H253</f>
        <v>0</v>
      </c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R253" s="220" t="s">
        <v>207</v>
      </c>
      <c r="AT253" s="220" t="s">
        <v>202</v>
      </c>
      <c r="AU253" s="220" t="s">
        <v>88</v>
      </c>
      <c r="AY253" s="18" t="s">
        <v>200</v>
      </c>
      <c r="BE253" s="221">
        <f>IF(N253="základní",J253,0)</f>
        <v>0</v>
      </c>
      <c r="BF253" s="221">
        <f>IF(N253="snížená",J253,0)</f>
        <v>0</v>
      </c>
      <c r="BG253" s="221">
        <f>IF(N253="zákl. přenesená",J253,0)</f>
        <v>0</v>
      </c>
      <c r="BH253" s="221">
        <f>IF(N253="sníž. přenesená",J253,0)</f>
        <v>0</v>
      </c>
      <c r="BI253" s="221">
        <f>IF(N253="nulová",J253,0)</f>
        <v>0</v>
      </c>
      <c r="BJ253" s="18" t="s">
        <v>86</v>
      </c>
      <c r="BK253" s="221">
        <f>ROUND(I253*H253,1)</f>
        <v>0</v>
      </c>
      <c r="BL253" s="18" t="s">
        <v>207</v>
      </c>
      <c r="BM253" s="220" t="s">
        <v>3497</v>
      </c>
    </row>
    <row r="254" s="2" customFormat="1">
      <c r="A254" s="40"/>
      <c r="B254" s="41"/>
      <c r="C254" s="42"/>
      <c r="D254" s="222" t="s">
        <v>209</v>
      </c>
      <c r="E254" s="42"/>
      <c r="F254" s="223" t="s">
        <v>3498</v>
      </c>
      <c r="G254" s="42"/>
      <c r="H254" s="42"/>
      <c r="I254" s="224"/>
      <c r="J254" s="42"/>
      <c r="K254" s="42"/>
      <c r="L254" s="46"/>
      <c r="M254" s="225"/>
      <c r="N254" s="226"/>
      <c r="O254" s="86"/>
      <c r="P254" s="86"/>
      <c r="Q254" s="86"/>
      <c r="R254" s="86"/>
      <c r="S254" s="86"/>
      <c r="T254" s="87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T254" s="18" t="s">
        <v>209</v>
      </c>
      <c r="AU254" s="18" t="s">
        <v>88</v>
      </c>
    </row>
    <row r="255" s="2" customFormat="1" ht="16.5" customHeight="1">
      <c r="A255" s="40"/>
      <c r="B255" s="41"/>
      <c r="C255" s="260" t="s">
        <v>644</v>
      </c>
      <c r="D255" s="260" t="s">
        <v>292</v>
      </c>
      <c r="E255" s="261" t="s">
        <v>3499</v>
      </c>
      <c r="F255" s="262" t="s">
        <v>3500</v>
      </c>
      <c r="G255" s="263" t="s">
        <v>449</v>
      </c>
      <c r="H255" s="264">
        <v>1</v>
      </c>
      <c r="I255" s="265"/>
      <c r="J255" s="266">
        <f>ROUND(I255*H255,1)</f>
        <v>0</v>
      </c>
      <c r="K255" s="262" t="s">
        <v>206</v>
      </c>
      <c r="L255" s="267"/>
      <c r="M255" s="268" t="s">
        <v>32</v>
      </c>
      <c r="N255" s="269" t="s">
        <v>49</v>
      </c>
      <c r="O255" s="86"/>
      <c r="P255" s="218">
        <f>O255*H255</f>
        <v>0</v>
      </c>
      <c r="Q255" s="218">
        <v>0.108</v>
      </c>
      <c r="R255" s="218">
        <f>Q255*H255</f>
        <v>0.108</v>
      </c>
      <c r="S255" s="218">
        <v>0</v>
      </c>
      <c r="T255" s="219">
        <f>S255*H255</f>
        <v>0</v>
      </c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R255" s="220" t="s">
        <v>254</v>
      </c>
      <c r="AT255" s="220" t="s">
        <v>292</v>
      </c>
      <c r="AU255" s="220" t="s">
        <v>88</v>
      </c>
      <c r="AY255" s="18" t="s">
        <v>200</v>
      </c>
      <c r="BE255" s="221">
        <f>IF(N255="základní",J255,0)</f>
        <v>0</v>
      </c>
      <c r="BF255" s="221">
        <f>IF(N255="snížená",J255,0)</f>
        <v>0</v>
      </c>
      <c r="BG255" s="221">
        <f>IF(N255="zákl. přenesená",J255,0)</f>
        <v>0</v>
      </c>
      <c r="BH255" s="221">
        <f>IF(N255="sníž. přenesená",J255,0)</f>
        <v>0</v>
      </c>
      <c r="BI255" s="221">
        <f>IF(N255="nulová",J255,0)</f>
        <v>0</v>
      </c>
      <c r="BJ255" s="18" t="s">
        <v>86</v>
      </c>
      <c r="BK255" s="221">
        <f>ROUND(I255*H255,1)</f>
        <v>0</v>
      </c>
      <c r="BL255" s="18" t="s">
        <v>207</v>
      </c>
      <c r="BM255" s="220" t="s">
        <v>3501</v>
      </c>
    </row>
    <row r="256" s="12" customFormat="1" ht="22.8" customHeight="1">
      <c r="A256" s="12"/>
      <c r="B256" s="193"/>
      <c r="C256" s="194"/>
      <c r="D256" s="195" t="s">
        <v>77</v>
      </c>
      <c r="E256" s="207" t="s">
        <v>261</v>
      </c>
      <c r="F256" s="207" t="s">
        <v>748</v>
      </c>
      <c r="G256" s="194"/>
      <c r="H256" s="194"/>
      <c r="I256" s="197"/>
      <c r="J256" s="208">
        <f>BK256</f>
        <v>0</v>
      </c>
      <c r="K256" s="194"/>
      <c r="L256" s="199"/>
      <c r="M256" s="200"/>
      <c r="N256" s="201"/>
      <c r="O256" s="201"/>
      <c r="P256" s="202">
        <f>SUM(P257:P325)</f>
        <v>0</v>
      </c>
      <c r="Q256" s="201"/>
      <c r="R256" s="202">
        <f>SUM(R257:R325)</f>
        <v>95.218074999999999</v>
      </c>
      <c r="S256" s="201"/>
      <c r="T256" s="203">
        <f>SUM(T257:T325)</f>
        <v>216.69116</v>
      </c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R256" s="204" t="s">
        <v>86</v>
      </c>
      <c r="AT256" s="205" t="s">
        <v>77</v>
      </c>
      <c r="AU256" s="205" t="s">
        <v>86</v>
      </c>
      <c r="AY256" s="204" t="s">
        <v>200</v>
      </c>
      <c r="BK256" s="206">
        <f>SUM(BK257:BK325)</f>
        <v>0</v>
      </c>
    </row>
    <row r="257" s="2" customFormat="1" ht="16.5" customHeight="1">
      <c r="A257" s="40"/>
      <c r="B257" s="41"/>
      <c r="C257" s="209" t="s">
        <v>651</v>
      </c>
      <c r="D257" s="209" t="s">
        <v>202</v>
      </c>
      <c r="E257" s="210" t="s">
        <v>3502</v>
      </c>
      <c r="F257" s="211" t="s">
        <v>3503</v>
      </c>
      <c r="G257" s="212" t="s">
        <v>449</v>
      </c>
      <c r="H257" s="213">
        <v>5</v>
      </c>
      <c r="I257" s="214"/>
      <c r="J257" s="215">
        <f>ROUND(I257*H257,1)</f>
        <v>0</v>
      </c>
      <c r="K257" s="211" t="s">
        <v>206</v>
      </c>
      <c r="L257" s="46"/>
      <c r="M257" s="216" t="s">
        <v>32</v>
      </c>
      <c r="N257" s="217" t="s">
        <v>49</v>
      </c>
      <c r="O257" s="86"/>
      <c r="P257" s="218">
        <f>O257*H257</f>
        <v>0</v>
      </c>
      <c r="Q257" s="218">
        <v>0.00069999999999999999</v>
      </c>
      <c r="R257" s="218">
        <f>Q257*H257</f>
        <v>0.0035000000000000001</v>
      </c>
      <c r="S257" s="218">
        <v>0</v>
      </c>
      <c r="T257" s="219">
        <f>S257*H257</f>
        <v>0</v>
      </c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R257" s="220" t="s">
        <v>207</v>
      </c>
      <c r="AT257" s="220" t="s">
        <v>202</v>
      </c>
      <c r="AU257" s="220" t="s">
        <v>88</v>
      </c>
      <c r="AY257" s="18" t="s">
        <v>200</v>
      </c>
      <c r="BE257" s="221">
        <f>IF(N257="základní",J257,0)</f>
        <v>0</v>
      </c>
      <c r="BF257" s="221">
        <f>IF(N257="snížená",J257,0)</f>
        <v>0</v>
      </c>
      <c r="BG257" s="221">
        <f>IF(N257="zákl. přenesená",J257,0)</f>
        <v>0</v>
      </c>
      <c r="BH257" s="221">
        <f>IF(N257="sníž. přenesená",J257,0)</f>
        <v>0</v>
      </c>
      <c r="BI257" s="221">
        <f>IF(N257="nulová",J257,0)</f>
        <v>0</v>
      </c>
      <c r="BJ257" s="18" t="s">
        <v>86</v>
      </c>
      <c r="BK257" s="221">
        <f>ROUND(I257*H257,1)</f>
        <v>0</v>
      </c>
      <c r="BL257" s="18" t="s">
        <v>207</v>
      </c>
      <c r="BM257" s="220" t="s">
        <v>3504</v>
      </c>
    </row>
    <row r="258" s="2" customFormat="1">
      <c r="A258" s="40"/>
      <c r="B258" s="41"/>
      <c r="C258" s="42"/>
      <c r="D258" s="222" t="s">
        <v>209</v>
      </c>
      <c r="E258" s="42"/>
      <c r="F258" s="223" t="s">
        <v>3505</v>
      </c>
      <c r="G258" s="42"/>
      <c r="H258" s="42"/>
      <c r="I258" s="224"/>
      <c r="J258" s="42"/>
      <c r="K258" s="42"/>
      <c r="L258" s="46"/>
      <c r="M258" s="225"/>
      <c r="N258" s="226"/>
      <c r="O258" s="86"/>
      <c r="P258" s="86"/>
      <c r="Q258" s="86"/>
      <c r="R258" s="86"/>
      <c r="S258" s="86"/>
      <c r="T258" s="87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T258" s="18" t="s">
        <v>209</v>
      </c>
      <c r="AU258" s="18" t="s">
        <v>88</v>
      </c>
    </row>
    <row r="259" s="2" customFormat="1" ht="16.5" customHeight="1">
      <c r="A259" s="40"/>
      <c r="B259" s="41"/>
      <c r="C259" s="260" t="s">
        <v>660</v>
      </c>
      <c r="D259" s="260" t="s">
        <v>292</v>
      </c>
      <c r="E259" s="261" t="s">
        <v>3506</v>
      </c>
      <c r="F259" s="262" t="s">
        <v>3507</v>
      </c>
      <c r="G259" s="263" t="s">
        <v>449</v>
      </c>
      <c r="H259" s="264">
        <v>1</v>
      </c>
      <c r="I259" s="265"/>
      <c r="J259" s="266">
        <f>ROUND(I259*H259,1)</f>
        <v>0</v>
      </c>
      <c r="K259" s="262" t="s">
        <v>206</v>
      </c>
      <c r="L259" s="267"/>
      <c r="M259" s="268" t="s">
        <v>32</v>
      </c>
      <c r="N259" s="269" t="s">
        <v>49</v>
      </c>
      <c r="O259" s="86"/>
      <c r="P259" s="218">
        <f>O259*H259</f>
        <v>0</v>
      </c>
      <c r="Q259" s="218">
        <v>0.0035000000000000001</v>
      </c>
      <c r="R259" s="218">
        <f>Q259*H259</f>
        <v>0.0035000000000000001</v>
      </c>
      <c r="S259" s="218">
        <v>0</v>
      </c>
      <c r="T259" s="219">
        <f>S259*H259</f>
        <v>0</v>
      </c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R259" s="220" t="s">
        <v>254</v>
      </c>
      <c r="AT259" s="220" t="s">
        <v>292</v>
      </c>
      <c r="AU259" s="220" t="s">
        <v>88</v>
      </c>
      <c r="AY259" s="18" t="s">
        <v>200</v>
      </c>
      <c r="BE259" s="221">
        <f>IF(N259="základní",J259,0)</f>
        <v>0</v>
      </c>
      <c r="BF259" s="221">
        <f>IF(N259="snížená",J259,0)</f>
        <v>0</v>
      </c>
      <c r="BG259" s="221">
        <f>IF(N259="zákl. přenesená",J259,0)</f>
        <v>0</v>
      </c>
      <c r="BH259" s="221">
        <f>IF(N259="sníž. přenesená",J259,0)</f>
        <v>0</v>
      </c>
      <c r="BI259" s="221">
        <f>IF(N259="nulová",J259,0)</f>
        <v>0</v>
      </c>
      <c r="BJ259" s="18" t="s">
        <v>86</v>
      </c>
      <c r="BK259" s="221">
        <f>ROUND(I259*H259,1)</f>
        <v>0</v>
      </c>
      <c r="BL259" s="18" t="s">
        <v>207</v>
      </c>
      <c r="BM259" s="220" t="s">
        <v>3508</v>
      </c>
    </row>
    <row r="260" s="13" customFormat="1">
      <c r="A260" s="13"/>
      <c r="B260" s="227"/>
      <c r="C260" s="228"/>
      <c r="D260" s="229" t="s">
        <v>211</v>
      </c>
      <c r="E260" s="230" t="s">
        <v>32</v>
      </c>
      <c r="F260" s="231" t="s">
        <v>3509</v>
      </c>
      <c r="G260" s="228"/>
      <c r="H260" s="232">
        <v>1</v>
      </c>
      <c r="I260" s="233"/>
      <c r="J260" s="228"/>
      <c r="K260" s="228"/>
      <c r="L260" s="234"/>
      <c r="M260" s="235"/>
      <c r="N260" s="236"/>
      <c r="O260" s="236"/>
      <c r="P260" s="236"/>
      <c r="Q260" s="236"/>
      <c r="R260" s="236"/>
      <c r="S260" s="236"/>
      <c r="T260" s="237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T260" s="238" t="s">
        <v>211</v>
      </c>
      <c r="AU260" s="238" t="s">
        <v>88</v>
      </c>
      <c r="AV260" s="13" t="s">
        <v>88</v>
      </c>
      <c r="AW260" s="13" t="s">
        <v>213</v>
      </c>
      <c r="AX260" s="13" t="s">
        <v>86</v>
      </c>
      <c r="AY260" s="238" t="s">
        <v>200</v>
      </c>
    </row>
    <row r="261" s="2" customFormat="1" ht="16.5" customHeight="1">
      <c r="A261" s="40"/>
      <c r="B261" s="41"/>
      <c r="C261" s="260" t="s">
        <v>665</v>
      </c>
      <c r="D261" s="260" t="s">
        <v>292</v>
      </c>
      <c r="E261" s="261" t="s">
        <v>3510</v>
      </c>
      <c r="F261" s="262" t="s">
        <v>3511</v>
      </c>
      <c r="G261" s="263" t="s">
        <v>449</v>
      </c>
      <c r="H261" s="264">
        <v>1</v>
      </c>
      <c r="I261" s="265"/>
      <c r="J261" s="266">
        <f>ROUND(I261*H261,1)</f>
        <v>0</v>
      </c>
      <c r="K261" s="262" t="s">
        <v>206</v>
      </c>
      <c r="L261" s="267"/>
      <c r="M261" s="268" t="s">
        <v>32</v>
      </c>
      <c r="N261" s="269" t="s">
        <v>49</v>
      </c>
      <c r="O261" s="86"/>
      <c r="P261" s="218">
        <f>O261*H261</f>
        <v>0</v>
      </c>
      <c r="Q261" s="218">
        <v>0.0025999999999999999</v>
      </c>
      <c r="R261" s="218">
        <f>Q261*H261</f>
        <v>0.0025999999999999999</v>
      </c>
      <c r="S261" s="218">
        <v>0</v>
      </c>
      <c r="T261" s="219">
        <f>S261*H261</f>
        <v>0</v>
      </c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R261" s="220" t="s">
        <v>254</v>
      </c>
      <c r="AT261" s="220" t="s">
        <v>292</v>
      </c>
      <c r="AU261" s="220" t="s">
        <v>88</v>
      </c>
      <c r="AY261" s="18" t="s">
        <v>200</v>
      </c>
      <c r="BE261" s="221">
        <f>IF(N261="základní",J261,0)</f>
        <v>0</v>
      </c>
      <c r="BF261" s="221">
        <f>IF(N261="snížená",J261,0)</f>
        <v>0</v>
      </c>
      <c r="BG261" s="221">
        <f>IF(N261="zákl. přenesená",J261,0)</f>
        <v>0</v>
      </c>
      <c r="BH261" s="221">
        <f>IF(N261="sníž. přenesená",J261,0)</f>
        <v>0</v>
      </c>
      <c r="BI261" s="221">
        <f>IF(N261="nulová",J261,0)</f>
        <v>0</v>
      </c>
      <c r="BJ261" s="18" t="s">
        <v>86</v>
      </c>
      <c r="BK261" s="221">
        <f>ROUND(I261*H261,1)</f>
        <v>0</v>
      </c>
      <c r="BL261" s="18" t="s">
        <v>207</v>
      </c>
      <c r="BM261" s="220" t="s">
        <v>3512</v>
      </c>
    </row>
    <row r="262" s="13" customFormat="1">
      <c r="A262" s="13"/>
      <c r="B262" s="227"/>
      <c r="C262" s="228"/>
      <c r="D262" s="229" t="s">
        <v>211</v>
      </c>
      <c r="E262" s="230" t="s">
        <v>32</v>
      </c>
      <c r="F262" s="231" t="s">
        <v>3513</v>
      </c>
      <c r="G262" s="228"/>
      <c r="H262" s="232">
        <v>1</v>
      </c>
      <c r="I262" s="233"/>
      <c r="J262" s="228"/>
      <c r="K262" s="228"/>
      <c r="L262" s="234"/>
      <c r="M262" s="235"/>
      <c r="N262" s="236"/>
      <c r="O262" s="236"/>
      <c r="P262" s="236"/>
      <c r="Q262" s="236"/>
      <c r="R262" s="236"/>
      <c r="S262" s="236"/>
      <c r="T262" s="237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T262" s="238" t="s">
        <v>211</v>
      </c>
      <c r="AU262" s="238" t="s">
        <v>88</v>
      </c>
      <c r="AV262" s="13" t="s">
        <v>88</v>
      </c>
      <c r="AW262" s="13" t="s">
        <v>213</v>
      </c>
      <c r="AX262" s="13" t="s">
        <v>86</v>
      </c>
      <c r="AY262" s="238" t="s">
        <v>200</v>
      </c>
    </row>
    <row r="263" s="2" customFormat="1" ht="16.5" customHeight="1">
      <c r="A263" s="40"/>
      <c r="B263" s="41"/>
      <c r="C263" s="260" t="s">
        <v>671</v>
      </c>
      <c r="D263" s="260" t="s">
        <v>292</v>
      </c>
      <c r="E263" s="261" t="s">
        <v>3514</v>
      </c>
      <c r="F263" s="262" t="s">
        <v>3515</v>
      </c>
      <c r="G263" s="263" t="s">
        <v>449</v>
      </c>
      <c r="H263" s="264">
        <v>1</v>
      </c>
      <c r="I263" s="265"/>
      <c r="J263" s="266">
        <f>ROUND(I263*H263,1)</f>
        <v>0</v>
      </c>
      <c r="K263" s="262" t="s">
        <v>206</v>
      </c>
      <c r="L263" s="267"/>
      <c r="M263" s="268" t="s">
        <v>32</v>
      </c>
      <c r="N263" s="269" t="s">
        <v>49</v>
      </c>
      <c r="O263" s="86"/>
      <c r="P263" s="218">
        <f>O263*H263</f>
        <v>0</v>
      </c>
      <c r="Q263" s="218">
        <v>0.0035999999999999999</v>
      </c>
      <c r="R263" s="218">
        <f>Q263*H263</f>
        <v>0.0035999999999999999</v>
      </c>
      <c r="S263" s="218">
        <v>0</v>
      </c>
      <c r="T263" s="219">
        <f>S263*H263</f>
        <v>0</v>
      </c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R263" s="220" t="s">
        <v>254</v>
      </c>
      <c r="AT263" s="220" t="s">
        <v>292</v>
      </c>
      <c r="AU263" s="220" t="s">
        <v>88</v>
      </c>
      <c r="AY263" s="18" t="s">
        <v>200</v>
      </c>
      <c r="BE263" s="221">
        <f>IF(N263="základní",J263,0)</f>
        <v>0</v>
      </c>
      <c r="BF263" s="221">
        <f>IF(N263="snížená",J263,0)</f>
        <v>0</v>
      </c>
      <c r="BG263" s="221">
        <f>IF(N263="zákl. přenesená",J263,0)</f>
        <v>0</v>
      </c>
      <c r="BH263" s="221">
        <f>IF(N263="sníž. přenesená",J263,0)</f>
        <v>0</v>
      </c>
      <c r="BI263" s="221">
        <f>IF(N263="nulová",J263,0)</f>
        <v>0</v>
      </c>
      <c r="BJ263" s="18" t="s">
        <v>86</v>
      </c>
      <c r="BK263" s="221">
        <f>ROUND(I263*H263,1)</f>
        <v>0</v>
      </c>
      <c r="BL263" s="18" t="s">
        <v>207</v>
      </c>
      <c r="BM263" s="220" t="s">
        <v>3516</v>
      </c>
    </row>
    <row r="264" s="13" customFormat="1">
      <c r="A264" s="13"/>
      <c r="B264" s="227"/>
      <c r="C264" s="228"/>
      <c r="D264" s="229" t="s">
        <v>211</v>
      </c>
      <c r="E264" s="230" t="s">
        <v>32</v>
      </c>
      <c r="F264" s="231" t="s">
        <v>3517</v>
      </c>
      <c r="G264" s="228"/>
      <c r="H264" s="232">
        <v>1</v>
      </c>
      <c r="I264" s="233"/>
      <c r="J264" s="228"/>
      <c r="K264" s="228"/>
      <c r="L264" s="234"/>
      <c r="M264" s="235"/>
      <c r="N264" s="236"/>
      <c r="O264" s="236"/>
      <c r="P264" s="236"/>
      <c r="Q264" s="236"/>
      <c r="R264" s="236"/>
      <c r="S264" s="236"/>
      <c r="T264" s="237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T264" s="238" t="s">
        <v>211</v>
      </c>
      <c r="AU264" s="238" t="s">
        <v>88</v>
      </c>
      <c r="AV264" s="13" t="s">
        <v>88</v>
      </c>
      <c r="AW264" s="13" t="s">
        <v>213</v>
      </c>
      <c r="AX264" s="13" t="s">
        <v>86</v>
      </c>
      <c r="AY264" s="238" t="s">
        <v>200</v>
      </c>
    </row>
    <row r="265" s="2" customFormat="1" ht="16.5" customHeight="1">
      <c r="A265" s="40"/>
      <c r="B265" s="41"/>
      <c r="C265" s="260" t="s">
        <v>676</v>
      </c>
      <c r="D265" s="260" t="s">
        <v>292</v>
      </c>
      <c r="E265" s="261" t="s">
        <v>3518</v>
      </c>
      <c r="F265" s="262" t="s">
        <v>3519</v>
      </c>
      <c r="G265" s="263" t="s">
        <v>449</v>
      </c>
      <c r="H265" s="264">
        <v>2</v>
      </c>
      <c r="I265" s="265"/>
      <c r="J265" s="266">
        <f>ROUND(I265*H265,1)</f>
        <v>0</v>
      </c>
      <c r="K265" s="262" t="s">
        <v>206</v>
      </c>
      <c r="L265" s="267"/>
      <c r="M265" s="268" t="s">
        <v>32</v>
      </c>
      <c r="N265" s="269" t="s">
        <v>49</v>
      </c>
      <c r="O265" s="86"/>
      <c r="P265" s="218">
        <f>O265*H265</f>
        <v>0</v>
      </c>
      <c r="Q265" s="218">
        <v>0.0025000000000000001</v>
      </c>
      <c r="R265" s="218">
        <f>Q265*H265</f>
        <v>0.0050000000000000001</v>
      </c>
      <c r="S265" s="218">
        <v>0</v>
      </c>
      <c r="T265" s="219">
        <f>S265*H265</f>
        <v>0</v>
      </c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R265" s="220" t="s">
        <v>254</v>
      </c>
      <c r="AT265" s="220" t="s">
        <v>292</v>
      </c>
      <c r="AU265" s="220" t="s">
        <v>88</v>
      </c>
      <c r="AY265" s="18" t="s">
        <v>200</v>
      </c>
      <c r="BE265" s="221">
        <f>IF(N265="základní",J265,0)</f>
        <v>0</v>
      </c>
      <c r="BF265" s="221">
        <f>IF(N265="snížená",J265,0)</f>
        <v>0</v>
      </c>
      <c r="BG265" s="221">
        <f>IF(N265="zákl. přenesená",J265,0)</f>
        <v>0</v>
      </c>
      <c r="BH265" s="221">
        <f>IF(N265="sníž. přenesená",J265,0)</f>
        <v>0</v>
      </c>
      <c r="BI265" s="221">
        <f>IF(N265="nulová",J265,0)</f>
        <v>0</v>
      </c>
      <c r="BJ265" s="18" t="s">
        <v>86</v>
      </c>
      <c r="BK265" s="221">
        <f>ROUND(I265*H265,1)</f>
        <v>0</v>
      </c>
      <c r="BL265" s="18" t="s">
        <v>207</v>
      </c>
      <c r="BM265" s="220" t="s">
        <v>3520</v>
      </c>
    </row>
    <row r="266" s="13" customFormat="1">
      <c r="A266" s="13"/>
      <c r="B266" s="227"/>
      <c r="C266" s="228"/>
      <c r="D266" s="229" t="s">
        <v>211</v>
      </c>
      <c r="E266" s="230" t="s">
        <v>32</v>
      </c>
      <c r="F266" s="231" t="s">
        <v>3521</v>
      </c>
      <c r="G266" s="228"/>
      <c r="H266" s="232">
        <v>2</v>
      </c>
      <c r="I266" s="233"/>
      <c r="J266" s="228"/>
      <c r="K266" s="228"/>
      <c r="L266" s="234"/>
      <c r="M266" s="235"/>
      <c r="N266" s="236"/>
      <c r="O266" s="236"/>
      <c r="P266" s="236"/>
      <c r="Q266" s="236"/>
      <c r="R266" s="236"/>
      <c r="S266" s="236"/>
      <c r="T266" s="237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T266" s="238" t="s">
        <v>211</v>
      </c>
      <c r="AU266" s="238" t="s">
        <v>88</v>
      </c>
      <c r="AV266" s="13" t="s">
        <v>88</v>
      </c>
      <c r="AW266" s="13" t="s">
        <v>213</v>
      </c>
      <c r="AX266" s="13" t="s">
        <v>86</v>
      </c>
      <c r="AY266" s="238" t="s">
        <v>200</v>
      </c>
    </row>
    <row r="267" s="2" customFormat="1" ht="16.5" customHeight="1">
      <c r="A267" s="40"/>
      <c r="B267" s="41"/>
      <c r="C267" s="209" t="s">
        <v>688</v>
      </c>
      <c r="D267" s="209" t="s">
        <v>202</v>
      </c>
      <c r="E267" s="210" t="s">
        <v>3522</v>
      </c>
      <c r="F267" s="211" t="s">
        <v>3523</v>
      </c>
      <c r="G267" s="212" t="s">
        <v>449</v>
      </c>
      <c r="H267" s="213">
        <v>3</v>
      </c>
      <c r="I267" s="214"/>
      <c r="J267" s="215">
        <f>ROUND(I267*H267,1)</f>
        <v>0</v>
      </c>
      <c r="K267" s="211" t="s">
        <v>206</v>
      </c>
      <c r="L267" s="46"/>
      <c r="M267" s="216" t="s">
        <v>32</v>
      </c>
      <c r="N267" s="217" t="s">
        <v>49</v>
      </c>
      <c r="O267" s="86"/>
      <c r="P267" s="218">
        <f>O267*H267</f>
        <v>0</v>
      </c>
      <c r="Q267" s="218">
        <v>0.10940999999999999</v>
      </c>
      <c r="R267" s="218">
        <f>Q267*H267</f>
        <v>0.32822999999999997</v>
      </c>
      <c r="S267" s="218">
        <v>0</v>
      </c>
      <c r="T267" s="219">
        <f>S267*H267</f>
        <v>0</v>
      </c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R267" s="220" t="s">
        <v>207</v>
      </c>
      <c r="AT267" s="220" t="s">
        <v>202</v>
      </c>
      <c r="AU267" s="220" t="s">
        <v>88</v>
      </c>
      <c r="AY267" s="18" t="s">
        <v>200</v>
      </c>
      <c r="BE267" s="221">
        <f>IF(N267="základní",J267,0)</f>
        <v>0</v>
      </c>
      <c r="BF267" s="221">
        <f>IF(N267="snížená",J267,0)</f>
        <v>0</v>
      </c>
      <c r="BG267" s="221">
        <f>IF(N267="zákl. přenesená",J267,0)</f>
        <v>0</v>
      </c>
      <c r="BH267" s="221">
        <f>IF(N267="sníž. přenesená",J267,0)</f>
        <v>0</v>
      </c>
      <c r="BI267" s="221">
        <f>IF(N267="nulová",J267,0)</f>
        <v>0</v>
      </c>
      <c r="BJ267" s="18" t="s">
        <v>86</v>
      </c>
      <c r="BK267" s="221">
        <f>ROUND(I267*H267,1)</f>
        <v>0</v>
      </c>
      <c r="BL267" s="18" t="s">
        <v>207</v>
      </c>
      <c r="BM267" s="220" t="s">
        <v>3524</v>
      </c>
    </row>
    <row r="268" s="2" customFormat="1">
      <c r="A268" s="40"/>
      <c r="B268" s="41"/>
      <c r="C268" s="42"/>
      <c r="D268" s="222" t="s">
        <v>209</v>
      </c>
      <c r="E268" s="42"/>
      <c r="F268" s="223" t="s">
        <v>3525</v>
      </c>
      <c r="G268" s="42"/>
      <c r="H268" s="42"/>
      <c r="I268" s="224"/>
      <c r="J268" s="42"/>
      <c r="K268" s="42"/>
      <c r="L268" s="46"/>
      <c r="M268" s="225"/>
      <c r="N268" s="226"/>
      <c r="O268" s="86"/>
      <c r="P268" s="86"/>
      <c r="Q268" s="86"/>
      <c r="R268" s="86"/>
      <c r="S268" s="86"/>
      <c r="T268" s="87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T268" s="18" t="s">
        <v>209</v>
      </c>
      <c r="AU268" s="18" t="s">
        <v>88</v>
      </c>
    </row>
    <row r="269" s="2" customFormat="1" ht="16.5" customHeight="1">
      <c r="A269" s="40"/>
      <c r="B269" s="41"/>
      <c r="C269" s="260" t="s">
        <v>693</v>
      </c>
      <c r="D269" s="260" t="s">
        <v>292</v>
      </c>
      <c r="E269" s="261" t="s">
        <v>3526</v>
      </c>
      <c r="F269" s="262" t="s">
        <v>3527</v>
      </c>
      <c r="G269" s="263" t="s">
        <v>449</v>
      </c>
      <c r="H269" s="264">
        <v>3</v>
      </c>
      <c r="I269" s="265"/>
      <c r="J269" s="266">
        <f>ROUND(I269*H269,1)</f>
        <v>0</v>
      </c>
      <c r="K269" s="262" t="s">
        <v>206</v>
      </c>
      <c r="L269" s="267"/>
      <c r="M269" s="268" t="s">
        <v>32</v>
      </c>
      <c r="N269" s="269" t="s">
        <v>49</v>
      </c>
      <c r="O269" s="86"/>
      <c r="P269" s="218">
        <f>O269*H269</f>
        <v>0</v>
      </c>
      <c r="Q269" s="218">
        <v>0.0064999999999999997</v>
      </c>
      <c r="R269" s="218">
        <f>Q269*H269</f>
        <v>0.0195</v>
      </c>
      <c r="S269" s="218">
        <v>0</v>
      </c>
      <c r="T269" s="219">
        <f>S269*H269</f>
        <v>0</v>
      </c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R269" s="220" t="s">
        <v>254</v>
      </c>
      <c r="AT269" s="220" t="s">
        <v>292</v>
      </c>
      <c r="AU269" s="220" t="s">
        <v>88</v>
      </c>
      <c r="AY269" s="18" t="s">
        <v>200</v>
      </c>
      <c r="BE269" s="221">
        <f>IF(N269="základní",J269,0)</f>
        <v>0</v>
      </c>
      <c r="BF269" s="221">
        <f>IF(N269="snížená",J269,0)</f>
        <v>0</v>
      </c>
      <c r="BG269" s="221">
        <f>IF(N269="zákl. přenesená",J269,0)</f>
        <v>0</v>
      </c>
      <c r="BH269" s="221">
        <f>IF(N269="sníž. přenesená",J269,0)</f>
        <v>0</v>
      </c>
      <c r="BI269" s="221">
        <f>IF(N269="nulová",J269,0)</f>
        <v>0</v>
      </c>
      <c r="BJ269" s="18" t="s">
        <v>86</v>
      </c>
      <c r="BK269" s="221">
        <f>ROUND(I269*H269,1)</f>
        <v>0</v>
      </c>
      <c r="BL269" s="18" t="s">
        <v>207</v>
      </c>
      <c r="BM269" s="220" t="s">
        <v>3528</v>
      </c>
    </row>
    <row r="270" s="2" customFormat="1" ht="16.5" customHeight="1">
      <c r="A270" s="40"/>
      <c r="B270" s="41"/>
      <c r="C270" s="209" t="s">
        <v>698</v>
      </c>
      <c r="D270" s="209" t="s">
        <v>202</v>
      </c>
      <c r="E270" s="210" t="s">
        <v>3529</v>
      </c>
      <c r="F270" s="211" t="s">
        <v>3530</v>
      </c>
      <c r="G270" s="212" t="s">
        <v>449</v>
      </c>
      <c r="H270" s="213">
        <v>3</v>
      </c>
      <c r="I270" s="214"/>
      <c r="J270" s="215">
        <f>ROUND(I270*H270,1)</f>
        <v>0</v>
      </c>
      <c r="K270" s="211" t="s">
        <v>206</v>
      </c>
      <c r="L270" s="46"/>
      <c r="M270" s="216" t="s">
        <v>32</v>
      </c>
      <c r="N270" s="217" t="s">
        <v>49</v>
      </c>
      <c r="O270" s="86"/>
      <c r="P270" s="218">
        <f>O270*H270</f>
        <v>0</v>
      </c>
      <c r="Q270" s="218">
        <v>0</v>
      </c>
      <c r="R270" s="218">
        <f>Q270*H270</f>
        <v>0</v>
      </c>
      <c r="S270" s="218">
        <v>0</v>
      </c>
      <c r="T270" s="219">
        <f>S270*H270</f>
        <v>0</v>
      </c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R270" s="220" t="s">
        <v>207</v>
      </c>
      <c r="AT270" s="220" t="s">
        <v>202</v>
      </c>
      <c r="AU270" s="220" t="s">
        <v>88</v>
      </c>
      <c r="AY270" s="18" t="s">
        <v>200</v>
      </c>
      <c r="BE270" s="221">
        <f>IF(N270="základní",J270,0)</f>
        <v>0</v>
      </c>
      <c r="BF270" s="221">
        <f>IF(N270="snížená",J270,0)</f>
        <v>0</v>
      </c>
      <c r="BG270" s="221">
        <f>IF(N270="zákl. přenesená",J270,0)</f>
        <v>0</v>
      </c>
      <c r="BH270" s="221">
        <f>IF(N270="sníž. přenesená",J270,0)</f>
        <v>0</v>
      </c>
      <c r="BI270" s="221">
        <f>IF(N270="nulová",J270,0)</f>
        <v>0</v>
      </c>
      <c r="BJ270" s="18" t="s">
        <v>86</v>
      </c>
      <c r="BK270" s="221">
        <f>ROUND(I270*H270,1)</f>
        <v>0</v>
      </c>
      <c r="BL270" s="18" t="s">
        <v>207</v>
      </c>
      <c r="BM270" s="220" t="s">
        <v>3531</v>
      </c>
    </row>
    <row r="271" s="2" customFormat="1">
      <c r="A271" s="40"/>
      <c r="B271" s="41"/>
      <c r="C271" s="42"/>
      <c r="D271" s="222" t="s">
        <v>209</v>
      </c>
      <c r="E271" s="42"/>
      <c r="F271" s="223" t="s">
        <v>3532</v>
      </c>
      <c r="G271" s="42"/>
      <c r="H271" s="42"/>
      <c r="I271" s="224"/>
      <c r="J271" s="42"/>
      <c r="K271" s="42"/>
      <c r="L271" s="46"/>
      <c r="M271" s="225"/>
      <c r="N271" s="226"/>
      <c r="O271" s="86"/>
      <c r="P271" s="86"/>
      <c r="Q271" s="86"/>
      <c r="R271" s="86"/>
      <c r="S271" s="86"/>
      <c r="T271" s="87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T271" s="18" t="s">
        <v>209</v>
      </c>
      <c r="AU271" s="18" t="s">
        <v>88</v>
      </c>
    </row>
    <row r="272" s="2" customFormat="1" ht="16.5" customHeight="1">
      <c r="A272" s="40"/>
      <c r="B272" s="41"/>
      <c r="C272" s="260" t="s">
        <v>703</v>
      </c>
      <c r="D272" s="260" t="s">
        <v>292</v>
      </c>
      <c r="E272" s="261" t="s">
        <v>3533</v>
      </c>
      <c r="F272" s="262" t="s">
        <v>3534</v>
      </c>
      <c r="G272" s="263" t="s">
        <v>449</v>
      </c>
      <c r="H272" s="264">
        <v>3</v>
      </c>
      <c r="I272" s="265"/>
      <c r="J272" s="266">
        <f>ROUND(I272*H272,1)</f>
        <v>0</v>
      </c>
      <c r="K272" s="262" t="s">
        <v>206</v>
      </c>
      <c r="L272" s="267"/>
      <c r="M272" s="268" t="s">
        <v>32</v>
      </c>
      <c r="N272" s="269" t="s">
        <v>49</v>
      </c>
      <c r="O272" s="86"/>
      <c r="P272" s="218">
        <f>O272*H272</f>
        <v>0</v>
      </c>
      <c r="Q272" s="218">
        <v>0.00040000000000000002</v>
      </c>
      <c r="R272" s="218">
        <f>Q272*H272</f>
        <v>0.0012000000000000001</v>
      </c>
      <c r="S272" s="218">
        <v>0</v>
      </c>
      <c r="T272" s="219">
        <f>S272*H272</f>
        <v>0</v>
      </c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R272" s="220" t="s">
        <v>254</v>
      </c>
      <c r="AT272" s="220" t="s">
        <v>292</v>
      </c>
      <c r="AU272" s="220" t="s">
        <v>88</v>
      </c>
      <c r="AY272" s="18" t="s">
        <v>200</v>
      </c>
      <c r="BE272" s="221">
        <f>IF(N272="základní",J272,0)</f>
        <v>0</v>
      </c>
      <c r="BF272" s="221">
        <f>IF(N272="snížená",J272,0)</f>
        <v>0</v>
      </c>
      <c r="BG272" s="221">
        <f>IF(N272="zákl. přenesená",J272,0)</f>
        <v>0</v>
      </c>
      <c r="BH272" s="221">
        <f>IF(N272="sníž. přenesená",J272,0)</f>
        <v>0</v>
      </c>
      <c r="BI272" s="221">
        <f>IF(N272="nulová",J272,0)</f>
        <v>0</v>
      </c>
      <c r="BJ272" s="18" t="s">
        <v>86</v>
      </c>
      <c r="BK272" s="221">
        <f>ROUND(I272*H272,1)</f>
        <v>0</v>
      </c>
      <c r="BL272" s="18" t="s">
        <v>207</v>
      </c>
      <c r="BM272" s="220" t="s">
        <v>3535</v>
      </c>
    </row>
    <row r="273" s="2" customFormat="1" ht="16.5" customHeight="1">
      <c r="A273" s="40"/>
      <c r="B273" s="41"/>
      <c r="C273" s="209" t="s">
        <v>708</v>
      </c>
      <c r="D273" s="209" t="s">
        <v>202</v>
      </c>
      <c r="E273" s="210" t="s">
        <v>3536</v>
      </c>
      <c r="F273" s="211" t="s">
        <v>3537</v>
      </c>
      <c r="G273" s="212" t="s">
        <v>280</v>
      </c>
      <c r="H273" s="213">
        <v>50.299999999999997</v>
      </c>
      <c r="I273" s="214"/>
      <c r="J273" s="215">
        <f>ROUND(I273*H273,1)</f>
        <v>0</v>
      </c>
      <c r="K273" s="211" t="s">
        <v>206</v>
      </c>
      <c r="L273" s="46"/>
      <c r="M273" s="216" t="s">
        <v>32</v>
      </c>
      <c r="N273" s="217" t="s">
        <v>49</v>
      </c>
      <c r="O273" s="86"/>
      <c r="P273" s="218">
        <f>O273*H273</f>
        <v>0</v>
      </c>
      <c r="Q273" s="218">
        <v>0.00010000000000000001</v>
      </c>
      <c r="R273" s="218">
        <f>Q273*H273</f>
        <v>0.0050299999999999997</v>
      </c>
      <c r="S273" s="218">
        <v>0</v>
      </c>
      <c r="T273" s="219">
        <f>S273*H273</f>
        <v>0</v>
      </c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R273" s="220" t="s">
        <v>207</v>
      </c>
      <c r="AT273" s="220" t="s">
        <v>202</v>
      </c>
      <c r="AU273" s="220" t="s">
        <v>88</v>
      </c>
      <c r="AY273" s="18" t="s">
        <v>200</v>
      </c>
      <c r="BE273" s="221">
        <f>IF(N273="základní",J273,0)</f>
        <v>0</v>
      </c>
      <c r="BF273" s="221">
        <f>IF(N273="snížená",J273,0)</f>
        <v>0</v>
      </c>
      <c r="BG273" s="221">
        <f>IF(N273="zákl. přenesená",J273,0)</f>
        <v>0</v>
      </c>
      <c r="BH273" s="221">
        <f>IF(N273="sníž. přenesená",J273,0)</f>
        <v>0</v>
      </c>
      <c r="BI273" s="221">
        <f>IF(N273="nulová",J273,0)</f>
        <v>0</v>
      </c>
      <c r="BJ273" s="18" t="s">
        <v>86</v>
      </c>
      <c r="BK273" s="221">
        <f>ROUND(I273*H273,1)</f>
        <v>0</v>
      </c>
      <c r="BL273" s="18" t="s">
        <v>207</v>
      </c>
      <c r="BM273" s="220" t="s">
        <v>3538</v>
      </c>
    </row>
    <row r="274" s="2" customFormat="1">
      <c r="A274" s="40"/>
      <c r="B274" s="41"/>
      <c r="C274" s="42"/>
      <c r="D274" s="222" t="s">
        <v>209</v>
      </c>
      <c r="E274" s="42"/>
      <c r="F274" s="223" t="s">
        <v>3539</v>
      </c>
      <c r="G274" s="42"/>
      <c r="H274" s="42"/>
      <c r="I274" s="224"/>
      <c r="J274" s="42"/>
      <c r="K274" s="42"/>
      <c r="L274" s="46"/>
      <c r="M274" s="225"/>
      <c r="N274" s="226"/>
      <c r="O274" s="86"/>
      <c r="P274" s="86"/>
      <c r="Q274" s="86"/>
      <c r="R274" s="86"/>
      <c r="S274" s="86"/>
      <c r="T274" s="87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T274" s="18" t="s">
        <v>209</v>
      </c>
      <c r="AU274" s="18" t="s">
        <v>88</v>
      </c>
    </row>
    <row r="275" s="13" customFormat="1">
      <c r="A275" s="13"/>
      <c r="B275" s="227"/>
      <c r="C275" s="228"/>
      <c r="D275" s="229" t="s">
        <v>211</v>
      </c>
      <c r="E275" s="230" t="s">
        <v>32</v>
      </c>
      <c r="F275" s="231" t="s">
        <v>3540</v>
      </c>
      <c r="G275" s="228"/>
      <c r="H275" s="232">
        <v>50.299999999999997</v>
      </c>
      <c r="I275" s="233"/>
      <c r="J275" s="228"/>
      <c r="K275" s="228"/>
      <c r="L275" s="234"/>
      <c r="M275" s="235"/>
      <c r="N275" s="236"/>
      <c r="O275" s="236"/>
      <c r="P275" s="236"/>
      <c r="Q275" s="236"/>
      <c r="R275" s="236"/>
      <c r="S275" s="236"/>
      <c r="T275" s="237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T275" s="238" t="s">
        <v>211</v>
      </c>
      <c r="AU275" s="238" t="s">
        <v>88</v>
      </c>
      <c r="AV275" s="13" t="s">
        <v>88</v>
      </c>
      <c r="AW275" s="13" t="s">
        <v>213</v>
      </c>
      <c r="AX275" s="13" t="s">
        <v>86</v>
      </c>
      <c r="AY275" s="238" t="s">
        <v>200</v>
      </c>
    </row>
    <row r="276" s="2" customFormat="1" ht="16.5" customHeight="1">
      <c r="A276" s="40"/>
      <c r="B276" s="41"/>
      <c r="C276" s="209" t="s">
        <v>717</v>
      </c>
      <c r="D276" s="209" t="s">
        <v>202</v>
      </c>
      <c r="E276" s="210" t="s">
        <v>3541</v>
      </c>
      <c r="F276" s="211" t="s">
        <v>3542</v>
      </c>
      <c r="G276" s="212" t="s">
        <v>272</v>
      </c>
      <c r="H276" s="213">
        <v>1</v>
      </c>
      <c r="I276" s="214"/>
      <c r="J276" s="215">
        <f>ROUND(I276*H276,1)</f>
        <v>0</v>
      </c>
      <c r="K276" s="211" t="s">
        <v>206</v>
      </c>
      <c r="L276" s="46"/>
      <c r="M276" s="216" t="s">
        <v>32</v>
      </c>
      <c r="N276" s="217" t="s">
        <v>49</v>
      </c>
      <c r="O276" s="86"/>
      <c r="P276" s="218">
        <f>O276*H276</f>
        <v>0</v>
      </c>
      <c r="Q276" s="218">
        <v>0.0011999999999999999</v>
      </c>
      <c r="R276" s="218">
        <f>Q276*H276</f>
        <v>0.0011999999999999999</v>
      </c>
      <c r="S276" s="218">
        <v>0</v>
      </c>
      <c r="T276" s="219">
        <f>S276*H276</f>
        <v>0</v>
      </c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R276" s="220" t="s">
        <v>207</v>
      </c>
      <c r="AT276" s="220" t="s">
        <v>202</v>
      </c>
      <c r="AU276" s="220" t="s">
        <v>88</v>
      </c>
      <c r="AY276" s="18" t="s">
        <v>200</v>
      </c>
      <c r="BE276" s="221">
        <f>IF(N276="základní",J276,0)</f>
        <v>0</v>
      </c>
      <c r="BF276" s="221">
        <f>IF(N276="snížená",J276,0)</f>
        <v>0</v>
      </c>
      <c r="BG276" s="221">
        <f>IF(N276="zákl. přenesená",J276,0)</f>
        <v>0</v>
      </c>
      <c r="BH276" s="221">
        <f>IF(N276="sníž. přenesená",J276,0)</f>
        <v>0</v>
      </c>
      <c r="BI276" s="221">
        <f>IF(N276="nulová",J276,0)</f>
        <v>0</v>
      </c>
      <c r="BJ276" s="18" t="s">
        <v>86</v>
      </c>
      <c r="BK276" s="221">
        <f>ROUND(I276*H276,1)</f>
        <v>0</v>
      </c>
      <c r="BL276" s="18" t="s">
        <v>207</v>
      </c>
      <c r="BM276" s="220" t="s">
        <v>3543</v>
      </c>
    </row>
    <row r="277" s="2" customFormat="1">
      <c r="A277" s="40"/>
      <c r="B277" s="41"/>
      <c r="C277" s="42"/>
      <c r="D277" s="222" t="s">
        <v>209</v>
      </c>
      <c r="E277" s="42"/>
      <c r="F277" s="223" t="s">
        <v>3544</v>
      </c>
      <c r="G277" s="42"/>
      <c r="H277" s="42"/>
      <c r="I277" s="224"/>
      <c r="J277" s="42"/>
      <c r="K277" s="42"/>
      <c r="L277" s="46"/>
      <c r="M277" s="225"/>
      <c r="N277" s="226"/>
      <c r="O277" s="86"/>
      <c r="P277" s="86"/>
      <c r="Q277" s="86"/>
      <c r="R277" s="86"/>
      <c r="S277" s="86"/>
      <c r="T277" s="87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T277" s="18" t="s">
        <v>209</v>
      </c>
      <c r="AU277" s="18" t="s">
        <v>88</v>
      </c>
    </row>
    <row r="278" s="2" customFormat="1" ht="16.5" customHeight="1">
      <c r="A278" s="40"/>
      <c r="B278" s="41"/>
      <c r="C278" s="209" t="s">
        <v>726</v>
      </c>
      <c r="D278" s="209" t="s">
        <v>202</v>
      </c>
      <c r="E278" s="210" t="s">
        <v>3545</v>
      </c>
      <c r="F278" s="211" t="s">
        <v>3546</v>
      </c>
      <c r="G278" s="212" t="s">
        <v>272</v>
      </c>
      <c r="H278" s="213">
        <v>20</v>
      </c>
      <c r="I278" s="214"/>
      <c r="J278" s="215">
        <f>ROUND(I278*H278,1)</f>
        <v>0</v>
      </c>
      <c r="K278" s="211" t="s">
        <v>206</v>
      </c>
      <c r="L278" s="46"/>
      <c r="M278" s="216" t="s">
        <v>32</v>
      </c>
      <c r="N278" s="217" t="s">
        <v>49</v>
      </c>
      <c r="O278" s="86"/>
      <c r="P278" s="218">
        <f>O278*H278</f>
        <v>0</v>
      </c>
      <c r="Q278" s="218">
        <v>0.0011999999999999999</v>
      </c>
      <c r="R278" s="218">
        <f>Q278*H278</f>
        <v>0.023999999999999997</v>
      </c>
      <c r="S278" s="218">
        <v>0</v>
      </c>
      <c r="T278" s="219">
        <f>S278*H278</f>
        <v>0</v>
      </c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R278" s="220" t="s">
        <v>207</v>
      </c>
      <c r="AT278" s="220" t="s">
        <v>202</v>
      </c>
      <c r="AU278" s="220" t="s">
        <v>88</v>
      </c>
      <c r="AY278" s="18" t="s">
        <v>200</v>
      </c>
      <c r="BE278" s="221">
        <f>IF(N278="základní",J278,0)</f>
        <v>0</v>
      </c>
      <c r="BF278" s="221">
        <f>IF(N278="snížená",J278,0)</f>
        <v>0</v>
      </c>
      <c r="BG278" s="221">
        <f>IF(N278="zákl. přenesená",J278,0)</f>
        <v>0</v>
      </c>
      <c r="BH278" s="221">
        <f>IF(N278="sníž. přenesená",J278,0)</f>
        <v>0</v>
      </c>
      <c r="BI278" s="221">
        <f>IF(N278="nulová",J278,0)</f>
        <v>0</v>
      </c>
      <c r="BJ278" s="18" t="s">
        <v>86</v>
      </c>
      <c r="BK278" s="221">
        <f>ROUND(I278*H278,1)</f>
        <v>0</v>
      </c>
      <c r="BL278" s="18" t="s">
        <v>207</v>
      </c>
      <c r="BM278" s="220" t="s">
        <v>3547</v>
      </c>
    </row>
    <row r="279" s="2" customFormat="1">
      <c r="A279" s="40"/>
      <c r="B279" s="41"/>
      <c r="C279" s="42"/>
      <c r="D279" s="222" t="s">
        <v>209</v>
      </c>
      <c r="E279" s="42"/>
      <c r="F279" s="223" t="s">
        <v>3548</v>
      </c>
      <c r="G279" s="42"/>
      <c r="H279" s="42"/>
      <c r="I279" s="224"/>
      <c r="J279" s="42"/>
      <c r="K279" s="42"/>
      <c r="L279" s="46"/>
      <c r="M279" s="225"/>
      <c r="N279" s="226"/>
      <c r="O279" s="86"/>
      <c r="P279" s="86"/>
      <c r="Q279" s="86"/>
      <c r="R279" s="86"/>
      <c r="S279" s="86"/>
      <c r="T279" s="87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T279" s="18" t="s">
        <v>209</v>
      </c>
      <c r="AU279" s="18" t="s">
        <v>88</v>
      </c>
    </row>
    <row r="280" s="13" customFormat="1">
      <c r="A280" s="13"/>
      <c r="B280" s="227"/>
      <c r="C280" s="228"/>
      <c r="D280" s="229" t="s">
        <v>211</v>
      </c>
      <c r="E280" s="230" t="s">
        <v>32</v>
      </c>
      <c r="F280" s="231" t="s">
        <v>3549</v>
      </c>
      <c r="G280" s="228"/>
      <c r="H280" s="232">
        <v>20</v>
      </c>
      <c r="I280" s="233"/>
      <c r="J280" s="228"/>
      <c r="K280" s="228"/>
      <c r="L280" s="234"/>
      <c r="M280" s="235"/>
      <c r="N280" s="236"/>
      <c r="O280" s="236"/>
      <c r="P280" s="236"/>
      <c r="Q280" s="236"/>
      <c r="R280" s="236"/>
      <c r="S280" s="236"/>
      <c r="T280" s="237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T280" s="238" t="s">
        <v>211</v>
      </c>
      <c r="AU280" s="238" t="s">
        <v>88</v>
      </c>
      <c r="AV280" s="13" t="s">
        <v>88</v>
      </c>
      <c r="AW280" s="13" t="s">
        <v>213</v>
      </c>
      <c r="AX280" s="13" t="s">
        <v>86</v>
      </c>
      <c r="AY280" s="238" t="s">
        <v>200</v>
      </c>
    </row>
    <row r="281" s="2" customFormat="1" ht="24.15" customHeight="1">
      <c r="A281" s="40"/>
      <c r="B281" s="41"/>
      <c r="C281" s="209" t="s">
        <v>732</v>
      </c>
      <c r="D281" s="209" t="s">
        <v>202</v>
      </c>
      <c r="E281" s="210" t="s">
        <v>3550</v>
      </c>
      <c r="F281" s="211" t="s">
        <v>3551</v>
      </c>
      <c r="G281" s="212" t="s">
        <v>280</v>
      </c>
      <c r="H281" s="213">
        <v>128</v>
      </c>
      <c r="I281" s="214"/>
      <c r="J281" s="215">
        <f>ROUND(I281*H281,1)</f>
        <v>0</v>
      </c>
      <c r="K281" s="211" t="s">
        <v>206</v>
      </c>
      <c r="L281" s="46"/>
      <c r="M281" s="216" t="s">
        <v>32</v>
      </c>
      <c r="N281" s="217" t="s">
        <v>49</v>
      </c>
      <c r="O281" s="86"/>
      <c r="P281" s="218">
        <f>O281*H281</f>
        <v>0</v>
      </c>
      <c r="Q281" s="218">
        <v>0.15540000000000001</v>
      </c>
      <c r="R281" s="218">
        <f>Q281*H281</f>
        <v>19.891200000000001</v>
      </c>
      <c r="S281" s="218">
        <v>0</v>
      </c>
      <c r="T281" s="219">
        <f>S281*H281</f>
        <v>0</v>
      </c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R281" s="220" t="s">
        <v>207</v>
      </c>
      <c r="AT281" s="220" t="s">
        <v>202</v>
      </c>
      <c r="AU281" s="220" t="s">
        <v>88</v>
      </c>
      <c r="AY281" s="18" t="s">
        <v>200</v>
      </c>
      <c r="BE281" s="221">
        <f>IF(N281="základní",J281,0)</f>
        <v>0</v>
      </c>
      <c r="BF281" s="221">
        <f>IF(N281="snížená",J281,0)</f>
        <v>0</v>
      </c>
      <c r="BG281" s="221">
        <f>IF(N281="zákl. přenesená",J281,0)</f>
        <v>0</v>
      </c>
      <c r="BH281" s="221">
        <f>IF(N281="sníž. přenesená",J281,0)</f>
        <v>0</v>
      </c>
      <c r="BI281" s="221">
        <f>IF(N281="nulová",J281,0)</f>
        <v>0</v>
      </c>
      <c r="BJ281" s="18" t="s">
        <v>86</v>
      </c>
      <c r="BK281" s="221">
        <f>ROUND(I281*H281,1)</f>
        <v>0</v>
      </c>
      <c r="BL281" s="18" t="s">
        <v>207</v>
      </c>
      <c r="BM281" s="220" t="s">
        <v>3552</v>
      </c>
    </row>
    <row r="282" s="2" customFormat="1">
      <c r="A282" s="40"/>
      <c r="B282" s="41"/>
      <c r="C282" s="42"/>
      <c r="D282" s="222" t="s">
        <v>209</v>
      </c>
      <c r="E282" s="42"/>
      <c r="F282" s="223" t="s">
        <v>3553</v>
      </c>
      <c r="G282" s="42"/>
      <c r="H282" s="42"/>
      <c r="I282" s="224"/>
      <c r="J282" s="42"/>
      <c r="K282" s="42"/>
      <c r="L282" s="46"/>
      <c r="M282" s="225"/>
      <c r="N282" s="226"/>
      <c r="O282" s="86"/>
      <c r="P282" s="86"/>
      <c r="Q282" s="86"/>
      <c r="R282" s="86"/>
      <c r="S282" s="86"/>
      <c r="T282" s="87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T282" s="18" t="s">
        <v>209</v>
      </c>
      <c r="AU282" s="18" t="s">
        <v>88</v>
      </c>
    </row>
    <row r="283" s="2" customFormat="1" ht="16.5" customHeight="1">
      <c r="A283" s="40"/>
      <c r="B283" s="41"/>
      <c r="C283" s="260" t="s">
        <v>738</v>
      </c>
      <c r="D283" s="260" t="s">
        <v>292</v>
      </c>
      <c r="E283" s="261" t="s">
        <v>3554</v>
      </c>
      <c r="F283" s="262" t="s">
        <v>3555</v>
      </c>
      <c r="G283" s="263" t="s">
        <v>280</v>
      </c>
      <c r="H283" s="264">
        <v>130.56</v>
      </c>
      <c r="I283" s="265"/>
      <c r="J283" s="266">
        <f>ROUND(I283*H283,1)</f>
        <v>0</v>
      </c>
      <c r="K283" s="262" t="s">
        <v>206</v>
      </c>
      <c r="L283" s="267"/>
      <c r="M283" s="268" t="s">
        <v>32</v>
      </c>
      <c r="N283" s="269" t="s">
        <v>49</v>
      </c>
      <c r="O283" s="86"/>
      <c r="P283" s="218">
        <f>O283*H283</f>
        <v>0</v>
      </c>
      <c r="Q283" s="218">
        <v>0.080000000000000002</v>
      </c>
      <c r="R283" s="218">
        <f>Q283*H283</f>
        <v>10.444800000000001</v>
      </c>
      <c r="S283" s="218">
        <v>0</v>
      </c>
      <c r="T283" s="219">
        <f>S283*H283</f>
        <v>0</v>
      </c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R283" s="220" t="s">
        <v>254</v>
      </c>
      <c r="AT283" s="220" t="s">
        <v>292</v>
      </c>
      <c r="AU283" s="220" t="s">
        <v>88</v>
      </c>
      <c r="AY283" s="18" t="s">
        <v>200</v>
      </c>
      <c r="BE283" s="221">
        <f>IF(N283="základní",J283,0)</f>
        <v>0</v>
      </c>
      <c r="BF283" s="221">
        <f>IF(N283="snížená",J283,0)</f>
        <v>0</v>
      </c>
      <c r="BG283" s="221">
        <f>IF(N283="zákl. přenesená",J283,0)</f>
        <v>0</v>
      </c>
      <c r="BH283" s="221">
        <f>IF(N283="sníž. přenesená",J283,0)</f>
        <v>0</v>
      </c>
      <c r="BI283" s="221">
        <f>IF(N283="nulová",J283,0)</f>
        <v>0</v>
      </c>
      <c r="BJ283" s="18" t="s">
        <v>86</v>
      </c>
      <c r="BK283" s="221">
        <f>ROUND(I283*H283,1)</f>
        <v>0</v>
      </c>
      <c r="BL283" s="18" t="s">
        <v>207</v>
      </c>
      <c r="BM283" s="220" t="s">
        <v>3556</v>
      </c>
    </row>
    <row r="284" s="13" customFormat="1">
      <c r="A284" s="13"/>
      <c r="B284" s="227"/>
      <c r="C284" s="228"/>
      <c r="D284" s="229" t="s">
        <v>211</v>
      </c>
      <c r="E284" s="228"/>
      <c r="F284" s="231" t="s">
        <v>3557</v>
      </c>
      <c r="G284" s="228"/>
      <c r="H284" s="232">
        <v>130.56</v>
      </c>
      <c r="I284" s="233"/>
      <c r="J284" s="228"/>
      <c r="K284" s="228"/>
      <c r="L284" s="234"/>
      <c r="M284" s="235"/>
      <c r="N284" s="236"/>
      <c r="O284" s="236"/>
      <c r="P284" s="236"/>
      <c r="Q284" s="236"/>
      <c r="R284" s="236"/>
      <c r="S284" s="236"/>
      <c r="T284" s="237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T284" s="238" t="s">
        <v>211</v>
      </c>
      <c r="AU284" s="238" t="s">
        <v>88</v>
      </c>
      <c r="AV284" s="13" t="s">
        <v>88</v>
      </c>
      <c r="AW284" s="13" t="s">
        <v>4</v>
      </c>
      <c r="AX284" s="13" t="s">
        <v>86</v>
      </c>
      <c r="AY284" s="238" t="s">
        <v>200</v>
      </c>
    </row>
    <row r="285" s="2" customFormat="1" ht="24.15" customHeight="1">
      <c r="A285" s="40"/>
      <c r="B285" s="41"/>
      <c r="C285" s="209" t="s">
        <v>743</v>
      </c>
      <c r="D285" s="209" t="s">
        <v>202</v>
      </c>
      <c r="E285" s="210" t="s">
        <v>3558</v>
      </c>
      <c r="F285" s="211" t="s">
        <v>3559</v>
      </c>
      <c r="G285" s="212" t="s">
        <v>280</v>
      </c>
      <c r="H285" s="213">
        <v>155</v>
      </c>
      <c r="I285" s="214"/>
      <c r="J285" s="215">
        <f>ROUND(I285*H285,1)</f>
        <v>0</v>
      </c>
      <c r="K285" s="211" t="s">
        <v>206</v>
      </c>
      <c r="L285" s="46"/>
      <c r="M285" s="216" t="s">
        <v>32</v>
      </c>
      <c r="N285" s="217" t="s">
        <v>49</v>
      </c>
      <c r="O285" s="86"/>
      <c r="P285" s="218">
        <f>O285*H285</f>
        <v>0</v>
      </c>
      <c r="Q285" s="218">
        <v>0.1295</v>
      </c>
      <c r="R285" s="218">
        <f>Q285*H285</f>
        <v>20.072500000000002</v>
      </c>
      <c r="S285" s="218">
        <v>0</v>
      </c>
      <c r="T285" s="219">
        <f>S285*H285</f>
        <v>0</v>
      </c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R285" s="220" t="s">
        <v>207</v>
      </c>
      <c r="AT285" s="220" t="s">
        <v>202</v>
      </c>
      <c r="AU285" s="220" t="s">
        <v>88</v>
      </c>
      <c r="AY285" s="18" t="s">
        <v>200</v>
      </c>
      <c r="BE285" s="221">
        <f>IF(N285="základní",J285,0)</f>
        <v>0</v>
      </c>
      <c r="BF285" s="221">
        <f>IF(N285="snížená",J285,0)</f>
        <v>0</v>
      </c>
      <c r="BG285" s="221">
        <f>IF(N285="zákl. přenesená",J285,0)</f>
        <v>0</v>
      </c>
      <c r="BH285" s="221">
        <f>IF(N285="sníž. přenesená",J285,0)</f>
        <v>0</v>
      </c>
      <c r="BI285" s="221">
        <f>IF(N285="nulová",J285,0)</f>
        <v>0</v>
      </c>
      <c r="BJ285" s="18" t="s">
        <v>86</v>
      </c>
      <c r="BK285" s="221">
        <f>ROUND(I285*H285,1)</f>
        <v>0</v>
      </c>
      <c r="BL285" s="18" t="s">
        <v>207</v>
      </c>
      <c r="BM285" s="220" t="s">
        <v>3560</v>
      </c>
    </row>
    <row r="286" s="2" customFormat="1">
      <c r="A286" s="40"/>
      <c r="B286" s="41"/>
      <c r="C286" s="42"/>
      <c r="D286" s="222" t="s">
        <v>209</v>
      </c>
      <c r="E286" s="42"/>
      <c r="F286" s="223" t="s">
        <v>3561</v>
      </c>
      <c r="G286" s="42"/>
      <c r="H286" s="42"/>
      <c r="I286" s="224"/>
      <c r="J286" s="42"/>
      <c r="K286" s="42"/>
      <c r="L286" s="46"/>
      <c r="M286" s="225"/>
      <c r="N286" s="226"/>
      <c r="O286" s="86"/>
      <c r="P286" s="86"/>
      <c r="Q286" s="86"/>
      <c r="R286" s="86"/>
      <c r="S286" s="86"/>
      <c r="T286" s="87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T286" s="18" t="s">
        <v>209</v>
      </c>
      <c r="AU286" s="18" t="s">
        <v>88</v>
      </c>
    </row>
    <row r="287" s="2" customFormat="1" ht="16.5" customHeight="1">
      <c r="A287" s="40"/>
      <c r="B287" s="41"/>
      <c r="C287" s="260" t="s">
        <v>749</v>
      </c>
      <c r="D287" s="260" t="s">
        <v>292</v>
      </c>
      <c r="E287" s="261" t="s">
        <v>3562</v>
      </c>
      <c r="F287" s="262" t="s">
        <v>3563</v>
      </c>
      <c r="G287" s="263" t="s">
        <v>280</v>
      </c>
      <c r="H287" s="264">
        <v>158.09999999999999</v>
      </c>
      <c r="I287" s="265"/>
      <c r="J287" s="266">
        <f>ROUND(I287*H287,1)</f>
        <v>0</v>
      </c>
      <c r="K287" s="262" t="s">
        <v>206</v>
      </c>
      <c r="L287" s="267"/>
      <c r="M287" s="268" t="s">
        <v>32</v>
      </c>
      <c r="N287" s="269" t="s">
        <v>49</v>
      </c>
      <c r="O287" s="86"/>
      <c r="P287" s="218">
        <f>O287*H287</f>
        <v>0</v>
      </c>
      <c r="Q287" s="218">
        <v>0.044999999999999998</v>
      </c>
      <c r="R287" s="218">
        <f>Q287*H287</f>
        <v>7.1144999999999996</v>
      </c>
      <c r="S287" s="218">
        <v>0</v>
      </c>
      <c r="T287" s="219">
        <f>S287*H287</f>
        <v>0</v>
      </c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R287" s="220" t="s">
        <v>254</v>
      </c>
      <c r="AT287" s="220" t="s">
        <v>292</v>
      </c>
      <c r="AU287" s="220" t="s">
        <v>88</v>
      </c>
      <c r="AY287" s="18" t="s">
        <v>200</v>
      </c>
      <c r="BE287" s="221">
        <f>IF(N287="základní",J287,0)</f>
        <v>0</v>
      </c>
      <c r="BF287" s="221">
        <f>IF(N287="snížená",J287,0)</f>
        <v>0</v>
      </c>
      <c r="BG287" s="221">
        <f>IF(N287="zákl. přenesená",J287,0)</f>
        <v>0</v>
      </c>
      <c r="BH287" s="221">
        <f>IF(N287="sníž. přenesená",J287,0)</f>
        <v>0</v>
      </c>
      <c r="BI287" s="221">
        <f>IF(N287="nulová",J287,0)</f>
        <v>0</v>
      </c>
      <c r="BJ287" s="18" t="s">
        <v>86</v>
      </c>
      <c r="BK287" s="221">
        <f>ROUND(I287*H287,1)</f>
        <v>0</v>
      </c>
      <c r="BL287" s="18" t="s">
        <v>207</v>
      </c>
      <c r="BM287" s="220" t="s">
        <v>3564</v>
      </c>
    </row>
    <row r="288" s="13" customFormat="1">
      <c r="A288" s="13"/>
      <c r="B288" s="227"/>
      <c r="C288" s="228"/>
      <c r="D288" s="229" t="s">
        <v>211</v>
      </c>
      <c r="E288" s="228"/>
      <c r="F288" s="231" t="s">
        <v>3565</v>
      </c>
      <c r="G288" s="228"/>
      <c r="H288" s="232">
        <v>158.09999999999999</v>
      </c>
      <c r="I288" s="233"/>
      <c r="J288" s="228"/>
      <c r="K288" s="228"/>
      <c r="L288" s="234"/>
      <c r="M288" s="235"/>
      <c r="N288" s="236"/>
      <c r="O288" s="236"/>
      <c r="P288" s="236"/>
      <c r="Q288" s="236"/>
      <c r="R288" s="236"/>
      <c r="S288" s="236"/>
      <c r="T288" s="237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T288" s="238" t="s">
        <v>211</v>
      </c>
      <c r="AU288" s="238" t="s">
        <v>88</v>
      </c>
      <c r="AV288" s="13" t="s">
        <v>88</v>
      </c>
      <c r="AW288" s="13" t="s">
        <v>4</v>
      </c>
      <c r="AX288" s="13" t="s">
        <v>86</v>
      </c>
      <c r="AY288" s="238" t="s">
        <v>200</v>
      </c>
    </row>
    <row r="289" s="2" customFormat="1" ht="16.5" customHeight="1">
      <c r="A289" s="40"/>
      <c r="B289" s="41"/>
      <c r="C289" s="209" t="s">
        <v>755</v>
      </c>
      <c r="D289" s="209" t="s">
        <v>202</v>
      </c>
      <c r="E289" s="210" t="s">
        <v>3566</v>
      </c>
      <c r="F289" s="211" t="s">
        <v>3567</v>
      </c>
      <c r="G289" s="212" t="s">
        <v>205</v>
      </c>
      <c r="H289" s="213">
        <v>15</v>
      </c>
      <c r="I289" s="214"/>
      <c r="J289" s="215">
        <f>ROUND(I289*H289,1)</f>
        <v>0</v>
      </c>
      <c r="K289" s="211" t="s">
        <v>206</v>
      </c>
      <c r="L289" s="46"/>
      <c r="M289" s="216" t="s">
        <v>32</v>
      </c>
      <c r="N289" s="217" t="s">
        <v>49</v>
      </c>
      <c r="O289" s="86"/>
      <c r="P289" s="218">
        <f>O289*H289</f>
        <v>0</v>
      </c>
      <c r="Q289" s="218">
        <v>2.2563399999999998</v>
      </c>
      <c r="R289" s="218">
        <f>Q289*H289</f>
        <v>33.845099999999995</v>
      </c>
      <c r="S289" s="218">
        <v>0</v>
      </c>
      <c r="T289" s="219">
        <f>S289*H289</f>
        <v>0</v>
      </c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R289" s="220" t="s">
        <v>207</v>
      </c>
      <c r="AT289" s="220" t="s">
        <v>202</v>
      </c>
      <c r="AU289" s="220" t="s">
        <v>88</v>
      </c>
      <c r="AY289" s="18" t="s">
        <v>200</v>
      </c>
      <c r="BE289" s="221">
        <f>IF(N289="základní",J289,0)</f>
        <v>0</v>
      </c>
      <c r="BF289" s="221">
        <f>IF(N289="snížená",J289,0)</f>
        <v>0</v>
      </c>
      <c r="BG289" s="221">
        <f>IF(N289="zákl. přenesená",J289,0)</f>
        <v>0</v>
      </c>
      <c r="BH289" s="221">
        <f>IF(N289="sníž. přenesená",J289,0)</f>
        <v>0</v>
      </c>
      <c r="BI289" s="221">
        <f>IF(N289="nulová",J289,0)</f>
        <v>0</v>
      </c>
      <c r="BJ289" s="18" t="s">
        <v>86</v>
      </c>
      <c r="BK289" s="221">
        <f>ROUND(I289*H289,1)</f>
        <v>0</v>
      </c>
      <c r="BL289" s="18" t="s">
        <v>207</v>
      </c>
      <c r="BM289" s="220" t="s">
        <v>3568</v>
      </c>
    </row>
    <row r="290" s="2" customFormat="1">
      <c r="A290" s="40"/>
      <c r="B290" s="41"/>
      <c r="C290" s="42"/>
      <c r="D290" s="222" t="s">
        <v>209</v>
      </c>
      <c r="E290" s="42"/>
      <c r="F290" s="223" t="s">
        <v>3569</v>
      </c>
      <c r="G290" s="42"/>
      <c r="H290" s="42"/>
      <c r="I290" s="224"/>
      <c r="J290" s="42"/>
      <c r="K290" s="42"/>
      <c r="L290" s="46"/>
      <c r="M290" s="225"/>
      <c r="N290" s="226"/>
      <c r="O290" s="86"/>
      <c r="P290" s="86"/>
      <c r="Q290" s="86"/>
      <c r="R290" s="86"/>
      <c r="S290" s="86"/>
      <c r="T290" s="87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T290" s="18" t="s">
        <v>209</v>
      </c>
      <c r="AU290" s="18" t="s">
        <v>88</v>
      </c>
    </row>
    <row r="291" s="13" customFormat="1">
      <c r="A291" s="13"/>
      <c r="B291" s="227"/>
      <c r="C291" s="228"/>
      <c r="D291" s="229" t="s">
        <v>211</v>
      </c>
      <c r="E291" s="230" t="s">
        <v>32</v>
      </c>
      <c r="F291" s="231" t="s">
        <v>3570</v>
      </c>
      <c r="G291" s="228"/>
      <c r="H291" s="232">
        <v>3</v>
      </c>
      <c r="I291" s="233"/>
      <c r="J291" s="228"/>
      <c r="K291" s="228"/>
      <c r="L291" s="234"/>
      <c r="M291" s="235"/>
      <c r="N291" s="236"/>
      <c r="O291" s="236"/>
      <c r="P291" s="236"/>
      <c r="Q291" s="236"/>
      <c r="R291" s="236"/>
      <c r="S291" s="236"/>
      <c r="T291" s="237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T291" s="238" t="s">
        <v>211</v>
      </c>
      <c r="AU291" s="238" t="s">
        <v>88</v>
      </c>
      <c r="AV291" s="13" t="s">
        <v>88</v>
      </c>
      <c r="AW291" s="13" t="s">
        <v>213</v>
      </c>
      <c r="AX291" s="13" t="s">
        <v>78</v>
      </c>
      <c r="AY291" s="238" t="s">
        <v>200</v>
      </c>
    </row>
    <row r="292" s="13" customFormat="1">
      <c r="A292" s="13"/>
      <c r="B292" s="227"/>
      <c r="C292" s="228"/>
      <c r="D292" s="229" t="s">
        <v>211</v>
      </c>
      <c r="E292" s="230" t="s">
        <v>32</v>
      </c>
      <c r="F292" s="231" t="s">
        <v>3571</v>
      </c>
      <c r="G292" s="228"/>
      <c r="H292" s="232">
        <v>12</v>
      </c>
      <c r="I292" s="233"/>
      <c r="J292" s="228"/>
      <c r="K292" s="228"/>
      <c r="L292" s="234"/>
      <c r="M292" s="235"/>
      <c r="N292" s="236"/>
      <c r="O292" s="236"/>
      <c r="P292" s="236"/>
      <c r="Q292" s="236"/>
      <c r="R292" s="236"/>
      <c r="S292" s="236"/>
      <c r="T292" s="237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T292" s="238" t="s">
        <v>211</v>
      </c>
      <c r="AU292" s="238" t="s">
        <v>88</v>
      </c>
      <c r="AV292" s="13" t="s">
        <v>88</v>
      </c>
      <c r="AW292" s="13" t="s">
        <v>213</v>
      </c>
      <c r="AX292" s="13" t="s">
        <v>78</v>
      </c>
      <c r="AY292" s="238" t="s">
        <v>200</v>
      </c>
    </row>
    <row r="293" s="14" customFormat="1">
      <c r="A293" s="14"/>
      <c r="B293" s="239"/>
      <c r="C293" s="240"/>
      <c r="D293" s="229" t="s">
        <v>211</v>
      </c>
      <c r="E293" s="241" t="s">
        <v>32</v>
      </c>
      <c r="F293" s="242" t="s">
        <v>220</v>
      </c>
      <c r="G293" s="240"/>
      <c r="H293" s="243">
        <v>15</v>
      </c>
      <c r="I293" s="244"/>
      <c r="J293" s="240"/>
      <c r="K293" s="240"/>
      <c r="L293" s="245"/>
      <c r="M293" s="246"/>
      <c r="N293" s="247"/>
      <c r="O293" s="247"/>
      <c r="P293" s="247"/>
      <c r="Q293" s="247"/>
      <c r="R293" s="247"/>
      <c r="S293" s="247"/>
      <c r="T293" s="248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T293" s="249" t="s">
        <v>211</v>
      </c>
      <c r="AU293" s="249" t="s">
        <v>88</v>
      </c>
      <c r="AV293" s="14" t="s">
        <v>207</v>
      </c>
      <c r="AW293" s="14" t="s">
        <v>213</v>
      </c>
      <c r="AX293" s="14" t="s">
        <v>86</v>
      </c>
      <c r="AY293" s="249" t="s">
        <v>200</v>
      </c>
    </row>
    <row r="294" s="2" customFormat="1" ht="33" customHeight="1">
      <c r="A294" s="40"/>
      <c r="B294" s="41"/>
      <c r="C294" s="209" t="s">
        <v>761</v>
      </c>
      <c r="D294" s="209" t="s">
        <v>202</v>
      </c>
      <c r="E294" s="210" t="s">
        <v>3572</v>
      </c>
      <c r="F294" s="211" t="s">
        <v>3573</v>
      </c>
      <c r="G294" s="212" t="s">
        <v>280</v>
      </c>
      <c r="H294" s="213">
        <v>56.5</v>
      </c>
      <c r="I294" s="214"/>
      <c r="J294" s="215">
        <f>ROUND(I294*H294,1)</f>
        <v>0</v>
      </c>
      <c r="K294" s="211" t="s">
        <v>206</v>
      </c>
      <c r="L294" s="46"/>
      <c r="M294" s="216" t="s">
        <v>32</v>
      </c>
      <c r="N294" s="217" t="s">
        <v>49</v>
      </c>
      <c r="O294" s="86"/>
      <c r="P294" s="218">
        <f>O294*H294</f>
        <v>0</v>
      </c>
      <c r="Q294" s="218">
        <v>0.00060999999999999997</v>
      </c>
      <c r="R294" s="218">
        <f>Q294*H294</f>
        <v>0.034464999999999996</v>
      </c>
      <c r="S294" s="218">
        <v>0</v>
      </c>
      <c r="T294" s="219">
        <f>S294*H294</f>
        <v>0</v>
      </c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R294" s="220" t="s">
        <v>207</v>
      </c>
      <c r="AT294" s="220" t="s">
        <v>202</v>
      </c>
      <c r="AU294" s="220" t="s">
        <v>88</v>
      </c>
      <c r="AY294" s="18" t="s">
        <v>200</v>
      </c>
      <c r="BE294" s="221">
        <f>IF(N294="základní",J294,0)</f>
        <v>0</v>
      </c>
      <c r="BF294" s="221">
        <f>IF(N294="snížená",J294,0)</f>
        <v>0</v>
      </c>
      <c r="BG294" s="221">
        <f>IF(N294="zákl. přenesená",J294,0)</f>
        <v>0</v>
      </c>
      <c r="BH294" s="221">
        <f>IF(N294="sníž. přenesená",J294,0)</f>
        <v>0</v>
      </c>
      <c r="BI294" s="221">
        <f>IF(N294="nulová",J294,0)</f>
        <v>0</v>
      </c>
      <c r="BJ294" s="18" t="s">
        <v>86</v>
      </c>
      <c r="BK294" s="221">
        <f>ROUND(I294*H294,1)</f>
        <v>0</v>
      </c>
      <c r="BL294" s="18" t="s">
        <v>207</v>
      </c>
      <c r="BM294" s="220" t="s">
        <v>3574</v>
      </c>
    </row>
    <row r="295" s="2" customFormat="1">
      <c r="A295" s="40"/>
      <c r="B295" s="41"/>
      <c r="C295" s="42"/>
      <c r="D295" s="222" t="s">
        <v>209</v>
      </c>
      <c r="E295" s="42"/>
      <c r="F295" s="223" t="s">
        <v>3575</v>
      </c>
      <c r="G295" s="42"/>
      <c r="H295" s="42"/>
      <c r="I295" s="224"/>
      <c r="J295" s="42"/>
      <c r="K295" s="42"/>
      <c r="L295" s="46"/>
      <c r="M295" s="225"/>
      <c r="N295" s="226"/>
      <c r="O295" s="86"/>
      <c r="P295" s="86"/>
      <c r="Q295" s="86"/>
      <c r="R295" s="86"/>
      <c r="S295" s="86"/>
      <c r="T295" s="87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T295" s="18" t="s">
        <v>209</v>
      </c>
      <c r="AU295" s="18" t="s">
        <v>88</v>
      </c>
    </row>
    <row r="296" s="2" customFormat="1" ht="16.5" customHeight="1">
      <c r="A296" s="40"/>
      <c r="B296" s="41"/>
      <c r="C296" s="209" t="s">
        <v>766</v>
      </c>
      <c r="D296" s="209" t="s">
        <v>202</v>
      </c>
      <c r="E296" s="210" t="s">
        <v>3576</v>
      </c>
      <c r="F296" s="211" t="s">
        <v>3577</v>
      </c>
      <c r="G296" s="212" t="s">
        <v>280</v>
      </c>
      <c r="H296" s="213">
        <v>56.5</v>
      </c>
      <c r="I296" s="214"/>
      <c r="J296" s="215">
        <f>ROUND(I296*H296,1)</f>
        <v>0</v>
      </c>
      <c r="K296" s="211" t="s">
        <v>206</v>
      </c>
      <c r="L296" s="46"/>
      <c r="M296" s="216" t="s">
        <v>32</v>
      </c>
      <c r="N296" s="217" t="s">
        <v>49</v>
      </c>
      <c r="O296" s="86"/>
      <c r="P296" s="218">
        <f>O296*H296</f>
        <v>0</v>
      </c>
      <c r="Q296" s="218">
        <v>0</v>
      </c>
      <c r="R296" s="218">
        <f>Q296*H296</f>
        <v>0</v>
      </c>
      <c r="S296" s="218">
        <v>0</v>
      </c>
      <c r="T296" s="219">
        <f>S296*H296</f>
        <v>0</v>
      </c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R296" s="220" t="s">
        <v>207</v>
      </c>
      <c r="AT296" s="220" t="s">
        <v>202</v>
      </c>
      <c r="AU296" s="220" t="s">
        <v>88</v>
      </c>
      <c r="AY296" s="18" t="s">
        <v>200</v>
      </c>
      <c r="BE296" s="221">
        <f>IF(N296="základní",J296,0)</f>
        <v>0</v>
      </c>
      <c r="BF296" s="221">
        <f>IF(N296="snížená",J296,0)</f>
        <v>0</v>
      </c>
      <c r="BG296" s="221">
        <f>IF(N296="zákl. přenesená",J296,0)</f>
        <v>0</v>
      </c>
      <c r="BH296" s="221">
        <f>IF(N296="sníž. přenesená",J296,0)</f>
        <v>0</v>
      </c>
      <c r="BI296" s="221">
        <f>IF(N296="nulová",J296,0)</f>
        <v>0</v>
      </c>
      <c r="BJ296" s="18" t="s">
        <v>86</v>
      </c>
      <c r="BK296" s="221">
        <f>ROUND(I296*H296,1)</f>
        <v>0</v>
      </c>
      <c r="BL296" s="18" t="s">
        <v>207</v>
      </c>
      <c r="BM296" s="220" t="s">
        <v>3578</v>
      </c>
    </row>
    <row r="297" s="2" customFormat="1">
      <c r="A297" s="40"/>
      <c r="B297" s="41"/>
      <c r="C297" s="42"/>
      <c r="D297" s="222" t="s">
        <v>209</v>
      </c>
      <c r="E297" s="42"/>
      <c r="F297" s="223" t="s">
        <v>3579</v>
      </c>
      <c r="G297" s="42"/>
      <c r="H297" s="42"/>
      <c r="I297" s="224"/>
      <c r="J297" s="42"/>
      <c r="K297" s="42"/>
      <c r="L297" s="46"/>
      <c r="M297" s="225"/>
      <c r="N297" s="226"/>
      <c r="O297" s="86"/>
      <c r="P297" s="86"/>
      <c r="Q297" s="86"/>
      <c r="R297" s="86"/>
      <c r="S297" s="86"/>
      <c r="T297" s="87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T297" s="18" t="s">
        <v>209</v>
      </c>
      <c r="AU297" s="18" t="s">
        <v>88</v>
      </c>
    </row>
    <row r="298" s="2" customFormat="1" ht="24.15" customHeight="1">
      <c r="A298" s="40"/>
      <c r="B298" s="41"/>
      <c r="C298" s="209" t="s">
        <v>773</v>
      </c>
      <c r="D298" s="209" t="s">
        <v>202</v>
      </c>
      <c r="E298" s="210" t="s">
        <v>3580</v>
      </c>
      <c r="F298" s="211" t="s">
        <v>3581</v>
      </c>
      <c r="G298" s="212" t="s">
        <v>280</v>
      </c>
      <c r="H298" s="213">
        <v>5</v>
      </c>
      <c r="I298" s="214"/>
      <c r="J298" s="215">
        <f>ROUND(I298*H298,1)</f>
        <v>0</v>
      </c>
      <c r="K298" s="211" t="s">
        <v>206</v>
      </c>
      <c r="L298" s="46"/>
      <c r="M298" s="216" t="s">
        <v>32</v>
      </c>
      <c r="N298" s="217" t="s">
        <v>49</v>
      </c>
      <c r="O298" s="86"/>
      <c r="P298" s="218">
        <f>O298*H298</f>
        <v>0</v>
      </c>
      <c r="Q298" s="218">
        <v>0.68362999999999996</v>
      </c>
      <c r="R298" s="218">
        <f>Q298*H298</f>
        <v>3.4181499999999998</v>
      </c>
      <c r="S298" s="218">
        <v>0</v>
      </c>
      <c r="T298" s="219">
        <f>S298*H298</f>
        <v>0</v>
      </c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R298" s="220" t="s">
        <v>207</v>
      </c>
      <c r="AT298" s="220" t="s">
        <v>202</v>
      </c>
      <c r="AU298" s="220" t="s">
        <v>88</v>
      </c>
      <c r="AY298" s="18" t="s">
        <v>200</v>
      </c>
      <c r="BE298" s="221">
        <f>IF(N298="základní",J298,0)</f>
        <v>0</v>
      </c>
      <c r="BF298" s="221">
        <f>IF(N298="snížená",J298,0)</f>
        <v>0</v>
      </c>
      <c r="BG298" s="221">
        <f>IF(N298="zákl. přenesená",J298,0)</f>
        <v>0</v>
      </c>
      <c r="BH298" s="221">
        <f>IF(N298="sníž. přenesená",J298,0)</f>
        <v>0</v>
      </c>
      <c r="BI298" s="221">
        <f>IF(N298="nulová",J298,0)</f>
        <v>0</v>
      </c>
      <c r="BJ298" s="18" t="s">
        <v>86</v>
      </c>
      <c r="BK298" s="221">
        <f>ROUND(I298*H298,1)</f>
        <v>0</v>
      </c>
      <c r="BL298" s="18" t="s">
        <v>207</v>
      </c>
      <c r="BM298" s="220" t="s">
        <v>3582</v>
      </c>
    </row>
    <row r="299" s="2" customFormat="1">
      <c r="A299" s="40"/>
      <c r="B299" s="41"/>
      <c r="C299" s="42"/>
      <c r="D299" s="222" t="s">
        <v>209</v>
      </c>
      <c r="E299" s="42"/>
      <c r="F299" s="223" t="s">
        <v>3583</v>
      </c>
      <c r="G299" s="42"/>
      <c r="H299" s="42"/>
      <c r="I299" s="224"/>
      <c r="J299" s="42"/>
      <c r="K299" s="42"/>
      <c r="L299" s="46"/>
      <c r="M299" s="225"/>
      <c r="N299" s="226"/>
      <c r="O299" s="86"/>
      <c r="P299" s="86"/>
      <c r="Q299" s="86"/>
      <c r="R299" s="86"/>
      <c r="S299" s="86"/>
      <c r="T299" s="87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T299" s="18" t="s">
        <v>209</v>
      </c>
      <c r="AU299" s="18" t="s">
        <v>88</v>
      </c>
    </row>
    <row r="300" s="2" customFormat="1" ht="16.5" customHeight="1">
      <c r="A300" s="40"/>
      <c r="B300" s="41"/>
      <c r="C300" s="209" t="s">
        <v>779</v>
      </c>
      <c r="D300" s="209" t="s">
        <v>202</v>
      </c>
      <c r="E300" s="210" t="s">
        <v>3584</v>
      </c>
      <c r="F300" s="211" t="s">
        <v>3585</v>
      </c>
      <c r="G300" s="212" t="s">
        <v>205</v>
      </c>
      <c r="H300" s="213">
        <v>14</v>
      </c>
      <c r="I300" s="214"/>
      <c r="J300" s="215">
        <f>ROUND(I300*H300,1)</f>
        <v>0</v>
      </c>
      <c r="K300" s="211" t="s">
        <v>206</v>
      </c>
      <c r="L300" s="46"/>
      <c r="M300" s="216" t="s">
        <v>32</v>
      </c>
      <c r="N300" s="217" t="s">
        <v>49</v>
      </c>
      <c r="O300" s="86"/>
      <c r="P300" s="218">
        <f>O300*H300</f>
        <v>0</v>
      </c>
      <c r="Q300" s="218">
        <v>0</v>
      </c>
      <c r="R300" s="218">
        <f>Q300*H300</f>
        <v>0</v>
      </c>
      <c r="S300" s="218">
        <v>2</v>
      </c>
      <c r="T300" s="219">
        <f>S300*H300</f>
        <v>28</v>
      </c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R300" s="220" t="s">
        <v>207</v>
      </c>
      <c r="AT300" s="220" t="s">
        <v>202</v>
      </c>
      <c r="AU300" s="220" t="s">
        <v>88</v>
      </c>
      <c r="AY300" s="18" t="s">
        <v>200</v>
      </c>
      <c r="BE300" s="221">
        <f>IF(N300="základní",J300,0)</f>
        <v>0</v>
      </c>
      <c r="BF300" s="221">
        <f>IF(N300="snížená",J300,0)</f>
        <v>0</v>
      </c>
      <c r="BG300" s="221">
        <f>IF(N300="zákl. přenesená",J300,0)</f>
        <v>0</v>
      </c>
      <c r="BH300" s="221">
        <f>IF(N300="sníž. přenesená",J300,0)</f>
        <v>0</v>
      </c>
      <c r="BI300" s="221">
        <f>IF(N300="nulová",J300,0)</f>
        <v>0</v>
      </c>
      <c r="BJ300" s="18" t="s">
        <v>86</v>
      </c>
      <c r="BK300" s="221">
        <f>ROUND(I300*H300,1)</f>
        <v>0</v>
      </c>
      <c r="BL300" s="18" t="s">
        <v>207</v>
      </c>
      <c r="BM300" s="220" t="s">
        <v>3586</v>
      </c>
    </row>
    <row r="301" s="2" customFormat="1">
      <c r="A301" s="40"/>
      <c r="B301" s="41"/>
      <c r="C301" s="42"/>
      <c r="D301" s="222" t="s">
        <v>209</v>
      </c>
      <c r="E301" s="42"/>
      <c r="F301" s="223" t="s">
        <v>3587</v>
      </c>
      <c r="G301" s="42"/>
      <c r="H301" s="42"/>
      <c r="I301" s="224"/>
      <c r="J301" s="42"/>
      <c r="K301" s="42"/>
      <c r="L301" s="46"/>
      <c r="M301" s="225"/>
      <c r="N301" s="226"/>
      <c r="O301" s="86"/>
      <c r="P301" s="86"/>
      <c r="Q301" s="86"/>
      <c r="R301" s="86"/>
      <c r="S301" s="86"/>
      <c r="T301" s="87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T301" s="18" t="s">
        <v>209</v>
      </c>
      <c r="AU301" s="18" t="s">
        <v>88</v>
      </c>
    </row>
    <row r="302" s="13" customFormat="1">
      <c r="A302" s="13"/>
      <c r="B302" s="227"/>
      <c r="C302" s="228"/>
      <c r="D302" s="229" t="s">
        <v>211</v>
      </c>
      <c r="E302" s="230" t="s">
        <v>32</v>
      </c>
      <c r="F302" s="231" t="s">
        <v>3588</v>
      </c>
      <c r="G302" s="228"/>
      <c r="H302" s="232">
        <v>13</v>
      </c>
      <c r="I302" s="233"/>
      <c r="J302" s="228"/>
      <c r="K302" s="228"/>
      <c r="L302" s="234"/>
      <c r="M302" s="235"/>
      <c r="N302" s="236"/>
      <c r="O302" s="236"/>
      <c r="P302" s="236"/>
      <c r="Q302" s="236"/>
      <c r="R302" s="236"/>
      <c r="S302" s="236"/>
      <c r="T302" s="237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T302" s="238" t="s">
        <v>211</v>
      </c>
      <c r="AU302" s="238" t="s">
        <v>88</v>
      </c>
      <c r="AV302" s="13" t="s">
        <v>88</v>
      </c>
      <c r="AW302" s="13" t="s">
        <v>213</v>
      </c>
      <c r="AX302" s="13" t="s">
        <v>78</v>
      </c>
      <c r="AY302" s="238" t="s">
        <v>200</v>
      </c>
    </row>
    <row r="303" s="13" customFormat="1">
      <c r="A303" s="13"/>
      <c r="B303" s="227"/>
      <c r="C303" s="228"/>
      <c r="D303" s="229" t="s">
        <v>211</v>
      </c>
      <c r="E303" s="230" t="s">
        <v>32</v>
      </c>
      <c r="F303" s="231" t="s">
        <v>3589</v>
      </c>
      <c r="G303" s="228"/>
      <c r="H303" s="232">
        <v>1</v>
      </c>
      <c r="I303" s="233"/>
      <c r="J303" s="228"/>
      <c r="K303" s="228"/>
      <c r="L303" s="234"/>
      <c r="M303" s="235"/>
      <c r="N303" s="236"/>
      <c r="O303" s="236"/>
      <c r="P303" s="236"/>
      <c r="Q303" s="236"/>
      <c r="R303" s="236"/>
      <c r="S303" s="236"/>
      <c r="T303" s="237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T303" s="238" t="s">
        <v>211</v>
      </c>
      <c r="AU303" s="238" t="s">
        <v>88</v>
      </c>
      <c r="AV303" s="13" t="s">
        <v>88</v>
      </c>
      <c r="AW303" s="13" t="s">
        <v>213</v>
      </c>
      <c r="AX303" s="13" t="s">
        <v>78</v>
      </c>
      <c r="AY303" s="238" t="s">
        <v>200</v>
      </c>
    </row>
    <row r="304" s="14" customFormat="1">
      <c r="A304" s="14"/>
      <c r="B304" s="239"/>
      <c r="C304" s="240"/>
      <c r="D304" s="229" t="s">
        <v>211</v>
      </c>
      <c r="E304" s="241" t="s">
        <v>32</v>
      </c>
      <c r="F304" s="242" t="s">
        <v>220</v>
      </c>
      <c r="G304" s="240"/>
      <c r="H304" s="243">
        <v>14</v>
      </c>
      <c r="I304" s="244"/>
      <c r="J304" s="240"/>
      <c r="K304" s="240"/>
      <c r="L304" s="245"/>
      <c r="M304" s="246"/>
      <c r="N304" s="247"/>
      <c r="O304" s="247"/>
      <c r="P304" s="247"/>
      <c r="Q304" s="247"/>
      <c r="R304" s="247"/>
      <c r="S304" s="247"/>
      <c r="T304" s="248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T304" s="249" t="s">
        <v>211</v>
      </c>
      <c r="AU304" s="249" t="s">
        <v>88</v>
      </c>
      <c r="AV304" s="14" t="s">
        <v>207</v>
      </c>
      <c r="AW304" s="14" t="s">
        <v>213</v>
      </c>
      <c r="AX304" s="14" t="s">
        <v>86</v>
      </c>
      <c r="AY304" s="249" t="s">
        <v>200</v>
      </c>
    </row>
    <row r="305" s="2" customFormat="1" ht="16.5" customHeight="1">
      <c r="A305" s="40"/>
      <c r="B305" s="41"/>
      <c r="C305" s="209" t="s">
        <v>784</v>
      </c>
      <c r="D305" s="209" t="s">
        <v>202</v>
      </c>
      <c r="E305" s="210" t="s">
        <v>3590</v>
      </c>
      <c r="F305" s="211" t="s">
        <v>3591</v>
      </c>
      <c r="G305" s="212" t="s">
        <v>205</v>
      </c>
      <c r="H305" s="213">
        <v>5</v>
      </c>
      <c r="I305" s="214"/>
      <c r="J305" s="215">
        <f>ROUND(I305*H305,1)</f>
        <v>0</v>
      </c>
      <c r="K305" s="211" t="s">
        <v>206</v>
      </c>
      <c r="L305" s="46"/>
      <c r="M305" s="216" t="s">
        <v>32</v>
      </c>
      <c r="N305" s="217" t="s">
        <v>49</v>
      </c>
      <c r="O305" s="86"/>
      <c r="P305" s="218">
        <f>O305*H305</f>
        <v>0</v>
      </c>
      <c r="Q305" s="218">
        <v>0</v>
      </c>
      <c r="R305" s="218">
        <f>Q305*H305</f>
        <v>0</v>
      </c>
      <c r="S305" s="218">
        <v>2.3999999999999999</v>
      </c>
      <c r="T305" s="219">
        <f>S305*H305</f>
        <v>12</v>
      </c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R305" s="220" t="s">
        <v>207</v>
      </c>
      <c r="AT305" s="220" t="s">
        <v>202</v>
      </c>
      <c r="AU305" s="220" t="s">
        <v>88</v>
      </c>
      <c r="AY305" s="18" t="s">
        <v>200</v>
      </c>
      <c r="BE305" s="221">
        <f>IF(N305="základní",J305,0)</f>
        <v>0</v>
      </c>
      <c r="BF305" s="221">
        <f>IF(N305="snížená",J305,0)</f>
        <v>0</v>
      </c>
      <c r="BG305" s="221">
        <f>IF(N305="zákl. přenesená",J305,0)</f>
        <v>0</v>
      </c>
      <c r="BH305" s="221">
        <f>IF(N305="sníž. přenesená",J305,0)</f>
        <v>0</v>
      </c>
      <c r="BI305" s="221">
        <f>IF(N305="nulová",J305,0)</f>
        <v>0</v>
      </c>
      <c r="BJ305" s="18" t="s">
        <v>86</v>
      </c>
      <c r="BK305" s="221">
        <f>ROUND(I305*H305,1)</f>
        <v>0</v>
      </c>
      <c r="BL305" s="18" t="s">
        <v>207</v>
      </c>
      <c r="BM305" s="220" t="s">
        <v>3592</v>
      </c>
    </row>
    <row r="306" s="2" customFormat="1">
      <c r="A306" s="40"/>
      <c r="B306" s="41"/>
      <c r="C306" s="42"/>
      <c r="D306" s="222" t="s">
        <v>209</v>
      </c>
      <c r="E306" s="42"/>
      <c r="F306" s="223" t="s">
        <v>3593</v>
      </c>
      <c r="G306" s="42"/>
      <c r="H306" s="42"/>
      <c r="I306" s="224"/>
      <c r="J306" s="42"/>
      <c r="K306" s="42"/>
      <c r="L306" s="46"/>
      <c r="M306" s="225"/>
      <c r="N306" s="226"/>
      <c r="O306" s="86"/>
      <c r="P306" s="86"/>
      <c r="Q306" s="86"/>
      <c r="R306" s="86"/>
      <c r="S306" s="86"/>
      <c r="T306" s="87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T306" s="18" t="s">
        <v>209</v>
      </c>
      <c r="AU306" s="18" t="s">
        <v>88</v>
      </c>
    </row>
    <row r="307" s="13" customFormat="1">
      <c r="A307" s="13"/>
      <c r="B307" s="227"/>
      <c r="C307" s="228"/>
      <c r="D307" s="229" t="s">
        <v>211</v>
      </c>
      <c r="E307" s="230" t="s">
        <v>32</v>
      </c>
      <c r="F307" s="231" t="s">
        <v>3594</v>
      </c>
      <c r="G307" s="228"/>
      <c r="H307" s="232">
        <v>5</v>
      </c>
      <c r="I307" s="233"/>
      <c r="J307" s="228"/>
      <c r="K307" s="228"/>
      <c r="L307" s="234"/>
      <c r="M307" s="235"/>
      <c r="N307" s="236"/>
      <c r="O307" s="236"/>
      <c r="P307" s="236"/>
      <c r="Q307" s="236"/>
      <c r="R307" s="236"/>
      <c r="S307" s="236"/>
      <c r="T307" s="237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T307" s="238" t="s">
        <v>211</v>
      </c>
      <c r="AU307" s="238" t="s">
        <v>88</v>
      </c>
      <c r="AV307" s="13" t="s">
        <v>88</v>
      </c>
      <c r="AW307" s="13" t="s">
        <v>213</v>
      </c>
      <c r="AX307" s="13" t="s">
        <v>86</v>
      </c>
      <c r="AY307" s="238" t="s">
        <v>200</v>
      </c>
    </row>
    <row r="308" s="2" customFormat="1" ht="24.15" customHeight="1">
      <c r="A308" s="40"/>
      <c r="B308" s="41"/>
      <c r="C308" s="209" t="s">
        <v>791</v>
      </c>
      <c r="D308" s="209" t="s">
        <v>202</v>
      </c>
      <c r="E308" s="210" t="s">
        <v>3595</v>
      </c>
      <c r="F308" s="211" t="s">
        <v>3596</v>
      </c>
      <c r="G308" s="212" t="s">
        <v>205</v>
      </c>
      <c r="H308" s="213">
        <v>85.799999999999997</v>
      </c>
      <c r="I308" s="214"/>
      <c r="J308" s="215">
        <f>ROUND(I308*H308,1)</f>
        <v>0</v>
      </c>
      <c r="K308" s="211" t="s">
        <v>206</v>
      </c>
      <c r="L308" s="46"/>
      <c r="M308" s="216" t="s">
        <v>32</v>
      </c>
      <c r="N308" s="217" t="s">
        <v>49</v>
      </c>
      <c r="O308" s="86"/>
      <c r="P308" s="218">
        <f>O308*H308</f>
        <v>0</v>
      </c>
      <c r="Q308" s="218">
        <v>0</v>
      </c>
      <c r="R308" s="218">
        <f>Q308*H308</f>
        <v>0</v>
      </c>
      <c r="S308" s="218">
        <v>1.95</v>
      </c>
      <c r="T308" s="219">
        <f>S308*H308</f>
        <v>167.31</v>
      </c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R308" s="220" t="s">
        <v>207</v>
      </c>
      <c r="AT308" s="220" t="s">
        <v>202</v>
      </c>
      <c r="AU308" s="220" t="s">
        <v>88</v>
      </c>
      <c r="AY308" s="18" t="s">
        <v>200</v>
      </c>
      <c r="BE308" s="221">
        <f>IF(N308="základní",J308,0)</f>
        <v>0</v>
      </c>
      <c r="BF308" s="221">
        <f>IF(N308="snížená",J308,0)</f>
        <v>0</v>
      </c>
      <c r="BG308" s="221">
        <f>IF(N308="zákl. přenesená",J308,0)</f>
        <v>0</v>
      </c>
      <c r="BH308" s="221">
        <f>IF(N308="sníž. přenesená",J308,0)</f>
        <v>0</v>
      </c>
      <c r="BI308" s="221">
        <f>IF(N308="nulová",J308,0)</f>
        <v>0</v>
      </c>
      <c r="BJ308" s="18" t="s">
        <v>86</v>
      </c>
      <c r="BK308" s="221">
        <f>ROUND(I308*H308,1)</f>
        <v>0</v>
      </c>
      <c r="BL308" s="18" t="s">
        <v>207</v>
      </c>
      <c r="BM308" s="220" t="s">
        <v>3597</v>
      </c>
    </row>
    <row r="309" s="2" customFormat="1">
      <c r="A309" s="40"/>
      <c r="B309" s="41"/>
      <c r="C309" s="42"/>
      <c r="D309" s="222" t="s">
        <v>209</v>
      </c>
      <c r="E309" s="42"/>
      <c r="F309" s="223" t="s">
        <v>3598</v>
      </c>
      <c r="G309" s="42"/>
      <c r="H309" s="42"/>
      <c r="I309" s="224"/>
      <c r="J309" s="42"/>
      <c r="K309" s="42"/>
      <c r="L309" s="46"/>
      <c r="M309" s="225"/>
      <c r="N309" s="226"/>
      <c r="O309" s="86"/>
      <c r="P309" s="86"/>
      <c r="Q309" s="86"/>
      <c r="R309" s="86"/>
      <c r="S309" s="86"/>
      <c r="T309" s="87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T309" s="18" t="s">
        <v>209</v>
      </c>
      <c r="AU309" s="18" t="s">
        <v>88</v>
      </c>
    </row>
    <row r="310" s="13" customFormat="1">
      <c r="A310" s="13"/>
      <c r="B310" s="227"/>
      <c r="C310" s="228"/>
      <c r="D310" s="229" t="s">
        <v>211</v>
      </c>
      <c r="E310" s="230" t="s">
        <v>32</v>
      </c>
      <c r="F310" s="231" t="s">
        <v>3599</v>
      </c>
      <c r="G310" s="228"/>
      <c r="H310" s="232">
        <v>8</v>
      </c>
      <c r="I310" s="233"/>
      <c r="J310" s="228"/>
      <c r="K310" s="228"/>
      <c r="L310" s="234"/>
      <c r="M310" s="235"/>
      <c r="N310" s="236"/>
      <c r="O310" s="236"/>
      <c r="P310" s="236"/>
      <c r="Q310" s="236"/>
      <c r="R310" s="236"/>
      <c r="S310" s="236"/>
      <c r="T310" s="237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T310" s="238" t="s">
        <v>211</v>
      </c>
      <c r="AU310" s="238" t="s">
        <v>88</v>
      </c>
      <c r="AV310" s="13" t="s">
        <v>88</v>
      </c>
      <c r="AW310" s="13" t="s">
        <v>213</v>
      </c>
      <c r="AX310" s="13" t="s">
        <v>78</v>
      </c>
      <c r="AY310" s="238" t="s">
        <v>200</v>
      </c>
    </row>
    <row r="311" s="13" customFormat="1">
      <c r="A311" s="13"/>
      <c r="B311" s="227"/>
      <c r="C311" s="228"/>
      <c r="D311" s="229" t="s">
        <v>211</v>
      </c>
      <c r="E311" s="230" t="s">
        <v>32</v>
      </c>
      <c r="F311" s="231" t="s">
        <v>3600</v>
      </c>
      <c r="G311" s="228"/>
      <c r="H311" s="232">
        <v>1.8</v>
      </c>
      <c r="I311" s="233"/>
      <c r="J311" s="228"/>
      <c r="K311" s="228"/>
      <c r="L311" s="234"/>
      <c r="M311" s="235"/>
      <c r="N311" s="236"/>
      <c r="O311" s="236"/>
      <c r="P311" s="236"/>
      <c r="Q311" s="236"/>
      <c r="R311" s="236"/>
      <c r="S311" s="236"/>
      <c r="T311" s="237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T311" s="238" t="s">
        <v>211</v>
      </c>
      <c r="AU311" s="238" t="s">
        <v>88</v>
      </c>
      <c r="AV311" s="13" t="s">
        <v>88</v>
      </c>
      <c r="AW311" s="13" t="s">
        <v>213</v>
      </c>
      <c r="AX311" s="13" t="s">
        <v>78</v>
      </c>
      <c r="AY311" s="238" t="s">
        <v>200</v>
      </c>
    </row>
    <row r="312" s="13" customFormat="1">
      <c r="A312" s="13"/>
      <c r="B312" s="227"/>
      <c r="C312" s="228"/>
      <c r="D312" s="229" t="s">
        <v>211</v>
      </c>
      <c r="E312" s="230" t="s">
        <v>32</v>
      </c>
      <c r="F312" s="231" t="s">
        <v>3601</v>
      </c>
      <c r="G312" s="228"/>
      <c r="H312" s="232">
        <v>20</v>
      </c>
      <c r="I312" s="233"/>
      <c r="J312" s="228"/>
      <c r="K312" s="228"/>
      <c r="L312" s="234"/>
      <c r="M312" s="235"/>
      <c r="N312" s="236"/>
      <c r="O312" s="236"/>
      <c r="P312" s="236"/>
      <c r="Q312" s="236"/>
      <c r="R312" s="236"/>
      <c r="S312" s="236"/>
      <c r="T312" s="237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T312" s="238" t="s">
        <v>211</v>
      </c>
      <c r="AU312" s="238" t="s">
        <v>88</v>
      </c>
      <c r="AV312" s="13" t="s">
        <v>88</v>
      </c>
      <c r="AW312" s="13" t="s">
        <v>213</v>
      </c>
      <c r="AX312" s="13" t="s">
        <v>78</v>
      </c>
      <c r="AY312" s="238" t="s">
        <v>200</v>
      </c>
    </row>
    <row r="313" s="13" customFormat="1">
      <c r="A313" s="13"/>
      <c r="B313" s="227"/>
      <c r="C313" s="228"/>
      <c r="D313" s="229" t="s">
        <v>211</v>
      </c>
      <c r="E313" s="230" t="s">
        <v>32</v>
      </c>
      <c r="F313" s="231" t="s">
        <v>3602</v>
      </c>
      <c r="G313" s="228"/>
      <c r="H313" s="232">
        <v>56</v>
      </c>
      <c r="I313" s="233"/>
      <c r="J313" s="228"/>
      <c r="K313" s="228"/>
      <c r="L313" s="234"/>
      <c r="M313" s="235"/>
      <c r="N313" s="236"/>
      <c r="O313" s="236"/>
      <c r="P313" s="236"/>
      <c r="Q313" s="236"/>
      <c r="R313" s="236"/>
      <c r="S313" s="236"/>
      <c r="T313" s="237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T313" s="238" t="s">
        <v>211</v>
      </c>
      <c r="AU313" s="238" t="s">
        <v>88</v>
      </c>
      <c r="AV313" s="13" t="s">
        <v>88</v>
      </c>
      <c r="AW313" s="13" t="s">
        <v>213</v>
      </c>
      <c r="AX313" s="13" t="s">
        <v>78</v>
      </c>
      <c r="AY313" s="238" t="s">
        <v>200</v>
      </c>
    </row>
    <row r="314" s="14" customFormat="1">
      <c r="A314" s="14"/>
      <c r="B314" s="239"/>
      <c r="C314" s="240"/>
      <c r="D314" s="229" t="s">
        <v>211</v>
      </c>
      <c r="E314" s="241" t="s">
        <v>32</v>
      </c>
      <c r="F314" s="242" t="s">
        <v>220</v>
      </c>
      <c r="G314" s="240"/>
      <c r="H314" s="243">
        <v>85.799999999999997</v>
      </c>
      <c r="I314" s="244"/>
      <c r="J314" s="240"/>
      <c r="K314" s="240"/>
      <c r="L314" s="245"/>
      <c r="M314" s="246"/>
      <c r="N314" s="247"/>
      <c r="O314" s="247"/>
      <c r="P314" s="247"/>
      <c r="Q314" s="247"/>
      <c r="R314" s="247"/>
      <c r="S314" s="247"/>
      <c r="T314" s="248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T314" s="249" t="s">
        <v>211</v>
      </c>
      <c r="AU314" s="249" t="s">
        <v>88</v>
      </c>
      <c r="AV314" s="14" t="s">
        <v>207</v>
      </c>
      <c r="AW314" s="14" t="s">
        <v>213</v>
      </c>
      <c r="AX314" s="14" t="s">
        <v>86</v>
      </c>
      <c r="AY314" s="249" t="s">
        <v>200</v>
      </c>
    </row>
    <row r="315" s="2" customFormat="1" ht="37.8" customHeight="1">
      <c r="A315" s="40"/>
      <c r="B315" s="41"/>
      <c r="C315" s="209" t="s">
        <v>797</v>
      </c>
      <c r="D315" s="209" t="s">
        <v>202</v>
      </c>
      <c r="E315" s="210" t="s">
        <v>3603</v>
      </c>
      <c r="F315" s="211" t="s">
        <v>3604</v>
      </c>
      <c r="G315" s="212" t="s">
        <v>280</v>
      </c>
      <c r="H315" s="213">
        <v>14</v>
      </c>
      <c r="I315" s="214"/>
      <c r="J315" s="215">
        <f>ROUND(I315*H315,1)</f>
        <v>0</v>
      </c>
      <c r="K315" s="211" t="s">
        <v>206</v>
      </c>
      <c r="L315" s="46"/>
      <c r="M315" s="216" t="s">
        <v>32</v>
      </c>
      <c r="N315" s="217" t="s">
        <v>49</v>
      </c>
      <c r="O315" s="86"/>
      <c r="P315" s="218">
        <f>O315*H315</f>
        <v>0</v>
      </c>
      <c r="Q315" s="218">
        <v>0</v>
      </c>
      <c r="R315" s="218">
        <f>Q315*H315</f>
        <v>0</v>
      </c>
      <c r="S315" s="218">
        <v>0.34999999999999998</v>
      </c>
      <c r="T315" s="219">
        <f>S315*H315</f>
        <v>4.8999999999999995</v>
      </c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R315" s="220" t="s">
        <v>207</v>
      </c>
      <c r="AT315" s="220" t="s">
        <v>202</v>
      </c>
      <c r="AU315" s="220" t="s">
        <v>88</v>
      </c>
      <c r="AY315" s="18" t="s">
        <v>200</v>
      </c>
      <c r="BE315" s="221">
        <f>IF(N315="základní",J315,0)</f>
        <v>0</v>
      </c>
      <c r="BF315" s="221">
        <f>IF(N315="snížená",J315,0)</f>
        <v>0</v>
      </c>
      <c r="BG315" s="221">
        <f>IF(N315="zákl. přenesená",J315,0)</f>
        <v>0</v>
      </c>
      <c r="BH315" s="221">
        <f>IF(N315="sníž. přenesená",J315,0)</f>
        <v>0</v>
      </c>
      <c r="BI315" s="221">
        <f>IF(N315="nulová",J315,0)</f>
        <v>0</v>
      </c>
      <c r="BJ315" s="18" t="s">
        <v>86</v>
      </c>
      <c r="BK315" s="221">
        <f>ROUND(I315*H315,1)</f>
        <v>0</v>
      </c>
      <c r="BL315" s="18" t="s">
        <v>207</v>
      </c>
      <c r="BM315" s="220" t="s">
        <v>3605</v>
      </c>
    </row>
    <row r="316" s="2" customFormat="1">
      <c r="A316" s="40"/>
      <c r="B316" s="41"/>
      <c r="C316" s="42"/>
      <c r="D316" s="222" t="s">
        <v>209</v>
      </c>
      <c r="E316" s="42"/>
      <c r="F316" s="223" t="s">
        <v>3606</v>
      </c>
      <c r="G316" s="42"/>
      <c r="H316" s="42"/>
      <c r="I316" s="224"/>
      <c r="J316" s="42"/>
      <c r="K316" s="42"/>
      <c r="L316" s="46"/>
      <c r="M316" s="225"/>
      <c r="N316" s="226"/>
      <c r="O316" s="86"/>
      <c r="P316" s="86"/>
      <c r="Q316" s="86"/>
      <c r="R316" s="86"/>
      <c r="S316" s="86"/>
      <c r="T316" s="87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T316" s="18" t="s">
        <v>209</v>
      </c>
      <c r="AU316" s="18" t="s">
        <v>88</v>
      </c>
    </row>
    <row r="317" s="2" customFormat="1" ht="21.75" customHeight="1">
      <c r="A317" s="40"/>
      <c r="B317" s="41"/>
      <c r="C317" s="209" t="s">
        <v>803</v>
      </c>
      <c r="D317" s="209" t="s">
        <v>202</v>
      </c>
      <c r="E317" s="210" t="s">
        <v>3607</v>
      </c>
      <c r="F317" s="211" t="s">
        <v>3608</v>
      </c>
      <c r="G317" s="212" t="s">
        <v>449</v>
      </c>
      <c r="H317" s="213">
        <v>10</v>
      </c>
      <c r="I317" s="214"/>
      <c r="J317" s="215">
        <f>ROUND(I317*H317,1)</f>
        <v>0</v>
      </c>
      <c r="K317" s="211" t="s">
        <v>206</v>
      </c>
      <c r="L317" s="46"/>
      <c r="M317" s="216" t="s">
        <v>32</v>
      </c>
      <c r="N317" s="217" t="s">
        <v>49</v>
      </c>
      <c r="O317" s="86"/>
      <c r="P317" s="218">
        <f>O317*H317</f>
        <v>0</v>
      </c>
      <c r="Q317" s="218">
        <v>0</v>
      </c>
      <c r="R317" s="218">
        <f>Q317*H317</f>
        <v>0</v>
      </c>
      <c r="S317" s="218">
        <v>0.16500000000000001</v>
      </c>
      <c r="T317" s="219">
        <f>S317*H317</f>
        <v>1.6500000000000001</v>
      </c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R317" s="220" t="s">
        <v>207</v>
      </c>
      <c r="AT317" s="220" t="s">
        <v>202</v>
      </c>
      <c r="AU317" s="220" t="s">
        <v>88</v>
      </c>
      <c r="AY317" s="18" t="s">
        <v>200</v>
      </c>
      <c r="BE317" s="221">
        <f>IF(N317="základní",J317,0)</f>
        <v>0</v>
      </c>
      <c r="BF317" s="221">
        <f>IF(N317="snížená",J317,0)</f>
        <v>0</v>
      </c>
      <c r="BG317" s="221">
        <f>IF(N317="zákl. přenesená",J317,0)</f>
        <v>0</v>
      </c>
      <c r="BH317" s="221">
        <f>IF(N317="sníž. přenesená",J317,0)</f>
        <v>0</v>
      </c>
      <c r="BI317" s="221">
        <f>IF(N317="nulová",J317,0)</f>
        <v>0</v>
      </c>
      <c r="BJ317" s="18" t="s">
        <v>86</v>
      </c>
      <c r="BK317" s="221">
        <f>ROUND(I317*H317,1)</f>
        <v>0</v>
      </c>
      <c r="BL317" s="18" t="s">
        <v>207</v>
      </c>
      <c r="BM317" s="220" t="s">
        <v>3609</v>
      </c>
    </row>
    <row r="318" s="2" customFormat="1">
      <c r="A318" s="40"/>
      <c r="B318" s="41"/>
      <c r="C318" s="42"/>
      <c r="D318" s="222" t="s">
        <v>209</v>
      </c>
      <c r="E318" s="42"/>
      <c r="F318" s="223" t="s">
        <v>3610</v>
      </c>
      <c r="G318" s="42"/>
      <c r="H318" s="42"/>
      <c r="I318" s="224"/>
      <c r="J318" s="42"/>
      <c r="K318" s="42"/>
      <c r="L318" s="46"/>
      <c r="M318" s="225"/>
      <c r="N318" s="226"/>
      <c r="O318" s="86"/>
      <c r="P318" s="86"/>
      <c r="Q318" s="86"/>
      <c r="R318" s="86"/>
      <c r="S318" s="86"/>
      <c r="T318" s="87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T318" s="18" t="s">
        <v>209</v>
      </c>
      <c r="AU318" s="18" t="s">
        <v>88</v>
      </c>
    </row>
    <row r="319" s="2" customFormat="1" ht="16.5" customHeight="1">
      <c r="A319" s="40"/>
      <c r="B319" s="41"/>
      <c r="C319" s="209" t="s">
        <v>813</v>
      </c>
      <c r="D319" s="209" t="s">
        <v>202</v>
      </c>
      <c r="E319" s="210" t="s">
        <v>3611</v>
      </c>
      <c r="F319" s="211" t="s">
        <v>3612</v>
      </c>
      <c r="G319" s="212" t="s">
        <v>280</v>
      </c>
      <c r="H319" s="213">
        <v>17</v>
      </c>
      <c r="I319" s="214"/>
      <c r="J319" s="215">
        <f>ROUND(I319*H319,1)</f>
        <v>0</v>
      </c>
      <c r="K319" s="211" t="s">
        <v>206</v>
      </c>
      <c r="L319" s="46"/>
      <c r="M319" s="216" t="s">
        <v>32</v>
      </c>
      <c r="N319" s="217" t="s">
        <v>49</v>
      </c>
      <c r="O319" s="86"/>
      <c r="P319" s="218">
        <f>O319*H319</f>
        <v>0</v>
      </c>
      <c r="Q319" s="218">
        <v>0</v>
      </c>
      <c r="R319" s="218">
        <f>Q319*H319</f>
        <v>0</v>
      </c>
      <c r="S319" s="218">
        <v>0.00248</v>
      </c>
      <c r="T319" s="219">
        <f>S319*H319</f>
        <v>0.042160000000000003</v>
      </c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R319" s="220" t="s">
        <v>207</v>
      </c>
      <c r="AT319" s="220" t="s">
        <v>202</v>
      </c>
      <c r="AU319" s="220" t="s">
        <v>88</v>
      </c>
      <c r="AY319" s="18" t="s">
        <v>200</v>
      </c>
      <c r="BE319" s="221">
        <f>IF(N319="základní",J319,0)</f>
        <v>0</v>
      </c>
      <c r="BF319" s="221">
        <f>IF(N319="snížená",J319,0)</f>
        <v>0</v>
      </c>
      <c r="BG319" s="221">
        <f>IF(N319="zákl. přenesená",J319,0)</f>
        <v>0</v>
      </c>
      <c r="BH319" s="221">
        <f>IF(N319="sníž. přenesená",J319,0)</f>
        <v>0</v>
      </c>
      <c r="BI319" s="221">
        <f>IF(N319="nulová",J319,0)</f>
        <v>0</v>
      </c>
      <c r="BJ319" s="18" t="s">
        <v>86</v>
      </c>
      <c r="BK319" s="221">
        <f>ROUND(I319*H319,1)</f>
        <v>0</v>
      </c>
      <c r="BL319" s="18" t="s">
        <v>207</v>
      </c>
      <c r="BM319" s="220" t="s">
        <v>3613</v>
      </c>
    </row>
    <row r="320" s="2" customFormat="1">
      <c r="A320" s="40"/>
      <c r="B320" s="41"/>
      <c r="C320" s="42"/>
      <c r="D320" s="222" t="s">
        <v>209</v>
      </c>
      <c r="E320" s="42"/>
      <c r="F320" s="223" t="s">
        <v>3614</v>
      </c>
      <c r="G320" s="42"/>
      <c r="H320" s="42"/>
      <c r="I320" s="224"/>
      <c r="J320" s="42"/>
      <c r="K320" s="42"/>
      <c r="L320" s="46"/>
      <c r="M320" s="225"/>
      <c r="N320" s="226"/>
      <c r="O320" s="86"/>
      <c r="P320" s="86"/>
      <c r="Q320" s="86"/>
      <c r="R320" s="86"/>
      <c r="S320" s="86"/>
      <c r="T320" s="87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T320" s="18" t="s">
        <v>209</v>
      </c>
      <c r="AU320" s="18" t="s">
        <v>88</v>
      </c>
    </row>
    <row r="321" s="2" customFormat="1" ht="16.5" customHeight="1">
      <c r="A321" s="40"/>
      <c r="B321" s="41"/>
      <c r="C321" s="209" t="s">
        <v>835</v>
      </c>
      <c r="D321" s="209" t="s">
        <v>202</v>
      </c>
      <c r="E321" s="210" t="s">
        <v>3615</v>
      </c>
      <c r="F321" s="211" t="s">
        <v>3616</v>
      </c>
      <c r="G321" s="212" t="s">
        <v>205</v>
      </c>
      <c r="H321" s="213">
        <v>69</v>
      </c>
      <c r="I321" s="214"/>
      <c r="J321" s="215">
        <f>ROUND(I321*H321,1)</f>
        <v>0</v>
      </c>
      <c r="K321" s="211" t="s">
        <v>206</v>
      </c>
      <c r="L321" s="46"/>
      <c r="M321" s="216" t="s">
        <v>32</v>
      </c>
      <c r="N321" s="217" t="s">
        <v>49</v>
      </c>
      <c r="O321" s="86"/>
      <c r="P321" s="218">
        <f>O321*H321</f>
        <v>0</v>
      </c>
      <c r="Q321" s="218">
        <v>0</v>
      </c>
      <c r="R321" s="218">
        <f>Q321*H321</f>
        <v>0</v>
      </c>
      <c r="S321" s="218">
        <v>0.039</v>
      </c>
      <c r="T321" s="219">
        <f>S321*H321</f>
        <v>2.6909999999999998</v>
      </c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R321" s="220" t="s">
        <v>207</v>
      </c>
      <c r="AT321" s="220" t="s">
        <v>202</v>
      </c>
      <c r="AU321" s="220" t="s">
        <v>88</v>
      </c>
      <c r="AY321" s="18" t="s">
        <v>200</v>
      </c>
      <c r="BE321" s="221">
        <f>IF(N321="základní",J321,0)</f>
        <v>0</v>
      </c>
      <c r="BF321" s="221">
        <f>IF(N321="snížená",J321,0)</f>
        <v>0</v>
      </c>
      <c r="BG321" s="221">
        <f>IF(N321="zákl. přenesená",J321,0)</f>
        <v>0</v>
      </c>
      <c r="BH321" s="221">
        <f>IF(N321="sníž. přenesená",J321,0)</f>
        <v>0</v>
      </c>
      <c r="BI321" s="221">
        <f>IF(N321="nulová",J321,0)</f>
        <v>0</v>
      </c>
      <c r="BJ321" s="18" t="s">
        <v>86</v>
      </c>
      <c r="BK321" s="221">
        <f>ROUND(I321*H321,1)</f>
        <v>0</v>
      </c>
      <c r="BL321" s="18" t="s">
        <v>207</v>
      </c>
      <c r="BM321" s="220" t="s">
        <v>3617</v>
      </c>
    </row>
    <row r="322" s="2" customFormat="1">
      <c r="A322" s="40"/>
      <c r="B322" s="41"/>
      <c r="C322" s="42"/>
      <c r="D322" s="222" t="s">
        <v>209</v>
      </c>
      <c r="E322" s="42"/>
      <c r="F322" s="223" t="s">
        <v>3618</v>
      </c>
      <c r="G322" s="42"/>
      <c r="H322" s="42"/>
      <c r="I322" s="224"/>
      <c r="J322" s="42"/>
      <c r="K322" s="42"/>
      <c r="L322" s="46"/>
      <c r="M322" s="225"/>
      <c r="N322" s="226"/>
      <c r="O322" s="86"/>
      <c r="P322" s="86"/>
      <c r="Q322" s="86"/>
      <c r="R322" s="86"/>
      <c r="S322" s="86"/>
      <c r="T322" s="87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T322" s="18" t="s">
        <v>209</v>
      </c>
      <c r="AU322" s="18" t="s">
        <v>88</v>
      </c>
    </row>
    <row r="323" s="2" customFormat="1" ht="16.5" customHeight="1">
      <c r="A323" s="40"/>
      <c r="B323" s="41"/>
      <c r="C323" s="209" t="s">
        <v>840</v>
      </c>
      <c r="D323" s="209" t="s">
        <v>202</v>
      </c>
      <c r="E323" s="210" t="s">
        <v>3619</v>
      </c>
      <c r="F323" s="211" t="s">
        <v>3620</v>
      </c>
      <c r="G323" s="212" t="s">
        <v>272</v>
      </c>
      <c r="H323" s="213">
        <v>1</v>
      </c>
      <c r="I323" s="214"/>
      <c r="J323" s="215">
        <f>ROUND(I323*H323,1)</f>
        <v>0</v>
      </c>
      <c r="K323" s="211" t="s">
        <v>32</v>
      </c>
      <c r="L323" s="46"/>
      <c r="M323" s="216" t="s">
        <v>32</v>
      </c>
      <c r="N323" s="217" t="s">
        <v>49</v>
      </c>
      <c r="O323" s="86"/>
      <c r="P323" s="218">
        <f>O323*H323</f>
        <v>0</v>
      </c>
      <c r="Q323" s="218">
        <v>0</v>
      </c>
      <c r="R323" s="218">
        <f>Q323*H323</f>
        <v>0</v>
      </c>
      <c r="S323" s="218">
        <v>0.089999999999999997</v>
      </c>
      <c r="T323" s="219">
        <f>S323*H323</f>
        <v>0.089999999999999997</v>
      </c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R323" s="220" t="s">
        <v>207</v>
      </c>
      <c r="AT323" s="220" t="s">
        <v>202</v>
      </c>
      <c r="AU323" s="220" t="s">
        <v>88</v>
      </c>
      <c r="AY323" s="18" t="s">
        <v>200</v>
      </c>
      <c r="BE323" s="221">
        <f>IF(N323="základní",J323,0)</f>
        <v>0</v>
      </c>
      <c r="BF323" s="221">
        <f>IF(N323="snížená",J323,0)</f>
        <v>0</v>
      </c>
      <c r="BG323" s="221">
        <f>IF(N323="zákl. přenesená",J323,0)</f>
        <v>0</v>
      </c>
      <c r="BH323" s="221">
        <f>IF(N323="sníž. přenesená",J323,0)</f>
        <v>0</v>
      </c>
      <c r="BI323" s="221">
        <f>IF(N323="nulová",J323,0)</f>
        <v>0</v>
      </c>
      <c r="BJ323" s="18" t="s">
        <v>86</v>
      </c>
      <c r="BK323" s="221">
        <f>ROUND(I323*H323,1)</f>
        <v>0</v>
      </c>
      <c r="BL323" s="18" t="s">
        <v>207</v>
      </c>
      <c r="BM323" s="220" t="s">
        <v>3621</v>
      </c>
    </row>
    <row r="324" s="2" customFormat="1" ht="16.5" customHeight="1">
      <c r="A324" s="40"/>
      <c r="B324" s="41"/>
      <c r="C324" s="209" t="s">
        <v>844</v>
      </c>
      <c r="D324" s="209" t="s">
        <v>202</v>
      </c>
      <c r="E324" s="210" t="s">
        <v>3622</v>
      </c>
      <c r="F324" s="211" t="s">
        <v>3623</v>
      </c>
      <c r="G324" s="212" t="s">
        <v>449</v>
      </c>
      <c r="H324" s="213">
        <v>1</v>
      </c>
      <c r="I324" s="214"/>
      <c r="J324" s="215">
        <f>ROUND(I324*H324,1)</f>
        <v>0</v>
      </c>
      <c r="K324" s="211" t="s">
        <v>32</v>
      </c>
      <c r="L324" s="46"/>
      <c r="M324" s="216" t="s">
        <v>32</v>
      </c>
      <c r="N324" s="217" t="s">
        <v>49</v>
      </c>
      <c r="O324" s="86"/>
      <c r="P324" s="218">
        <f>O324*H324</f>
        <v>0</v>
      </c>
      <c r="Q324" s="218">
        <v>0</v>
      </c>
      <c r="R324" s="218">
        <f>Q324*H324</f>
        <v>0</v>
      </c>
      <c r="S324" s="218">
        <v>0.0040000000000000001</v>
      </c>
      <c r="T324" s="219">
        <f>S324*H324</f>
        <v>0.0040000000000000001</v>
      </c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R324" s="220" t="s">
        <v>207</v>
      </c>
      <c r="AT324" s="220" t="s">
        <v>202</v>
      </c>
      <c r="AU324" s="220" t="s">
        <v>88</v>
      </c>
      <c r="AY324" s="18" t="s">
        <v>200</v>
      </c>
      <c r="BE324" s="221">
        <f>IF(N324="základní",J324,0)</f>
        <v>0</v>
      </c>
      <c r="BF324" s="221">
        <f>IF(N324="snížená",J324,0)</f>
        <v>0</v>
      </c>
      <c r="BG324" s="221">
        <f>IF(N324="zákl. přenesená",J324,0)</f>
        <v>0</v>
      </c>
      <c r="BH324" s="221">
        <f>IF(N324="sníž. přenesená",J324,0)</f>
        <v>0</v>
      </c>
      <c r="BI324" s="221">
        <f>IF(N324="nulová",J324,0)</f>
        <v>0</v>
      </c>
      <c r="BJ324" s="18" t="s">
        <v>86</v>
      </c>
      <c r="BK324" s="221">
        <f>ROUND(I324*H324,1)</f>
        <v>0</v>
      </c>
      <c r="BL324" s="18" t="s">
        <v>207</v>
      </c>
      <c r="BM324" s="220" t="s">
        <v>3624</v>
      </c>
    </row>
    <row r="325" s="2" customFormat="1" ht="16.5" customHeight="1">
      <c r="A325" s="40"/>
      <c r="B325" s="41"/>
      <c r="C325" s="209" t="s">
        <v>851</v>
      </c>
      <c r="D325" s="209" t="s">
        <v>202</v>
      </c>
      <c r="E325" s="210" t="s">
        <v>3625</v>
      </c>
      <c r="F325" s="211" t="s">
        <v>3626</v>
      </c>
      <c r="G325" s="212" t="s">
        <v>449</v>
      </c>
      <c r="H325" s="213">
        <v>1</v>
      </c>
      <c r="I325" s="214"/>
      <c r="J325" s="215">
        <f>ROUND(I325*H325,1)</f>
        <v>0</v>
      </c>
      <c r="K325" s="211" t="s">
        <v>32</v>
      </c>
      <c r="L325" s="46"/>
      <c r="M325" s="216" t="s">
        <v>32</v>
      </c>
      <c r="N325" s="217" t="s">
        <v>49</v>
      </c>
      <c r="O325" s="86"/>
      <c r="P325" s="218">
        <f>O325*H325</f>
        <v>0</v>
      </c>
      <c r="Q325" s="218">
        <v>0</v>
      </c>
      <c r="R325" s="218">
        <f>Q325*H325</f>
        <v>0</v>
      </c>
      <c r="S325" s="218">
        <v>0.0040000000000000001</v>
      </c>
      <c r="T325" s="219">
        <f>S325*H325</f>
        <v>0.0040000000000000001</v>
      </c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R325" s="220" t="s">
        <v>207</v>
      </c>
      <c r="AT325" s="220" t="s">
        <v>202</v>
      </c>
      <c r="AU325" s="220" t="s">
        <v>88</v>
      </c>
      <c r="AY325" s="18" t="s">
        <v>200</v>
      </c>
      <c r="BE325" s="221">
        <f>IF(N325="základní",J325,0)</f>
        <v>0</v>
      </c>
      <c r="BF325" s="221">
        <f>IF(N325="snížená",J325,0)</f>
        <v>0</v>
      </c>
      <c r="BG325" s="221">
        <f>IF(N325="zákl. přenesená",J325,0)</f>
        <v>0</v>
      </c>
      <c r="BH325" s="221">
        <f>IF(N325="sníž. přenesená",J325,0)</f>
        <v>0</v>
      </c>
      <c r="BI325" s="221">
        <f>IF(N325="nulová",J325,0)</f>
        <v>0</v>
      </c>
      <c r="BJ325" s="18" t="s">
        <v>86</v>
      </c>
      <c r="BK325" s="221">
        <f>ROUND(I325*H325,1)</f>
        <v>0</v>
      </c>
      <c r="BL325" s="18" t="s">
        <v>207</v>
      </c>
      <c r="BM325" s="220" t="s">
        <v>3627</v>
      </c>
    </row>
    <row r="326" s="12" customFormat="1" ht="22.8" customHeight="1">
      <c r="A326" s="12"/>
      <c r="B326" s="193"/>
      <c r="C326" s="194"/>
      <c r="D326" s="195" t="s">
        <v>77</v>
      </c>
      <c r="E326" s="207" t="s">
        <v>3628</v>
      </c>
      <c r="F326" s="207" t="s">
        <v>3629</v>
      </c>
      <c r="G326" s="194"/>
      <c r="H326" s="194"/>
      <c r="I326" s="197"/>
      <c r="J326" s="208">
        <f>BK326</f>
        <v>0</v>
      </c>
      <c r="K326" s="194"/>
      <c r="L326" s="199"/>
      <c r="M326" s="200"/>
      <c r="N326" s="201"/>
      <c r="O326" s="201"/>
      <c r="P326" s="202">
        <f>SUM(P327:P340)</f>
        <v>0</v>
      </c>
      <c r="Q326" s="201"/>
      <c r="R326" s="202">
        <f>SUM(R327:R340)</f>
        <v>0</v>
      </c>
      <c r="S326" s="201"/>
      <c r="T326" s="203">
        <f>SUM(T327:T340)</f>
        <v>0</v>
      </c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R326" s="204" t="s">
        <v>86</v>
      </c>
      <c r="AT326" s="205" t="s">
        <v>77</v>
      </c>
      <c r="AU326" s="205" t="s">
        <v>86</v>
      </c>
      <c r="AY326" s="204" t="s">
        <v>200</v>
      </c>
      <c r="BK326" s="206">
        <f>SUM(BK327:BK340)</f>
        <v>0</v>
      </c>
    </row>
    <row r="327" s="2" customFormat="1" ht="21.75" customHeight="1">
      <c r="A327" s="40"/>
      <c r="B327" s="41"/>
      <c r="C327" s="209" t="s">
        <v>856</v>
      </c>
      <c r="D327" s="209" t="s">
        <v>202</v>
      </c>
      <c r="E327" s="210" t="s">
        <v>3630</v>
      </c>
      <c r="F327" s="211" t="s">
        <v>3631</v>
      </c>
      <c r="G327" s="212" t="s">
        <v>250</v>
      </c>
      <c r="H327" s="213">
        <v>575.10000000000002</v>
      </c>
      <c r="I327" s="214"/>
      <c r="J327" s="215">
        <f>ROUND(I327*H327,1)</f>
        <v>0</v>
      </c>
      <c r="K327" s="211" t="s">
        <v>206</v>
      </c>
      <c r="L327" s="46"/>
      <c r="M327" s="216" t="s">
        <v>32</v>
      </c>
      <c r="N327" s="217" t="s">
        <v>49</v>
      </c>
      <c r="O327" s="86"/>
      <c r="P327" s="218">
        <f>O327*H327</f>
        <v>0</v>
      </c>
      <c r="Q327" s="218">
        <v>0</v>
      </c>
      <c r="R327" s="218">
        <f>Q327*H327</f>
        <v>0</v>
      </c>
      <c r="S327" s="218">
        <v>0</v>
      </c>
      <c r="T327" s="219">
        <f>S327*H327</f>
        <v>0</v>
      </c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R327" s="220" t="s">
        <v>207</v>
      </c>
      <c r="AT327" s="220" t="s">
        <v>202</v>
      </c>
      <c r="AU327" s="220" t="s">
        <v>88</v>
      </c>
      <c r="AY327" s="18" t="s">
        <v>200</v>
      </c>
      <c r="BE327" s="221">
        <f>IF(N327="základní",J327,0)</f>
        <v>0</v>
      </c>
      <c r="BF327" s="221">
        <f>IF(N327="snížená",J327,0)</f>
        <v>0</v>
      </c>
      <c r="BG327" s="221">
        <f>IF(N327="zákl. přenesená",J327,0)</f>
        <v>0</v>
      </c>
      <c r="BH327" s="221">
        <f>IF(N327="sníž. přenesená",J327,0)</f>
        <v>0</v>
      </c>
      <c r="BI327" s="221">
        <f>IF(N327="nulová",J327,0)</f>
        <v>0</v>
      </c>
      <c r="BJ327" s="18" t="s">
        <v>86</v>
      </c>
      <c r="BK327" s="221">
        <f>ROUND(I327*H327,1)</f>
        <v>0</v>
      </c>
      <c r="BL327" s="18" t="s">
        <v>207</v>
      </c>
      <c r="BM327" s="220" t="s">
        <v>3632</v>
      </c>
    </row>
    <row r="328" s="2" customFormat="1">
      <c r="A328" s="40"/>
      <c r="B328" s="41"/>
      <c r="C328" s="42"/>
      <c r="D328" s="222" t="s">
        <v>209</v>
      </c>
      <c r="E328" s="42"/>
      <c r="F328" s="223" t="s">
        <v>3633</v>
      </c>
      <c r="G328" s="42"/>
      <c r="H328" s="42"/>
      <c r="I328" s="224"/>
      <c r="J328" s="42"/>
      <c r="K328" s="42"/>
      <c r="L328" s="46"/>
      <c r="M328" s="225"/>
      <c r="N328" s="226"/>
      <c r="O328" s="86"/>
      <c r="P328" s="86"/>
      <c r="Q328" s="86"/>
      <c r="R328" s="86"/>
      <c r="S328" s="86"/>
      <c r="T328" s="87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T328" s="18" t="s">
        <v>209</v>
      </c>
      <c r="AU328" s="18" t="s">
        <v>88</v>
      </c>
    </row>
    <row r="329" s="2" customFormat="1" ht="24.15" customHeight="1">
      <c r="A329" s="40"/>
      <c r="B329" s="41"/>
      <c r="C329" s="209" t="s">
        <v>867</v>
      </c>
      <c r="D329" s="209" t="s">
        <v>202</v>
      </c>
      <c r="E329" s="210" t="s">
        <v>3634</v>
      </c>
      <c r="F329" s="211" t="s">
        <v>3635</v>
      </c>
      <c r="G329" s="212" t="s">
        <v>250</v>
      </c>
      <c r="H329" s="213">
        <v>10926.9</v>
      </c>
      <c r="I329" s="214"/>
      <c r="J329" s="215">
        <f>ROUND(I329*H329,1)</f>
        <v>0</v>
      </c>
      <c r="K329" s="211" t="s">
        <v>206</v>
      </c>
      <c r="L329" s="46"/>
      <c r="M329" s="216" t="s">
        <v>32</v>
      </c>
      <c r="N329" s="217" t="s">
        <v>49</v>
      </c>
      <c r="O329" s="86"/>
      <c r="P329" s="218">
        <f>O329*H329</f>
        <v>0</v>
      </c>
      <c r="Q329" s="218">
        <v>0</v>
      </c>
      <c r="R329" s="218">
        <f>Q329*H329</f>
        <v>0</v>
      </c>
      <c r="S329" s="218">
        <v>0</v>
      </c>
      <c r="T329" s="219">
        <f>S329*H329</f>
        <v>0</v>
      </c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R329" s="220" t="s">
        <v>207</v>
      </c>
      <c r="AT329" s="220" t="s">
        <v>202</v>
      </c>
      <c r="AU329" s="220" t="s">
        <v>88</v>
      </c>
      <c r="AY329" s="18" t="s">
        <v>200</v>
      </c>
      <c r="BE329" s="221">
        <f>IF(N329="základní",J329,0)</f>
        <v>0</v>
      </c>
      <c r="BF329" s="221">
        <f>IF(N329="snížená",J329,0)</f>
        <v>0</v>
      </c>
      <c r="BG329" s="221">
        <f>IF(N329="zákl. přenesená",J329,0)</f>
        <v>0</v>
      </c>
      <c r="BH329" s="221">
        <f>IF(N329="sníž. přenesená",J329,0)</f>
        <v>0</v>
      </c>
      <c r="BI329" s="221">
        <f>IF(N329="nulová",J329,0)</f>
        <v>0</v>
      </c>
      <c r="BJ329" s="18" t="s">
        <v>86</v>
      </c>
      <c r="BK329" s="221">
        <f>ROUND(I329*H329,1)</f>
        <v>0</v>
      </c>
      <c r="BL329" s="18" t="s">
        <v>207</v>
      </c>
      <c r="BM329" s="220" t="s">
        <v>3636</v>
      </c>
    </row>
    <row r="330" s="2" customFormat="1">
      <c r="A330" s="40"/>
      <c r="B330" s="41"/>
      <c r="C330" s="42"/>
      <c r="D330" s="222" t="s">
        <v>209</v>
      </c>
      <c r="E330" s="42"/>
      <c r="F330" s="223" t="s">
        <v>3637</v>
      </c>
      <c r="G330" s="42"/>
      <c r="H330" s="42"/>
      <c r="I330" s="224"/>
      <c r="J330" s="42"/>
      <c r="K330" s="42"/>
      <c r="L330" s="46"/>
      <c r="M330" s="225"/>
      <c r="N330" s="226"/>
      <c r="O330" s="86"/>
      <c r="P330" s="86"/>
      <c r="Q330" s="86"/>
      <c r="R330" s="86"/>
      <c r="S330" s="86"/>
      <c r="T330" s="87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T330" s="18" t="s">
        <v>209</v>
      </c>
      <c r="AU330" s="18" t="s">
        <v>88</v>
      </c>
    </row>
    <row r="331" s="13" customFormat="1">
      <c r="A331" s="13"/>
      <c r="B331" s="227"/>
      <c r="C331" s="228"/>
      <c r="D331" s="229" t="s">
        <v>211</v>
      </c>
      <c r="E331" s="228"/>
      <c r="F331" s="231" t="s">
        <v>3638</v>
      </c>
      <c r="G331" s="228"/>
      <c r="H331" s="232">
        <v>10926.9</v>
      </c>
      <c r="I331" s="233"/>
      <c r="J331" s="228"/>
      <c r="K331" s="228"/>
      <c r="L331" s="234"/>
      <c r="M331" s="235"/>
      <c r="N331" s="236"/>
      <c r="O331" s="236"/>
      <c r="P331" s="236"/>
      <c r="Q331" s="236"/>
      <c r="R331" s="236"/>
      <c r="S331" s="236"/>
      <c r="T331" s="237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T331" s="238" t="s">
        <v>211</v>
      </c>
      <c r="AU331" s="238" t="s">
        <v>88</v>
      </c>
      <c r="AV331" s="13" t="s">
        <v>88</v>
      </c>
      <c r="AW331" s="13" t="s">
        <v>4</v>
      </c>
      <c r="AX331" s="13" t="s">
        <v>86</v>
      </c>
      <c r="AY331" s="238" t="s">
        <v>200</v>
      </c>
    </row>
    <row r="332" s="2" customFormat="1" ht="24.15" customHeight="1">
      <c r="A332" s="40"/>
      <c r="B332" s="41"/>
      <c r="C332" s="209" t="s">
        <v>872</v>
      </c>
      <c r="D332" s="209" t="s">
        <v>202</v>
      </c>
      <c r="E332" s="210" t="s">
        <v>3639</v>
      </c>
      <c r="F332" s="211" t="s">
        <v>3640</v>
      </c>
      <c r="G332" s="212" t="s">
        <v>250</v>
      </c>
      <c r="H332" s="213">
        <v>78.400000000000006</v>
      </c>
      <c r="I332" s="214"/>
      <c r="J332" s="215">
        <f>ROUND(I332*H332,1)</f>
        <v>0</v>
      </c>
      <c r="K332" s="211" t="s">
        <v>206</v>
      </c>
      <c r="L332" s="46"/>
      <c r="M332" s="216" t="s">
        <v>32</v>
      </c>
      <c r="N332" s="217" t="s">
        <v>49</v>
      </c>
      <c r="O332" s="86"/>
      <c r="P332" s="218">
        <f>O332*H332</f>
        <v>0</v>
      </c>
      <c r="Q332" s="218">
        <v>0</v>
      </c>
      <c r="R332" s="218">
        <f>Q332*H332</f>
        <v>0</v>
      </c>
      <c r="S332" s="218">
        <v>0</v>
      </c>
      <c r="T332" s="219">
        <f>S332*H332</f>
        <v>0</v>
      </c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R332" s="220" t="s">
        <v>207</v>
      </c>
      <c r="AT332" s="220" t="s">
        <v>202</v>
      </c>
      <c r="AU332" s="220" t="s">
        <v>88</v>
      </c>
      <c r="AY332" s="18" t="s">
        <v>200</v>
      </c>
      <c r="BE332" s="221">
        <f>IF(N332="základní",J332,0)</f>
        <v>0</v>
      </c>
      <c r="BF332" s="221">
        <f>IF(N332="snížená",J332,0)</f>
        <v>0</v>
      </c>
      <c r="BG332" s="221">
        <f>IF(N332="zákl. přenesená",J332,0)</f>
        <v>0</v>
      </c>
      <c r="BH332" s="221">
        <f>IF(N332="sníž. přenesená",J332,0)</f>
        <v>0</v>
      </c>
      <c r="BI332" s="221">
        <f>IF(N332="nulová",J332,0)</f>
        <v>0</v>
      </c>
      <c r="BJ332" s="18" t="s">
        <v>86</v>
      </c>
      <c r="BK332" s="221">
        <f>ROUND(I332*H332,1)</f>
        <v>0</v>
      </c>
      <c r="BL332" s="18" t="s">
        <v>207</v>
      </c>
      <c r="BM332" s="220" t="s">
        <v>3641</v>
      </c>
    </row>
    <row r="333" s="2" customFormat="1">
      <c r="A333" s="40"/>
      <c r="B333" s="41"/>
      <c r="C333" s="42"/>
      <c r="D333" s="222" t="s">
        <v>209</v>
      </c>
      <c r="E333" s="42"/>
      <c r="F333" s="223" t="s">
        <v>3642</v>
      </c>
      <c r="G333" s="42"/>
      <c r="H333" s="42"/>
      <c r="I333" s="224"/>
      <c r="J333" s="42"/>
      <c r="K333" s="42"/>
      <c r="L333" s="46"/>
      <c r="M333" s="225"/>
      <c r="N333" s="226"/>
      <c r="O333" s="86"/>
      <c r="P333" s="86"/>
      <c r="Q333" s="86"/>
      <c r="R333" s="86"/>
      <c r="S333" s="86"/>
      <c r="T333" s="87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T333" s="18" t="s">
        <v>209</v>
      </c>
      <c r="AU333" s="18" t="s">
        <v>88</v>
      </c>
    </row>
    <row r="334" s="13" customFormat="1">
      <c r="A334" s="13"/>
      <c r="B334" s="227"/>
      <c r="C334" s="228"/>
      <c r="D334" s="229" t="s">
        <v>211</v>
      </c>
      <c r="E334" s="230" t="s">
        <v>32</v>
      </c>
      <c r="F334" s="231" t="s">
        <v>3643</v>
      </c>
      <c r="G334" s="228"/>
      <c r="H334" s="232">
        <v>78.400000000000006</v>
      </c>
      <c r="I334" s="233"/>
      <c r="J334" s="228"/>
      <c r="K334" s="228"/>
      <c r="L334" s="234"/>
      <c r="M334" s="235"/>
      <c r="N334" s="236"/>
      <c r="O334" s="236"/>
      <c r="P334" s="236"/>
      <c r="Q334" s="236"/>
      <c r="R334" s="236"/>
      <c r="S334" s="236"/>
      <c r="T334" s="237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T334" s="238" t="s">
        <v>211</v>
      </c>
      <c r="AU334" s="238" t="s">
        <v>88</v>
      </c>
      <c r="AV334" s="13" t="s">
        <v>88</v>
      </c>
      <c r="AW334" s="13" t="s">
        <v>213</v>
      </c>
      <c r="AX334" s="13" t="s">
        <v>86</v>
      </c>
      <c r="AY334" s="238" t="s">
        <v>200</v>
      </c>
    </row>
    <row r="335" s="2" customFormat="1" ht="33" customHeight="1">
      <c r="A335" s="40"/>
      <c r="B335" s="41"/>
      <c r="C335" s="209" t="s">
        <v>884</v>
      </c>
      <c r="D335" s="209" t="s">
        <v>202</v>
      </c>
      <c r="E335" s="210" t="s">
        <v>3644</v>
      </c>
      <c r="F335" s="211" t="s">
        <v>3645</v>
      </c>
      <c r="G335" s="212" t="s">
        <v>250</v>
      </c>
      <c r="H335" s="213">
        <v>352.642</v>
      </c>
      <c r="I335" s="214"/>
      <c r="J335" s="215">
        <f>ROUND(I335*H335,1)</f>
        <v>0</v>
      </c>
      <c r="K335" s="211" t="s">
        <v>206</v>
      </c>
      <c r="L335" s="46"/>
      <c r="M335" s="216" t="s">
        <v>32</v>
      </c>
      <c r="N335" s="217" t="s">
        <v>49</v>
      </c>
      <c r="O335" s="86"/>
      <c r="P335" s="218">
        <f>O335*H335</f>
        <v>0</v>
      </c>
      <c r="Q335" s="218">
        <v>0</v>
      </c>
      <c r="R335" s="218">
        <f>Q335*H335</f>
        <v>0</v>
      </c>
      <c r="S335" s="218">
        <v>0</v>
      </c>
      <c r="T335" s="219">
        <f>S335*H335</f>
        <v>0</v>
      </c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R335" s="220" t="s">
        <v>207</v>
      </c>
      <c r="AT335" s="220" t="s">
        <v>202</v>
      </c>
      <c r="AU335" s="220" t="s">
        <v>88</v>
      </c>
      <c r="AY335" s="18" t="s">
        <v>200</v>
      </c>
      <c r="BE335" s="221">
        <f>IF(N335="základní",J335,0)</f>
        <v>0</v>
      </c>
      <c r="BF335" s="221">
        <f>IF(N335="snížená",J335,0)</f>
        <v>0</v>
      </c>
      <c r="BG335" s="221">
        <f>IF(N335="zákl. přenesená",J335,0)</f>
        <v>0</v>
      </c>
      <c r="BH335" s="221">
        <f>IF(N335="sníž. přenesená",J335,0)</f>
        <v>0</v>
      </c>
      <c r="BI335" s="221">
        <f>IF(N335="nulová",J335,0)</f>
        <v>0</v>
      </c>
      <c r="BJ335" s="18" t="s">
        <v>86</v>
      </c>
      <c r="BK335" s="221">
        <f>ROUND(I335*H335,1)</f>
        <v>0</v>
      </c>
      <c r="BL335" s="18" t="s">
        <v>207</v>
      </c>
      <c r="BM335" s="220" t="s">
        <v>3646</v>
      </c>
    </row>
    <row r="336" s="2" customFormat="1">
      <c r="A336" s="40"/>
      <c r="B336" s="41"/>
      <c r="C336" s="42"/>
      <c r="D336" s="222" t="s">
        <v>209</v>
      </c>
      <c r="E336" s="42"/>
      <c r="F336" s="223" t="s">
        <v>3647</v>
      </c>
      <c r="G336" s="42"/>
      <c r="H336" s="42"/>
      <c r="I336" s="224"/>
      <c r="J336" s="42"/>
      <c r="K336" s="42"/>
      <c r="L336" s="46"/>
      <c r="M336" s="225"/>
      <c r="N336" s="226"/>
      <c r="O336" s="86"/>
      <c r="P336" s="86"/>
      <c r="Q336" s="86"/>
      <c r="R336" s="86"/>
      <c r="S336" s="86"/>
      <c r="T336" s="87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T336" s="18" t="s">
        <v>209</v>
      </c>
      <c r="AU336" s="18" t="s">
        <v>88</v>
      </c>
    </row>
    <row r="337" s="13" customFormat="1">
      <c r="A337" s="13"/>
      <c r="B337" s="227"/>
      <c r="C337" s="228"/>
      <c r="D337" s="229" t="s">
        <v>211</v>
      </c>
      <c r="E337" s="230" t="s">
        <v>32</v>
      </c>
      <c r="F337" s="231" t="s">
        <v>3648</v>
      </c>
      <c r="G337" s="228"/>
      <c r="H337" s="232">
        <v>352.642</v>
      </c>
      <c r="I337" s="233"/>
      <c r="J337" s="228"/>
      <c r="K337" s="228"/>
      <c r="L337" s="234"/>
      <c r="M337" s="235"/>
      <c r="N337" s="236"/>
      <c r="O337" s="236"/>
      <c r="P337" s="236"/>
      <c r="Q337" s="236"/>
      <c r="R337" s="236"/>
      <c r="S337" s="236"/>
      <c r="T337" s="237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T337" s="238" t="s">
        <v>211</v>
      </c>
      <c r="AU337" s="238" t="s">
        <v>88</v>
      </c>
      <c r="AV337" s="13" t="s">
        <v>88</v>
      </c>
      <c r="AW337" s="13" t="s">
        <v>213</v>
      </c>
      <c r="AX337" s="13" t="s">
        <v>86</v>
      </c>
      <c r="AY337" s="238" t="s">
        <v>200</v>
      </c>
    </row>
    <row r="338" s="2" customFormat="1" ht="24.15" customHeight="1">
      <c r="A338" s="40"/>
      <c r="B338" s="41"/>
      <c r="C338" s="209" t="s">
        <v>889</v>
      </c>
      <c r="D338" s="209" t="s">
        <v>202</v>
      </c>
      <c r="E338" s="210" t="s">
        <v>3649</v>
      </c>
      <c r="F338" s="211" t="s">
        <v>3650</v>
      </c>
      <c r="G338" s="212" t="s">
        <v>250</v>
      </c>
      <c r="H338" s="213">
        <v>144.05799999999999</v>
      </c>
      <c r="I338" s="214"/>
      <c r="J338" s="215">
        <f>ROUND(I338*H338,1)</f>
        <v>0</v>
      </c>
      <c r="K338" s="211" t="s">
        <v>206</v>
      </c>
      <c r="L338" s="46"/>
      <c r="M338" s="216" t="s">
        <v>32</v>
      </c>
      <c r="N338" s="217" t="s">
        <v>49</v>
      </c>
      <c r="O338" s="86"/>
      <c r="P338" s="218">
        <f>O338*H338</f>
        <v>0</v>
      </c>
      <c r="Q338" s="218">
        <v>0</v>
      </c>
      <c r="R338" s="218">
        <f>Q338*H338</f>
        <v>0</v>
      </c>
      <c r="S338" s="218">
        <v>0</v>
      </c>
      <c r="T338" s="219">
        <f>S338*H338</f>
        <v>0</v>
      </c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R338" s="220" t="s">
        <v>207</v>
      </c>
      <c r="AT338" s="220" t="s">
        <v>202</v>
      </c>
      <c r="AU338" s="220" t="s">
        <v>88</v>
      </c>
      <c r="AY338" s="18" t="s">
        <v>200</v>
      </c>
      <c r="BE338" s="221">
        <f>IF(N338="základní",J338,0)</f>
        <v>0</v>
      </c>
      <c r="BF338" s="221">
        <f>IF(N338="snížená",J338,0)</f>
        <v>0</v>
      </c>
      <c r="BG338" s="221">
        <f>IF(N338="zákl. přenesená",J338,0)</f>
        <v>0</v>
      </c>
      <c r="BH338" s="221">
        <f>IF(N338="sníž. přenesená",J338,0)</f>
        <v>0</v>
      </c>
      <c r="BI338" s="221">
        <f>IF(N338="nulová",J338,0)</f>
        <v>0</v>
      </c>
      <c r="BJ338" s="18" t="s">
        <v>86</v>
      </c>
      <c r="BK338" s="221">
        <f>ROUND(I338*H338,1)</f>
        <v>0</v>
      </c>
      <c r="BL338" s="18" t="s">
        <v>207</v>
      </c>
      <c r="BM338" s="220" t="s">
        <v>3651</v>
      </c>
    </row>
    <row r="339" s="2" customFormat="1">
      <c r="A339" s="40"/>
      <c r="B339" s="41"/>
      <c r="C339" s="42"/>
      <c r="D339" s="222" t="s">
        <v>209</v>
      </c>
      <c r="E339" s="42"/>
      <c r="F339" s="223" t="s">
        <v>3652</v>
      </c>
      <c r="G339" s="42"/>
      <c r="H339" s="42"/>
      <c r="I339" s="224"/>
      <c r="J339" s="42"/>
      <c r="K339" s="42"/>
      <c r="L339" s="46"/>
      <c r="M339" s="225"/>
      <c r="N339" s="226"/>
      <c r="O339" s="86"/>
      <c r="P339" s="86"/>
      <c r="Q339" s="86"/>
      <c r="R339" s="86"/>
      <c r="S339" s="86"/>
      <c r="T339" s="87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T339" s="18" t="s">
        <v>209</v>
      </c>
      <c r="AU339" s="18" t="s">
        <v>88</v>
      </c>
    </row>
    <row r="340" s="13" customFormat="1">
      <c r="A340" s="13"/>
      <c r="B340" s="227"/>
      <c r="C340" s="228"/>
      <c r="D340" s="229" t="s">
        <v>211</v>
      </c>
      <c r="E340" s="230" t="s">
        <v>32</v>
      </c>
      <c r="F340" s="231" t="s">
        <v>3653</v>
      </c>
      <c r="G340" s="228"/>
      <c r="H340" s="232">
        <v>144.05799999999999</v>
      </c>
      <c r="I340" s="233"/>
      <c r="J340" s="228"/>
      <c r="K340" s="228"/>
      <c r="L340" s="234"/>
      <c r="M340" s="235"/>
      <c r="N340" s="236"/>
      <c r="O340" s="236"/>
      <c r="P340" s="236"/>
      <c r="Q340" s="236"/>
      <c r="R340" s="236"/>
      <c r="S340" s="236"/>
      <c r="T340" s="237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T340" s="238" t="s">
        <v>211</v>
      </c>
      <c r="AU340" s="238" t="s">
        <v>88</v>
      </c>
      <c r="AV340" s="13" t="s">
        <v>88</v>
      </c>
      <c r="AW340" s="13" t="s">
        <v>213</v>
      </c>
      <c r="AX340" s="13" t="s">
        <v>86</v>
      </c>
      <c r="AY340" s="238" t="s">
        <v>200</v>
      </c>
    </row>
    <row r="341" s="12" customFormat="1" ht="22.8" customHeight="1">
      <c r="A341" s="12"/>
      <c r="B341" s="193"/>
      <c r="C341" s="194"/>
      <c r="D341" s="195" t="s">
        <v>77</v>
      </c>
      <c r="E341" s="207" t="s">
        <v>959</v>
      </c>
      <c r="F341" s="207" t="s">
        <v>960</v>
      </c>
      <c r="G341" s="194"/>
      <c r="H341" s="194"/>
      <c r="I341" s="197"/>
      <c r="J341" s="208">
        <f>BK341</f>
        <v>0</v>
      </c>
      <c r="K341" s="194"/>
      <c r="L341" s="199"/>
      <c r="M341" s="200"/>
      <c r="N341" s="201"/>
      <c r="O341" s="201"/>
      <c r="P341" s="202">
        <f>SUM(P342:P343)</f>
        <v>0</v>
      </c>
      <c r="Q341" s="201"/>
      <c r="R341" s="202">
        <f>SUM(R342:R343)</f>
        <v>0</v>
      </c>
      <c r="S341" s="201"/>
      <c r="T341" s="203">
        <f>SUM(T342:T343)</f>
        <v>0</v>
      </c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R341" s="204" t="s">
        <v>86</v>
      </c>
      <c r="AT341" s="205" t="s">
        <v>77</v>
      </c>
      <c r="AU341" s="205" t="s">
        <v>86</v>
      </c>
      <c r="AY341" s="204" t="s">
        <v>200</v>
      </c>
      <c r="BK341" s="206">
        <f>SUM(BK342:BK343)</f>
        <v>0</v>
      </c>
    </row>
    <row r="342" s="2" customFormat="1" ht="24.15" customHeight="1">
      <c r="A342" s="40"/>
      <c r="B342" s="41"/>
      <c r="C342" s="209" t="s">
        <v>899</v>
      </c>
      <c r="D342" s="209" t="s">
        <v>202</v>
      </c>
      <c r="E342" s="210" t="s">
        <v>3654</v>
      </c>
      <c r="F342" s="211" t="s">
        <v>3655</v>
      </c>
      <c r="G342" s="212" t="s">
        <v>250</v>
      </c>
      <c r="H342" s="213">
        <v>266.81999999999999</v>
      </c>
      <c r="I342" s="214"/>
      <c r="J342" s="215">
        <f>ROUND(I342*H342,1)</f>
        <v>0</v>
      </c>
      <c r="K342" s="211" t="s">
        <v>206</v>
      </c>
      <c r="L342" s="46"/>
      <c r="M342" s="216" t="s">
        <v>32</v>
      </c>
      <c r="N342" s="217" t="s">
        <v>49</v>
      </c>
      <c r="O342" s="86"/>
      <c r="P342" s="218">
        <f>O342*H342</f>
        <v>0</v>
      </c>
      <c r="Q342" s="218">
        <v>0</v>
      </c>
      <c r="R342" s="218">
        <f>Q342*H342</f>
        <v>0</v>
      </c>
      <c r="S342" s="218">
        <v>0</v>
      </c>
      <c r="T342" s="219">
        <f>S342*H342</f>
        <v>0</v>
      </c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R342" s="220" t="s">
        <v>207</v>
      </c>
      <c r="AT342" s="220" t="s">
        <v>202</v>
      </c>
      <c r="AU342" s="220" t="s">
        <v>88</v>
      </c>
      <c r="AY342" s="18" t="s">
        <v>200</v>
      </c>
      <c r="BE342" s="221">
        <f>IF(N342="základní",J342,0)</f>
        <v>0</v>
      </c>
      <c r="BF342" s="221">
        <f>IF(N342="snížená",J342,0)</f>
        <v>0</v>
      </c>
      <c r="BG342" s="221">
        <f>IF(N342="zákl. přenesená",J342,0)</f>
        <v>0</v>
      </c>
      <c r="BH342" s="221">
        <f>IF(N342="sníž. přenesená",J342,0)</f>
        <v>0</v>
      </c>
      <c r="BI342" s="221">
        <f>IF(N342="nulová",J342,0)</f>
        <v>0</v>
      </c>
      <c r="BJ342" s="18" t="s">
        <v>86</v>
      </c>
      <c r="BK342" s="221">
        <f>ROUND(I342*H342,1)</f>
        <v>0</v>
      </c>
      <c r="BL342" s="18" t="s">
        <v>207</v>
      </c>
      <c r="BM342" s="220" t="s">
        <v>3656</v>
      </c>
    </row>
    <row r="343" s="2" customFormat="1">
      <c r="A343" s="40"/>
      <c r="B343" s="41"/>
      <c r="C343" s="42"/>
      <c r="D343" s="222" t="s">
        <v>209</v>
      </c>
      <c r="E343" s="42"/>
      <c r="F343" s="223" t="s">
        <v>3657</v>
      </c>
      <c r="G343" s="42"/>
      <c r="H343" s="42"/>
      <c r="I343" s="224"/>
      <c r="J343" s="42"/>
      <c r="K343" s="42"/>
      <c r="L343" s="46"/>
      <c r="M343" s="283"/>
      <c r="N343" s="284"/>
      <c r="O343" s="285"/>
      <c r="P343" s="285"/>
      <c r="Q343" s="285"/>
      <c r="R343" s="285"/>
      <c r="S343" s="285"/>
      <c r="T343" s="286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T343" s="18" t="s">
        <v>209</v>
      </c>
      <c r="AU343" s="18" t="s">
        <v>88</v>
      </c>
    </row>
    <row r="344" s="2" customFormat="1" ht="6.96" customHeight="1">
      <c r="A344" s="40"/>
      <c r="B344" s="61"/>
      <c r="C344" s="62"/>
      <c r="D344" s="62"/>
      <c r="E344" s="62"/>
      <c r="F344" s="62"/>
      <c r="G344" s="62"/>
      <c r="H344" s="62"/>
      <c r="I344" s="62"/>
      <c r="J344" s="62"/>
      <c r="K344" s="62"/>
      <c r="L344" s="46"/>
      <c r="M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</row>
  </sheetData>
  <sheetProtection sheet="1" autoFilter="0" formatColumns="0" formatRows="0" objects="1" scenarios="1" spinCount="100000" saltValue="SVJSEV4Pzrv+wXKyvcgW9iiTtoiPYream5TLFfeMWpHRmCS0/790u8nlCfZgGebXCN5w/W2zWzHE0H5V5SIeag==" hashValue="IzlcWM4b6NW6m6/jQNufJ5PBaOcpdqpCvpPvGhdgCS78YRu0qBo5jWF3vI3QVjaFd94FlRDl6R9u14TGkoJT1g==" algorithmName="SHA-512" password="CC35"/>
  <autoFilter ref="C88:K343"/>
  <mergeCells count="9">
    <mergeCell ref="E7:H7"/>
    <mergeCell ref="E9:H9"/>
    <mergeCell ref="E18:H18"/>
    <mergeCell ref="E27:H27"/>
    <mergeCell ref="E48:H48"/>
    <mergeCell ref="E50:H50"/>
    <mergeCell ref="E79:H79"/>
    <mergeCell ref="E81:H81"/>
    <mergeCell ref="L2:V2"/>
  </mergeCells>
  <hyperlinks>
    <hyperlink ref="F93" r:id="rId1" display="https://podminky.urs.cz/item/CS_URS_2023_02/113106121"/>
    <hyperlink ref="F95" r:id="rId2" display="https://podminky.urs.cz/item/CS_URS_2023_02/113107332"/>
    <hyperlink ref="F97" r:id="rId3" display="https://podminky.urs.cz/item/CS_URS_2023_02/113107342"/>
    <hyperlink ref="F99" r:id="rId4" display="https://podminky.urs.cz/item/CS_URS_2023_02/113107343"/>
    <hyperlink ref="F101" r:id="rId5" display="https://podminky.urs.cz/item/CS_URS_2023_02/113107331"/>
    <hyperlink ref="F103" r:id="rId6" display="https://podminky.urs.cz/item/CS_URS_2023_02/113201112"/>
    <hyperlink ref="F105" r:id="rId7" display="https://podminky.urs.cz/item/CS_URS_2023_02/113203111"/>
    <hyperlink ref="F107" r:id="rId8" display="https://podminky.urs.cz/item/CS_URS_2023_02/121151113"/>
    <hyperlink ref="F109" r:id="rId9" display="https://podminky.urs.cz/item/CS_URS_2023_02/122351104"/>
    <hyperlink ref="F112" r:id="rId10" display="https://podminky.urs.cz/item/CS_URS_2023_02/131111332"/>
    <hyperlink ref="F115" r:id="rId11" display="https://podminky.urs.cz/item/CS_URS_2023_02/162351103"/>
    <hyperlink ref="F120" r:id="rId12" display="https://podminky.urs.cz/item/CS_URS_2023_02/167151111"/>
    <hyperlink ref="F123" r:id="rId13" display="https://podminky.urs.cz/item/CS_URS_2023_02/174111101"/>
    <hyperlink ref="F126" r:id="rId14" display="https://podminky.urs.cz/item/CS_URS_2023_02/181351103"/>
    <hyperlink ref="F131" r:id="rId15" display="https://podminky.urs.cz/item/CS_URS_2023_02/181451311"/>
    <hyperlink ref="F135" r:id="rId16" display="https://podminky.urs.cz/item/CS_URS_2023_02/181951112"/>
    <hyperlink ref="F139" r:id="rId17" display="https://podminky.urs.cz/item/CS_URS_2023_02/211521111"/>
    <hyperlink ref="F142" r:id="rId18" display="https://podminky.urs.cz/item/CS_URS_2023_02/211971121"/>
    <hyperlink ref="F146" r:id="rId19" display="https://podminky.urs.cz/item/CS_URS_2023_02/212572121"/>
    <hyperlink ref="F148" r:id="rId20" display="https://podminky.urs.cz/item/CS_URS_2023_02/212755214"/>
    <hyperlink ref="F150" r:id="rId21" display="https://podminky.urs.cz/item/CS_URS_2023_02/275313811"/>
    <hyperlink ref="F154" r:id="rId22" display="https://podminky.urs.cz/item/CS_URS_2023_02/338171123"/>
    <hyperlink ref="F160" r:id="rId23" display="https://podminky.urs.cz/item/CS_URS_2023_02/348101260"/>
    <hyperlink ref="F164" r:id="rId24" display="https://podminky.urs.cz/item/CS_URS_2023_02/348121211"/>
    <hyperlink ref="F172" r:id="rId25" display="https://podminky.urs.cz/item/CS_URS_2023_02/348171146"/>
    <hyperlink ref="F184" r:id="rId26" display="https://podminky.urs.cz/item/CS_URS_2023_02/564851111"/>
    <hyperlink ref="F190" r:id="rId27" display="https://podminky.urs.cz/item/CS_URS_2023_02/565155111"/>
    <hyperlink ref="F192" r:id="rId28" display="https://podminky.urs.cz/item/CS_URS_2023_02/573211107"/>
    <hyperlink ref="F194" r:id="rId29" display="https://podminky.urs.cz/item/CS_URS_2023_02/577134211"/>
    <hyperlink ref="F196" r:id="rId30" display="https://podminky.urs.cz/item/CS_URS_2023_02/596211112"/>
    <hyperlink ref="F209" r:id="rId31" display="https://podminky.urs.cz/item/CS_URS_2023_02/596212212"/>
    <hyperlink ref="F226" r:id="rId32" display="https://podminky.urs.cz/item/CS_URS_2023_02/596811121"/>
    <hyperlink ref="F233" r:id="rId33" display="https://podminky.urs.cz/item/CS_URS_2023_02/637211134"/>
    <hyperlink ref="F236" r:id="rId34" display="https://podminky.urs.cz/item/CS_URS_2023_02/637311131"/>
    <hyperlink ref="F239" r:id="rId35" display="https://podminky.urs.cz/item/CS_URS_2023_02/871315241"/>
    <hyperlink ref="F245" r:id="rId36" display="https://podminky.urs.cz/item/CS_URS_2023_02/895941341"/>
    <hyperlink ref="F248" r:id="rId37" display="https://podminky.urs.cz/item/CS_URS_2023_02/895941351"/>
    <hyperlink ref="F251" r:id="rId38" display="https://podminky.urs.cz/item/CS_URS_2023_02/895941362"/>
    <hyperlink ref="F254" r:id="rId39" display="https://podminky.urs.cz/item/CS_URS_2023_02/899204112"/>
    <hyperlink ref="F258" r:id="rId40" display="https://podminky.urs.cz/item/CS_URS_2023_02/914111111"/>
    <hyperlink ref="F268" r:id="rId41" display="https://podminky.urs.cz/item/CS_URS_2023_02/914511111"/>
    <hyperlink ref="F271" r:id="rId42" display="https://podminky.urs.cz/item/CS_URS_2023_02/914531111"/>
    <hyperlink ref="F274" r:id="rId43" display="https://podminky.urs.cz/item/CS_URS_2023_02/915111115"/>
    <hyperlink ref="F277" r:id="rId44" display="https://podminky.urs.cz/item/CS_URS_2023_02/915131111"/>
    <hyperlink ref="F279" r:id="rId45" display="https://podminky.urs.cz/item/CS_URS_2023_02/915131115"/>
    <hyperlink ref="F282" r:id="rId46" display="https://podminky.urs.cz/item/CS_URS_2023_02/916131213"/>
    <hyperlink ref="F286" r:id="rId47" display="https://podminky.urs.cz/item/CS_URS_2023_02/916231213"/>
    <hyperlink ref="F290" r:id="rId48" display="https://podminky.urs.cz/item/CS_URS_2023_02/916991121"/>
    <hyperlink ref="F295" r:id="rId49" display="https://podminky.urs.cz/item/CS_URS_2023_02/919732211"/>
    <hyperlink ref="F297" r:id="rId50" display="https://podminky.urs.cz/item/CS_URS_2023_02/919735113"/>
    <hyperlink ref="F299" r:id="rId51" display="https://podminky.urs.cz/item/CS_URS_2023_02/935114142"/>
    <hyperlink ref="F301" r:id="rId52" display="https://podminky.urs.cz/item/CS_URS_2023_02/961044111"/>
    <hyperlink ref="F306" r:id="rId53" display="https://podminky.urs.cz/item/CS_URS_2023_02/961055111"/>
    <hyperlink ref="F309" r:id="rId54" display="https://podminky.urs.cz/item/CS_URS_2023_02/962032241"/>
    <hyperlink ref="F316" r:id="rId55" display="https://podminky.urs.cz/item/CS_URS_2023_02/966008212"/>
    <hyperlink ref="F318" r:id="rId56" display="https://podminky.urs.cz/item/CS_URS_2023_02/966071711"/>
    <hyperlink ref="F320" r:id="rId57" display="https://podminky.urs.cz/item/CS_URS_2023_02/966071822"/>
    <hyperlink ref="F322" r:id="rId58" display="https://podminky.urs.cz/item/CS_URS_2023_02/981013211"/>
    <hyperlink ref="F328" r:id="rId59" display="https://podminky.urs.cz/item/CS_URS_2023_02/997013501"/>
    <hyperlink ref="F330" r:id="rId60" display="https://podminky.urs.cz/item/CS_URS_2023_02/997013509"/>
    <hyperlink ref="F333" r:id="rId61" display="https://podminky.urs.cz/item/CS_URS_2023_02/997013811"/>
    <hyperlink ref="F336" r:id="rId62" display="https://podminky.urs.cz/item/CS_URS_2023_02/997013869"/>
    <hyperlink ref="F339" r:id="rId63" display="https://podminky.urs.cz/item/CS_URS_2023_02/997013875"/>
    <hyperlink ref="F343" r:id="rId64" display="https://podminky.urs.cz/item/CS_URS_2023_02/998225111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65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8" t="s">
        <v>112</v>
      </c>
    </row>
    <row r="3" hidden="1" s="1" customFormat="1" ht="6.96" customHeight="1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21"/>
      <c r="AT3" s="18" t="s">
        <v>88</v>
      </c>
    </row>
    <row r="4" hidden="1" s="1" customFormat="1" ht="24.96" customHeight="1">
      <c r="B4" s="21"/>
      <c r="D4" s="133" t="s">
        <v>121</v>
      </c>
      <c r="L4" s="21"/>
      <c r="M4" s="134" t="s">
        <v>10</v>
      </c>
      <c r="AT4" s="18" t="s">
        <v>4</v>
      </c>
    </row>
    <row r="5" hidden="1" s="1" customFormat="1" ht="6.96" customHeight="1">
      <c r="B5" s="21"/>
      <c r="L5" s="21"/>
    </row>
    <row r="6" hidden="1" s="1" customFormat="1" ht="12" customHeight="1">
      <c r="B6" s="21"/>
      <c r="D6" s="135" t="s">
        <v>16</v>
      </c>
      <c r="L6" s="21"/>
    </row>
    <row r="7" hidden="1" s="1" customFormat="1" ht="16.5" customHeight="1">
      <c r="B7" s="21"/>
      <c r="E7" s="136" t="str">
        <f>'Rekapitulace stavby'!K6</f>
        <v>Kulturní dům ČP 1, Třemošná- rev 03</v>
      </c>
      <c r="F7" s="135"/>
      <c r="G7" s="135"/>
      <c r="H7" s="135"/>
      <c r="L7" s="21"/>
    </row>
    <row r="8" hidden="1" s="2" customFormat="1" ht="12" customHeight="1">
      <c r="A8" s="40"/>
      <c r="B8" s="46"/>
      <c r="C8" s="40"/>
      <c r="D8" s="135" t="s">
        <v>134</v>
      </c>
      <c r="E8" s="40"/>
      <c r="F8" s="40"/>
      <c r="G8" s="40"/>
      <c r="H8" s="40"/>
      <c r="I8" s="40"/>
      <c r="J8" s="40"/>
      <c r="K8" s="40"/>
      <c r="L8" s="137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hidden="1" s="2" customFormat="1" ht="16.5" customHeight="1">
      <c r="A9" s="40"/>
      <c r="B9" s="46"/>
      <c r="C9" s="40"/>
      <c r="D9" s="40"/>
      <c r="E9" s="138" t="s">
        <v>3658</v>
      </c>
      <c r="F9" s="40"/>
      <c r="G9" s="40"/>
      <c r="H9" s="40"/>
      <c r="I9" s="40"/>
      <c r="J9" s="40"/>
      <c r="K9" s="40"/>
      <c r="L9" s="13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hidden="1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3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hidden="1" s="2" customFormat="1" ht="12" customHeight="1">
      <c r="A11" s="40"/>
      <c r="B11" s="46"/>
      <c r="C11" s="40"/>
      <c r="D11" s="135" t="s">
        <v>18</v>
      </c>
      <c r="E11" s="40"/>
      <c r="F11" s="139" t="s">
        <v>32</v>
      </c>
      <c r="G11" s="40"/>
      <c r="H11" s="40"/>
      <c r="I11" s="135" t="s">
        <v>20</v>
      </c>
      <c r="J11" s="139" t="s">
        <v>32</v>
      </c>
      <c r="K11" s="40"/>
      <c r="L11" s="13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hidden="1" s="2" customFormat="1" ht="12" customHeight="1">
      <c r="A12" s="40"/>
      <c r="B12" s="46"/>
      <c r="C12" s="40"/>
      <c r="D12" s="135" t="s">
        <v>22</v>
      </c>
      <c r="E12" s="40"/>
      <c r="F12" s="139" t="s">
        <v>23</v>
      </c>
      <c r="G12" s="40"/>
      <c r="H12" s="40"/>
      <c r="I12" s="135" t="s">
        <v>24</v>
      </c>
      <c r="J12" s="140" t="str">
        <f>'Rekapitulace stavby'!AN8</f>
        <v>20. 12. 2023</v>
      </c>
      <c r="K12" s="40"/>
      <c r="L12" s="13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hidden="1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3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hidden="1" s="2" customFormat="1" ht="12" customHeight="1">
      <c r="A14" s="40"/>
      <c r="B14" s="46"/>
      <c r="C14" s="40"/>
      <c r="D14" s="135" t="s">
        <v>30</v>
      </c>
      <c r="E14" s="40"/>
      <c r="F14" s="40"/>
      <c r="G14" s="40"/>
      <c r="H14" s="40"/>
      <c r="I14" s="135" t="s">
        <v>31</v>
      </c>
      <c r="J14" s="139" t="s">
        <v>32</v>
      </c>
      <c r="K14" s="40"/>
      <c r="L14" s="13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hidden="1" s="2" customFormat="1" ht="18" customHeight="1">
      <c r="A15" s="40"/>
      <c r="B15" s="46"/>
      <c r="C15" s="40"/>
      <c r="D15" s="40"/>
      <c r="E15" s="139" t="s">
        <v>41</v>
      </c>
      <c r="F15" s="40"/>
      <c r="G15" s="40"/>
      <c r="H15" s="40"/>
      <c r="I15" s="135" t="s">
        <v>34</v>
      </c>
      <c r="J15" s="139" t="s">
        <v>32</v>
      </c>
      <c r="K15" s="40"/>
      <c r="L15" s="13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hidden="1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3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hidden="1" s="2" customFormat="1" ht="12" customHeight="1">
      <c r="A17" s="40"/>
      <c r="B17" s="46"/>
      <c r="C17" s="40"/>
      <c r="D17" s="135" t="s">
        <v>35</v>
      </c>
      <c r="E17" s="40"/>
      <c r="F17" s="40"/>
      <c r="G17" s="40"/>
      <c r="H17" s="40"/>
      <c r="I17" s="135" t="s">
        <v>31</v>
      </c>
      <c r="J17" s="34" t="str">
        <f>'Rekapitulace stavby'!AN13</f>
        <v>Vyplň údaj</v>
      </c>
      <c r="K17" s="40"/>
      <c r="L17" s="13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hidden="1" s="2" customFormat="1" ht="18" customHeight="1">
      <c r="A18" s="40"/>
      <c r="B18" s="46"/>
      <c r="C18" s="40"/>
      <c r="D18" s="40"/>
      <c r="E18" s="34" t="str">
        <f>'Rekapitulace stavby'!E14</f>
        <v>Vyplň údaj</v>
      </c>
      <c r="F18" s="139"/>
      <c r="G18" s="139"/>
      <c r="H18" s="139"/>
      <c r="I18" s="135" t="s">
        <v>34</v>
      </c>
      <c r="J18" s="34" t="str">
        <f>'Rekapitulace stavby'!AN14</f>
        <v>Vyplň údaj</v>
      </c>
      <c r="K18" s="40"/>
      <c r="L18" s="13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hidden="1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3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hidden="1" s="2" customFormat="1" ht="12" customHeight="1">
      <c r="A20" s="40"/>
      <c r="B20" s="46"/>
      <c r="C20" s="40"/>
      <c r="D20" s="135" t="s">
        <v>37</v>
      </c>
      <c r="E20" s="40"/>
      <c r="F20" s="40"/>
      <c r="G20" s="40"/>
      <c r="H20" s="40"/>
      <c r="I20" s="135" t="s">
        <v>31</v>
      </c>
      <c r="J20" s="139" t="s">
        <v>32</v>
      </c>
      <c r="K20" s="40"/>
      <c r="L20" s="13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hidden="1" s="2" customFormat="1" ht="18" customHeight="1">
      <c r="A21" s="40"/>
      <c r="B21" s="46"/>
      <c r="C21" s="40"/>
      <c r="D21" s="40"/>
      <c r="E21" s="139" t="s">
        <v>41</v>
      </c>
      <c r="F21" s="40"/>
      <c r="G21" s="40"/>
      <c r="H21" s="40"/>
      <c r="I21" s="135" t="s">
        <v>34</v>
      </c>
      <c r="J21" s="139" t="s">
        <v>32</v>
      </c>
      <c r="K21" s="40"/>
      <c r="L21" s="13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hidden="1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3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hidden="1" s="2" customFormat="1" ht="12" customHeight="1">
      <c r="A23" s="40"/>
      <c r="B23" s="46"/>
      <c r="C23" s="40"/>
      <c r="D23" s="135" t="s">
        <v>40</v>
      </c>
      <c r="E23" s="40"/>
      <c r="F23" s="40"/>
      <c r="G23" s="40"/>
      <c r="H23" s="40"/>
      <c r="I23" s="135" t="s">
        <v>31</v>
      </c>
      <c r="J23" s="139" t="s">
        <v>32</v>
      </c>
      <c r="K23" s="40"/>
      <c r="L23" s="13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hidden="1" s="2" customFormat="1" ht="18" customHeight="1">
      <c r="A24" s="40"/>
      <c r="B24" s="46"/>
      <c r="C24" s="40"/>
      <c r="D24" s="40"/>
      <c r="E24" s="139" t="s">
        <v>41</v>
      </c>
      <c r="F24" s="40"/>
      <c r="G24" s="40"/>
      <c r="H24" s="40"/>
      <c r="I24" s="135" t="s">
        <v>34</v>
      </c>
      <c r="J24" s="139" t="s">
        <v>32</v>
      </c>
      <c r="K24" s="40"/>
      <c r="L24" s="13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hidden="1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3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hidden="1" s="2" customFormat="1" ht="12" customHeight="1">
      <c r="A26" s="40"/>
      <c r="B26" s="46"/>
      <c r="C26" s="40"/>
      <c r="D26" s="135" t="s">
        <v>42</v>
      </c>
      <c r="E26" s="40"/>
      <c r="F26" s="40"/>
      <c r="G26" s="40"/>
      <c r="H26" s="40"/>
      <c r="I26" s="40"/>
      <c r="J26" s="40"/>
      <c r="K26" s="40"/>
      <c r="L26" s="13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hidden="1" s="8" customFormat="1" ht="16.5" customHeight="1">
      <c r="A27" s="143"/>
      <c r="B27" s="144"/>
      <c r="C27" s="143"/>
      <c r="D27" s="143"/>
      <c r="E27" s="145" t="s">
        <v>32</v>
      </c>
      <c r="F27" s="145"/>
      <c r="G27" s="145"/>
      <c r="H27" s="145"/>
      <c r="I27" s="143"/>
      <c r="J27" s="143"/>
      <c r="K27" s="143"/>
      <c r="L27" s="146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</row>
    <row r="28" hidden="1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3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hidden="1" s="2" customFormat="1" ht="6.96" customHeight="1">
      <c r="A29" s="40"/>
      <c r="B29" s="46"/>
      <c r="C29" s="40"/>
      <c r="D29" s="147"/>
      <c r="E29" s="147"/>
      <c r="F29" s="147"/>
      <c r="G29" s="147"/>
      <c r="H29" s="147"/>
      <c r="I29" s="147"/>
      <c r="J29" s="147"/>
      <c r="K29" s="147"/>
      <c r="L29" s="13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hidden="1" s="2" customFormat="1" ht="25.44" customHeight="1">
      <c r="A30" s="40"/>
      <c r="B30" s="46"/>
      <c r="C30" s="40"/>
      <c r="D30" s="148" t="s">
        <v>44</v>
      </c>
      <c r="E30" s="40"/>
      <c r="F30" s="40"/>
      <c r="G30" s="40"/>
      <c r="H30" s="40"/>
      <c r="I30" s="40"/>
      <c r="J30" s="149">
        <f>ROUND(J91, 1)</f>
        <v>0</v>
      </c>
      <c r="K30" s="40"/>
      <c r="L30" s="13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hidden="1" s="2" customFormat="1" ht="6.96" customHeight="1">
      <c r="A31" s="40"/>
      <c r="B31" s="46"/>
      <c r="C31" s="40"/>
      <c r="D31" s="147"/>
      <c r="E31" s="147"/>
      <c r="F31" s="147"/>
      <c r="G31" s="147"/>
      <c r="H31" s="147"/>
      <c r="I31" s="147"/>
      <c r="J31" s="147"/>
      <c r="K31" s="147"/>
      <c r="L31" s="13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hidden="1" s="2" customFormat="1" ht="14.4" customHeight="1">
      <c r="A32" s="40"/>
      <c r="B32" s="46"/>
      <c r="C32" s="40"/>
      <c r="D32" s="40"/>
      <c r="E32" s="40"/>
      <c r="F32" s="150" t="s">
        <v>46</v>
      </c>
      <c r="G32" s="40"/>
      <c r="H32" s="40"/>
      <c r="I32" s="150" t="s">
        <v>45</v>
      </c>
      <c r="J32" s="150" t="s">
        <v>47</v>
      </c>
      <c r="K32" s="40"/>
      <c r="L32" s="13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hidden="1" s="2" customFormat="1" ht="14.4" customHeight="1">
      <c r="A33" s="40"/>
      <c r="B33" s="46"/>
      <c r="C33" s="40"/>
      <c r="D33" s="151" t="s">
        <v>48</v>
      </c>
      <c r="E33" s="135" t="s">
        <v>49</v>
      </c>
      <c r="F33" s="152">
        <f>ROUND((SUM(BE91:BE220)),  1)</f>
        <v>0</v>
      </c>
      <c r="G33" s="40"/>
      <c r="H33" s="40"/>
      <c r="I33" s="153">
        <v>0.20999999999999999</v>
      </c>
      <c r="J33" s="152">
        <f>ROUND(((SUM(BE91:BE220))*I33),  1)</f>
        <v>0</v>
      </c>
      <c r="K33" s="40"/>
      <c r="L33" s="13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hidden="1" s="2" customFormat="1" ht="14.4" customHeight="1">
      <c r="A34" s="40"/>
      <c r="B34" s="46"/>
      <c r="C34" s="40"/>
      <c r="D34" s="40"/>
      <c r="E34" s="135" t="s">
        <v>50</v>
      </c>
      <c r="F34" s="152">
        <f>ROUND((SUM(BF91:BF220)),  1)</f>
        <v>0</v>
      </c>
      <c r="G34" s="40"/>
      <c r="H34" s="40"/>
      <c r="I34" s="153">
        <v>0.14999999999999999</v>
      </c>
      <c r="J34" s="152">
        <f>ROUND(((SUM(BF91:BF220))*I34),  1)</f>
        <v>0</v>
      </c>
      <c r="K34" s="40"/>
      <c r="L34" s="13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35" t="s">
        <v>51</v>
      </c>
      <c r="F35" s="152">
        <f>ROUND((SUM(BG91:BG220)),  1)</f>
        <v>0</v>
      </c>
      <c r="G35" s="40"/>
      <c r="H35" s="40"/>
      <c r="I35" s="153">
        <v>0.20999999999999999</v>
      </c>
      <c r="J35" s="152">
        <f>0</f>
        <v>0</v>
      </c>
      <c r="K35" s="40"/>
      <c r="L35" s="13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35" t="s">
        <v>52</v>
      </c>
      <c r="F36" s="152">
        <f>ROUND((SUM(BH91:BH220)),  1)</f>
        <v>0</v>
      </c>
      <c r="G36" s="40"/>
      <c r="H36" s="40"/>
      <c r="I36" s="153">
        <v>0.14999999999999999</v>
      </c>
      <c r="J36" s="152">
        <f>0</f>
        <v>0</v>
      </c>
      <c r="K36" s="40"/>
      <c r="L36" s="13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35" t="s">
        <v>53</v>
      </c>
      <c r="F37" s="152">
        <f>ROUND((SUM(BI91:BI220)),  1)</f>
        <v>0</v>
      </c>
      <c r="G37" s="40"/>
      <c r="H37" s="40"/>
      <c r="I37" s="153">
        <v>0</v>
      </c>
      <c r="J37" s="152">
        <f>0</f>
        <v>0</v>
      </c>
      <c r="K37" s="40"/>
      <c r="L37" s="13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3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25.44" customHeight="1">
      <c r="A39" s="40"/>
      <c r="B39" s="46"/>
      <c r="C39" s="154"/>
      <c r="D39" s="155" t="s">
        <v>54</v>
      </c>
      <c r="E39" s="156"/>
      <c r="F39" s="156"/>
      <c r="G39" s="157" t="s">
        <v>55</v>
      </c>
      <c r="H39" s="158" t="s">
        <v>56</v>
      </c>
      <c r="I39" s="156"/>
      <c r="J39" s="159">
        <f>SUM(J30:J37)</f>
        <v>0</v>
      </c>
      <c r="K39" s="160"/>
      <c r="L39" s="13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161"/>
      <c r="C40" s="162"/>
      <c r="D40" s="162"/>
      <c r="E40" s="162"/>
      <c r="F40" s="162"/>
      <c r="G40" s="162"/>
      <c r="H40" s="162"/>
      <c r="I40" s="162"/>
      <c r="J40" s="162"/>
      <c r="K40" s="162"/>
      <c r="L40" s="13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/>
    <row r="42" hidden="1"/>
    <row r="43" hidden="1"/>
    <row r="44" hidden="1" s="2" customFormat="1" ht="6.96" customHeight="1">
      <c r="A44" s="4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3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hidden="1" s="2" customFormat="1" ht="24.96" customHeight="1">
      <c r="A45" s="40"/>
      <c r="B45" s="41"/>
      <c r="C45" s="24" t="s">
        <v>155</v>
      </c>
      <c r="D45" s="42"/>
      <c r="E45" s="42"/>
      <c r="F45" s="42"/>
      <c r="G45" s="42"/>
      <c r="H45" s="42"/>
      <c r="I45" s="42"/>
      <c r="J45" s="42"/>
      <c r="K45" s="42"/>
      <c r="L45" s="137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hidden="1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3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hidden="1" s="2" customFormat="1" ht="12" customHeight="1">
      <c r="A47" s="40"/>
      <c r="B47" s="41"/>
      <c r="C47" s="33" t="s">
        <v>16</v>
      </c>
      <c r="D47" s="42"/>
      <c r="E47" s="42"/>
      <c r="F47" s="42"/>
      <c r="G47" s="42"/>
      <c r="H47" s="42"/>
      <c r="I47" s="42"/>
      <c r="J47" s="42"/>
      <c r="K47" s="42"/>
      <c r="L47" s="13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hidden="1" s="2" customFormat="1" ht="16.5" customHeight="1">
      <c r="A48" s="40"/>
      <c r="B48" s="41"/>
      <c r="C48" s="42"/>
      <c r="D48" s="42"/>
      <c r="E48" s="165" t="str">
        <f>E7</f>
        <v>Kulturní dům ČP 1, Třemošná- rev 03</v>
      </c>
      <c r="F48" s="33"/>
      <c r="G48" s="33"/>
      <c r="H48" s="33"/>
      <c r="I48" s="42"/>
      <c r="J48" s="42"/>
      <c r="K48" s="42"/>
      <c r="L48" s="13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hidden="1" s="2" customFormat="1" ht="12" customHeight="1">
      <c r="A49" s="40"/>
      <c r="B49" s="41"/>
      <c r="C49" s="33" t="s">
        <v>134</v>
      </c>
      <c r="D49" s="42"/>
      <c r="E49" s="42"/>
      <c r="F49" s="42"/>
      <c r="G49" s="42"/>
      <c r="H49" s="42"/>
      <c r="I49" s="42"/>
      <c r="J49" s="42"/>
      <c r="K49" s="42"/>
      <c r="L49" s="13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hidden="1" s="2" customFormat="1" ht="16.5" customHeight="1">
      <c r="A50" s="40"/>
      <c r="B50" s="41"/>
      <c r="C50" s="42"/>
      <c r="D50" s="42"/>
      <c r="E50" s="71" t="str">
        <f>E9</f>
        <v>09 - Úprava stávající NTL plynovodbní přípojky</v>
      </c>
      <c r="F50" s="42"/>
      <c r="G50" s="42"/>
      <c r="H50" s="42"/>
      <c r="I50" s="42"/>
      <c r="J50" s="42"/>
      <c r="K50" s="42"/>
      <c r="L50" s="13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hidden="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3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hidden="1" s="2" customFormat="1" ht="12" customHeight="1">
      <c r="A52" s="40"/>
      <c r="B52" s="41"/>
      <c r="C52" s="33" t="s">
        <v>22</v>
      </c>
      <c r="D52" s="42"/>
      <c r="E52" s="42"/>
      <c r="F52" s="28" t="str">
        <f>F12</f>
        <v>Třemošná</v>
      </c>
      <c r="G52" s="42"/>
      <c r="H52" s="42"/>
      <c r="I52" s="33" t="s">
        <v>24</v>
      </c>
      <c r="J52" s="74" t="str">
        <f>IF(J12="","",J12)</f>
        <v>20. 12. 2023</v>
      </c>
      <c r="K52" s="42"/>
      <c r="L52" s="13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hidden="1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3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hidden="1" s="2" customFormat="1" ht="15.15" customHeight="1">
      <c r="A54" s="40"/>
      <c r="B54" s="41"/>
      <c r="C54" s="33" t="s">
        <v>30</v>
      </c>
      <c r="D54" s="42"/>
      <c r="E54" s="42"/>
      <c r="F54" s="28" t="str">
        <f>E15</f>
        <v xml:space="preserve"> </v>
      </c>
      <c r="G54" s="42"/>
      <c r="H54" s="42"/>
      <c r="I54" s="33" t="s">
        <v>37</v>
      </c>
      <c r="J54" s="38" t="str">
        <f>E21</f>
        <v xml:space="preserve"> </v>
      </c>
      <c r="K54" s="42"/>
      <c r="L54" s="13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hidden="1" s="2" customFormat="1" ht="15.15" customHeight="1">
      <c r="A55" s="40"/>
      <c r="B55" s="41"/>
      <c r="C55" s="33" t="s">
        <v>35</v>
      </c>
      <c r="D55" s="42"/>
      <c r="E55" s="42"/>
      <c r="F55" s="28" t="str">
        <f>IF(E18="","",E18)</f>
        <v>Vyplň údaj</v>
      </c>
      <c r="G55" s="42"/>
      <c r="H55" s="42"/>
      <c r="I55" s="33" t="s">
        <v>40</v>
      </c>
      <c r="J55" s="38" t="str">
        <f>E24</f>
        <v xml:space="preserve"> </v>
      </c>
      <c r="K55" s="42"/>
      <c r="L55" s="13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hidden="1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3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hidden="1" s="2" customFormat="1" ht="29.28" customHeight="1">
      <c r="A57" s="40"/>
      <c r="B57" s="41"/>
      <c r="C57" s="166" t="s">
        <v>156</v>
      </c>
      <c r="D57" s="167"/>
      <c r="E57" s="167"/>
      <c r="F57" s="167"/>
      <c r="G57" s="167"/>
      <c r="H57" s="167"/>
      <c r="I57" s="167"/>
      <c r="J57" s="168" t="s">
        <v>157</v>
      </c>
      <c r="K57" s="167"/>
      <c r="L57" s="13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hidden="1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3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hidden="1" s="2" customFormat="1" ht="22.8" customHeight="1">
      <c r="A59" s="40"/>
      <c r="B59" s="41"/>
      <c r="C59" s="169" t="s">
        <v>76</v>
      </c>
      <c r="D59" s="42"/>
      <c r="E59" s="42"/>
      <c r="F59" s="42"/>
      <c r="G59" s="42"/>
      <c r="H59" s="42"/>
      <c r="I59" s="42"/>
      <c r="J59" s="104">
        <f>J91</f>
        <v>0</v>
      </c>
      <c r="K59" s="42"/>
      <c r="L59" s="13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8" t="s">
        <v>158</v>
      </c>
    </row>
    <row r="60" hidden="1" s="9" customFormat="1" ht="24.96" customHeight="1">
      <c r="A60" s="9"/>
      <c r="B60" s="170"/>
      <c r="C60" s="171"/>
      <c r="D60" s="172" t="s">
        <v>159</v>
      </c>
      <c r="E60" s="173"/>
      <c r="F60" s="173"/>
      <c r="G60" s="173"/>
      <c r="H60" s="173"/>
      <c r="I60" s="173"/>
      <c r="J60" s="174">
        <f>J92</f>
        <v>0</v>
      </c>
      <c r="K60" s="171"/>
      <c r="L60" s="175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idden="1" s="10" customFormat="1" ht="19.92" customHeight="1">
      <c r="A61" s="10"/>
      <c r="B61" s="176"/>
      <c r="C61" s="177"/>
      <c r="D61" s="178" t="s">
        <v>160</v>
      </c>
      <c r="E61" s="179"/>
      <c r="F61" s="179"/>
      <c r="G61" s="179"/>
      <c r="H61" s="179"/>
      <c r="I61" s="179"/>
      <c r="J61" s="180">
        <f>J93</f>
        <v>0</v>
      </c>
      <c r="K61" s="177"/>
      <c r="L61" s="181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hidden="1" s="10" customFormat="1" ht="19.92" customHeight="1">
      <c r="A62" s="10"/>
      <c r="B62" s="176"/>
      <c r="C62" s="177"/>
      <c r="D62" s="178" t="s">
        <v>163</v>
      </c>
      <c r="E62" s="179"/>
      <c r="F62" s="179"/>
      <c r="G62" s="179"/>
      <c r="H62" s="179"/>
      <c r="I62" s="179"/>
      <c r="J62" s="180">
        <f>J123</f>
        <v>0</v>
      </c>
      <c r="K62" s="177"/>
      <c r="L62" s="181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hidden="1" s="10" customFormat="1" ht="19.92" customHeight="1">
      <c r="A63" s="10"/>
      <c r="B63" s="176"/>
      <c r="C63" s="177"/>
      <c r="D63" s="178" t="s">
        <v>165</v>
      </c>
      <c r="E63" s="179"/>
      <c r="F63" s="179"/>
      <c r="G63" s="179"/>
      <c r="H63" s="179"/>
      <c r="I63" s="179"/>
      <c r="J63" s="180">
        <f>J126</f>
        <v>0</v>
      </c>
      <c r="K63" s="177"/>
      <c r="L63" s="181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hidden="1" s="10" customFormat="1" ht="19.92" customHeight="1">
      <c r="A64" s="10"/>
      <c r="B64" s="176"/>
      <c r="C64" s="177"/>
      <c r="D64" s="178" t="s">
        <v>167</v>
      </c>
      <c r="E64" s="179"/>
      <c r="F64" s="179"/>
      <c r="G64" s="179"/>
      <c r="H64" s="179"/>
      <c r="I64" s="179"/>
      <c r="J64" s="180">
        <f>J129</f>
        <v>0</v>
      </c>
      <c r="K64" s="177"/>
      <c r="L64" s="181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hidden="1" s="9" customFormat="1" ht="24.96" customHeight="1">
      <c r="A65" s="9"/>
      <c r="B65" s="170"/>
      <c r="C65" s="171"/>
      <c r="D65" s="172" t="s">
        <v>168</v>
      </c>
      <c r="E65" s="173"/>
      <c r="F65" s="173"/>
      <c r="G65" s="173"/>
      <c r="H65" s="173"/>
      <c r="I65" s="173"/>
      <c r="J65" s="174">
        <f>J132</f>
        <v>0</v>
      </c>
      <c r="K65" s="171"/>
      <c r="L65" s="175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hidden="1" s="10" customFormat="1" ht="19.92" customHeight="1">
      <c r="A66" s="10"/>
      <c r="B66" s="176"/>
      <c r="C66" s="177"/>
      <c r="D66" s="178" t="s">
        <v>3659</v>
      </c>
      <c r="E66" s="179"/>
      <c r="F66" s="179"/>
      <c r="G66" s="179"/>
      <c r="H66" s="179"/>
      <c r="I66" s="179"/>
      <c r="J66" s="180">
        <f>J133</f>
        <v>0</v>
      </c>
      <c r="K66" s="177"/>
      <c r="L66" s="181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hidden="1" s="10" customFormat="1" ht="19.92" customHeight="1">
      <c r="A67" s="10"/>
      <c r="B67" s="176"/>
      <c r="C67" s="177"/>
      <c r="D67" s="178" t="s">
        <v>3660</v>
      </c>
      <c r="E67" s="179"/>
      <c r="F67" s="179"/>
      <c r="G67" s="179"/>
      <c r="H67" s="179"/>
      <c r="I67" s="179"/>
      <c r="J67" s="180">
        <f>J156</f>
        <v>0</v>
      </c>
      <c r="K67" s="177"/>
      <c r="L67" s="181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hidden="1" s="9" customFormat="1" ht="24.96" customHeight="1">
      <c r="A68" s="9"/>
      <c r="B68" s="170"/>
      <c r="C68" s="171"/>
      <c r="D68" s="172" t="s">
        <v>3661</v>
      </c>
      <c r="E68" s="173"/>
      <c r="F68" s="173"/>
      <c r="G68" s="173"/>
      <c r="H68" s="173"/>
      <c r="I68" s="173"/>
      <c r="J68" s="174">
        <f>J161</f>
        <v>0</v>
      </c>
      <c r="K68" s="171"/>
      <c r="L68" s="175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hidden="1" s="10" customFormat="1" ht="19.92" customHeight="1">
      <c r="A69" s="10"/>
      <c r="B69" s="176"/>
      <c r="C69" s="177"/>
      <c r="D69" s="178" t="s">
        <v>3662</v>
      </c>
      <c r="E69" s="179"/>
      <c r="F69" s="179"/>
      <c r="G69" s="179"/>
      <c r="H69" s="179"/>
      <c r="I69" s="179"/>
      <c r="J69" s="180">
        <f>J162</f>
        <v>0</v>
      </c>
      <c r="K69" s="177"/>
      <c r="L69" s="181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hidden="1" s="10" customFormat="1" ht="19.92" customHeight="1">
      <c r="A70" s="10"/>
      <c r="B70" s="176"/>
      <c r="C70" s="177"/>
      <c r="D70" s="178" t="s">
        <v>3663</v>
      </c>
      <c r="E70" s="179"/>
      <c r="F70" s="179"/>
      <c r="G70" s="179"/>
      <c r="H70" s="179"/>
      <c r="I70" s="179"/>
      <c r="J70" s="180">
        <f>J199</f>
        <v>0</v>
      </c>
      <c r="K70" s="177"/>
      <c r="L70" s="181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hidden="1" s="9" customFormat="1" ht="24.96" customHeight="1">
      <c r="A71" s="9"/>
      <c r="B71" s="170"/>
      <c r="C71" s="171"/>
      <c r="D71" s="172" t="s">
        <v>2108</v>
      </c>
      <c r="E71" s="173"/>
      <c r="F71" s="173"/>
      <c r="G71" s="173"/>
      <c r="H71" s="173"/>
      <c r="I71" s="173"/>
      <c r="J71" s="174">
        <f>J214</f>
        <v>0</v>
      </c>
      <c r="K71" s="171"/>
      <c r="L71" s="175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hidden="1" s="2" customFormat="1" ht="21.84" customHeight="1">
      <c r="A72" s="40"/>
      <c r="B72" s="41"/>
      <c r="C72" s="42"/>
      <c r="D72" s="42"/>
      <c r="E72" s="42"/>
      <c r="F72" s="42"/>
      <c r="G72" s="42"/>
      <c r="H72" s="42"/>
      <c r="I72" s="42"/>
      <c r="J72" s="42"/>
      <c r="K72" s="42"/>
      <c r="L72" s="137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hidden="1" s="2" customFormat="1" ht="6.96" customHeight="1">
      <c r="A73" s="40"/>
      <c r="B73" s="61"/>
      <c r="C73" s="62"/>
      <c r="D73" s="62"/>
      <c r="E73" s="62"/>
      <c r="F73" s="62"/>
      <c r="G73" s="62"/>
      <c r="H73" s="62"/>
      <c r="I73" s="62"/>
      <c r="J73" s="62"/>
      <c r="K73" s="62"/>
      <c r="L73" s="137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hidden="1"/>
    <row r="75" hidden="1"/>
    <row r="76" hidden="1"/>
    <row r="77" s="2" customFormat="1" ht="6.96" customHeight="1">
      <c r="A77" s="40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137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24.96" customHeight="1">
      <c r="A78" s="40"/>
      <c r="B78" s="41"/>
      <c r="C78" s="24" t="s">
        <v>185</v>
      </c>
      <c r="D78" s="42"/>
      <c r="E78" s="42"/>
      <c r="F78" s="42"/>
      <c r="G78" s="42"/>
      <c r="H78" s="42"/>
      <c r="I78" s="42"/>
      <c r="J78" s="42"/>
      <c r="K78" s="42"/>
      <c r="L78" s="137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6.96" customHeight="1">
      <c r="A79" s="40"/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13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12" customHeight="1">
      <c r="A80" s="40"/>
      <c r="B80" s="41"/>
      <c r="C80" s="33" t="s">
        <v>16</v>
      </c>
      <c r="D80" s="42"/>
      <c r="E80" s="42"/>
      <c r="F80" s="42"/>
      <c r="G80" s="42"/>
      <c r="H80" s="42"/>
      <c r="I80" s="42"/>
      <c r="J80" s="42"/>
      <c r="K80" s="42"/>
      <c r="L80" s="13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6.5" customHeight="1">
      <c r="A81" s="40"/>
      <c r="B81" s="41"/>
      <c r="C81" s="42"/>
      <c r="D81" s="42"/>
      <c r="E81" s="165" t="str">
        <f>E7</f>
        <v>Kulturní dům ČP 1, Třemošná- rev 03</v>
      </c>
      <c r="F81" s="33"/>
      <c r="G81" s="33"/>
      <c r="H81" s="33"/>
      <c r="I81" s="42"/>
      <c r="J81" s="42"/>
      <c r="K81" s="42"/>
      <c r="L81" s="13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2" customHeight="1">
      <c r="A82" s="40"/>
      <c r="B82" s="41"/>
      <c r="C82" s="33" t="s">
        <v>134</v>
      </c>
      <c r="D82" s="42"/>
      <c r="E82" s="42"/>
      <c r="F82" s="42"/>
      <c r="G82" s="42"/>
      <c r="H82" s="42"/>
      <c r="I82" s="42"/>
      <c r="J82" s="42"/>
      <c r="K82" s="42"/>
      <c r="L82" s="13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2" customFormat="1" ht="16.5" customHeight="1">
      <c r="A83" s="40"/>
      <c r="B83" s="41"/>
      <c r="C83" s="42"/>
      <c r="D83" s="42"/>
      <c r="E83" s="71" t="str">
        <f>E9</f>
        <v>09 - Úprava stávající NTL plynovodbní přípojky</v>
      </c>
      <c r="F83" s="42"/>
      <c r="G83" s="42"/>
      <c r="H83" s="42"/>
      <c r="I83" s="42"/>
      <c r="J83" s="42"/>
      <c r="K83" s="42"/>
      <c r="L83" s="137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 s="2" customFormat="1" ht="6.96" customHeight="1">
      <c r="A84" s="40"/>
      <c r="B84" s="41"/>
      <c r="C84" s="42"/>
      <c r="D84" s="42"/>
      <c r="E84" s="42"/>
      <c r="F84" s="42"/>
      <c r="G84" s="42"/>
      <c r="H84" s="42"/>
      <c r="I84" s="42"/>
      <c r="J84" s="42"/>
      <c r="K84" s="42"/>
      <c r="L84" s="137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 s="2" customFormat="1" ht="12" customHeight="1">
      <c r="A85" s="40"/>
      <c r="B85" s="41"/>
      <c r="C85" s="33" t="s">
        <v>22</v>
      </c>
      <c r="D85" s="42"/>
      <c r="E85" s="42"/>
      <c r="F85" s="28" t="str">
        <f>F12</f>
        <v>Třemošná</v>
      </c>
      <c r="G85" s="42"/>
      <c r="H85" s="42"/>
      <c r="I85" s="33" t="s">
        <v>24</v>
      </c>
      <c r="J85" s="74" t="str">
        <f>IF(J12="","",J12)</f>
        <v>20. 12. 2023</v>
      </c>
      <c r="K85" s="42"/>
      <c r="L85" s="137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 s="2" customFormat="1" ht="6.96" customHeight="1">
      <c r="A86" s="40"/>
      <c r="B86" s="41"/>
      <c r="C86" s="42"/>
      <c r="D86" s="42"/>
      <c r="E86" s="42"/>
      <c r="F86" s="42"/>
      <c r="G86" s="42"/>
      <c r="H86" s="42"/>
      <c r="I86" s="42"/>
      <c r="J86" s="42"/>
      <c r="K86" s="42"/>
      <c r="L86" s="137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 s="2" customFormat="1" ht="15.15" customHeight="1">
      <c r="A87" s="40"/>
      <c r="B87" s="41"/>
      <c r="C87" s="33" t="s">
        <v>30</v>
      </c>
      <c r="D87" s="42"/>
      <c r="E87" s="42"/>
      <c r="F87" s="28" t="str">
        <f>E15</f>
        <v xml:space="preserve"> </v>
      </c>
      <c r="G87" s="42"/>
      <c r="H87" s="42"/>
      <c r="I87" s="33" t="s">
        <v>37</v>
      </c>
      <c r="J87" s="38" t="str">
        <f>E21</f>
        <v xml:space="preserve"> </v>
      </c>
      <c r="K87" s="42"/>
      <c r="L87" s="137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 s="2" customFormat="1" ht="15.15" customHeight="1">
      <c r="A88" s="40"/>
      <c r="B88" s="41"/>
      <c r="C88" s="33" t="s">
        <v>35</v>
      </c>
      <c r="D88" s="42"/>
      <c r="E88" s="42"/>
      <c r="F88" s="28" t="str">
        <f>IF(E18="","",E18)</f>
        <v>Vyplň údaj</v>
      </c>
      <c r="G88" s="42"/>
      <c r="H88" s="42"/>
      <c r="I88" s="33" t="s">
        <v>40</v>
      </c>
      <c r="J88" s="38" t="str">
        <f>E24</f>
        <v xml:space="preserve"> </v>
      </c>
      <c r="K88" s="42"/>
      <c r="L88" s="137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 s="2" customFormat="1" ht="10.32" customHeight="1">
      <c r="A89" s="40"/>
      <c r="B89" s="41"/>
      <c r="C89" s="42"/>
      <c r="D89" s="42"/>
      <c r="E89" s="42"/>
      <c r="F89" s="42"/>
      <c r="G89" s="42"/>
      <c r="H89" s="42"/>
      <c r="I89" s="42"/>
      <c r="J89" s="42"/>
      <c r="K89" s="42"/>
      <c r="L89" s="137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 s="11" customFormat="1" ht="29.28" customHeight="1">
      <c r="A90" s="182"/>
      <c r="B90" s="183"/>
      <c r="C90" s="184" t="s">
        <v>186</v>
      </c>
      <c r="D90" s="185" t="s">
        <v>63</v>
      </c>
      <c r="E90" s="185" t="s">
        <v>59</v>
      </c>
      <c r="F90" s="185" t="s">
        <v>60</v>
      </c>
      <c r="G90" s="185" t="s">
        <v>187</v>
      </c>
      <c r="H90" s="185" t="s">
        <v>188</v>
      </c>
      <c r="I90" s="185" t="s">
        <v>189</v>
      </c>
      <c r="J90" s="185" t="s">
        <v>157</v>
      </c>
      <c r="K90" s="186" t="s">
        <v>190</v>
      </c>
      <c r="L90" s="187"/>
      <c r="M90" s="94" t="s">
        <v>32</v>
      </c>
      <c r="N90" s="95" t="s">
        <v>48</v>
      </c>
      <c r="O90" s="95" t="s">
        <v>191</v>
      </c>
      <c r="P90" s="95" t="s">
        <v>192</v>
      </c>
      <c r="Q90" s="95" t="s">
        <v>193</v>
      </c>
      <c r="R90" s="95" t="s">
        <v>194</v>
      </c>
      <c r="S90" s="95" t="s">
        <v>195</v>
      </c>
      <c r="T90" s="96" t="s">
        <v>196</v>
      </c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</row>
    <row r="91" s="2" customFormat="1" ht="22.8" customHeight="1">
      <c r="A91" s="40"/>
      <c r="B91" s="41"/>
      <c r="C91" s="101" t="s">
        <v>197</v>
      </c>
      <c r="D91" s="42"/>
      <c r="E91" s="42"/>
      <c r="F91" s="42"/>
      <c r="G91" s="42"/>
      <c r="H91" s="42"/>
      <c r="I91" s="42"/>
      <c r="J91" s="188">
        <f>BK91</f>
        <v>0</v>
      </c>
      <c r="K91" s="42"/>
      <c r="L91" s="46"/>
      <c r="M91" s="97"/>
      <c r="N91" s="189"/>
      <c r="O91" s="98"/>
      <c r="P91" s="190">
        <f>P92+P132+P161+P214</f>
        <v>0</v>
      </c>
      <c r="Q91" s="98"/>
      <c r="R91" s="190">
        <f>R92+R132+R161+R214</f>
        <v>20.268989999999999</v>
      </c>
      <c r="S91" s="98"/>
      <c r="T91" s="191">
        <f>T92+T132+T161+T214</f>
        <v>0</v>
      </c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T91" s="18" t="s">
        <v>77</v>
      </c>
      <c r="AU91" s="18" t="s">
        <v>158</v>
      </c>
      <c r="BK91" s="192">
        <f>BK92+BK132+BK161+BK214</f>
        <v>0</v>
      </c>
    </row>
    <row r="92" s="12" customFormat="1" ht="25.92" customHeight="1">
      <c r="A92" s="12"/>
      <c r="B92" s="193"/>
      <c r="C92" s="194"/>
      <c r="D92" s="195" t="s">
        <v>77</v>
      </c>
      <c r="E92" s="196" t="s">
        <v>198</v>
      </c>
      <c r="F92" s="196" t="s">
        <v>199</v>
      </c>
      <c r="G92" s="194"/>
      <c r="H92" s="194"/>
      <c r="I92" s="197"/>
      <c r="J92" s="198">
        <f>BK92</f>
        <v>0</v>
      </c>
      <c r="K92" s="194"/>
      <c r="L92" s="199"/>
      <c r="M92" s="200"/>
      <c r="N92" s="201"/>
      <c r="O92" s="201"/>
      <c r="P92" s="202">
        <f>P93+P123+P126+P129</f>
        <v>0</v>
      </c>
      <c r="Q92" s="201"/>
      <c r="R92" s="202">
        <f>R93+R123+R126+R129</f>
        <v>20.055669999999999</v>
      </c>
      <c r="S92" s="201"/>
      <c r="T92" s="203">
        <f>T93+T123+T126+T129</f>
        <v>0</v>
      </c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R92" s="204" t="s">
        <v>86</v>
      </c>
      <c r="AT92" s="205" t="s">
        <v>77</v>
      </c>
      <c r="AU92" s="205" t="s">
        <v>78</v>
      </c>
      <c r="AY92" s="204" t="s">
        <v>200</v>
      </c>
      <c r="BK92" s="206">
        <f>BK93+BK123+BK126+BK129</f>
        <v>0</v>
      </c>
    </row>
    <row r="93" s="12" customFormat="1" ht="22.8" customHeight="1">
      <c r="A93" s="12"/>
      <c r="B93" s="193"/>
      <c r="C93" s="194"/>
      <c r="D93" s="195" t="s">
        <v>77</v>
      </c>
      <c r="E93" s="207" t="s">
        <v>86</v>
      </c>
      <c r="F93" s="207" t="s">
        <v>201</v>
      </c>
      <c r="G93" s="194"/>
      <c r="H93" s="194"/>
      <c r="I93" s="197"/>
      <c r="J93" s="208">
        <f>BK93</f>
        <v>0</v>
      </c>
      <c r="K93" s="194"/>
      <c r="L93" s="199"/>
      <c r="M93" s="200"/>
      <c r="N93" s="201"/>
      <c r="O93" s="201"/>
      <c r="P93" s="202">
        <f>SUM(P94:P122)</f>
        <v>0</v>
      </c>
      <c r="Q93" s="201"/>
      <c r="R93" s="202">
        <f>SUM(R94:R122)</f>
        <v>16.271429999999999</v>
      </c>
      <c r="S93" s="201"/>
      <c r="T93" s="203">
        <f>SUM(T94:T122)</f>
        <v>0</v>
      </c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R93" s="204" t="s">
        <v>86</v>
      </c>
      <c r="AT93" s="205" t="s">
        <v>77</v>
      </c>
      <c r="AU93" s="205" t="s">
        <v>86</v>
      </c>
      <c r="AY93" s="204" t="s">
        <v>200</v>
      </c>
      <c r="BK93" s="206">
        <f>SUM(BK94:BK122)</f>
        <v>0</v>
      </c>
    </row>
    <row r="94" s="2" customFormat="1" ht="49.05" customHeight="1">
      <c r="A94" s="40"/>
      <c r="B94" s="41"/>
      <c r="C94" s="209" t="s">
        <v>86</v>
      </c>
      <c r="D94" s="209" t="s">
        <v>202</v>
      </c>
      <c r="E94" s="210" t="s">
        <v>3664</v>
      </c>
      <c r="F94" s="211" t="s">
        <v>3665</v>
      </c>
      <c r="G94" s="212" t="s">
        <v>280</v>
      </c>
      <c r="H94" s="213">
        <v>1</v>
      </c>
      <c r="I94" s="214"/>
      <c r="J94" s="215">
        <f>ROUND(I94*H94,1)</f>
        <v>0</v>
      </c>
      <c r="K94" s="211" t="s">
        <v>206</v>
      </c>
      <c r="L94" s="46"/>
      <c r="M94" s="216" t="s">
        <v>32</v>
      </c>
      <c r="N94" s="217" t="s">
        <v>49</v>
      </c>
      <c r="O94" s="86"/>
      <c r="P94" s="218">
        <f>O94*H94</f>
        <v>0</v>
      </c>
      <c r="Q94" s="218">
        <v>0.01068</v>
      </c>
      <c r="R94" s="218">
        <f>Q94*H94</f>
        <v>0.01068</v>
      </c>
      <c r="S94" s="218">
        <v>0</v>
      </c>
      <c r="T94" s="219">
        <f>S94*H94</f>
        <v>0</v>
      </c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R94" s="220" t="s">
        <v>207</v>
      </c>
      <c r="AT94" s="220" t="s">
        <v>202</v>
      </c>
      <c r="AU94" s="220" t="s">
        <v>88</v>
      </c>
      <c r="AY94" s="18" t="s">
        <v>200</v>
      </c>
      <c r="BE94" s="221">
        <f>IF(N94="základní",J94,0)</f>
        <v>0</v>
      </c>
      <c r="BF94" s="221">
        <f>IF(N94="snížená",J94,0)</f>
        <v>0</v>
      </c>
      <c r="BG94" s="221">
        <f>IF(N94="zákl. přenesená",J94,0)</f>
        <v>0</v>
      </c>
      <c r="BH94" s="221">
        <f>IF(N94="sníž. přenesená",J94,0)</f>
        <v>0</v>
      </c>
      <c r="BI94" s="221">
        <f>IF(N94="nulová",J94,0)</f>
        <v>0</v>
      </c>
      <c r="BJ94" s="18" t="s">
        <v>86</v>
      </c>
      <c r="BK94" s="221">
        <f>ROUND(I94*H94,1)</f>
        <v>0</v>
      </c>
      <c r="BL94" s="18" t="s">
        <v>207</v>
      </c>
      <c r="BM94" s="220" t="s">
        <v>3666</v>
      </c>
    </row>
    <row r="95" s="2" customFormat="1">
      <c r="A95" s="40"/>
      <c r="B95" s="41"/>
      <c r="C95" s="42"/>
      <c r="D95" s="222" t="s">
        <v>209</v>
      </c>
      <c r="E95" s="42"/>
      <c r="F95" s="223" t="s">
        <v>3667</v>
      </c>
      <c r="G95" s="42"/>
      <c r="H95" s="42"/>
      <c r="I95" s="224"/>
      <c r="J95" s="42"/>
      <c r="K95" s="42"/>
      <c r="L95" s="46"/>
      <c r="M95" s="225"/>
      <c r="N95" s="226"/>
      <c r="O95" s="86"/>
      <c r="P95" s="86"/>
      <c r="Q95" s="86"/>
      <c r="R95" s="86"/>
      <c r="S95" s="86"/>
      <c r="T95" s="87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T95" s="18" t="s">
        <v>209</v>
      </c>
      <c r="AU95" s="18" t="s">
        <v>88</v>
      </c>
    </row>
    <row r="96" s="2" customFormat="1" ht="49.05" customHeight="1">
      <c r="A96" s="40"/>
      <c r="B96" s="41"/>
      <c r="C96" s="209" t="s">
        <v>88</v>
      </c>
      <c r="D96" s="209" t="s">
        <v>202</v>
      </c>
      <c r="E96" s="210" t="s">
        <v>3668</v>
      </c>
      <c r="F96" s="211" t="s">
        <v>3669</v>
      </c>
      <c r="G96" s="212" t="s">
        <v>280</v>
      </c>
      <c r="H96" s="213">
        <v>5</v>
      </c>
      <c r="I96" s="214"/>
      <c r="J96" s="215">
        <f>ROUND(I96*H96,1)</f>
        <v>0</v>
      </c>
      <c r="K96" s="211" t="s">
        <v>206</v>
      </c>
      <c r="L96" s="46"/>
      <c r="M96" s="216" t="s">
        <v>32</v>
      </c>
      <c r="N96" s="217" t="s">
        <v>49</v>
      </c>
      <c r="O96" s="86"/>
      <c r="P96" s="218">
        <f>O96*H96</f>
        <v>0</v>
      </c>
      <c r="Q96" s="218">
        <v>0.036900000000000002</v>
      </c>
      <c r="R96" s="218">
        <f>Q96*H96</f>
        <v>0.1845</v>
      </c>
      <c r="S96" s="218">
        <v>0</v>
      </c>
      <c r="T96" s="219">
        <f>S96*H96</f>
        <v>0</v>
      </c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R96" s="220" t="s">
        <v>207</v>
      </c>
      <c r="AT96" s="220" t="s">
        <v>202</v>
      </c>
      <c r="AU96" s="220" t="s">
        <v>88</v>
      </c>
      <c r="AY96" s="18" t="s">
        <v>200</v>
      </c>
      <c r="BE96" s="221">
        <f>IF(N96="základní",J96,0)</f>
        <v>0</v>
      </c>
      <c r="BF96" s="221">
        <f>IF(N96="snížená",J96,0)</f>
        <v>0</v>
      </c>
      <c r="BG96" s="221">
        <f>IF(N96="zákl. přenesená",J96,0)</f>
        <v>0</v>
      </c>
      <c r="BH96" s="221">
        <f>IF(N96="sníž. přenesená",J96,0)</f>
        <v>0</v>
      </c>
      <c r="BI96" s="221">
        <f>IF(N96="nulová",J96,0)</f>
        <v>0</v>
      </c>
      <c r="BJ96" s="18" t="s">
        <v>86</v>
      </c>
      <c r="BK96" s="221">
        <f>ROUND(I96*H96,1)</f>
        <v>0</v>
      </c>
      <c r="BL96" s="18" t="s">
        <v>207</v>
      </c>
      <c r="BM96" s="220" t="s">
        <v>3670</v>
      </c>
    </row>
    <row r="97" s="2" customFormat="1">
      <c r="A97" s="40"/>
      <c r="B97" s="41"/>
      <c r="C97" s="42"/>
      <c r="D97" s="222" t="s">
        <v>209</v>
      </c>
      <c r="E97" s="42"/>
      <c r="F97" s="223" t="s">
        <v>3671</v>
      </c>
      <c r="G97" s="42"/>
      <c r="H97" s="42"/>
      <c r="I97" s="224"/>
      <c r="J97" s="42"/>
      <c r="K97" s="42"/>
      <c r="L97" s="46"/>
      <c r="M97" s="225"/>
      <c r="N97" s="226"/>
      <c r="O97" s="86"/>
      <c r="P97" s="86"/>
      <c r="Q97" s="86"/>
      <c r="R97" s="86"/>
      <c r="S97" s="86"/>
      <c r="T97" s="87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T97" s="18" t="s">
        <v>209</v>
      </c>
      <c r="AU97" s="18" t="s">
        <v>88</v>
      </c>
    </row>
    <row r="98" s="2" customFormat="1" ht="24.15" customHeight="1">
      <c r="A98" s="40"/>
      <c r="B98" s="41"/>
      <c r="C98" s="209" t="s">
        <v>148</v>
      </c>
      <c r="D98" s="209" t="s">
        <v>202</v>
      </c>
      <c r="E98" s="210" t="s">
        <v>3672</v>
      </c>
      <c r="F98" s="211" t="s">
        <v>3673</v>
      </c>
      <c r="G98" s="212" t="s">
        <v>449</v>
      </c>
      <c r="H98" s="213">
        <v>1</v>
      </c>
      <c r="I98" s="214"/>
      <c r="J98" s="215">
        <f>ROUND(I98*H98,1)</f>
        <v>0</v>
      </c>
      <c r="K98" s="211" t="s">
        <v>206</v>
      </c>
      <c r="L98" s="46"/>
      <c r="M98" s="216" t="s">
        <v>32</v>
      </c>
      <c r="N98" s="217" t="s">
        <v>49</v>
      </c>
      <c r="O98" s="86"/>
      <c r="P98" s="218">
        <f>O98*H98</f>
        <v>0</v>
      </c>
      <c r="Q98" s="218">
        <v>0.00064999999999999997</v>
      </c>
      <c r="R98" s="218">
        <f>Q98*H98</f>
        <v>0.00064999999999999997</v>
      </c>
      <c r="S98" s="218">
        <v>0</v>
      </c>
      <c r="T98" s="219">
        <f>S98*H98</f>
        <v>0</v>
      </c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R98" s="220" t="s">
        <v>207</v>
      </c>
      <c r="AT98" s="220" t="s">
        <v>202</v>
      </c>
      <c r="AU98" s="220" t="s">
        <v>88</v>
      </c>
      <c r="AY98" s="18" t="s">
        <v>200</v>
      </c>
      <c r="BE98" s="221">
        <f>IF(N98="základní",J98,0)</f>
        <v>0</v>
      </c>
      <c r="BF98" s="221">
        <f>IF(N98="snížená",J98,0)</f>
        <v>0</v>
      </c>
      <c r="BG98" s="221">
        <f>IF(N98="zákl. přenesená",J98,0)</f>
        <v>0</v>
      </c>
      <c r="BH98" s="221">
        <f>IF(N98="sníž. přenesená",J98,0)</f>
        <v>0</v>
      </c>
      <c r="BI98" s="221">
        <f>IF(N98="nulová",J98,0)</f>
        <v>0</v>
      </c>
      <c r="BJ98" s="18" t="s">
        <v>86</v>
      </c>
      <c r="BK98" s="221">
        <f>ROUND(I98*H98,1)</f>
        <v>0</v>
      </c>
      <c r="BL98" s="18" t="s">
        <v>207</v>
      </c>
      <c r="BM98" s="220" t="s">
        <v>3674</v>
      </c>
    </row>
    <row r="99" s="2" customFormat="1">
      <c r="A99" s="40"/>
      <c r="B99" s="41"/>
      <c r="C99" s="42"/>
      <c r="D99" s="222" t="s">
        <v>209</v>
      </c>
      <c r="E99" s="42"/>
      <c r="F99" s="223" t="s">
        <v>3675</v>
      </c>
      <c r="G99" s="42"/>
      <c r="H99" s="42"/>
      <c r="I99" s="224"/>
      <c r="J99" s="42"/>
      <c r="K99" s="42"/>
      <c r="L99" s="46"/>
      <c r="M99" s="225"/>
      <c r="N99" s="226"/>
      <c r="O99" s="86"/>
      <c r="P99" s="86"/>
      <c r="Q99" s="86"/>
      <c r="R99" s="86"/>
      <c r="S99" s="86"/>
      <c r="T99" s="87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8" t="s">
        <v>209</v>
      </c>
      <c r="AU99" s="18" t="s">
        <v>88</v>
      </c>
    </row>
    <row r="100" s="2" customFormat="1" ht="24.15" customHeight="1">
      <c r="A100" s="40"/>
      <c r="B100" s="41"/>
      <c r="C100" s="209" t="s">
        <v>207</v>
      </c>
      <c r="D100" s="209" t="s">
        <v>202</v>
      </c>
      <c r="E100" s="210" t="s">
        <v>3676</v>
      </c>
      <c r="F100" s="211" t="s">
        <v>3677</v>
      </c>
      <c r="G100" s="212" t="s">
        <v>449</v>
      </c>
      <c r="H100" s="213">
        <v>1</v>
      </c>
      <c r="I100" s="214"/>
      <c r="J100" s="215">
        <f>ROUND(I100*H100,1)</f>
        <v>0</v>
      </c>
      <c r="K100" s="211" t="s">
        <v>206</v>
      </c>
      <c r="L100" s="46"/>
      <c r="M100" s="216" t="s">
        <v>32</v>
      </c>
      <c r="N100" s="217" t="s">
        <v>49</v>
      </c>
      <c r="O100" s="86"/>
      <c r="P100" s="218">
        <f>O100*H100</f>
        <v>0</v>
      </c>
      <c r="Q100" s="218">
        <v>0</v>
      </c>
      <c r="R100" s="218">
        <f>Q100*H100</f>
        <v>0</v>
      </c>
      <c r="S100" s="218">
        <v>0</v>
      </c>
      <c r="T100" s="219">
        <f>S100*H100</f>
        <v>0</v>
      </c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0" t="s">
        <v>207</v>
      </c>
      <c r="AT100" s="220" t="s">
        <v>202</v>
      </c>
      <c r="AU100" s="220" t="s">
        <v>88</v>
      </c>
      <c r="AY100" s="18" t="s">
        <v>200</v>
      </c>
      <c r="BE100" s="221">
        <f>IF(N100="základní",J100,0)</f>
        <v>0</v>
      </c>
      <c r="BF100" s="221">
        <f>IF(N100="snížená",J100,0)</f>
        <v>0</v>
      </c>
      <c r="BG100" s="221">
        <f>IF(N100="zákl. přenesená",J100,0)</f>
        <v>0</v>
      </c>
      <c r="BH100" s="221">
        <f>IF(N100="sníž. přenesená",J100,0)</f>
        <v>0</v>
      </c>
      <c r="BI100" s="221">
        <f>IF(N100="nulová",J100,0)</f>
        <v>0</v>
      </c>
      <c r="BJ100" s="18" t="s">
        <v>86</v>
      </c>
      <c r="BK100" s="221">
        <f>ROUND(I100*H100,1)</f>
        <v>0</v>
      </c>
      <c r="BL100" s="18" t="s">
        <v>207</v>
      </c>
      <c r="BM100" s="220" t="s">
        <v>3678</v>
      </c>
    </row>
    <row r="101" s="2" customFormat="1">
      <c r="A101" s="40"/>
      <c r="B101" s="41"/>
      <c r="C101" s="42"/>
      <c r="D101" s="222" t="s">
        <v>209</v>
      </c>
      <c r="E101" s="42"/>
      <c r="F101" s="223" t="s">
        <v>3679</v>
      </c>
      <c r="G101" s="42"/>
      <c r="H101" s="42"/>
      <c r="I101" s="224"/>
      <c r="J101" s="42"/>
      <c r="K101" s="42"/>
      <c r="L101" s="46"/>
      <c r="M101" s="225"/>
      <c r="N101" s="226"/>
      <c r="O101" s="86"/>
      <c r="P101" s="86"/>
      <c r="Q101" s="86"/>
      <c r="R101" s="86"/>
      <c r="S101" s="86"/>
      <c r="T101" s="87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8" t="s">
        <v>209</v>
      </c>
      <c r="AU101" s="18" t="s">
        <v>88</v>
      </c>
    </row>
    <row r="102" s="2" customFormat="1" ht="16.5" customHeight="1">
      <c r="A102" s="40"/>
      <c r="B102" s="41"/>
      <c r="C102" s="209" t="s">
        <v>234</v>
      </c>
      <c r="D102" s="209" t="s">
        <v>202</v>
      </c>
      <c r="E102" s="210" t="s">
        <v>3680</v>
      </c>
      <c r="F102" s="211" t="s">
        <v>3681</v>
      </c>
      <c r="G102" s="212" t="s">
        <v>280</v>
      </c>
      <c r="H102" s="213">
        <v>60</v>
      </c>
      <c r="I102" s="214"/>
      <c r="J102" s="215">
        <f>ROUND(I102*H102,1)</f>
        <v>0</v>
      </c>
      <c r="K102" s="211" t="s">
        <v>206</v>
      </c>
      <c r="L102" s="46"/>
      <c r="M102" s="216" t="s">
        <v>32</v>
      </c>
      <c r="N102" s="217" t="s">
        <v>49</v>
      </c>
      <c r="O102" s="86"/>
      <c r="P102" s="218">
        <f>O102*H102</f>
        <v>0</v>
      </c>
      <c r="Q102" s="218">
        <v>0.00055999999999999995</v>
      </c>
      <c r="R102" s="218">
        <f>Q102*H102</f>
        <v>0.033599999999999998</v>
      </c>
      <c r="S102" s="218">
        <v>0</v>
      </c>
      <c r="T102" s="219">
        <f>S102*H102</f>
        <v>0</v>
      </c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R102" s="220" t="s">
        <v>207</v>
      </c>
      <c r="AT102" s="220" t="s">
        <v>202</v>
      </c>
      <c r="AU102" s="220" t="s">
        <v>88</v>
      </c>
      <c r="AY102" s="18" t="s">
        <v>200</v>
      </c>
      <c r="BE102" s="221">
        <f>IF(N102="základní",J102,0)</f>
        <v>0</v>
      </c>
      <c r="BF102" s="221">
        <f>IF(N102="snížená",J102,0)</f>
        <v>0</v>
      </c>
      <c r="BG102" s="221">
        <f>IF(N102="zákl. přenesená",J102,0)</f>
        <v>0</v>
      </c>
      <c r="BH102" s="221">
        <f>IF(N102="sníž. přenesená",J102,0)</f>
        <v>0</v>
      </c>
      <c r="BI102" s="221">
        <f>IF(N102="nulová",J102,0)</f>
        <v>0</v>
      </c>
      <c r="BJ102" s="18" t="s">
        <v>86</v>
      </c>
      <c r="BK102" s="221">
        <f>ROUND(I102*H102,1)</f>
        <v>0</v>
      </c>
      <c r="BL102" s="18" t="s">
        <v>207</v>
      </c>
      <c r="BM102" s="220" t="s">
        <v>3682</v>
      </c>
    </row>
    <row r="103" s="2" customFormat="1">
      <c r="A103" s="40"/>
      <c r="B103" s="41"/>
      <c r="C103" s="42"/>
      <c r="D103" s="222" t="s">
        <v>209</v>
      </c>
      <c r="E103" s="42"/>
      <c r="F103" s="223" t="s">
        <v>3683</v>
      </c>
      <c r="G103" s="42"/>
      <c r="H103" s="42"/>
      <c r="I103" s="224"/>
      <c r="J103" s="42"/>
      <c r="K103" s="42"/>
      <c r="L103" s="46"/>
      <c r="M103" s="225"/>
      <c r="N103" s="226"/>
      <c r="O103" s="86"/>
      <c r="P103" s="86"/>
      <c r="Q103" s="86"/>
      <c r="R103" s="86"/>
      <c r="S103" s="86"/>
      <c r="T103" s="87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T103" s="18" t="s">
        <v>209</v>
      </c>
      <c r="AU103" s="18" t="s">
        <v>88</v>
      </c>
    </row>
    <row r="104" s="2" customFormat="1" ht="16.5" customHeight="1">
      <c r="A104" s="40"/>
      <c r="B104" s="41"/>
      <c r="C104" s="209" t="s">
        <v>241</v>
      </c>
      <c r="D104" s="209" t="s">
        <v>202</v>
      </c>
      <c r="E104" s="210" t="s">
        <v>3684</v>
      </c>
      <c r="F104" s="211" t="s">
        <v>3685</v>
      </c>
      <c r="G104" s="212" t="s">
        <v>280</v>
      </c>
      <c r="H104" s="213">
        <v>60</v>
      </c>
      <c r="I104" s="214"/>
      <c r="J104" s="215">
        <f>ROUND(I104*H104,1)</f>
        <v>0</v>
      </c>
      <c r="K104" s="211" t="s">
        <v>206</v>
      </c>
      <c r="L104" s="46"/>
      <c r="M104" s="216" t="s">
        <v>32</v>
      </c>
      <c r="N104" s="217" t="s">
        <v>49</v>
      </c>
      <c r="O104" s="86"/>
      <c r="P104" s="218">
        <f>O104*H104</f>
        <v>0</v>
      </c>
      <c r="Q104" s="218">
        <v>0</v>
      </c>
      <c r="R104" s="218">
        <f>Q104*H104</f>
        <v>0</v>
      </c>
      <c r="S104" s="218">
        <v>0</v>
      </c>
      <c r="T104" s="219">
        <f>S104*H104</f>
        <v>0</v>
      </c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R104" s="220" t="s">
        <v>207</v>
      </c>
      <c r="AT104" s="220" t="s">
        <v>202</v>
      </c>
      <c r="AU104" s="220" t="s">
        <v>88</v>
      </c>
      <c r="AY104" s="18" t="s">
        <v>200</v>
      </c>
      <c r="BE104" s="221">
        <f>IF(N104="základní",J104,0)</f>
        <v>0</v>
      </c>
      <c r="BF104" s="221">
        <f>IF(N104="snížená",J104,0)</f>
        <v>0</v>
      </c>
      <c r="BG104" s="221">
        <f>IF(N104="zákl. přenesená",J104,0)</f>
        <v>0</v>
      </c>
      <c r="BH104" s="221">
        <f>IF(N104="sníž. přenesená",J104,0)</f>
        <v>0</v>
      </c>
      <c r="BI104" s="221">
        <f>IF(N104="nulová",J104,0)</f>
        <v>0</v>
      </c>
      <c r="BJ104" s="18" t="s">
        <v>86</v>
      </c>
      <c r="BK104" s="221">
        <f>ROUND(I104*H104,1)</f>
        <v>0</v>
      </c>
      <c r="BL104" s="18" t="s">
        <v>207</v>
      </c>
      <c r="BM104" s="220" t="s">
        <v>3686</v>
      </c>
    </row>
    <row r="105" s="2" customFormat="1">
      <c r="A105" s="40"/>
      <c r="B105" s="41"/>
      <c r="C105" s="42"/>
      <c r="D105" s="222" t="s">
        <v>209</v>
      </c>
      <c r="E105" s="42"/>
      <c r="F105" s="223" t="s">
        <v>3687</v>
      </c>
      <c r="G105" s="42"/>
      <c r="H105" s="42"/>
      <c r="I105" s="224"/>
      <c r="J105" s="42"/>
      <c r="K105" s="42"/>
      <c r="L105" s="46"/>
      <c r="M105" s="225"/>
      <c r="N105" s="226"/>
      <c r="O105" s="86"/>
      <c r="P105" s="86"/>
      <c r="Q105" s="86"/>
      <c r="R105" s="86"/>
      <c r="S105" s="86"/>
      <c r="T105" s="87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T105" s="18" t="s">
        <v>209</v>
      </c>
      <c r="AU105" s="18" t="s">
        <v>88</v>
      </c>
    </row>
    <row r="106" s="2" customFormat="1" ht="24.15" customHeight="1">
      <c r="A106" s="40"/>
      <c r="B106" s="41"/>
      <c r="C106" s="209" t="s">
        <v>247</v>
      </c>
      <c r="D106" s="209" t="s">
        <v>202</v>
      </c>
      <c r="E106" s="210" t="s">
        <v>3688</v>
      </c>
      <c r="F106" s="211" t="s">
        <v>3689</v>
      </c>
      <c r="G106" s="212" t="s">
        <v>205</v>
      </c>
      <c r="H106" s="213">
        <v>30</v>
      </c>
      <c r="I106" s="214"/>
      <c r="J106" s="215">
        <f>ROUND(I106*H106,1)</f>
        <v>0</v>
      </c>
      <c r="K106" s="211" t="s">
        <v>206</v>
      </c>
      <c r="L106" s="46"/>
      <c r="M106" s="216" t="s">
        <v>32</v>
      </c>
      <c r="N106" s="217" t="s">
        <v>49</v>
      </c>
      <c r="O106" s="86"/>
      <c r="P106" s="218">
        <f>O106*H106</f>
        <v>0</v>
      </c>
      <c r="Q106" s="218">
        <v>0</v>
      </c>
      <c r="R106" s="218">
        <f>Q106*H106</f>
        <v>0</v>
      </c>
      <c r="S106" s="218">
        <v>0</v>
      </c>
      <c r="T106" s="219">
        <f>S106*H106</f>
        <v>0</v>
      </c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0" t="s">
        <v>207</v>
      </c>
      <c r="AT106" s="220" t="s">
        <v>202</v>
      </c>
      <c r="AU106" s="220" t="s">
        <v>88</v>
      </c>
      <c r="AY106" s="18" t="s">
        <v>200</v>
      </c>
      <c r="BE106" s="221">
        <f>IF(N106="základní",J106,0)</f>
        <v>0</v>
      </c>
      <c r="BF106" s="221">
        <f>IF(N106="snížená",J106,0)</f>
        <v>0</v>
      </c>
      <c r="BG106" s="221">
        <f>IF(N106="zákl. přenesená",J106,0)</f>
        <v>0</v>
      </c>
      <c r="BH106" s="221">
        <f>IF(N106="sníž. přenesená",J106,0)</f>
        <v>0</v>
      </c>
      <c r="BI106" s="221">
        <f>IF(N106="nulová",J106,0)</f>
        <v>0</v>
      </c>
      <c r="BJ106" s="18" t="s">
        <v>86</v>
      </c>
      <c r="BK106" s="221">
        <f>ROUND(I106*H106,1)</f>
        <v>0</v>
      </c>
      <c r="BL106" s="18" t="s">
        <v>207</v>
      </c>
      <c r="BM106" s="220" t="s">
        <v>3690</v>
      </c>
    </row>
    <row r="107" s="2" customFormat="1">
      <c r="A107" s="40"/>
      <c r="B107" s="41"/>
      <c r="C107" s="42"/>
      <c r="D107" s="222" t="s">
        <v>209</v>
      </c>
      <c r="E107" s="42"/>
      <c r="F107" s="223" t="s">
        <v>3691</v>
      </c>
      <c r="G107" s="42"/>
      <c r="H107" s="42"/>
      <c r="I107" s="224"/>
      <c r="J107" s="42"/>
      <c r="K107" s="42"/>
      <c r="L107" s="46"/>
      <c r="M107" s="225"/>
      <c r="N107" s="226"/>
      <c r="O107" s="86"/>
      <c r="P107" s="86"/>
      <c r="Q107" s="86"/>
      <c r="R107" s="86"/>
      <c r="S107" s="86"/>
      <c r="T107" s="87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T107" s="18" t="s">
        <v>209</v>
      </c>
      <c r="AU107" s="18" t="s">
        <v>88</v>
      </c>
    </row>
    <row r="108" s="2" customFormat="1" ht="21.75" customHeight="1">
      <c r="A108" s="40"/>
      <c r="B108" s="41"/>
      <c r="C108" s="209" t="s">
        <v>254</v>
      </c>
      <c r="D108" s="209" t="s">
        <v>202</v>
      </c>
      <c r="E108" s="210" t="s">
        <v>3692</v>
      </c>
      <c r="F108" s="211" t="s">
        <v>3693</v>
      </c>
      <c r="G108" s="212" t="s">
        <v>272</v>
      </c>
      <c r="H108" s="213">
        <v>50</v>
      </c>
      <c r="I108" s="214"/>
      <c r="J108" s="215">
        <f>ROUND(I108*H108,1)</f>
        <v>0</v>
      </c>
      <c r="K108" s="211" t="s">
        <v>206</v>
      </c>
      <c r="L108" s="46"/>
      <c r="M108" s="216" t="s">
        <v>32</v>
      </c>
      <c r="N108" s="217" t="s">
        <v>49</v>
      </c>
      <c r="O108" s="86"/>
      <c r="P108" s="218">
        <f>O108*H108</f>
        <v>0</v>
      </c>
      <c r="Q108" s="218">
        <v>0.00084000000000000003</v>
      </c>
      <c r="R108" s="218">
        <f>Q108*H108</f>
        <v>0.042000000000000003</v>
      </c>
      <c r="S108" s="218">
        <v>0</v>
      </c>
      <c r="T108" s="219">
        <f>S108*H108</f>
        <v>0</v>
      </c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0" t="s">
        <v>207</v>
      </c>
      <c r="AT108" s="220" t="s">
        <v>202</v>
      </c>
      <c r="AU108" s="220" t="s">
        <v>88</v>
      </c>
      <c r="AY108" s="18" t="s">
        <v>200</v>
      </c>
      <c r="BE108" s="221">
        <f>IF(N108="základní",J108,0)</f>
        <v>0</v>
      </c>
      <c r="BF108" s="221">
        <f>IF(N108="snížená",J108,0)</f>
        <v>0</v>
      </c>
      <c r="BG108" s="221">
        <f>IF(N108="zákl. přenesená",J108,0)</f>
        <v>0</v>
      </c>
      <c r="BH108" s="221">
        <f>IF(N108="sníž. přenesená",J108,0)</f>
        <v>0</v>
      </c>
      <c r="BI108" s="221">
        <f>IF(N108="nulová",J108,0)</f>
        <v>0</v>
      </c>
      <c r="BJ108" s="18" t="s">
        <v>86</v>
      </c>
      <c r="BK108" s="221">
        <f>ROUND(I108*H108,1)</f>
        <v>0</v>
      </c>
      <c r="BL108" s="18" t="s">
        <v>207</v>
      </c>
      <c r="BM108" s="220" t="s">
        <v>3694</v>
      </c>
    </row>
    <row r="109" s="2" customFormat="1">
      <c r="A109" s="40"/>
      <c r="B109" s="41"/>
      <c r="C109" s="42"/>
      <c r="D109" s="222" t="s">
        <v>209</v>
      </c>
      <c r="E109" s="42"/>
      <c r="F109" s="223" t="s">
        <v>3695</v>
      </c>
      <c r="G109" s="42"/>
      <c r="H109" s="42"/>
      <c r="I109" s="224"/>
      <c r="J109" s="42"/>
      <c r="K109" s="42"/>
      <c r="L109" s="46"/>
      <c r="M109" s="225"/>
      <c r="N109" s="226"/>
      <c r="O109" s="86"/>
      <c r="P109" s="86"/>
      <c r="Q109" s="86"/>
      <c r="R109" s="86"/>
      <c r="S109" s="86"/>
      <c r="T109" s="87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T109" s="18" t="s">
        <v>209</v>
      </c>
      <c r="AU109" s="18" t="s">
        <v>88</v>
      </c>
    </row>
    <row r="110" s="2" customFormat="1" ht="24.15" customHeight="1">
      <c r="A110" s="40"/>
      <c r="B110" s="41"/>
      <c r="C110" s="209" t="s">
        <v>261</v>
      </c>
      <c r="D110" s="209" t="s">
        <v>202</v>
      </c>
      <c r="E110" s="210" t="s">
        <v>3696</v>
      </c>
      <c r="F110" s="211" t="s">
        <v>3697</v>
      </c>
      <c r="G110" s="212" t="s">
        <v>272</v>
      </c>
      <c r="H110" s="213">
        <v>50</v>
      </c>
      <c r="I110" s="214"/>
      <c r="J110" s="215">
        <f>ROUND(I110*H110,1)</f>
        <v>0</v>
      </c>
      <c r="K110" s="211" t="s">
        <v>206</v>
      </c>
      <c r="L110" s="46"/>
      <c r="M110" s="216" t="s">
        <v>32</v>
      </c>
      <c r="N110" s="217" t="s">
        <v>49</v>
      </c>
      <c r="O110" s="86"/>
      <c r="P110" s="218">
        <f>O110*H110</f>
        <v>0</v>
      </c>
      <c r="Q110" s="218">
        <v>0</v>
      </c>
      <c r="R110" s="218">
        <f>Q110*H110</f>
        <v>0</v>
      </c>
      <c r="S110" s="218">
        <v>0</v>
      </c>
      <c r="T110" s="219">
        <f>S110*H110</f>
        <v>0</v>
      </c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R110" s="220" t="s">
        <v>207</v>
      </c>
      <c r="AT110" s="220" t="s">
        <v>202</v>
      </c>
      <c r="AU110" s="220" t="s">
        <v>88</v>
      </c>
      <c r="AY110" s="18" t="s">
        <v>200</v>
      </c>
      <c r="BE110" s="221">
        <f>IF(N110="základní",J110,0)</f>
        <v>0</v>
      </c>
      <c r="BF110" s="221">
        <f>IF(N110="snížená",J110,0)</f>
        <v>0</v>
      </c>
      <c r="BG110" s="221">
        <f>IF(N110="zákl. přenesená",J110,0)</f>
        <v>0</v>
      </c>
      <c r="BH110" s="221">
        <f>IF(N110="sníž. přenesená",J110,0)</f>
        <v>0</v>
      </c>
      <c r="BI110" s="221">
        <f>IF(N110="nulová",J110,0)</f>
        <v>0</v>
      </c>
      <c r="BJ110" s="18" t="s">
        <v>86</v>
      </c>
      <c r="BK110" s="221">
        <f>ROUND(I110*H110,1)</f>
        <v>0</v>
      </c>
      <c r="BL110" s="18" t="s">
        <v>207</v>
      </c>
      <c r="BM110" s="220" t="s">
        <v>3698</v>
      </c>
    </row>
    <row r="111" s="2" customFormat="1">
      <c r="A111" s="40"/>
      <c r="B111" s="41"/>
      <c r="C111" s="42"/>
      <c r="D111" s="222" t="s">
        <v>209</v>
      </c>
      <c r="E111" s="42"/>
      <c r="F111" s="223" t="s">
        <v>3699</v>
      </c>
      <c r="G111" s="42"/>
      <c r="H111" s="42"/>
      <c r="I111" s="224"/>
      <c r="J111" s="42"/>
      <c r="K111" s="42"/>
      <c r="L111" s="46"/>
      <c r="M111" s="225"/>
      <c r="N111" s="226"/>
      <c r="O111" s="86"/>
      <c r="P111" s="86"/>
      <c r="Q111" s="86"/>
      <c r="R111" s="86"/>
      <c r="S111" s="86"/>
      <c r="T111" s="87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8" t="s">
        <v>209</v>
      </c>
      <c r="AU111" s="18" t="s">
        <v>88</v>
      </c>
    </row>
    <row r="112" s="2" customFormat="1" ht="24.15" customHeight="1">
      <c r="A112" s="40"/>
      <c r="B112" s="41"/>
      <c r="C112" s="209" t="s">
        <v>269</v>
      </c>
      <c r="D112" s="209" t="s">
        <v>202</v>
      </c>
      <c r="E112" s="210" t="s">
        <v>3700</v>
      </c>
      <c r="F112" s="211" t="s">
        <v>3701</v>
      </c>
      <c r="G112" s="212" t="s">
        <v>205</v>
      </c>
      <c r="H112" s="213">
        <v>10</v>
      </c>
      <c r="I112" s="214"/>
      <c r="J112" s="215">
        <f>ROUND(I112*H112,1)</f>
        <v>0</v>
      </c>
      <c r="K112" s="211" t="s">
        <v>206</v>
      </c>
      <c r="L112" s="46"/>
      <c r="M112" s="216" t="s">
        <v>32</v>
      </c>
      <c r="N112" s="217" t="s">
        <v>49</v>
      </c>
      <c r="O112" s="86"/>
      <c r="P112" s="218">
        <f>O112*H112</f>
        <v>0</v>
      </c>
      <c r="Q112" s="218">
        <v>0</v>
      </c>
      <c r="R112" s="218">
        <f>Q112*H112</f>
        <v>0</v>
      </c>
      <c r="S112" s="218">
        <v>0</v>
      </c>
      <c r="T112" s="219">
        <f>S112*H112</f>
        <v>0</v>
      </c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R112" s="220" t="s">
        <v>207</v>
      </c>
      <c r="AT112" s="220" t="s">
        <v>202</v>
      </c>
      <c r="AU112" s="220" t="s">
        <v>88</v>
      </c>
      <c r="AY112" s="18" t="s">
        <v>200</v>
      </c>
      <c r="BE112" s="221">
        <f>IF(N112="základní",J112,0)</f>
        <v>0</v>
      </c>
      <c r="BF112" s="221">
        <f>IF(N112="snížená",J112,0)</f>
        <v>0</v>
      </c>
      <c r="BG112" s="221">
        <f>IF(N112="zákl. přenesená",J112,0)</f>
        <v>0</v>
      </c>
      <c r="BH112" s="221">
        <f>IF(N112="sníž. přenesená",J112,0)</f>
        <v>0</v>
      </c>
      <c r="BI112" s="221">
        <f>IF(N112="nulová",J112,0)</f>
        <v>0</v>
      </c>
      <c r="BJ112" s="18" t="s">
        <v>86</v>
      </c>
      <c r="BK112" s="221">
        <f>ROUND(I112*H112,1)</f>
        <v>0</v>
      </c>
      <c r="BL112" s="18" t="s">
        <v>207</v>
      </c>
      <c r="BM112" s="220" t="s">
        <v>3702</v>
      </c>
    </row>
    <row r="113" s="2" customFormat="1">
      <c r="A113" s="40"/>
      <c r="B113" s="41"/>
      <c r="C113" s="42"/>
      <c r="D113" s="222" t="s">
        <v>209</v>
      </c>
      <c r="E113" s="42"/>
      <c r="F113" s="223" t="s">
        <v>3703</v>
      </c>
      <c r="G113" s="42"/>
      <c r="H113" s="42"/>
      <c r="I113" s="224"/>
      <c r="J113" s="42"/>
      <c r="K113" s="42"/>
      <c r="L113" s="46"/>
      <c r="M113" s="225"/>
      <c r="N113" s="226"/>
      <c r="O113" s="86"/>
      <c r="P113" s="86"/>
      <c r="Q113" s="86"/>
      <c r="R113" s="86"/>
      <c r="S113" s="86"/>
      <c r="T113" s="87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T113" s="18" t="s">
        <v>209</v>
      </c>
      <c r="AU113" s="18" t="s">
        <v>88</v>
      </c>
    </row>
    <row r="114" s="2" customFormat="1" ht="24.15" customHeight="1">
      <c r="A114" s="40"/>
      <c r="B114" s="41"/>
      <c r="C114" s="209" t="s">
        <v>277</v>
      </c>
      <c r="D114" s="209" t="s">
        <v>202</v>
      </c>
      <c r="E114" s="210" t="s">
        <v>3704</v>
      </c>
      <c r="F114" s="211" t="s">
        <v>3705</v>
      </c>
      <c r="G114" s="212" t="s">
        <v>205</v>
      </c>
      <c r="H114" s="213">
        <v>10</v>
      </c>
      <c r="I114" s="214"/>
      <c r="J114" s="215">
        <f>ROUND(I114*H114,1)</f>
        <v>0</v>
      </c>
      <c r="K114" s="211" t="s">
        <v>206</v>
      </c>
      <c r="L114" s="46"/>
      <c r="M114" s="216" t="s">
        <v>32</v>
      </c>
      <c r="N114" s="217" t="s">
        <v>49</v>
      </c>
      <c r="O114" s="86"/>
      <c r="P114" s="218">
        <f>O114*H114</f>
        <v>0</v>
      </c>
      <c r="Q114" s="218">
        <v>0</v>
      </c>
      <c r="R114" s="218">
        <f>Q114*H114</f>
        <v>0</v>
      </c>
      <c r="S114" s="218">
        <v>0</v>
      </c>
      <c r="T114" s="219">
        <f>S114*H114</f>
        <v>0</v>
      </c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R114" s="220" t="s">
        <v>207</v>
      </c>
      <c r="AT114" s="220" t="s">
        <v>202</v>
      </c>
      <c r="AU114" s="220" t="s">
        <v>88</v>
      </c>
      <c r="AY114" s="18" t="s">
        <v>200</v>
      </c>
      <c r="BE114" s="221">
        <f>IF(N114="základní",J114,0)</f>
        <v>0</v>
      </c>
      <c r="BF114" s="221">
        <f>IF(N114="snížená",J114,0)</f>
        <v>0</v>
      </c>
      <c r="BG114" s="221">
        <f>IF(N114="zákl. přenesená",J114,0)</f>
        <v>0</v>
      </c>
      <c r="BH114" s="221">
        <f>IF(N114="sníž. přenesená",J114,0)</f>
        <v>0</v>
      </c>
      <c r="BI114" s="221">
        <f>IF(N114="nulová",J114,0)</f>
        <v>0</v>
      </c>
      <c r="BJ114" s="18" t="s">
        <v>86</v>
      </c>
      <c r="BK114" s="221">
        <f>ROUND(I114*H114,1)</f>
        <v>0</v>
      </c>
      <c r="BL114" s="18" t="s">
        <v>207</v>
      </c>
      <c r="BM114" s="220" t="s">
        <v>3706</v>
      </c>
    </row>
    <row r="115" s="2" customFormat="1">
      <c r="A115" s="40"/>
      <c r="B115" s="41"/>
      <c r="C115" s="42"/>
      <c r="D115" s="222" t="s">
        <v>209</v>
      </c>
      <c r="E115" s="42"/>
      <c r="F115" s="223" t="s">
        <v>3707</v>
      </c>
      <c r="G115" s="42"/>
      <c r="H115" s="42"/>
      <c r="I115" s="224"/>
      <c r="J115" s="42"/>
      <c r="K115" s="42"/>
      <c r="L115" s="46"/>
      <c r="M115" s="225"/>
      <c r="N115" s="226"/>
      <c r="O115" s="86"/>
      <c r="P115" s="86"/>
      <c r="Q115" s="86"/>
      <c r="R115" s="86"/>
      <c r="S115" s="86"/>
      <c r="T115" s="87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T115" s="18" t="s">
        <v>209</v>
      </c>
      <c r="AU115" s="18" t="s">
        <v>88</v>
      </c>
    </row>
    <row r="116" s="2" customFormat="1" ht="24.15" customHeight="1">
      <c r="A116" s="40"/>
      <c r="B116" s="41"/>
      <c r="C116" s="209" t="s">
        <v>285</v>
      </c>
      <c r="D116" s="209" t="s">
        <v>202</v>
      </c>
      <c r="E116" s="210" t="s">
        <v>3708</v>
      </c>
      <c r="F116" s="211" t="s">
        <v>3709</v>
      </c>
      <c r="G116" s="212" t="s">
        <v>250</v>
      </c>
      <c r="H116" s="213">
        <v>10</v>
      </c>
      <c r="I116" s="214"/>
      <c r="J116" s="215">
        <f>ROUND(I116*H116,1)</f>
        <v>0</v>
      </c>
      <c r="K116" s="211" t="s">
        <v>206</v>
      </c>
      <c r="L116" s="46"/>
      <c r="M116" s="216" t="s">
        <v>32</v>
      </c>
      <c r="N116" s="217" t="s">
        <v>49</v>
      </c>
      <c r="O116" s="86"/>
      <c r="P116" s="218">
        <f>O116*H116</f>
        <v>0</v>
      </c>
      <c r="Q116" s="218">
        <v>0</v>
      </c>
      <c r="R116" s="218">
        <f>Q116*H116</f>
        <v>0</v>
      </c>
      <c r="S116" s="218">
        <v>0</v>
      </c>
      <c r="T116" s="219">
        <f>S116*H116</f>
        <v>0</v>
      </c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R116" s="220" t="s">
        <v>207</v>
      </c>
      <c r="AT116" s="220" t="s">
        <v>202</v>
      </c>
      <c r="AU116" s="220" t="s">
        <v>88</v>
      </c>
      <c r="AY116" s="18" t="s">
        <v>200</v>
      </c>
      <c r="BE116" s="221">
        <f>IF(N116="základní",J116,0)</f>
        <v>0</v>
      </c>
      <c r="BF116" s="221">
        <f>IF(N116="snížená",J116,0)</f>
        <v>0</v>
      </c>
      <c r="BG116" s="221">
        <f>IF(N116="zákl. přenesená",J116,0)</f>
        <v>0</v>
      </c>
      <c r="BH116" s="221">
        <f>IF(N116="sníž. přenesená",J116,0)</f>
        <v>0</v>
      </c>
      <c r="BI116" s="221">
        <f>IF(N116="nulová",J116,0)</f>
        <v>0</v>
      </c>
      <c r="BJ116" s="18" t="s">
        <v>86</v>
      </c>
      <c r="BK116" s="221">
        <f>ROUND(I116*H116,1)</f>
        <v>0</v>
      </c>
      <c r="BL116" s="18" t="s">
        <v>207</v>
      </c>
      <c r="BM116" s="220" t="s">
        <v>3710</v>
      </c>
    </row>
    <row r="117" s="2" customFormat="1">
      <c r="A117" s="40"/>
      <c r="B117" s="41"/>
      <c r="C117" s="42"/>
      <c r="D117" s="222" t="s">
        <v>209</v>
      </c>
      <c r="E117" s="42"/>
      <c r="F117" s="223" t="s">
        <v>3711</v>
      </c>
      <c r="G117" s="42"/>
      <c r="H117" s="42"/>
      <c r="I117" s="224"/>
      <c r="J117" s="42"/>
      <c r="K117" s="42"/>
      <c r="L117" s="46"/>
      <c r="M117" s="225"/>
      <c r="N117" s="226"/>
      <c r="O117" s="86"/>
      <c r="P117" s="86"/>
      <c r="Q117" s="86"/>
      <c r="R117" s="86"/>
      <c r="S117" s="86"/>
      <c r="T117" s="87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T117" s="18" t="s">
        <v>209</v>
      </c>
      <c r="AU117" s="18" t="s">
        <v>88</v>
      </c>
    </row>
    <row r="118" s="2" customFormat="1" ht="24.15" customHeight="1">
      <c r="A118" s="40"/>
      <c r="B118" s="41"/>
      <c r="C118" s="209" t="s">
        <v>291</v>
      </c>
      <c r="D118" s="209" t="s">
        <v>202</v>
      </c>
      <c r="E118" s="210" t="s">
        <v>255</v>
      </c>
      <c r="F118" s="211" t="s">
        <v>256</v>
      </c>
      <c r="G118" s="212" t="s">
        <v>205</v>
      </c>
      <c r="H118" s="213">
        <v>20</v>
      </c>
      <c r="I118" s="214"/>
      <c r="J118" s="215">
        <f>ROUND(I118*H118,1)</f>
        <v>0</v>
      </c>
      <c r="K118" s="211" t="s">
        <v>206</v>
      </c>
      <c r="L118" s="46"/>
      <c r="M118" s="216" t="s">
        <v>32</v>
      </c>
      <c r="N118" s="217" t="s">
        <v>49</v>
      </c>
      <c r="O118" s="86"/>
      <c r="P118" s="218">
        <f>O118*H118</f>
        <v>0</v>
      </c>
      <c r="Q118" s="218">
        <v>0</v>
      </c>
      <c r="R118" s="218">
        <f>Q118*H118</f>
        <v>0</v>
      </c>
      <c r="S118" s="218">
        <v>0</v>
      </c>
      <c r="T118" s="219">
        <f>S118*H118</f>
        <v>0</v>
      </c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R118" s="220" t="s">
        <v>207</v>
      </c>
      <c r="AT118" s="220" t="s">
        <v>202</v>
      </c>
      <c r="AU118" s="220" t="s">
        <v>88</v>
      </c>
      <c r="AY118" s="18" t="s">
        <v>200</v>
      </c>
      <c r="BE118" s="221">
        <f>IF(N118="základní",J118,0)</f>
        <v>0</v>
      </c>
      <c r="BF118" s="221">
        <f>IF(N118="snížená",J118,0)</f>
        <v>0</v>
      </c>
      <c r="BG118" s="221">
        <f>IF(N118="zákl. přenesená",J118,0)</f>
        <v>0</v>
      </c>
      <c r="BH118" s="221">
        <f>IF(N118="sníž. přenesená",J118,0)</f>
        <v>0</v>
      </c>
      <c r="BI118" s="221">
        <f>IF(N118="nulová",J118,0)</f>
        <v>0</v>
      </c>
      <c r="BJ118" s="18" t="s">
        <v>86</v>
      </c>
      <c r="BK118" s="221">
        <f>ROUND(I118*H118,1)</f>
        <v>0</v>
      </c>
      <c r="BL118" s="18" t="s">
        <v>207</v>
      </c>
      <c r="BM118" s="220" t="s">
        <v>3712</v>
      </c>
    </row>
    <row r="119" s="2" customFormat="1">
      <c r="A119" s="40"/>
      <c r="B119" s="41"/>
      <c r="C119" s="42"/>
      <c r="D119" s="222" t="s">
        <v>209</v>
      </c>
      <c r="E119" s="42"/>
      <c r="F119" s="223" t="s">
        <v>258</v>
      </c>
      <c r="G119" s="42"/>
      <c r="H119" s="42"/>
      <c r="I119" s="224"/>
      <c r="J119" s="42"/>
      <c r="K119" s="42"/>
      <c r="L119" s="46"/>
      <c r="M119" s="225"/>
      <c r="N119" s="226"/>
      <c r="O119" s="86"/>
      <c r="P119" s="86"/>
      <c r="Q119" s="86"/>
      <c r="R119" s="86"/>
      <c r="S119" s="86"/>
      <c r="T119" s="87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T119" s="18" t="s">
        <v>209</v>
      </c>
      <c r="AU119" s="18" t="s">
        <v>88</v>
      </c>
    </row>
    <row r="120" s="2" customFormat="1" ht="37.8" customHeight="1">
      <c r="A120" s="40"/>
      <c r="B120" s="41"/>
      <c r="C120" s="209" t="s">
        <v>297</v>
      </c>
      <c r="D120" s="209" t="s">
        <v>202</v>
      </c>
      <c r="E120" s="210" t="s">
        <v>3713</v>
      </c>
      <c r="F120" s="211" t="s">
        <v>3714</v>
      </c>
      <c r="G120" s="212" t="s">
        <v>205</v>
      </c>
      <c r="H120" s="213">
        <v>8</v>
      </c>
      <c r="I120" s="214"/>
      <c r="J120" s="215">
        <f>ROUND(I120*H120,1)</f>
        <v>0</v>
      </c>
      <c r="K120" s="211" t="s">
        <v>206</v>
      </c>
      <c r="L120" s="46"/>
      <c r="M120" s="216" t="s">
        <v>32</v>
      </c>
      <c r="N120" s="217" t="s">
        <v>49</v>
      </c>
      <c r="O120" s="86"/>
      <c r="P120" s="218">
        <f>O120*H120</f>
        <v>0</v>
      </c>
      <c r="Q120" s="218">
        <v>0</v>
      </c>
      <c r="R120" s="218">
        <f>Q120*H120</f>
        <v>0</v>
      </c>
      <c r="S120" s="218">
        <v>0</v>
      </c>
      <c r="T120" s="219">
        <f>S120*H120</f>
        <v>0</v>
      </c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R120" s="220" t="s">
        <v>207</v>
      </c>
      <c r="AT120" s="220" t="s">
        <v>202</v>
      </c>
      <c r="AU120" s="220" t="s">
        <v>88</v>
      </c>
      <c r="AY120" s="18" t="s">
        <v>200</v>
      </c>
      <c r="BE120" s="221">
        <f>IF(N120="základní",J120,0)</f>
        <v>0</v>
      </c>
      <c r="BF120" s="221">
        <f>IF(N120="snížená",J120,0)</f>
        <v>0</v>
      </c>
      <c r="BG120" s="221">
        <f>IF(N120="zákl. přenesená",J120,0)</f>
        <v>0</v>
      </c>
      <c r="BH120" s="221">
        <f>IF(N120="sníž. přenesená",J120,0)</f>
        <v>0</v>
      </c>
      <c r="BI120" s="221">
        <f>IF(N120="nulová",J120,0)</f>
        <v>0</v>
      </c>
      <c r="BJ120" s="18" t="s">
        <v>86</v>
      </c>
      <c r="BK120" s="221">
        <f>ROUND(I120*H120,1)</f>
        <v>0</v>
      </c>
      <c r="BL120" s="18" t="s">
        <v>207</v>
      </c>
      <c r="BM120" s="220" t="s">
        <v>3715</v>
      </c>
    </row>
    <row r="121" s="2" customFormat="1">
      <c r="A121" s="40"/>
      <c r="B121" s="41"/>
      <c r="C121" s="42"/>
      <c r="D121" s="222" t="s">
        <v>209</v>
      </c>
      <c r="E121" s="42"/>
      <c r="F121" s="223" t="s">
        <v>3716</v>
      </c>
      <c r="G121" s="42"/>
      <c r="H121" s="42"/>
      <c r="I121" s="224"/>
      <c r="J121" s="42"/>
      <c r="K121" s="42"/>
      <c r="L121" s="46"/>
      <c r="M121" s="225"/>
      <c r="N121" s="226"/>
      <c r="O121" s="86"/>
      <c r="P121" s="86"/>
      <c r="Q121" s="86"/>
      <c r="R121" s="86"/>
      <c r="S121" s="86"/>
      <c r="T121" s="87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T121" s="18" t="s">
        <v>209</v>
      </c>
      <c r="AU121" s="18" t="s">
        <v>88</v>
      </c>
    </row>
    <row r="122" s="2" customFormat="1" ht="16.5" customHeight="1">
      <c r="A122" s="40"/>
      <c r="B122" s="41"/>
      <c r="C122" s="260" t="s">
        <v>8</v>
      </c>
      <c r="D122" s="260" t="s">
        <v>292</v>
      </c>
      <c r="E122" s="261" t="s">
        <v>3717</v>
      </c>
      <c r="F122" s="262" t="s">
        <v>3718</v>
      </c>
      <c r="G122" s="263" t="s">
        <v>250</v>
      </c>
      <c r="H122" s="264">
        <v>16</v>
      </c>
      <c r="I122" s="265"/>
      <c r="J122" s="266">
        <f>ROUND(I122*H122,1)</f>
        <v>0</v>
      </c>
      <c r="K122" s="262" t="s">
        <v>206</v>
      </c>
      <c r="L122" s="267"/>
      <c r="M122" s="268" t="s">
        <v>32</v>
      </c>
      <c r="N122" s="269" t="s">
        <v>49</v>
      </c>
      <c r="O122" s="86"/>
      <c r="P122" s="218">
        <f>O122*H122</f>
        <v>0</v>
      </c>
      <c r="Q122" s="218">
        <v>1</v>
      </c>
      <c r="R122" s="218">
        <f>Q122*H122</f>
        <v>16</v>
      </c>
      <c r="S122" s="218">
        <v>0</v>
      </c>
      <c r="T122" s="219">
        <f>S122*H122</f>
        <v>0</v>
      </c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R122" s="220" t="s">
        <v>254</v>
      </c>
      <c r="AT122" s="220" t="s">
        <v>292</v>
      </c>
      <c r="AU122" s="220" t="s">
        <v>88</v>
      </c>
      <c r="AY122" s="18" t="s">
        <v>200</v>
      </c>
      <c r="BE122" s="221">
        <f>IF(N122="základní",J122,0)</f>
        <v>0</v>
      </c>
      <c r="BF122" s="221">
        <f>IF(N122="snížená",J122,0)</f>
        <v>0</v>
      </c>
      <c r="BG122" s="221">
        <f>IF(N122="zákl. přenesená",J122,0)</f>
        <v>0</v>
      </c>
      <c r="BH122" s="221">
        <f>IF(N122="sníž. přenesená",J122,0)</f>
        <v>0</v>
      </c>
      <c r="BI122" s="221">
        <f>IF(N122="nulová",J122,0)</f>
        <v>0</v>
      </c>
      <c r="BJ122" s="18" t="s">
        <v>86</v>
      </c>
      <c r="BK122" s="221">
        <f>ROUND(I122*H122,1)</f>
        <v>0</v>
      </c>
      <c r="BL122" s="18" t="s">
        <v>207</v>
      </c>
      <c r="BM122" s="220" t="s">
        <v>3719</v>
      </c>
    </row>
    <row r="123" s="12" customFormat="1" ht="22.8" customHeight="1">
      <c r="A123" s="12"/>
      <c r="B123" s="193"/>
      <c r="C123" s="194"/>
      <c r="D123" s="195" t="s">
        <v>77</v>
      </c>
      <c r="E123" s="207" t="s">
        <v>207</v>
      </c>
      <c r="F123" s="207" t="s">
        <v>548</v>
      </c>
      <c r="G123" s="194"/>
      <c r="H123" s="194"/>
      <c r="I123" s="197"/>
      <c r="J123" s="208">
        <f>BK123</f>
        <v>0</v>
      </c>
      <c r="K123" s="194"/>
      <c r="L123" s="199"/>
      <c r="M123" s="200"/>
      <c r="N123" s="201"/>
      <c r="O123" s="201"/>
      <c r="P123" s="202">
        <f>SUM(P124:P125)</f>
        <v>0</v>
      </c>
      <c r="Q123" s="201"/>
      <c r="R123" s="202">
        <f>SUM(R124:R125)</f>
        <v>3.7815400000000001</v>
      </c>
      <c r="S123" s="201"/>
      <c r="T123" s="203">
        <f>SUM(T124:T125)</f>
        <v>0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R123" s="204" t="s">
        <v>86</v>
      </c>
      <c r="AT123" s="205" t="s">
        <v>77</v>
      </c>
      <c r="AU123" s="205" t="s">
        <v>86</v>
      </c>
      <c r="AY123" s="204" t="s">
        <v>200</v>
      </c>
      <c r="BK123" s="206">
        <f>SUM(BK124:BK125)</f>
        <v>0</v>
      </c>
    </row>
    <row r="124" s="2" customFormat="1" ht="21.75" customHeight="1">
      <c r="A124" s="40"/>
      <c r="B124" s="41"/>
      <c r="C124" s="209" t="s">
        <v>310</v>
      </c>
      <c r="D124" s="209" t="s">
        <v>202</v>
      </c>
      <c r="E124" s="210" t="s">
        <v>2146</v>
      </c>
      <c r="F124" s="211" t="s">
        <v>2147</v>
      </c>
      <c r="G124" s="212" t="s">
        <v>205</v>
      </c>
      <c r="H124" s="213">
        <v>2</v>
      </c>
      <c r="I124" s="214"/>
      <c r="J124" s="215">
        <f>ROUND(I124*H124,1)</f>
        <v>0</v>
      </c>
      <c r="K124" s="211" t="s">
        <v>206</v>
      </c>
      <c r="L124" s="46"/>
      <c r="M124" s="216" t="s">
        <v>32</v>
      </c>
      <c r="N124" s="217" t="s">
        <v>49</v>
      </c>
      <c r="O124" s="86"/>
      <c r="P124" s="218">
        <f>O124*H124</f>
        <v>0</v>
      </c>
      <c r="Q124" s="218">
        <v>1.8907700000000001</v>
      </c>
      <c r="R124" s="218">
        <f>Q124*H124</f>
        <v>3.7815400000000001</v>
      </c>
      <c r="S124" s="218">
        <v>0</v>
      </c>
      <c r="T124" s="219">
        <f>S124*H124</f>
        <v>0</v>
      </c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R124" s="220" t="s">
        <v>207</v>
      </c>
      <c r="AT124" s="220" t="s">
        <v>202</v>
      </c>
      <c r="AU124" s="220" t="s">
        <v>88</v>
      </c>
      <c r="AY124" s="18" t="s">
        <v>200</v>
      </c>
      <c r="BE124" s="221">
        <f>IF(N124="základní",J124,0)</f>
        <v>0</v>
      </c>
      <c r="BF124" s="221">
        <f>IF(N124="snížená",J124,0)</f>
        <v>0</v>
      </c>
      <c r="BG124" s="221">
        <f>IF(N124="zákl. přenesená",J124,0)</f>
        <v>0</v>
      </c>
      <c r="BH124" s="221">
        <f>IF(N124="sníž. přenesená",J124,0)</f>
        <v>0</v>
      </c>
      <c r="BI124" s="221">
        <f>IF(N124="nulová",J124,0)</f>
        <v>0</v>
      </c>
      <c r="BJ124" s="18" t="s">
        <v>86</v>
      </c>
      <c r="BK124" s="221">
        <f>ROUND(I124*H124,1)</f>
        <v>0</v>
      </c>
      <c r="BL124" s="18" t="s">
        <v>207</v>
      </c>
      <c r="BM124" s="220" t="s">
        <v>3720</v>
      </c>
    </row>
    <row r="125" s="2" customFormat="1">
      <c r="A125" s="40"/>
      <c r="B125" s="41"/>
      <c r="C125" s="42"/>
      <c r="D125" s="222" t="s">
        <v>209</v>
      </c>
      <c r="E125" s="42"/>
      <c r="F125" s="223" t="s">
        <v>2149</v>
      </c>
      <c r="G125" s="42"/>
      <c r="H125" s="42"/>
      <c r="I125" s="224"/>
      <c r="J125" s="42"/>
      <c r="K125" s="42"/>
      <c r="L125" s="46"/>
      <c r="M125" s="225"/>
      <c r="N125" s="226"/>
      <c r="O125" s="86"/>
      <c r="P125" s="86"/>
      <c r="Q125" s="86"/>
      <c r="R125" s="86"/>
      <c r="S125" s="86"/>
      <c r="T125" s="87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T125" s="18" t="s">
        <v>209</v>
      </c>
      <c r="AU125" s="18" t="s">
        <v>88</v>
      </c>
    </row>
    <row r="126" s="12" customFormat="1" ht="22.8" customHeight="1">
      <c r="A126" s="12"/>
      <c r="B126" s="193"/>
      <c r="C126" s="194"/>
      <c r="D126" s="195" t="s">
        <v>77</v>
      </c>
      <c r="E126" s="207" t="s">
        <v>254</v>
      </c>
      <c r="F126" s="207" t="s">
        <v>737</v>
      </c>
      <c r="G126" s="194"/>
      <c r="H126" s="194"/>
      <c r="I126" s="197"/>
      <c r="J126" s="208">
        <f>BK126</f>
        <v>0</v>
      </c>
      <c r="K126" s="194"/>
      <c r="L126" s="199"/>
      <c r="M126" s="200"/>
      <c r="N126" s="201"/>
      <c r="O126" s="201"/>
      <c r="P126" s="202">
        <f>SUM(P127:P128)</f>
        <v>0</v>
      </c>
      <c r="Q126" s="201"/>
      <c r="R126" s="202">
        <f>SUM(R127:R128)</f>
        <v>0.0027000000000000001</v>
      </c>
      <c r="S126" s="201"/>
      <c r="T126" s="203">
        <f>SUM(T127:T128)</f>
        <v>0</v>
      </c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R126" s="204" t="s">
        <v>86</v>
      </c>
      <c r="AT126" s="205" t="s">
        <v>77</v>
      </c>
      <c r="AU126" s="205" t="s">
        <v>86</v>
      </c>
      <c r="AY126" s="204" t="s">
        <v>200</v>
      </c>
      <c r="BK126" s="206">
        <f>SUM(BK127:BK128)</f>
        <v>0</v>
      </c>
    </row>
    <row r="127" s="2" customFormat="1" ht="16.5" customHeight="1">
      <c r="A127" s="40"/>
      <c r="B127" s="41"/>
      <c r="C127" s="209" t="s">
        <v>320</v>
      </c>
      <c r="D127" s="209" t="s">
        <v>202</v>
      </c>
      <c r="E127" s="210" t="s">
        <v>3721</v>
      </c>
      <c r="F127" s="211" t="s">
        <v>3722</v>
      </c>
      <c r="G127" s="212" t="s">
        <v>280</v>
      </c>
      <c r="H127" s="213">
        <v>30</v>
      </c>
      <c r="I127" s="214"/>
      <c r="J127" s="215">
        <f>ROUND(I127*H127,1)</f>
        <v>0</v>
      </c>
      <c r="K127" s="211" t="s">
        <v>206</v>
      </c>
      <c r="L127" s="46"/>
      <c r="M127" s="216" t="s">
        <v>32</v>
      </c>
      <c r="N127" s="217" t="s">
        <v>49</v>
      </c>
      <c r="O127" s="86"/>
      <c r="P127" s="218">
        <f>O127*H127</f>
        <v>0</v>
      </c>
      <c r="Q127" s="218">
        <v>9.0000000000000006E-05</v>
      </c>
      <c r="R127" s="218">
        <f>Q127*H127</f>
        <v>0.0027000000000000001</v>
      </c>
      <c r="S127" s="218">
        <v>0</v>
      </c>
      <c r="T127" s="219">
        <f>S127*H127</f>
        <v>0</v>
      </c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R127" s="220" t="s">
        <v>207</v>
      </c>
      <c r="AT127" s="220" t="s">
        <v>202</v>
      </c>
      <c r="AU127" s="220" t="s">
        <v>88</v>
      </c>
      <c r="AY127" s="18" t="s">
        <v>200</v>
      </c>
      <c r="BE127" s="221">
        <f>IF(N127="základní",J127,0)</f>
        <v>0</v>
      </c>
      <c r="BF127" s="221">
        <f>IF(N127="snížená",J127,0)</f>
        <v>0</v>
      </c>
      <c r="BG127" s="221">
        <f>IF(N127="zákl. přenesená",J127,0)</f>
        <v>0</v>
      </c>
      <c r="BH127" s="221">
        <f>IF(N127="sníž. přenesená",J127,0)</f>
        <v>0</v>
      </c>
      <c r="BI127" s="221">
        <f>IF(N127="nulová",J127,0)</f>
        <v>0</v>
      </c>
      <c r="BJ127" s="18" t="s">
        <v>86</v>
      </c>
      <c r="BK127" s="221">
        <f>ROUND(I127*H127,1)</f>
        <v>0</v>
      </c>
      <c r="BL127" s="18" t="s">
        <v>207</v>
      </c>
      <c r="BM127" s="220" t="s">
        <v>3723</v>
      </c>
    </row>
    <row r="128" s="2" customFormat="1">
      <c r="A128" s="40"/>
      <c r="B128" s="41"/>
      <c r="C128" s="42"/>
      <c r="D128" s="222" t="s">
        <v>209</v>
      </c>
      <c r="E128" s="42"/>
      <c r="F128" s="223" t="s">
        <v>3724</v>
      </c>
      <c r="G128" s="42"/>
      <c r="H128" s="42"/>
      <c r="I128" s="224"/>
      <c r="J128" s="42"/>
      <c r="K128" s="42"/>
      <c r="L128" s="46"/>
      <c r="M128" s="225"/>
      <c r="N128" s="226"/>
      <c r="O128" s="86"/>
      <c r="P128" s="86"/>
      <c r="Q128" s="86"/>
      <c r="R128" s="86"/>
      <c r="S128" s="86"/>
      <c r="T128" s="87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T128" s="18" t="s">
        <v>209</v>
      </c>
      <c r="AU128" s="18" t="s">
        <v>88</v>
      </c>
    </row>
    <row r="129" s="12" customFormat="1" ht="22.8" customHeight="1">
      <c r="A129" s="12"/>
      <c r="B129" s="193"/>
      <c r="C129" s="194"/>
      <c r="D129" s="195" t="s">
        <v>77</v>
      </c>
      <c r="E129" s="207" t="s">
        <v>959</v>
      </c>
      <c r="F129" s="207" t="s">
        <v>960</v>
      </c>
      <c r="G129" s="194"/>
      <c r="H129" s="194"/>
      <c r="I129" s="197"/>
      <c r="J129" s="208">
        <f>BK129</f>
        <v>0</v>
      </c>
      <c r="K129" s="194"/>
      <c r="L129" s="199"/>
      <c r="M129" s="200"/>
      <c r="N129" s="201"/>
      <c r="O129" s="201"/>
      <c r="P129" s="202">
        <f>SUM(P130:P131)</f>
        <v>0</v>
      </c>
      <c r="Q129" s="201"/>
      <c r="R129" s="202">
        <f>SUM(R130:R131)</f>
        <v>0</v>
      </c>
      <c r="S129" s="201"/>
      <c r="T129" s="203">
        <f>SUM(T130:T131)</f>
        <v>0</v>
      </c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R129" s="204" t="s">
        <v>86</v>
      </c>
      <c r="AT129" s="205" t="s">
        <v>77</v>
      </c>
      <c r="AU129" s="205" t="s">
        <v>86</v>
      </c>
      <c r="AY129" s="204" t="s">
        <v>200</v>
      </c>
      <c r="BK129" s="206">
        <f>SUM(BK130:BK131)</f>
        <v>0</v>
      </c>
    </row>
    <row r="130" s="2" customFormat="1" ht="24.15" customHeight="1">
      <c r="A130" s="40"/>
      <c r="B130" s="41"/>
      <c r="C130" s="209" t="s">
        <v>326</v>
      </c>
      <c r="D130" s="209" t="s">
        <v>202</v>
      </c>
      <c r="E130" s="210" t="s">
        <v>3161</v>
      </c>
      <c r="F130" s="211" t="s">
        <v>3162</v>
      </c>
      <c r="G130" s="212" t="s">
        <v>250</v>
      </c>
      <c r="H130" s="213">
        <v>16.385000000000002</v>
      </c>
      <c r="I130" s="214"/>
      <c r="J130" s="215">
        <f>ROUND(I130*H130,1)</f>
        <v>0</v>
      </c>
      <c r="K130" s="211" t="s">
        <v>206</v>
      </c>
      <c r="L130" s="46"/>
      <c r="M130" s="216" t="s">
        <v>32</v>
      </c>
      <c r="N130" s="217" t="s">
        <v>49</v>
      </c>
      <c r="O130" s="86"/>
      <c r="P130" s="218">
        <f>O130*H130</f>
        <v>0</v>
      </c>
      <c r="Q130" s="218">
        <v>0</v>
      </c>
      <c r="R130" s="218">
        <f>Q130*H130</f>
        <v>0</v>
      </c>
      <c r="S130" s="218">
        <v>0</v>
      </c>
      <c r="T130" s="219">
        <f>S130*H130</f>
        <v>0</v>
      </c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R130" s="220" t="s">
        <v>207</v>
      </c>
      <c r="AT130" s="220" t="s">
        <v>202</v>
      </c>
      <c r="AU130" s="220" t="s">
        <v>88</v>
      </c>
      <c r="AY130" s="18" t="s">
        <v>200</v>
      </c>
      <c r="BE130" s="221">
        <f>IF(N130="základní",J130,0)</f>
        <v>0</v>
      </c>
      <c r="BF130" s="221">
        <f>IF(N130="snížená",J130,0)</f>
        <v>0</v>
      </c>
      <c r="BG130" s="221">
        <f>IF(N130="zákl. přenesená",J130,0)</f>
        <v>0</v>
      </c>
      <c r="BH130" s="221">
        <f>IF(N130="sníž. přenesená",J130,0)</f>
        <v>0</v>
      </c>
      <c r="BI130" s="221">
        <f>IF(N130="nulová",J130,0)</f>
        <v>0</v>
      </c>
      <c r="BJ130" s="18" t="s">
        <v>86</v>
      </c>
      <c r="BK130" s="221">
        <f>ROUND(I130*H130,1)</f>
        <v>0</v>
      </c>
      <c r="BL130" s="18" t="s">
        <v>207</v>
      </c>
      <c r="BM130" s="220" t="s">
        <v>3725</v>
      </c>
    </row>
    <row r="131" s="2" customFormat="1">
      <c r="A131" s="40"/>
      <c r="B131" s="41"/>
      <c r="C131" s="42"/>
      <c r="D131" s="222" t="s">
        <v>209</v>
      </c>
      <c r="E131" s="42"/>
      <c r="F131" s="223" t="s">
        <v>3164</v>
      </c>
      <c r="G131" s="42"/>
      <c r="H131" s="42"/>
      <c r="I131" s="224"/>
      <c r="J131" s="42"/>
      <c r="K131" s="42"/>
      <c r="L131" s="46"/>
      <c r="M131" s="225"/>
      <c r="N131" s="226"/>
      <c r="O131" s="86"/>
      <c r="P131" s="86"/>
      <c r="Q131" s="86"/>
      <c r="R131" s="86"/>
      <c r="S131" s="86"/>
      <c r="T131" s="87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T131" s="18" t="s">
        <v>209</v>
      </c>
      <c r="AU131" s="18" t="s">
        <v>88</v>
      </c>
    </row>
    <row r="132" s="12" customFormat="1" ht="25.92" customHeight="1">
      <c r="A132" s="12"/>
      <c r="B132" s="193"/>
      <c r="C132" s="194"/>
      <c r="D132" s="195" t="s">
        <v>77</v>
      </c>
      <c r="E132" s="196" t="s">
        <v>966</v>
      </c>
      <c r="F132" s="196" t="s">
        <v>967</v>
      </c>
      <c r="G132" s="194"/>
      <c r="H132" s="194"/>
      <c r="I132" s="197"/>
      <c r="J132" s="198">
        <f>BK132</f>
        <v>0</v>
      </c>
      <c r="K132" s="194"/>
      <c r="L132" s="199"/>
      <c r="M132" s="200"/>
      <c r="N132" s="201"/>
      <c r="O132" s="201"/>
      <c r="P132" s="202">
        <f>P133+P156</f>
        <v>0</v>
      </c>
      <c r="Q132" s="201"/>
      <c r="R132" s="202">
        <f>R133+R156</f>
        <v>0.086650000000000005</v>
      </c>
      <c r="S132" s="201"/>
      <c r="T132" s="203">
        <f>T133+T156</f>
        <v>0</v>
      </c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R132" s="204" t="s">
        <v>88</v>
      </c>
      <c r="AT132" s="205" t="s">
        <v>77</v>
      </c>
      <c r="AU132" s="205" t="s">
        <v>78</v>
      </c>
      <c r="AY132" s="204" t="s">
        <v>200</v>
      </c>
      <c r="BK132" s="206">
        <f>BK133+BK156</f>
        <v>0</v>
      </c>
    </row>
    <row r="133" s="12" customFormat="1" ht="22.8" customHeight="1">
      <c r="A133" s="12"/>
      <c r="B133" s="193"/>
      <c r="C133" s="194"/>
      <c r="D133" s="195" t="s">
        <v>77</v>
      </c>
      <c r="E133" s="207" t="s">
        <v>3726</v>
      </c>
      <c r="F133" s="207" t="s">
        <v>3727</v>
      </c>
      <c r="G133" s="194"/>
      <c r="H133" s="194"/>
      <c r="I133" s="197"/>
      <c r="J133" s="208">
        <f>BK133</f>
        <v>0</v>
      </c>
      <c r="K133" s="194"/>
      <c r="L133" s="199"/>
      <c r="M133" s="200"/>
      <c r="N133" s="201"/>
      <c r="O133" s="201"/>
      <c r="P133" s="202">
        <f>SUM(P134:P155)</f>
        <v>0</v>
      </c>
      <c r="Q133" s="201"/>
      <c r="R133" s="202">
        <f>SUM(R134:R155)</f>
        <v>0.085449999999999998</v>
      </c>
      <c r="S133" s="201"/>
      <c r="T133" s="203">
        <f>SUM(T134:T155)</f>
        <v>0</v>
      </c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R133" s="204" t="s">
        <v>88</v>
      </c>
      <c r="AT133" s="205" t="s">
        <v>77</v>
      </c>
      <c r="AU133" s="205" t="s">
        <v>86</v>
      </c>
      <c r="AY133" s="204" t="s">
        <v>200</v>
      </c>
      <c r="BK133" s="206">
        <f>SUM(BK134:BK155)</f>
        <v>0</v>
      </c>
    </row>
    <row r="134" s="2" customFormat="1" ht="16.5" customHeight="1">
      <c r="A134" s="40"/>
      <c r="B134" s="41"/>
      <c r="C134" s="209" t="s">
        <v>337</v>
      </c>
      <c r="D134" s="209" t="s">
        <v>202</v>
      </c>
      <c r="E134" s="210" t="s">
        <v>3728</v>
      </c>
      <c r="F134" s="211" t="s">
        <v>3729</v>
      </c>
      <c r="G134" s="212" t="s">
        <v>280</v>
      </c>
      <c r="H134" s="213">
        <v>1</v>
      </c>
      <c r="I134" s="214"/>
      <c r="J134" s="215">
        <f>ROUND(I134*H134,1)</f>
        <v>0</v>
      </c>
      <c r="K134" s="211" t="s">
        <v>206</v>
      </c>
      <c r="L134" s="46"/>
      <c r="M134" s="216" t="s">
        <v>32</v>
      </c>
      <c r="N134" s="217" t="s">
        <v>49</v>
      </c>
      <c r="O134" s="86"/>
      <c r="P134" s="218">
        <f>O134*H134</f>
        <v>0</v>
      </c>
      <c r="Q134" s="218">
        <v>0.0018500000000000001</v>
      </c>
      <c r="R134" s="218">
        <f>Q134*H134</f>
        <v>0.0018500000000000001</v>
      </c>
      <c r="S134" s="218">
        <v>0</v>
      </c>
      <c r="T134" s="219">
        <f>S134*H134</f>
        <v>0</v>
      </c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R134" s="220" t="s">
        <v>310</v>
      </c>
      <c r="AT134" s="220" t="s">
        <v>202</v>
      </c>
      <c r="AU134" s="220" t="s">
        <v>88</v>
      </c>
      <c r="AY134" s="18" t="s">
        <v>200</v>
      </c>
      <c r="BE134" s="221">
        <f>IF(N134="základní",J134,0)</f>
        <v>0</v>
      </c>
      <c r="BF134" s="221">
        <f>IF(N134="snížená",J134,0)</f>
        <v>0</v>
      </c>
      <c r="BG134" s="221">
        <f>IF(N134="zákl. přenesená",J134,0)</f>
        <v>0</v>
      </c>
      <c r="BH134" s="221">
        <f>IF(N134="sníž. přenesená",J134,0)</f>
        <v>0</v>
      </c>
      <c r="BI134" s="221">
        <f>IF(N134="nulová",J134,0)</f>
        <v>0</v>
      </c>
      <c r="BJ134" s="18" t="s">
        <v>86</v>
      </c>
      <c r="BK134" s="221">
        <f>ROUND(I134*H134,1)</f>
        <v>0</v>
      </c>
      <c r="BL134" s="18" t="s">
        <v>310</v>
      </c>
      <c r="BM134" s="220" t="s">
        <v>3730</v>
      </c>
    </row>
    <row r="135" s="2" customFormat="1">
      <c r="A135" s="40"/>
      <c r="B135" s="41"/>
      <c r="C135" s="42"/>
      <c r="D135" s="222" t="s">
        <v>209</v>
      </c>
      <c r="E135" s="42"/>
      <c r="F135" s="223" t="s">
        <v>3731</v>
      </c>
      <c r="G135" s="42"/>
      <c r="H135" s="42"/>
      <c r="I135" s="224"/>
      <c r="J135" s="42"/>
      <c r="K135" s="42"/>
      <c r="L135" s="46"/>
      <c r="M135" s="225"/>
      <c r="N135" s="226"/>
      <c r="O135" s="86"/>
      <c r="P135" s="86"/>
      <c r="Q135" s="86"/>
      <c r="R135" s="86"/>
      <c r="S135" s="86"/>
      <c r="T135" s="87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T135" s="18" t="s">
        <v>209</v>
      </c>
      <c r="AU135" s="18" t="s">
        <v>88</v>
      </c>
    </row>
    <row r="136" s="2" customFormat="1" ht="16.5" customHeight="1">
      <c r="A136" s="40"/>
      <c r="B136" s="41"/>
      <c r="C136" s="209" t="s">
        <v>342</v>
      </c>
      <c r="D136" s="209" t="s">
        <v>202</v>
      </c>
      <c r="E136" s="210" t="s">
        <v>3732</v>
      </c>
      <c r="F136" s="211" t="s">
        <v>3733</v>
      </c>
      <c r="G136" s="212" t="s">
        <v>280</v>
      </c>
      <c r="H136" s="213">
        <v>20</v>
      </c>
      <c r="I136" s="214"/>
      <c r="J136" s="215">
        <f>ROUND(I136*H136,1)</f>
        <v>0</v>
      </c>
      <c r="K136" s="211" t="s">
        <v>206</v>
      </c>
      <c r="L136" s="46"/>
      <c r="M136" s="216" t="s">
        <v>32</v>
      </c>
      <c r="N136" s="217" t="s">
        <v>49</v>
      </c>
      <c r="O136" s="86"/>
      <c r="P136" s="218">
        <f>O136*H136</f>
        <v>0</v>
      </c>
      <c r="Q136" s="218">
        <v>0.0027000000000000001</v>
      </c>
      <c r="R136" s="218">
        <f>Q136*H136</f>
        <v>0.054000000000000006</v>
      </c>
      <c r="S136" s="218">
        <v>0</v>
      </c>
      <c r="T136" s="219">
        <f>S136*H136</f>
        <v>0</v>
      </c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R136" s="220" t="s">
        <v>310</v>
      </c>
      <c r="AT136" s="220" t="s">
        <v>202</v>
      </c>
      <c r="AU136" s="220" t="s">
        <v>88</v>
      </c>
      <c r="AY136" s="18" t="s">
        <v>200</v>
      </c>
      <c r="BE136" s="221">
        <f>IF(N136="základní",J136,0)</f>
        <v>0</v>
      </c>
      <c r="BF136" s="221">
        <f>IF(N136="snížená",J136,0)</f>
        <v>0</v>
      </c>
      <c r="BG136" s="221">
        <f>IF(N136="zákl. přenesená",J136,0)</f>
        <v>0</v>
      </c>
      <c r="BH136" s="221">
        <f>IF(N136="sníž. přenesená",J136,0)</f>
        <v>0</v>
      </c>
      <c r="BI136" s="221">
        <f>IF(N136="nulová",J136,0)</f>
        <v>0</v>
      </c>
      <c r="BJ136" s="18" t="s">
        <v>86</v>
      </c>
      <c r="BK136" s="221">
        <f>ROUND(I136*H136,1)</f>
        <v>0</v>
      </c>
      <c r="BL136" s="18" t="s">
        <v>310</v>
      </c>
      <c r="BM136" s="220" t="s">
        <v>3734</v>
      </c>
    </row>
    <row r="137" s="2" customFormat="1">
      <c r="A137" s="40"/>
      <c r="B137" s="41"/>
      <c r="C137" s="42"/>
      <c r="D137" s="222" t="s">
        <v>209</v>
      </c>
      <c r="E137" s="42"/>
      <c r="F137" s="223" t="s">
        <v>3735</v>
      </c>
      <c r="G137" s="42"/>
      <c r="H137" s="42"/>
      <c r="I137" s="224"/>
      <c r="J137" s="42"/>
      <c r="K137" s="42"/>
      <c r="L137" s="46"/>
      <c r="M137" s="225"/>
      <c r="N137" s="226"/>
      <c r="O137" s="86"/>
      <c r="P137" s="86"/>
      <c r="Q137" s="86"/>
      <c r="R137" s="86"/>
      <c r="S137" s="86"/>
      <c r="T137" s="87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T137" s="18" t="s">
        <v>209</v>
      </c>
      <c r="AU137" s="18" t="s">
        <v>88</v>
      </c>
    </row>
    <row r="138" s="2" customFormat="1" ht="16.5" customHeight="1">
      <c r="A138" s="40"/>
      <c r="B138" s="41"/>
      <c r="C138" s="209" t="s">
        <v>7</v>
      </c>
      <c r="D138" s="209" t="s">
        <v>202</v>
      </c>
      <c r="E138" s="210" t="s">
        <v>3736</v>
      </c>
      <c r="F138" s="211" t="s">
        <v>3737</v>
      </c>
      <c r="G138" s="212" t="s">
        <v>280</v>
      </c>
      <c r="H138" s="213">
        <v>2</v>
      </c>
      <c r="I138" s="214"/>
      <c r="J138" s="215">
        <f>ROUND(I138*H138,1)</f>
        <v>0</v>
      </c>
      <c r="K138" s="211" t="s">
        <v>206</v>
      </c>
      <c r="L138" s="46"/>
      <c r="M138" s="216" t="s">
        <v>32</v>
      </c>
      <c r="N138" s="217" t="s">
        <v>49</v>
      </c>
      <c r="O138" s="86"/>
      <c r="P138" s="218">
        <f>O138*H138</f>
        <v>0</v>
      </c>
      <c r="Q138" s="218">
        <v>0.0037799999999999999</v>
      </c>
      <c r="R138" s="218">
        <f>Q138*H138</f>
        <v>0.0075599999999999999</v>
      </c>
      <c r="S138" s="218">
        <v>0</v>
      </c>
      <c r="T138" s="219">
        <f>S138*H138</f>
        <v>0</v>
      </c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R138" s="220" t="s">
        <v>310</v>
      </c>
      <c r="AT138" s="220" t="s">
        <v>202</v>
      </c>
      <c r="AU138" s="220" t="s">
        <v>88</v>
      </c>
      <c r="AY138" s="18" t="s">
        <v>200</v>
      </c>
      <c r="BE138" s="221">
        <f>IF(N138="základní",J138,0)</f>
        <v>0</v>
      </c>
      <c r="BF138" s="221">
        <f>IF(N138="snížená",J138,0)</f>
        <v>0</v>
      </c>
      <c r="BG138" s="221">
        <f>IF(N138="zákl. přenesená",J138,0)</f>
        <v>0</v>
      </c>
      <c r="BH138" s="221">
        <f>IF(N138="sníž. přenesená",J138,0)</f>
        <v>0</v>
      </c>
      <c r="BI138" s="221">
        <f>IF(N138="nulová",J138,0)</f>
        <v>0</v>
      </c>
      <c r="BJ138" s="18" t="s">
        <v>86</v>
      </c>
      <c r="BK138" s="221">
        <f>ROUND(I138*H138,1)</f>
        <v>0</v>
      </c>
      <c r="BL138" s="18" t="s">
        <v>310</v>
      </c>
      <c r="BM138" s="220" t="s">
        <v>3738</v>
      </c>
    </row>
    <row r="139" s="2" customFormat="1">
      <c r="A139" s="40"/>
      <c r="B139" s="41"/>
      <c r="C139" s="42"/>
      <c r="D139" s="222" t="s">
        <v>209</v>
      </c>
      <c r="E139" s="42"/>
      <c r="F139" s="223" t="s">
        <v>3739</v>
      </c>
      <c r="G139" s="42"/>
      <c r="H139" s="42"/>
      <c r="I139" s="224"/>
      <c r="J139" s="42"/>
      <c r="K139" s="42"/>
      <c r="L139" s="46"/>
      <c r="M139" s="225"/>
      <c r="N139" s="226"/>
      <c r="O139" s="86"/>
      <c r="P139" s="86"/>
      <c r="Q139" s="86"/>
      <c r="R139" s="86"/>
      <c r="S139" s="86"/>
      <c r="T139" s="87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T139" s="18" t="s">
        <v>209</v>
      </c>
      <c r="AU139" s="18" t="s">
        <v>88</v>
      </c>
    </row>
    <row r="140" s="2" customFormat="1" ht="16.5" customHeight="1">
      <c r="A140" s="40"/>
      <c r="B140" s="41"/>
      <c r="C140" s="209" t="s">
        <v>363</v>
      </c>
      <c r="D140" s="209" t="s">
        <v>202</v>
      </c>
      <c r="E140" s="210" t="s">
        <v>3740</v>
      </c>
      <c r="F140" s="211" t="s">
        <v>3741</v>
      </c>
      <c r="G140" s="212" t="s">
        <v>280</v>
      </c>
      <c r="H140" s="213">
        <v>1</v>
      </c>
      <c r="I140" s="214"/>
      <c r="J140" s="215">
        <f>ROUND(I140*H140,1)</f>
        <v>0</v>
      </c>
      <c r="K140" s="211" t="s">
        <v>206</v>
      </c>
      <c r="L140" s="46"/>
      <c r="M140" s="216" t="s">
        <v>32</v>
      </c>
      <c r="N140" s="217" t="s">
        <v>49</v>
      </c>
      <c r="O140" s="86"/>
      <c r="P140" s="218">
        <f>O140*H140</f>
        <v>0</v>
      </c>
      <c r="Q140" s="218">
        <v>0.0046800000000000001</v>
      </c>
      <c r="R140" s="218">
        <f>Q140*H140</f>
        <v>0.0046800000000000001</v>
      </c>
      <c r="S140" s="218">
        <v>0</v>
      </c>
      <c r="T140" s="219">
        <f>S140*H140</f>
        <v>0</v>
      </c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R140" s="220" t="s">
        <v>310</v>
      </c>
      <c r="AT140" s="220" t="s">
        <v>202</v>
      </c>
      <c r="AU140" s="220" t="s">
        <v>88</v>
      </c>
      <c r="AY140" s="18" t="s">
        <v>200</v>
      </c>
      <c r="BE140" s="221">
        <f>IF(N140="základní",J140,0)</f>
        <v>0</v>
      </c>
      <c r="BF140" s="221">
        <f>IF(N140="snížená",J140,0)</f>
        <v>0</v>
      </c>
      <c r="BG140" s="221">
        <f>IF(N140="zákl. přenesená",J140,0)</f>
        <v>0</v>
      </c>
      <c r="BH140" s="221">
        <f>IF(N140="sníž. přenesená",J140,0)</f>
        <v>0</v>
      </c>
      <c r="BI140" s="221">
        <f>IF(N140="nulová",J140,0)</f>
        <v>0</v>
      </c>
      <c r="BJ140" s="18" t="s">
        <v>86</v>
      </c>
      <c r="BK140" s="221">
        <f>ROUND(I140*H140,1)</f>
        <v>0</v>
      </c>
      <c r="BL140" s="18" t="s">
        <v>310</v>
      </c>
      <c r="BM140" s="220" t="s">
        <v>3742</v>
      </c>
    </row>
    <row r="141" s="2" customFormat="1">
      <c r="A141" s="40"/>
      <c r="B141" s="41"/>
      <c r="C141" s="42"/>
      <c r="D141" s="222" t="s">
        <v>209</v>
      </c>
      <c r="E141" s="42"/>
      <c r="F141" s="223" t="s">
        <v>3743</v>
      </c>
      <c r="G141" s="42"/>
      <c r="H141" s="42"/>
      <c r="I141" s="224"/>
      <c r="J141" s="42"/>
      <c r="K141" s="42"/>
      <c r="L141" s="46"/>
      <c r="M141" s="225"/>
      <c r="N141" s="226"/>
      <c r="O141" s="86"/>
      <c r="P141" s="86"/>
      <c r="Q141" s="86"/>
      <c r="R141" s="86"/>
      <c r="S141" s="86"/>
      <c r="T141" s="87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T141" s="18" t="s">
        <v>209</v>
      </c>
      <c r="AU141" s="18" t="s">
        <v>88</v>
      </c>
    </row>
    <row r="142" s="2" customFormat="1" ht="16.5" customHeight="1">
      <c r="A142" s="40"/>
      <c r="B142" s="41"/>
      <c r="C142" s="209" t="s">
        <v>374</v>
      </c>
      <c r="D142" s="209" t="s">
        <v>202</v>
      </c>
      <c r="E142" s="210" t="s">
        <v>3744</v>
      </c>
      <c r="F142" s="211" t="s">
        <v>3745</v>
      </c>
      <c r="G142" s="212" t="s">
        <v>1094</v>
      </c>
      <c r="H142" s="213">
        <v>2</v>
      </c>
      <c r="I142" s="214"/>
      <c r="J142" s="215">
        <f>ROUND(I142*H142,1)</f>
        <v>0</v>
      </c>
      <c r="K142" s="211" t="s">
        <v>206</v>
      </c>
      <c r="L142" s="46"/>
      <c r="M142" s="216" t="s">
        <v>32</v>
      </c>
      <c r="N142" s="217" t="s">
        <v>49</v>
      </c>
      <c r="O142" s="86"/>
      <c r="P142" s="218">
        <f>O142*H142</f>
        <v>0</v>
      </c>
      <c r="Q142" s="218">
        <v>0.0045500000000000002</v>
      </c>
      <c r="R142" s="218">
        <f>Q142*H142</f>
        <v>0.0091000000000000004</v>
      </c>
      <c r="S142" s="218">
        <v>0</v>
      </c>
      <c r="T142" s="219">
        <f>S142*H142</f>
        <v>0</v>
      </c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R142" s="220" t="s">
        <v>310</v>
      </c>
      <c r="AT142" s="220" t="s">
        <v>202</v>
      </c>
      <c r="AU142" s="220" t="s">
        <v>88</v>
      </c>
      <c r="AY142" s="18" t="s">
        <v>200</v>
      </c>
      <c r="BE142" s="221">
        <f>IF(N142="základní",J142,0)</f>
        <v>0</v>
      </c>
      <c r="BF142" s="221">
        <f>IF(N142="snížená",J142,0)</f>
        <v>0</v>
      </c>
      <c r="BG142" s="221">
        <f>IF(N142="zákl. přenesená",J142,0)</f>
        <v>0</v>
      </c>
      <c r="BH142" s="221">
        <f>IF(N142="sníž. přenesená",J142,0)</f>
        <v>0</v>
      </c>
      <c r="BI142" s="221">
        <f>IF(N142="nulová",J142,0)</f>
        <v>0</v>
      </c>
      <c r="BJ142" s="18" t="s">
        <v>86</v>
      </c>
      <c r="BK142" s="221">
        <f>ROUND(I142*H142,1)</f>
        <v>0</v>
      </c>
      <c r="BL142" s="18" t="s">
        <v>310</v>
      </c>
      <c r="BM142" s="220" t="s">
        <v>3746</v>
      </c>
    </row>
    <row r="143" s="2" customFormat="1">
      <c r="A143" s="40"/>
      <c r="B143" s="41"/>
      <c r="C143" s="42"/>
      <c r="D143" s="222" t="s">
        <v>209</v>
      </c>
      <c r="E143" s="42"/>
      <c r="F143" s="223" t="s">
        <v>3747</v>
      </c>
      <c r="G143" s="42"/>
      <c r="H143" s="42"/>
      <c r="I143" s="224"/>
      <c r="J143" s="42"/>
      <c r="K143" s="42"/>
      <c r="L143" s="46"/>
      <c r="M143" s="225"/>
      <c r="N143" s="226"/>
      <c r="O143" s="86"/>
      <c r="P143" s="86"/>
      <c r="Q143" s="86"/>
      <c r="R143" s="86"/>
      <c r="S143" s="86"/>
      <c r="T143" s="87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T143" s="18" t="s">
        <v>209</v>
      </c>
      <c r="AU143" s="18" t="s">
        <v>88</v>
      </c>
    </row>
    <row r="144" s="2" customFormat="1" ht="16.5" customHeight="1">
      <c r="A144" s="40"/>
      <c r="B144" s="41"/>
      <c r="C144" s="209" t="s">
        <v>379</v>
      </c>
      <c r="D144" s="209" t="s">
        <v>202</v>
      </c>
      <c r="E144" s="210" t="s">
        <v>3748</v>
      </c>
      <c r="F144" s="211" t="s">
        <v>3749</v>
      </c>
      <c r="G144" s="212" t="s">
        <v>1094</v>
      </c>
      <c r="H144" s="213">
        <v>1</v>
      </c>
      <c r="I144" s="214"/>
      <c r="J144" s="215">
        <f>ROUND(I144*H144,1)</f>
        <v>0</v>
      </c>
      <c r="K144" s="211" t="s">
        <v>206</v>
      </c>
      <c r="L144" s="46"/>
      <c r="M144" s="216" t="s">
        <v>32</v>
      </c>
      <c r="N144" s="217" t="s">
        <v>49</v>
      </c>
      <c r="O144" s="86"/>
      <c r="P144" s="218">
        <f>O144*H144</f>
        <v>0</v>
      </c>
      <c r="Q144" s="218">
        <v>0.0014</v>
      </c>
      <c r="R144" s="218">
        <f>Q144*H144</f>
        <v>0.0014</v>
      </c>
      <c r="S144" s="218">
        <v>0</v>
      </c>
      <c r="T144" s="219">
        <f>S144*H144</f>
        <v>0</v>
      </c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R144" s="220" t="s">
        <v>310</v>
      </c>
      <c r="AT144" s="220" t="s">
        <v>202</v>
      </c>
      <c r="AU144" s="220" t="s">
        <v>88</v>
      </c>
      <c r="AY144" s="18" t="s">
        <v>200</v>
      </c>
      <c r="BE144" s="221">
        <f>IF(N144="základní",J144,0)</f>
        <v>0</v>
      </c>
      <c r="BF144" s="221">
        <f>IF(N144="snížená",J144,0)</f>
        <v>0</v>
      </c>
      <c r="BG144" s="221">
        <f>IF(N144="zákl. přenesená",J144,0)</f>
        <v>0</v>
      </c>
      <c r="BH144" s="221">
        <f>IF(N144="sníž. přenesená",J144,0)</f>
        <v>0</v>
      </c>
      <c r="BI144" s="221">
        <f>IF(N144="nulová",J144,0)</f>
        <v>0</v>
      </c>
      <c r="BJ144" s="18" t="s">
        <v>86</v>
      </c>
      <c r="BK144" s="221">
        <f>ROUND(I144*H144,1)</f>
        <v>0</v>
      </c>
      <c r="BL144" s="18" t="s">
        <v>310</v>
      </c>
      <c r="BM144" s="220" t="s">
        <v>3750</v>
      </c>
    </row>
    <row r="145" s="2" customFormat="1">
      <c r="A145" s="40"/>
      <c r="B145" s="41"/>
      <c r="C145" s="42"/>
      <c r="D145" s="222" t="s">
        <v>209</v>
      </c>
      <c r="E145" s="42"/>
      <c r="F145" s="223" t="s">
        <v>3751</v>
      </c>
      <c r="G145" s="42"/>
      <c r="H145" s="42"/>
      <c r="I145" s="224"/>
      <c r="J145" s="42"/>
      <c r="K145" s="42"/>
      <c r="L145" s="46"/>
      <c r="M145" s="225"/>
      <c r="N145" s="226"/>
      <c r="O145" s="86"/>
      <c r="P145" s="86"/>
      <c r="Q145" s="86"/>
      <c r="R145" s="86"/>
      <c r="S145" s="86"/>
      <c r="T145" s="87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T145" s="18" t="s">
        <v>209</v>
      </c>
      <c r="AU145" s="18" t="s">
        <v>88</v>
      </c>
    </row>
    <row r="146" s="2" customFormat="1" ht="24.15" customHeight="1">
      <c r="A146" s="40"/>
      <c r="B146" s="41"/>
      <c r="C146" s="209" t="s">
        <v>385</v>
      </c>
      <c r="D146" s="209" t="s">
        <v>202</v>
      </c>
      <c r="E146" s="210" t="s">
        <v>3752</v>
      </c>
      <c r="F146" s="211" t="s">
        <v>3753</v>
      </c>
      <c r="G146" s="212" t="s">
        <v>1094</v>
      </c>
      <c r="H146" s="213">
        <v>1</v>
      </c>
      <c r="I146" s="214"/>
      <c r="J146" s="215">
        <f>ROUND(I146*H146,1)</f>
        <v>0</v>
      </c>
      <c r="K146" s="211" t="s">
        <v>206</v>
      </c>
      <c r="L146" s="46"/>
      <c r="M146" s="216" t="s">
        <v>32</v>
      </c>
      <c r="N146" s="217" t="s">
        <v>49</v>
      </c>
      <c r="O146" s="86"/>
      <c r="P146" s="218">
        <f>O146*H146</f>
        <v>0</v>
      </c>
      <c r="Q146" s="218">
        <v>0.00428</v>
      </c>
      <c r="R146" s="218">
        <f>Q146*H146</f>
        <v>0.00428</v>
      </c>
      <c r="S146" s="218">
        <v>0</v>
      </c>
      <c r="T146" s="219">
        <f>S146*H146</f>
        <v>0</v>
      </c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R146" s="220" t="s">
        <v>310</v>
      </c>
      <c r="AT146" s="220" t="s">
        <v>202</v>
      </c>
      <c r="AU146" s="220" t="s">
        <v>88</v>
      </c>
      <c r="AY146" s="18" t="s">
        <v>200</v>
      </c>
      <c r="BE146" s="221">
        <f>IF(N146="základní",J146,0)</f>
        <v>0</v>
      </c>
      <c r="BF146" s="221">
        <f>IF(N146="snížená",J146,0)</f>
        <v>0</v>
      </c>
      <c r="BG146" s="221">
        <f>IF(N146="zákl. přenesená",J146,0)</f>
        <v>0</v>
      </c>
      <c r="BH146" s="221">
        <f>IF(N146="sníž. přenesená",J146,0)</f>
        <v>0</v>
      </c>
      <c r="BI146" s="221">
        <f>IF(N146="nulová",J146,0)</f>
        <v>0</v>
      </c>
      <c r="BJ146" s="18" t="s">
        <v>86</v>
      </c>
      <c r="BK146" s="221">
        <f>ROUND(I146*H146,1)</f>
        <v>0</v>
      </c>
      <c r="BL146" s="18" t="s">
        <v>310</v>
      </c>
      <c r="BM146" s="220" t="s">
        <v>3754</v>
      </c>
    </row>
    <row r="147" s="2" customFormat="1">
      <c r="A147" s="40"/>
      <c r="B147" s="41"/>
      <c r="C147" s="42"/>
      <c r="D147" s="222" t="s">
        <v>209</v>
      </c>
      <c r="E147" s="42"/>
      <c r="F147" s="223" t="s">
        <v>3755</v>
      </c>
      <c r="G147" s="42"/>
      <c r="H147" s="42"/>
      <c r="I147" s="224"/>
      <c r="J147" s="42"/>
      <c r="K147" s="42"/>
      <c r="L147" s="46"/>
      <c r="M147" s="225"/>
      <c r="N147" s="226"/>
      <c r="O147" s="86"/>
      <c r="P147" s="86"/>
      <c r="Q147" s="86"/>
      <c r="R147" s="86"/>
      <c r="S147" s="86"/>
      <c r="T147" s="87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T147" s="18" t="s">
        <v>209</v>
      </c>
      <c r="AU147" s="18" t="s">
        <v>88</v>
      </c>
    </row>
    <row r="148" s="2" customFormat="1" ht="24.15" customHeight="1">
      <c r="A148" s="40"/>
      <c r="B148" s="41"/>
      <c r="C148" s="209" t="s">
        <v>391</v>
      </c>
      <c r="D148" s="209" t="s">
        <v>202</v>
      </c>
      <c r="E148" s="210" t="s">
        <v>3756</v>
      </c>
      <c r="F148" s="211" t="s">
        <v>3757</v>
      </c>
      <c r="G148" s="212" t="s">
        <v>449</v>
      </c>
      <c r="H148" s="213">
        <v>1</v>
      </c>
      <c r="I148" s="214"/>
      <c r="J148" s="215">
        <f>ROUND(I148*H148,1)</f>
        <v>0</v>
      </c>
      <c r="K148" s="211" t="s">
        <v>206</v>
      </c>
      <c r="L148" s="46"/>
      <c r="M148" s="216" t="s">
        <v>32</v>
      </c>
      <c r="N148" s="217" t="s">
        <v>49</v>
      </c>
      <c r="O148" s="86"/>
      <c r="P148" s="218">
        <f>O148*H148</f>
        <v>0</v>
      </c>
      <c r="Q148" s="218">
        <v>0.00023000000000000001</v>
      </c>
      <c r="R148" s="218">
        <f>Q148*H148</f>
        <v>0.00023000000000000001</v>
      </c>
      <c r="S148" s="218">
        <v>0</v>
      </c>
      <c r="T148" s="219">
        <f>S148*H148</f>
        <v>0</v>
      </c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R148" s="220" t="s">
        <v>310</v>
      </c>
      <c r="AT148" s="220" t="s">
        <v>202</v>
      </c>
      <c r="AU148" s="220" t="s">
        <v>88</v>
      </c>
      <c r="AY148" s="18" t="s">
        <v>200</v>
      </c>
      <c r="BE148" s="221">
        <f>IF(N148="základní",J148,0)</f>
        <v>0</v>
      </c>
      <c r="BF148" s="221">
        <f>IF(N148="snížená",J148,0)</f>
        <v>0</v>
      </c>
      <c r="BG148" s="221">
        <f>IF(N148="zákl. přenesená",J148,0)</f>
        <v>0</v>
      </c>
      <c r="BH148" s="221">
        <f>IF(N148="sníž. přenesená",J148,0)</f>
        <v>0</v>
      </c>
      <c r="BI148" s="221">
        <f>IF(N148="nulová",J148,0)</f>
        <v>0</v>
      </c>
      <c r="BJ148" s="18" t="s">
        <v>86</v>
      </c>
      <c r="BK148" s="221">
        <f>ROUND(I148*H148,1)</f>
        <v>0</v>
      </c>
      <c r="BL148" s="18" t="s">
        <v>310</v>
      </c>
      <c r="BM148" s="220" t="s">
        <v>3758</v>
      </c>
    </row>
    <row r="149" s="2" customFormat="1">
      <c r="A149" s="40"/>
      <c r="B149" s="41"/>
      <c r="C149" s="42"/>
      <c r="D149" s="222" t="s">
        <v>209</v>
      </c>
      <c r="E149" s="42"/>
      <c r="F149" s="223" t="s">
        <v>3759</v>
      </c>
      <c r="G149" s="42"/>
      <c r="H149" s="42"/>
      <c r="I149" s="224"/>
      <c r="J149" s="42"/>
      <c r="K149" s="42"/>
      <c r="L149" s="46"/>
      <c r="M149" s="225"/>
      <c r="N149" s="226"/>
      <c r="O149" s="86"/>
      <c r="P149" s="86"/>
      <c r="Q149" s="86"/>
      <c r="R149" s="86"/>
      <c r="S149" s="86"/>
      <c r="T149" s="87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T149" s="18" t="s">
        <v>209</v>
      </c>
      <c r="AU149" s="18" t="s">
        <v>88</v>
      </c>
    </row>
    <row r="150" s="2" customFormat="1" ht="21.75" customHeight="1">
      <c r="A150" s="40"/>
      <c r="B150" s="41"/>
      <c r="C150" s="209" t="s">
        <v>397</v>
      </c>
      <c r="D150" s="209" t="s">
        <v>202</v>
      </c>
      <c r="E150" s="210" t="s">
        <v>3760</v>
      </c>
      <c r="F150" s="211" t="s">
        <v>3761</v>
      </c>
      <c r="G150" s="212" t="s">
        <v>449</v>
      </c>
      <c r="H150" s="213">
        <v>1</v>
      </c>
      <c r="I150" s="214"/>
      <c r="J150" s="215">
        <f>ROUND(I150*H150,1)</f>
        <v>0</v>
      </c>
      <c r="K150" s="211" t="s">
        <v>206</v>
      </c>
      <c r="L150" s="46"/>
      <c r="M150" s="216" t="s">
        <v>32</v>
      </c>
      <c r="N150" s="217" t="s">
        <v>49</v>
      </c>
      <c r="O150" s="86"/>
      <c r="P150" s="218">
        <f>O150*H150</f>
        <v>0</v>
      </c>
      <c r="Q150" s="218">
        <v>0.00059000000000000003</v>
      </c>
      <c r="R150" s="218">
        <f>Q150*H150</f>
        <v>0.00059000000000000003</v>
      </c>
      <c r="S150" s="218">
        <v>0</v>
      </c>
      <c r="T150" s="219">
        <f>S150*H150</f>
        <v>0</v>
      </c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R150" s="220" t="s">
        <v>310</v>
      </c>
      <c r="AT150" s="220" t="s">
        <v>202</v>
      </c>
      <c r="AU150" s="220" t="s">
        <v>88</v>
      </c>
      <c r="AY150" s="18" t="s">
        <v>200</v>
      </c>
      <c r="BE150" s="221">
        <f>IF(N150="základní",J150,0)</f>
        <v>0</v>
      </c>
      <c r="BF150" s="221">
        <f>IF(N150="snížená",J150,0)</f>
        <v>0</v>
      </c>
      <c r="BG150" s="221">
        <f>IF(N150="zákl. přenesená",J150,0)</f>
        <v>0</v>
      </c>
      <c r="BH150" s="221">
        <f>IF(N150="sníž. přenesená",J150,0)</f>
        <v>0</v>
      </c>
      <c r="BI150" s="221">
        <f>IF(N150="nulová",J150,0)</f>
        <v>0</v>
      </c>
      <c r="BJ150" s="18" t="s">
        <v>86</v>
      </c>
      <c r="BK150" s="221">
        <f>ROUND(I150*H150,1)</f>
        <v>0</v>
      </c>
      <c r="BL150" s="18" t="s">
        <v>310</v>
      </c>
      <c r="BM150" s="220" t="s">
        <v>3762</v>
      </c>
    </row>
    <row r="151" s="2" customFormat="1">
      <c r="A151" s="40"/>
      <c r="B151" s="41"/>
      <c r="C151" s="42"/>
      <c r="D151" s="222" t="s">
        <v>209</v>
      </c>
      <c r="E151" s="42"/>
      <c r="F151" s="223" t="s">
        <v>3763</v>
      </c>
      <c r="G151" s="42"/>
      <c r="H151" s="42"/>
      <c r="I151" s="224"/>
      <c r="J151" s="42"/>
      <c r="K151" s="42"/>
      <c r="L151" s="46"/>
      <c r="M151" s="225"/>
      <c r="N151" s="226"/>
      <c r="O151" s="86"/>
      <c r="P151" s="86"/>
      <c r="Q151" s="86"/>
      <c r="R151" s="86"/>
      <c r="S151" s="86"/>
      <c r="T151" s="87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T151" s="18" t="s">
        <v>209</v>
      </c>
      <c r="AU151" s="18" t="s">
        <v>88</v>
      </c>
    </row>
    <row r="152" s="2" customFormat="1" ht="21.75" customHeight="1">
      <c r="A152" s="40"/>
      <c r="B152" s="41"/>
      <c r="C152" s="209" t="s">
        <v>402</v>
      </c>
      <c r="D152" s="209" t="s">
        <v>202</v>
      </c>
      <c r="E152" s="210" t="s">
        <v>3764</v>
      </c>
      <c r="F152" s="211" t="s">
        <v>3765</v>
      </c>
      <c r="G152" s="212" t="s">
        <v>449</v>
      </c>
      <c r="H152" s="213">
        <v>2</v>
      </c>
      <c r="I152" s="214"/>
      <c r="J152" s="215">
        <f>ROUND(I152*H152,1)</f>
        <v>0</v>
      </c>
      <c r="K152" s="211" t="s">
        <v>206</v>
      </c>
      <c r="L152" s="46"/>
      <c r="M152" s="216" t="s">
        <v>32</v>
      </c>
      <c r="N152" s="217" t="s">
        <v>49</v>
      </c>
      <c r="O152" s="86"/>
      <c r="P152" s="218">
        <f>O152*H152</f>
        <v>0</v>
      </c>
      <c r="Q152" s="218">
        <v>0.00088000000000000003</v>
      </c>
      <c r="R152" s="218">
        <f>Q152*H152</f>
        <v>0.0017600000000000001</v>
      </c>
      <c r="S152" s="218">
        <v>0</v>
      </c>
      <c r="T152" s="219">
        <f>S152*H152</f>
        <v>0</v>
      </c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R152" s="220" t="s">
        <v>310</v>
      </c>
      <c r="AT152" s="220" t="s">
        <v>202</v>
      </c>
      <c r="AU152" s="220" t="s">
        <v>88</v>
      </c>
      <c r="AY152" s="18" t="s">
        <v>200</v>
      </c>
      <c r="BE152" s="221">
        <f>IF(N152="základní",J152,0)</f>
        <v>0</v>
      </c>
      <c r="BF152" s="221">
        <f>IF(N152="snížená",J152,0)</f>
        <v>0</v>
      </c>
      <c r="BG152" s="221">
        <f>IF(N152="zákl. přenesená",J152,0)</f>
        <v>0</v>
      </c>
      <c r="BH152" s="221">
        <f>IF(N152="sníž. přenesená",J152,0)</f>
        <v>0</v>
      </c>
      <c r="BI152" s="221">
        <f>IF(N152="nulová",J152,0)</f>
        <v>0</v>
      </c>
      <c r="BJ152" s="18" t="s">
        <v>86</v>
      </c>
      <c r="BK152" s="221">
        <f>ROUND(I152*H152,1)</f>
        <v>0</v>
      </c>
      <c r="BL152" s="18" t="s">
        <v>310</v>
      </c>
      <c r="BM152" s="220" t="s">
        <v>3766</v>
      </c>
    </row>
    <row r="153" s="2" customFormat="1">
      <c r="A153" s="40"/>
      <c r="B153" s="41"/>
      <c r="C153" s="42"/>
      <c r="D153" s="222" t="s">
        <v>209</v>
      </c>
      <c r="E153" s="42"/>
      <c r="F153" s="223" t="s">
        <v>3767</v>
      </c>
      <c r="G153" s="42"/>
      <c r="H153" s="42"/>
      <c r="I153" s="224"/>
      <c r="J153" s="42"/>
      <c r="K153" s="42"/>
      <c r="L153" s="46"/>
      <c r="M153" s="225"/>
      <c r="N153" s="226"/>
      <c r="O153" s="86"/>
      <c r="P153" s="86"/>
      <c r="Q153" s="86"/>
      <c r="R153" s="86"/>
      <c r="S153" s="86"/>
      <c r="T153" s="87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T153" s="18" t="s">
        <v>209</v>
      </c>
      <c r="AU153" s="18" t="s">
        <v>88</v>
      </c>
    </row>
    <row r="154" s="2" customFormat="1" ht="24.15" customHeight="1">
      <c r="A154" s="40"/>
      <c r="B154" s="41"/>
      <c r="C154" s="209" t="s">
        <v>409</v>
      </c>
      <c r="D154" s="209" t="s">
        <v>202</v>
      </c>
      <c r="E154" s="210" t="s">
        <v>3768</v>
      </c>
      <c r="F154" s="211" t="s">
        <v>3769</v>
      </c>
      <c r="G154" s="212" t="s">
        <v>2291</v>
      </c>
      <c r="H154" s="287"/>
      <c r="I154" s="214"/>
      <c r="J154" s="215">
        <f>ROUND(I154*H154,1)</f>
        <v>0</v>
      </c>
      <c r="K154" s="211" t="s">
        <v>206</v>
      </c>
      <c r="L154" s="46"/>
      <c r="M154" s="216" t="s">
        <v>32</v>
      </c>
      <c r="N154" s="217" t="s">
        <v>49</v>
      </c>
      <c r="O154" s="86"/>
      <c r="P154" s="218">
        <f>O154*H154</f>
        <v>0</v>
      </c>
      <c r="Q154" s="218">
        <v>0</v>
      </c>
      <c r="R154" s="218">
        <f>Q154*H154</f>
        <v>0</v>
      </c>
      <c r="S154" s="218">
        <v>0</v>
      </c>
      <c r="T154" s="219">
        <f>S154*H154</f>
        <v>0</v>
      </c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R154" s="220" t="s">
        <v>310</v>
      </c>
      <c r="AT154" s="220" t="s">
        <v>202</v>
      </c>
      <c r="AU154" s="220" t="s">
        <v>88</v>
      </c>
      <c r="AY154" s="18" t="s">
        <v>200</v>
      </c>
      <c r="BE154" s="221">
        <f>IF(N154="základní",J154,0)</f>
        <v>0</v>
      </c>
      <c r="BF154" s="221">
        <f>IF(N154="snížená",J154,0)</f>
        <v>0</v>
      </c>
      <c r="BG154" s="221">
        <f>IF(N154="zákl. přenesená",J154,0)</f>
        <v>0</v>
      </c>
      <c r="BH154" s="221">
        <f>IF(N154="sníž. přenesená",J154,0)</f>
        <v>0</v>
      </c>
      <c r="BI154" s="221">
        <f>IF(N154="nulová",J154,0)</f>
        <v>0</v>
      </c>
      <c r="BJ154" s="18" t="s">
        <v>86</v>
      </c>
      <c r="BK154" s="221">
        <f>ROUND(I154*H154,1)</f>
        <v>0</v>
      </c>
      <c r="BL154" s="18" t="s">
        <v>310</v>
      </c>
      <c r="BM154" s="220" t="s">
        <v>3770</v>
      </c>
    </row>
    <row r="155" s="2" customFormat="1">
      <c r="A155" s="40"/>
      <c r="B155" s="41"/>
      <c r="C155" s="42"/>
      <c r="D155" s="222" t="s">
        <v>209</v>
      </c>
      <c r="E155" s="42"/>
      <c r="F155" s="223" t="s">
        <v>3771</v>
      </c>
      <c r="G155" s="42"/>
      <c r="H155" s="42"/>
      <c r="I155" s="224"/>
      <c r="J155" s="42"/>
      <c r="K155" s="42"/>
      <c r="L155" s="46"/>
      <c r="M155" s="225"/>
      <c r="N155" s="226"/>
      <c r="O155" s="86"/>
      <c r="P155" s="86"/>
      <c r="Q155" s="86"/>
      <c r="R155" s="86"/>
      <c r="S155" s="86"/>
      <c r="T155" s="87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T155" s="18" t="s">
        <v>209</v>
      </c>
      <c r="AU155" s="18" t="s">
        <v>88</v>
      </c>
    </row>
    <row r="156" s="12" customFormat="1" ht="22.8" customHeight="1">
      <c r="A156" s="12"/>
      <c r="B156" s="193"/>
      <c r="C156" s="194"/>
      <c r="D156" s="195" t="s">
        <v>77</v>
      </c>
      <c r="E156" s="207" t="s">
        <v>3772</v>
      </c>
      <c r="F156" s="207" t="s">
        <v>3773</v>
      </c>
      <c r="G156" s="194"/>
      <c r="H156" s="194"/>
      <c r="I156" s="197"/>
      <c r="J156" s="208">
        <f>BK156</f>
        <v>0</v>
      </c>
      <c r="K156" s="194"/>
      <c r="L156" s="199"/>
      <c r="M156" s="200"/>
      <c r="N156" s="201"/>
      <c r="O156" s="201"/>
      <c r="P156" s="202">
        <f>SUM(P157:P160)</f>
        <v>0</v>
      </c>
      <c r="Q156" s="201"/>
      <c r="R156" s="202">
        <f>SUM(R157:R160)</f>
        <v>0.0012000000000000001</v>
      </c>
      <c r="S156" s="201"/>
      <c r="T156" s="203">
        <f>SUM(T157:T160)</f>
        <v>0</v>
      </c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R156" s="204" t="s">
        <v>88</v>
      </c>
      <c r="AT156" s="205" t="s">
        <v>77</v>
      </c>
      <c r="AU156" s="205" t="s">
        <v>86</v>
      </c>
      <c r="AY156" s="204" t="s">
        <v>200</v>
      </c>
      <c r="BK156" s="206">
        <f>SUM(BK157:BK160)</f>
        <v>0</v>
      </c>
    </row>
    <row r="157" s="2" customFormat="1" ht="24.15" customHeight="1">
      <c r="A157" s="40"/>
      <c r="B157" s="41"/>
      <c r="C157" s="209" t="s">
        <v>416</v>
      </c>
      <c r="D157" s="209" t="s">
        <v>202</v>
      </c>
      <c r="E157" s="210" t="s">
        <v>3774</v>
      </c>
      <c r="F157" s="211" t="s">
        <v>3775</v>
      </c>
      <c r="G157" s="212" t="s">
        <v>280</v>
      </c>
      <c r="H157" s="213">
        <v>24</v>
      </c>
      <c r="I157" s="214"/>
      <c r="J157" s="215">
        <f>ROUND(I157*H157,1)</f>
        <v>0</v>
      </c>
      <c r="K157" s="211" t="s">
        <v>206</v>
      </c>
      <c r="L157" s="46"/>
      <c r="M157" s="216" t="s">
        <v>32</v>
      </c>
      <c r="N157" s="217" t="s">
        <v>49</v>
      </c>
      <c r="O157" s="86"/>
      <c r="P157" s="218">
        <f>O157*H157</f>
        <v>0</v>
      </c>
      <c r="Q157" s="218">
        <v>2.0000000000000002E-05</v>
      </c>
      <c r="R157" s="218">
        <f>Q157*H157</f>
        <v>0.00048000000000000007</v>
      </c>
      <c r="S157" s="218">
        <v>0</v>
      </c>
      <c r="T157" s="219">
        <f>S157*H157</f>
        <v>0</v>
      </c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R157" s="220" t="s">
        <v>310</v>
      </c>
      <c r="AT157" s="220" t="s">
        <v>202</v>
      </c>
      <c r="AU157" s="220" t="s">
        <v>88</v>
      </c>
      <c r="AY157" s="18" t="s">
        <v>200</v>
      </c>
      <c r="BE157" s="221">
        <f>IF(N157="základní",J157,0)</f>
        <v>0</v>
      </c>
      <c r="BF157" s="221">
        <f>IF(N157="snížená",J157,0)</f>
        <v>0</v>
      </c>
      <c r="BG157" s="221">
        <f>IF(N157="zákl. přenesená",J157,0)</f>
        <v>0</v>
      </c>
      <c r="BH157" s="221">
        <f>IF(N157="sníž. přenesená",J157,0)</f>
        <v>0</v>
      </c>
      <c r="BI157" s="221">
        <f>IF(N157="nulová",J157,0)</f>
        <v>0</v>
      </c>
      <c r="BJ157" s="18" t="s">
        <v>86</v>
      </c>
      <c r="BK157" s="221">
        <f>ROUND(I157*H157,1)</f>
        <v>0</v>
      </c>
      <c r="BL157" s="18" t="s">
        <v>310</v>
      </c>
      <c r="BM157" s="220" t="s">
        <v>3776</v>
      </c>
    </row>
    <row r="158" s="2" customFormat="1">
      <c r="A158" s="40"/>
      <c r="B158" s="41"/>
      <c r="C158" s="42"/>
      <c r="D158" s="222" t="s">
        <v>209</v>
      </c>
      <c r="E158" s="42"/>
      <c r="F158" s="223" t="s">
        <v>3777</v>
      </c>
      <c r="G158" s="42"/>
      <c r="H158" s="42"/>
      <c r="I158" s="224"/>
      <c r="J158" s="42"/>
      <c r="K158" s="42"/>
      <c r="L158" s="46"/>
      <c r="M158" s="225"/>
      <c r="N158" s="226"/>
      <c r="O158" s="86"/>
      <c r="P158" s="86"/>
      <c r="Q158" s="86"/>
      <c r="R158" s="86"/>
      <c r="S158" s="86"/>
      <c r="T158" s="87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T158" s="18" t="s">
        <v>209</v>
      </c>
      <c r="AU158" s="18" t="s">
        <v>88</v>
      </c>
    </row>
    <row r="159" s="2" customFormat="1" ht="21.75" customHeight="1">
      <c r="A159" s="40"/>
      <c r="B159" s="41"/>
      <c r="C159" s="209" t="s">
        <v>422</v>
      </c>
      <c r="D159" s="209" t="s">
        <v>202</v>
      </c>
      <c r="E159" s="210" t="s">
        <v>3778</v>
      </c>
      <c r="F159" s="211" t="s">
        <v>3779</v>
      </c>
      <c r="G159" s="212" t="s">
        <v>280</v>
      </c>
      <c r="H159" s="213">
        <v>24</v>
      </c>
      <c r="I159" s="214"/>
      <c r="J159" s="215">
        <f>ROUND(I159*H159,1)</f>
        <v>0</v>
      </c>
      <c r="K159" s="211" t="s">
        <v>206</v>
      </c>
      <c r="L159" s="46"/>
      <c r="M159" s="216" t="s">
        <v>32</v>
      </c>
      <c r="N159" s="217" t="s">
        <v>49</v>
      </c>
      <c r="O159" s="86"/>
      <c r="P159" s="218">
        <f>O159*H159</f>
        <v>0</v>
      </c>
      <c r="Q159" s="218">
        <v>3.0000000000000001E-05</v>
      </c>
      <c r="R159" s="218">
        <f>Q159*H159</f>
        <v>0.00072000000000000005</v>
      </c>
      <c r="S159" s="218">
        <v>0</v>
      </c>
      <c r="T159" s="219">
        <f>S159*H159</f>
        <v>0</v>
      </c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R159" s="220" t="s">
        <v>310</v>
      </c>
      <c r="AT159" s="220" t="s">
        <v>202</v>
      </c>
      <c r="AU159" s="220" t="s">
        <v>88</v>
      </c>
      <c r="AY159" s="18" t="s">
        <v>200</v>
      </c>
      <c r="BE159" s="221">
        <f>IF(N159="základní",J159,0)</f>
        <v>0</v>
      </c>
      <c r="BF159" s="221">
        <f>IF(N159="snížená",J159,0)</f>
        <v>0</v>
      </c>
      <c r="BG159" s="221">
        <f>IF(N159="zákl. přenesená",J159,0)</f>
        <v>0</v>
      </c>
      <c r="BH159" s="221">
        <f>IF(N159="sníž. přenesená",J159,0)</f>
        <v>0</v>
      </c>
      <c r="BI159" s="221">
        <f>IF(N159="nulová",J159,0)</f>
        <v>0</v>
      </c>
      <c r="BJ159" s="18" t="s">
        <v>86</v>
      </c>
      <c r="BK159" s="221">
        <f>ROUND(I159*H159,1)</f>
        <v>0</v>
      </c>
      <c r="BL159" s="18" t="s">
        <v>310</v>
      </c>
      <c r="BM159" s="220" t="s">
        <v>3780</v>
      </c>
    </row>
    <row r="160" s="2" customFormat="1">
      <c r="A160" s="40"/>
      <c r="B160" s="41"/>
      <c r="C160" s="42"/>
      <c r="D160" s="222" t="s">
        <v>209</v>
      </c>
      <c r="E160" s="42"/>
      <c r="F160" s="223" t="s">
        <v>3781</v>
      </c>
      <c r="G160" s="42"/>
      <c r="H160" s="42"/>
      <c r="I160" s="224"/>
      <c r="J160" s="42"/>
      <c r="K160" s="42"/>
      <c r="L160" s="46"/>
      <c r="M160" s="225"/>
      <c r="N160" s="226"/>
      <c r="O160" s="86"/>
      <c r="P160" s="86"/>
      <c r="Q160" s="86"/>
      <c r="R160" s="86"/>
      <c r="S160" s="86"/>
      <c r="T160" s="87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T160" s="18" t="s">
        <v>209</v>
      </c>
      <c r="AU160" s="18" t="s">
        <v>88</v>
      </c>
    </row>
    <row r="161" s="12" customFormat="1" ht="25.92" customHeight="1">
      <c r="A161" s="12"/>
      <c r="B161" s="193"/>
      <c r="C161" s="194"/>
      <c r="D161" s="195" t="s">
        <v>77</v>
      </c>
      <c r="E161" s="196" t="s">
        <v>292</v>
      </c>
      <c r="F161" s="196" t="s">
        <v>3782</v>
      </c>
      <c r="G161" s="194"/>
      <c r="H161" s="194"/>
      <c r="I161" s="197"/>
      <c r="J161" s="198">
        <f>BK161</f>
        <v>0</v>
      </c>
      <c r="K161" s="194"/>
      <c r="L161" s="199"/>
      <c r="M161" s="200"/>
      <c r="N161" s="201"/>
      <c r="O161" s="201"/>
      <c r="P161" s="202">
        <f>P162+P199</f>
        <v>0</v>
      </c>
      <c r="Q161" s="201"/>
      <c r="R161" s="202">
        <f>R162+R199</f>
        <v>0.12667000000000001</v>
      </c>
      <c r="S161" s="201"/>
      <c r="T161" s="203">
        <f>T162+T199</f>
        <v>0</v>
      </c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R161" s="204" t="s">
        <v>148</v>
      </c>
      <c r="AT161" s="205" t="s">
        <v>77</v>
      </c>
      <c r="AU161" s="205" t="s">
        <v>78</v>
      </c>
      <c r="AY161" s="204" t="s">
        <v>200</v>
      </c>
      <c r="BK161" s="206">
        <f>BK162+BK199</f>
        <v>0</v>
      </c>
    </row>
    <row r="162" s="12" customFormat="1" ht="22.8" customHeight="1">
      <c r="A162" s="12"/>
      <c r="B162" s="193"/>
      <c r="C162" s="194"/>
      <c r="D162" s="195" t="s">
        <v>77</v>
      </c>
      <c r="E162" s="207" t="s">
        <v>3783</v>
      </c>
      <c r="F162" s="207" t="s">
        <v>3784</v>
      </c>
      <c r="G162" s="194"/>
      <c r="H162" s="194"/>
      <c r="I162" s="197"/>
      <c r="J162" s="208">
        <f>BK162</f>
        <v>0</v>
      </c>
      <c r="K162" s="194"/>
      <c r="L162" s="199"/>
      <c r="M162" s="200"/>
      <c r="N162" s="201"/>
      <c r="O162" s="201"/>
      <c r="P162" s="202">
        <f>SUM(P163:P198)</f>
        <v>0</v>
      </c>
      <c r="Q162" s="201"/>
      <c r="R162" s="202">
        <f>SUM(R163:R198)</f>
        <v>0.12667000000000001</v>
      </c>
      <c r="S162" s="201"/>
      <c r="T162" s="203">
        <f>SUM(T163:T198)</f>
        <v>0</v>
      </c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R162" s="204" t="s">
        <v>148</v>
      </c>
      <c r="AT162" s="205" t="s">
        <v>77</v>
      </c>
      <c r="AU162" s="205" t="s">
        <v>86</v>
      </c>
      <c r="AY162" s="204" t="s">
        <v>200</v>
      </c>
      <c r="BK162" s="206">
        <f>SUM(BK163:BK198)</f>
        <v>0</v>
      </c>
    </row>
    <row r="163" s="2" customFormat="1" ht="16.5" customHeight="1">
      <c r="A163" s="40"/>
      <c r="B163" s="41"/>
      <c r="C163" s="209" t="s">
        <v>429</v>
      </c>
      <c r="D163" s="209" t="s">
        <v>202</v>
      </c>
      <c r="E163" s="210" t="s">
        <v>3785</v>
      </c>
      <c r="F163" s="211" t="s">
        <v>3786</v>
      </c>
      <c r="G163" s="212" t="s">
        <v>1094</v>
      </c>
      <c r="H163" s="213">
        <v>1</v>
      </c>
      <c r="I163" s="214"/>
      <c r="J163" s="215">
        <f>ROUND(I163*H163,1)</f>
        <v>0</v>
      </c>
      <c r="K163" s="211" t="s">
        <v>32</v>
      </c>
      <c r="L163" s="46"/>
      <c r="M163" s="216" t="s">
        <v>32</v>
      </c>
      <c r="N163" s="217" t="s">
        <v>49</v>
      </c>
      <c r="O163" s="86"/>
      <c r="P163" s="218">
        <f>O163*H163</f>
        <v>0</v>
      </c>
      <c r="Q163" s="218">
        <v>0</v>
      </c>
      <c r="R163" s="218">
        <f>Q163*H163</f>
        <v>0</v>
      </c>
      <c r="S163" s="218">
        <v>0</v>
      </c>
      <c r="T163" s="219">
        <f>S163*H163</f>
        <v>0</v>
      </c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R163" s="220" t="s">
        <v>665</v>
      </c>
      <c r="AT163" s="220" t="s">
        <v>202</v>
      </c>
      <c r="AU163" s="220" t="s">
        <v>88</v>
      </c>
      <c r="AY163" s="18" t="s">
        <v>200</v>
      </c>
      <c r="BE163" s="221">
        <f>IF(N163="základní",J163,0)</f>
        <v>0</v>
      </c>
      <c r="BF163" s="221">
        <f>IF(N163="snížená",J163,0)</f>
        <v>0</v>
      </c>
      <c r="BG163" s="221">
        <f>IF(N163="zákl. přenesená",J163,0)</f>
        <v>0</v>
      </c>
      <c r="BH163" s="221">
        <f>IF(N163="sníž. přenesená",J163,0)</f>
        <v>0</v>
      </c>
      <c r="BI163" s="221">
        <f>IF(N163="nulová",J163,0)</f>
        <v>0</v>
      </c>
      <c r="BJ163" s="18" t="s">
        <v>86</v>
      </c>
      <c r="BK163" s="221">
        <f>ROUND(I163*H163,1)</f>
        <v>0</v>
      </c>
      <c r="BL163" s="18" t="s">
        <v>665</v>
      </c>
      <c r="BM163" s="220" t="s">
        <v>3787</v>
      </c>
    </row>
    <row r="164" s="2" customFormat="1" ht="16.5" customHeight="1">
      <c r="A164" s="40"/>
      <c r="B164" s="41"/>
      <c r="C164" s="209" t="s">
        <v>434</v>
      </c>
      <c r="D164" s="209" t="s">
        <v>202</v>
      </c>
      <c r="E164" s="210" t="s">
        <v>3788</v>
      </c>
      <c r="F164" s="211" t="s">
        <v>3789</v>
      </c>
      <c r="G164" s="212" t="s">
        <v>449</v>
      </c>
      <c r="H164" s="213">
        <v>30</v>
      </c>
      <c r="I164" s="214"/>
      <c r="J164" s="215">
        <f>ROUND(I164*H164,1)</f>
        <v>0</v>
      </c>
      <c r="K164" s="211" t="s">
        <v>206</v>
      </c>
      <c r="L164" s="46"/>
      <c r="M164" s="216" t="s">
        <v>32</v>
      </c>
      <c r="N164" s="217" t="s">
        <v>49</v>
      </c>
      <c r="O164" s="86"/>
      <c r="P164" s="218">
        <f>O164*H164</f>
        <v>0</v>
      </c>
      <c r="Q164" s="218">
        <v>0</v>
      </c>
      <c r="R164" s="218">
        <f>Q164*H164</f>
        <v>0</v>
      </c>
      <c r="S164" s="218">
        <v>0</v>
      </c>
      <c r="T164" s="219">
        <f>S164*H164</f>
        <v>0</v>
      </c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R164" s="220" t="s">
        <v>665</v>
      </c>
      <c r="AT164" s="220" t="s">
        <v>202</v>
      </c>
      <c r="AU164" s="220" t="s">
        <v>88</v>
      </c>
      <c r="AY164" s="18" t="s">
        <v>200</v>
      </c>
      <c r="BE164" s="221">
        <f>IF(N164="základní",J164,0)</f>
        <v>0</v>
      </c>
      <c r="BF164" s="221">
        <f>IF(N164="snížená",J164,0)</f>
        <v>0</v>
      </c>
      <c r="BG164" s="221">
        <f>IF(N164="zákl. přenesená",J164,0)</f>
        <v>0</v>
      </c>
      <c r="BH164" s="221">
        <f>IF(N164="sníž. přenesená",J164,0)</f>
        <v>0</v>
      </c>
      <c r="BI164" s="221">
        <f>IF(N164="nulová",J164,0)</f>
        <v>0</v>
      </c>
      <c r="BJ164" s="18" t="s">
        <v>86</v>
      </c>
      <c r="BK164" s="221">
        <f>ROUND(I164*H164,1)</f>
        <v>0</v>
      </c>
      <c r="BL164" s="18" t="s">
        <v>665</v>
      </c>
      <c r="BM164" s="220" t="s">
        <v>3790</v>
      </c>
    </row>
    <row r="165" s="2" customFormat="1">
      <c r="A165" s="40"/>
      <c r="B165" s="41"/>
      <c r="C165" s="42"/>
      <c r="D165" s="222" t="s">
        <v>209</v>
      </c>
      <c r="E165" s="42"/>
      <c r="F165" s="223" t="s">
        <v>3791</v>
      </c>
      <c r="G165" s="42"/>
      <c r="H165" s="42"/>
      <c r="I165" s="224"/>
      <c r="J165" s="42"/>
      <c r="K165" s="42"/>
      <c r="L165" s="46"/>
      <c r="M165" s="225"/>
      <c r="N165" s="226"/>
      <c r="O165" s="86"/>
      <c r="P165" s="86"/>
      <c r="Q165" s="86"/>
      <c r="R165" s="86"/>
      <c r="S165" s="86"/>
      <c r="T165" s="87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T165" s="18" t="s">
        <v>209</v>
      </c>
      <c r="AU165" s="18" t="s">
        <v>88</v>
      </c>
    </row>
    <row r="166" s="2" customFormat="1" ht="16.5" customHeight="1">
      <c r="A166" s="40"/>
      <c r="B166" s="41"/>
      <c r="C166" s="209" t="s">
        <v>440</v>
      </c>
      <c r="D166" s="209" t="s">
        <v>202</v>
      </c>
      <c r="E166" s="210" t="s">
        <v>3792</v>
      </c>
      <c r="F166" s="211" t="s">
        <v>3793</v>
      </c>
      <c r="G166" s="212" t="s">
        <v>280</v>
      </c>
      <c r="H166" s="213">
        <v>6</v>
      </c>
      <c r="I166" s="214"/>
      <c r="J166" s="215">
        <f>ROUND(I166*H166,1)</f>
        <v>0</v>
      </c>
      <c r="K166" s="211" t="s">
        <v>206</v>
      </c>
      <c r="L166" s="46"/>
      <c r="M166" s="216" t="s">
        <v>32</v>
      </c>
      <c r="N166" s="217" t="s">
        <v>49</v>
      </c>
      <c r="O166" s="86"/>
      <c r="P166" s="218">
        <f>O166*H166</f>
        <v>0</v>
      </c>
      <c r="Q166" s="218">
        <v>0.00012999999999999999</v>
      </c>
      <c r="R166" s="218">
        <f>Q166*H166</f>
        <v>0.00077999999999999988</v>
      </c>
      <c r="S166" s="218">
        <v>0</v>
      </c>
      <c r="T166" s="219">
        <f>S166*H166</f>
        <v>0</v>
      </c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R166" s="220" t="s">
        <v>665</v>
      </c>
      <c r="AT166" s="220" t="s">
        <v>202</v>
      </c>
      <c r="AU166" s="220" t="s">
        <v>88</v>
      </c>
      <c r="AY166" s="18" t="s">
        <v>200</v>
      </c>
      <c r="BE166" s="221">
        <f>IF(N166="základní",J166,0)</f>
        <v>0</v>
      </c>
      <c r="BF166" s="221">
        <f>IF(N166="snížená",J166,0)</f>
        <v>0</v>
      </c>
      <c r="BG166" s="221">
        <f>IF(N166="zákl. přenesená",J166,0)</f>
        <v>0</v>
      </c>
      <c r="BH166" s="221">
        <f>IF(N166="sníž. přenesená",J166,0)</f>
        <v>0</v>
      </c>
      <c r="BI166" s="221">
        <f>IF(N166="nulová",J166,0)</f>
        <v>0</v>
      </c>
      <c r="BJ166" s="18" t="s">
        <v>86</v>
      </c>
      <c r="BK166" s="221">
        <f>ROUND(I166*H166,1)</f>
        <v>0</v>
      </c>
      <c r="BL166" s="18" t="s">
        <v>665</v>
      </c>
      <c r="BM166" s="220" t="s">
        <v>3794</v>
      </c>
    </row>
    <row r="167" s="2" customFormat="1">
      <c r="A167" s="40"/>
      <c r="B167" s="41"/>
      <c r="C167" s="42"/>
      <c r="D167" s="222" t="s">
        <v>209</v>
      </c>
      <c r="E167" s="42"/>
      <c r="F167" s="223" t="s">
        <v>3795</v>
      </c>
      <c r="G167" s="42"/>
      <c r="H167" s="42"/>
      <c r="I167" s="224"/>
      <c r="J167" s="42"/>
      <c r="K167" s="42"/>
      <c r="L167" s="46"/>
      <c r="M167" s="225"/>
      <c r="N167" s="226"/>
      <c r="O167" s="86"/>
      <c r="P167" s="86"/>
      <c r="Q167" s="86"/>
      <c r="R167" s="86"/>
      <c r="S167" s="86"/>
      <c r="T167" s="87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T167" s="18" t="s">
        <v>209</v>
      </c>
      <c r="AU167" s="18" t="s">
        <v>88</v>
      </c>
    </row>
    <row r="168" s="2" customFormat="1" ht="16.5" customHeight="1">
      <c r="A168" s="40"/>
      <c r="B168" s="41"/>
      <c r="C168" s="260" t="s">
        <v>446</v>
      </c>
      <c r="D168" s="260" t="s">
        <v>292</v>
      </c>
      <c r="E168" s="261" t="s">
        <v>3796</v>
      </c>
      <c r="F168" s="262" t="s">
        <v>3797</v>
      </c>
      <c r="G168" s="263" t="s">
        <v>280</v>
      </c>
      <c r="H168" s="264">
        <v>6</v>
      </c>
      <c r="I168" s="265"/>
      <c r="J168" s="266">
        <f>ROUND(I168*H168,1)</f>
        <v>0</v>
      </c>
      <c r="K168" s="262" t="s">
        <v>32</v>
      </c>
      <c r="L168" s="267"/>
      <c r="M168" s="268" t="s">
        <v>32</v>
      </c>
      <c r="N168" s="269" t="s">
        <v>49</v>
      </c>
      <c r="O168" s="86"/>
      <c r="P168" s="218">
        <f>O168*H168</f>
        <v>0</v>
      </c>
      <c r="Q168" s="218">
        <v>0</v>
      </c>
      <c r="R168" s="218">
        <f>Q168*H168</f>
        <v>0</v>
      </c>
      <c r="S168" s="218">
        <v>0</v>
      </c>
      <c r="T168" s="219">
        <f>S168*H168</f>
        <v>0</v>
      </c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R168" s="220" t="s">
        <v>1074</v>
      </c>
      <c r="AT168" s="220" t="s">
        <v>292</v>
      </c>
      <c r="AU168" s="220" t="s">
        <v>88</v>
      </c>
      <c r="AY168" s="18" t="s">
        <v>200</v>
      </c>
      <c r="BE168" s="221">
        <f>IF(N168="základní",J168,0)</f>
        <v>0</v>
      </c>
      <c r="BF168" s="221">
        <f>IF(N168="snížená",J168,0)</f>
        <v>0</v>
      </c>
      <c r="BG168" s="221">
        <f>IF(N168="zákl. přenesená",J168,0)</f>
        <v>0</v>
      </c>
      <c r="BH168" s="221">
        <f>IF(N168="sníž. přenesená",J168,0)</f>
        <v>0</v>
      </c>
      <c r="BI168" s="221">
        <f>IF(N168="nulová",J168,0)</f>
        <v>0</v>
      </c>
      <c r="BJ168" s="18" t="s">
        <v>86</v>
      </c>
      <c r="BK168" s="221">
        <f>ROUND(I168*H168,1)</f>
        <v>0</v>
      </c>
      <c r="BL168" s="18" t="s">
        <v>1074</v>
      </c>
      <c r="BM168" s="220" t="s">
        <v>3798</v>
      </c>
    </row>
    <row r="169" s="2" customFormat="1" ht="16.5" customHeight="1">
      <c r="A169" s="40"/>
      <c r="B169" s="41"/>
      <c r="C169" s="209" t="s">
        <v>453</v>
      </c>
      <c r="D169" s="209" t="s">
        <v>202</v>
      </c>
      <c r="E169" s="210" t="s">
        <v>3799</v>
      </c>
      <c r="F169" s="211" t="s">
        <v>3800</v>
      </c>
      <c r="G169" s="212" t="s">
        <v>449</v>
      </c>
      <c r="H169" s="213">
        <v>1</v>
      </c>
      <c r="I169" s="214"/>
      <c r="J169" s="215">
        <f>ROUND(I169*H169,1)</f>
        <v>0</v>
      </c>
      <c r="K169" s="211" t="s">
        <v>206</v>
      </c>
      <c r="L169" s="46"/>
      <c r="M169" s="216" t="s">
        <v>32</v>
      </c>
      <c r="N169" s="217" t="s">
        <v>49</v>
      </c>
      <c r="O169" s="86"/>
      <c r="P169" s="218">
        <f>O169*H169</f>
        <v>0</v>
      </c>
      <c r="Q169" s="218">
        <v>0.00013999999999999999</v>
      </c>
      <c r="R169" s="218">
        <f>Q169*H169</f>
        <v>0.00013999999999999999</v>
      </c>
      <c r="S169" s="218">
        <v>0</v>
      </c>
      <c r="T169" s="219">
        <f>S169*H169</f>
        <v>0</v>
      </c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R169" s="220" t="s">
        <v>665</v>
      </c>
      <c r="AT169" s="220" t="s">
        <v>202</v>
      </c>
      <c r="AU169" s="220" t="s">
        <v>88</v>
      </c>
      <c r="AY169" s="18" t="s">
        <v>200</v>
      </c>
      <c r="BE169" s="221">
        <f>IF(N169="základní",J169,0)</f>
        <v>0</v>
      </c>
      <c r="BF169" s="221">
        <f>IF(N169="snížená",J169,0)</f>
        <v>0</v>
      </c>
      <c r="BG169" s="221">
        <f>IF(N169="zákl. přenesená",J169,0)</f>
        <v>0</v>
      </c>
      <c r="BH169" s="221">
        <f>IF(N169="sníž. přenesená",J169,0)</f>
        <v>0</v>
      </c>
      <c r="BI169" s="221">
        <f>IF(N169="nulová",J169,0)</f>
        <v>0</v>
      </c>
      <c r="BJ169" s="18" t="s">
        <v>86</v>
      </c>
      <c r="BK169" s="221">
        <f>ROUND(I169*H169,1)</f>
        <v>0</v>
      </c>
      <c r="BL169" s="18" t="s">
        <v>665</v>
      </c>
      <c r="BM169" s="220" t="s">
        <v>3801</v>
      </c>
    </row>
    <row r="170" s="2" customFormat="1">
      <c r="A170" s="40"/>
      <c r="B170" s="41"/>
      <c r="C170" s="42"/>
      <c r="D170" s="222" t="s">
        <v>209</v>
      </c>
      <c r="E170" s="42"/>
      <c r="F170" s="223" t="s">
        <v>3802</v>
      </c>
      <c r="G170" s="42"/>
      <c r="H170" s="42"/>
      <c r="I170" s="224"/>
      <c r="J170" s="42"/>
      <c r="K170" s="42"/>
      <c r="L170" s="46"/>
      <c r="M170" s="225"/>
      <c r="N170" s="226"/>
      <c r="O170" s="86"/>
      <c r="P170" s="86"/>
      <c r="Q170" s="86"/>
      <c r="R170" s="86"/>
      <c r="S170" s="86"/>
      <c r="T170" s="87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T170" s="18" t="s">
        <v>209</v>
      </c>
      <c r="AU170" s="18" t="s">
        <v>88</v>
      </c>
    </row>
    <row r="171" s="2" customFormat="1" ht="16.5" customHeight="1">
      <c r="A171" s="40"/>
      <c r="B171" s="41"/>
      <c r="C171" s="260" t="s">
        <v>459</v>
      </c>
      <c r="D171" s="260" t="s">
        <v>292</v>
      </c>
      <c r="E171" s="261" t="s">
        <v>3803</v>
      </c>
      <c r="F171" s="262" t="s">
        <v>3804</v>
      </c>
      <c r="G171" s="263" t="s">
        <v>449</v>
      </c>
      <c r="H171" s="264">
        <v>1</v>
      </c>
      <c r="I171" s="265"/>
      <c r="J171" s="266">
        <f>ROUND(I171*H171,1)</f>
        <v>0</v>
      </c>
      <c r="K171" s="262" t="s">
        <v>32</v>
      </c>
      <c r="L171" s="267"/>
      <c r="M171" s="268" t="s">
        <v>32</v>
      </c>
      <c r="N171" s="269" t="s">
        <v>49</v>
      </c>
      <c r="O171" s="86"/>
      <c r="P171" s="218">
        <f>O171*H171</f>
        <v>0</v>
      </c>
      <c r="Q171" s="218">
        <v>0</v>
      </c>
      <c r="R171" s="218">
        <f>Q171*H171</f>
        <v>0</v>
      </c>
      <c r="S171" s="218">
        <v>0</v>
      </c>
      <c r="T171" s="219">
        <f>S171*H171</f>
        <v>0</v>
      </c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R171" s="220" t="s">
        <v>1074</v>
      </c>
      <c r="AT171" s="220" t="s">
        <v>292</v>
      </c>
      <c r="AU171" s="220" t="s">
        <v>88</v>
      </c>
      <c r="AY171" s="18" t="s">
        <v>200</v>
      </c>
      <c r="BE171" s="221">
        <f>IF(N171="základní",J171,0)</f>
        <v>0</v>
      </c>
      <c r="BF171" s="221">
        <f>IF(N171="snížená",J171,0)</f>
        <v>0</v>
      </c>
      <c r="BG171" s="221">
        <f>IF(N171="zákl. přenesená",J171,0)</f>
        <v>0</v>
      </c>
      <c r="BH171" s="221">
        <f>IF(N171="sníž. přenesená",J171,0)</f>
        <v>0</v>
      </c>
      <c r="BI171" s="221">
        <f>IF(N171="nulová",J171,0)</f>
        <v>0</v>
      </c>
      <c r="BJ171" s="18" t="s">
        <v>86</v>
      </c>
      <c r="BK171" s="221">
        <f>ROUND(I171*H171,1)</f>
        <v>0</v>
      </c>
      <c r="BL171" s="18" t="s">
        <v>1074</v>
      </c>
      <c r="BM171" s="220" t="s">
        <v>3805</v>
      </c>
    </row>
    <row r="172" s="2" customFormat="1" ht="24.15" customHeight="1">
      <c r="A172" s="40"/>
      <c r="B172" s="41"/>
      <c r="C172" s="209" t="s">
        <v>465</v>
      </c>
      <c r="D172" s="209" t="s">
        <v>202</v>
      </c>
      <c r="E172" s="210" t="s">
        <v>3806</v>
      </c>
      <c r="F172" s="211" t="s">
        <v>3807</v>
      </c>
      <c r="G172" s="212" t="s">
        <v>280</v>
      </c>
      <c r="H172" s="213">
        <v>30</v>
      </c>
      <c r="I172" s="214"/>
      <c r="J172" s="215">
        <f>ROUND(I172*H172,1)</f>
        <v>0</v>
      </c>
      <c r="K172" s="211" t="s">
        <v>206</v>
      </c>
      <c r="L172" s="46"/>
      <c r="M172" s="216" t="s">
        <v>32</v>
      </c>
      <c r="N172" s="217" t="s">
        <v>49</v>
      </c>
      <c r="O172" s="86"/>
      <c r="P172" s="218">
        <f>O172*H172</f>
        <v>0</v>
      </c>
      <c r="Q172" s="218">
        <v>0</v>
      </c>
      <c r="R172" s="218">
        <f>Q172*H172</f>
        <v>0</v>
      </c>
      <c r="S172" s="218">
        <v>0</v>
      </c>
      <c r="T172" s="219">
        <f>S172*H172</f>
        <v>0</v>
      </c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R172" s="220" t="s">
        <v>665</v>
      </c>
      <c r="AT172" s="220" t="s">
        <v>202</v>
      </c>
      <c r="AU172" s="220" t="s">
        <v>88</v>
      </c>
      <c r="AY172" s="18" t="s">
        <v>200</v>
      </c>
      <c r="BE172" s="221">
        <f>IF(N172="základní",J172,0)</f>
        <v>0</v>
      </c>
      <c r="BF172" s="221">
        <f>IF(N172="snížená",J172,0)</f>
        <v>0</v>
      </c>
      <c r="BG172" s="221">
        <f>IF(N172="zákl. přenesená",J172,0)</f>
        <v>0</v>
      </c>
      <c r="BH172" s="221">
        <f>IF(N172="sníž. přenesená",J172,0)</f>
        <v>0</v>
      </c>
      <c r="BI172" s="221">
        <f>IF(N172="nulová",J172,0)</f>
        <v>0</v>
      </c>
      <c r="BJ172" s="18" t="s">
        <v>86</v>
      </c>
      <c r="BK172" s="221">
        <f>ROUND(I172*H172,1)</f>
        <v>0</v>
      </c>
      <c r="BL172" s="18" t="s">
        <v>665</v>
      </c>
      <c r="BM172" s="220" t="s">
        <v>3808</v>
      </c>
    </row>
    <row r="173" s="2" customFormat="1">
      <c r="A173" s="40"/>
      <c r="B173" s="41"/>
      <c r="C173" s="42"/>
      <c r="D173" s="222" t="s">
        <v>209</v>
      </c>
      <c r="E173" s="42"/>
      <c r="F173" s="223" t="s">
        <v>3809</v>
      </c>
      <c r="G173" s="42"/>
      <c r="H173" s="42"/>
      <c r="I173" s="224"/>
      <c r="J173" s="42"/>
      <c r="K173" s="42"/>
      <c r="L173" s="46"/>
      <c r="M173" s="225"/>
      <c r="N173" s="226"/>
      <c r="O173" s="86"/>
      <c r="P173" s="86"/>
      <c r="Q173" s="86"/>
      <c r="R173" s="86"/>
      <c r="S173" s="86"/>
      <c r="T173" s="87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T173" s="18" t="s">
        <v>209</v>
      </c>
      <c r="AU173" s="18" t="s">
        <v>88</v>
      </c>
    </row>
    <row r="174" s="2" customFormat="1" ht="16.5" customHeight="1">
      <c r="A174" s="40"/>
      <c r="B174" s="41"/>
      <c r="C174" s="260" t="s">
        <v>471</v>
      </c>
      <c r="D174" s="260" t="s">
        <v>292</v>
      </c>
      <c r="E174" s="261" t="s">
        <v>3810</v>
      </c>
      <c r="F174" s="262" t="s">
        <v>3811</v>
      </c>
      <c r="G174" s="263" t="s">
        <v>280</v>
      </c>
      <c r="H174" s="264">
        <v>25</v>
      </c>
      <c r="I174" s="265"/>
      <c r="J174" s="266">
        <f>ROUND(I174*H174,1)</f>
        <v>0</v>
      </c>
      <c r="K174" s="262" t="s">
        <v>206</v>
      </c>
      <c r="L174" s="267"/>
      <c r="M174" s="268" t="s">
        <v>32</v>
      </c>
      <c r="N174" s="269" t="s">
        <v>49</v>
      </c>
      <c r="O174" s="86"/>
      <c r="P174" s="218">
        <f>O174*H174</f>
        <v>0</v>
      </c>
      <c r="Q174" s="218">
        <v>0.00042999999999999999</v>
      </c>
      <c r="R174" s="218">
        <f>Q174*H174</f>
        <v>0.010749999999999999</v>
      </c>
      <c r="S174" s="218">
        <v>0</v>
      </c>
      <c r="T174" s="219">
        <f>S174*H174</f>
        <v>0</v>
      </c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R174" s="220" t="s">
        <v>1074</v>
      </c>
      <c r="AT174" s="220" t="s">
        <v>292</v>
      </c>
      <c r="AU174" s="220" t="s">
        <v>88</v>
      </c>
      <c r="AY174" s="18" t="s">
        <v>200</v>
      </c>
      <c r="BE174" s="221">
        <f>IF(N174="základní",J174,0)</f>
        <v>0</v>
      </c>
      <c r="BF174" s="221">
        <f>IF(N174="snížená",J174,0)</f>
        <v>0</v>
      </c>
      <c r="BG174" s="221">
        <f>IF(N174="zákl. přenesená",J174,0)</f>
        <v>0</v>
      </c>
      <c r="BH174" s="221">
        <f>IF(N174="sníž. přenesená",J174,0)</f>
        <v>0</v>
      </c>
      <c r="BI174" s="221">
        <f>IF(N174="nulová",J174,0)</f>
        <v>0</v>
      </c>
      <c r="BJ174" s="18" t="s">
        <v>86</v>
      </c>
      <c r="BK174" s="221">
        <f>ROUND(I174*H174,1)</f>
        <v>0</v>
      </c>
      <c r="BL174" s="18" t="s">
        <v>1074</v>
      </c>
      <c r="BM174" s="220" t="s">
        <v>3812</v>
      </c>
    </row>
    <row r="175" s="2" customFormat="1" ht="16.5" customHeight="1">
      <c r="A175" s="40"/>
      <c r="B175" s="41"/>
      <c r="C175" s="260" t="s">
        <v>476</v>
      </c>
      <c r="D175" s="260" t="s">
        <v>292</v>
      </c>
      <c r="E175" s="261" t="s">
        <v>3813</v>
      </c>
      <c r="F175" s="262" t="s">
        <v>3814</v>
      </c>
      <c r="G175" s="263" t="s">
        <v>280</v>
      </c>
      <c r="H175" s="264">
        <v>5</v>
      </c>
      <c r="I175" s="265"/>
      <c r="J175" s="266">
        <f>ROUND(I175*H175,1)</f>
        <v>0</v>
      </c>
      <c r="K175" s="262" t="s">
        <v>206</v>
      </c>
      <c r="L175" s="267"/>
      <c r="M175" s="268" t="s">
        <v>32</v>
      </c>
      <c r="N175" s="269" t="s">
        <v>49</v>
      </c>
      <c r="O175" s="86"/>
      <c r="P175" s="218">
        <f>O175*H175</f>
        <v>0</v>
      </c>
      <c r="Q175" s="218">
        <v>0.00068000000000000005</v>
      </c>
      <c r="R175" s="218">
        <f>Q175*H175</f>
        <v>0.0034000000000000002</v>
      </c>
      <c r="S175" s="218">
        <v>0</v>
      </c>
      <c r="T175" s="219">
        <f>S175*H175</f>
        <v>0</v>
      </c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R175" s="220" t="s">
        <v>1074</v>
      </c>
      <c r="AT175" s="220" t="s">
        <v>292</v>
      </c>
      <c r="AU175" s="220" t="s">
        <v>88</v>
      </c>
      <c r="AY175" s="18" t="s">
        <v>200</v>
      </c>
      <c r="BE175" s="221">
        <f>IF(N175="základní",J175,0)</f>
        <v>0</v>
      </c>
      <c r="BF175" s="221">
        <f>IF(N175="snížená",J175,0)</f>
        <v>0</v>
      </c>
      <c r="BG175" s="221">
        <f>IF(N175="zákl. přenesená",J175,0)</f>
        <v>0</v>
      </c>
      <c r="BH175" s="221">
        <f>IF(N175="sníž. přenesená",J175,0)</f>
        <v>0</v>
      </c>
      <c r="BI175" s="221">
        <f>IF(N175="nulová",J175,0)</f>
        <v>0</v>
      </c>
      <c r="BJ175" s="18" t="s">
        <v>86</v>
      </c>
      <c r="BK175" s="221">
        <f>ROUND(I175*H175,1)</f>
        <v>0</v>
      </c>
      <c r="BL175" s="18" t="s">
        <v>1074</v>
      </c>
      <c r="BM175" s="220" t="s">
        <v>3815</v>
      </c>
    </row>
    <row r="176" s="2" customFormat="1" ht="21.75" customHeight="1">
      <c r="A176" s="40"/>
      <c r="B176" s="41"/>
      <c r="C176" s="209" t="s">
        <v>482</v>
      </c>
      <c r="D176" s="209" t="s">
        <v>202</v>
      </c>
      <c r="E176" s="210" t="s">
        <v>3816</v>
      </c>
      <c r="F176" s="211" t="s">
        <v>3817</v>
      </c>
      <c r="G176" s="212" t="s">
        <v>449</v>
      </c>
      <c r="H176" s="213">
        <v>5</v>
      </c>
      <c r="I176" s="214"/>
      <c r="J176" s="215">
        <f>ROUND(I176*H176,1)</f>
        <v>0</v>
      </c>
      <c r="K176" s="211" t="s">
        <v>206</v>
      </c>
      <c r="L176" s="46"/>
      <c r="M176" s="216" t="s">
        <v>32</v>
      </c>
      <c r="N176" s="217" t="s">
        <v>49</v>
      </c>
      <c r="O176" s="86"/>
      <c r="P176" s="218">
        <f>O176*H176</f>
        <v>0</v>
      </c>
      <c r="Q176" s="218">
        <v>0</v>
      </c>
      <c r="R176" s="218">
        <f>Q176*H176</f>
        <v>0</v>
      </c>
      <c r="S176" s="218">
        <v>0</v>
      </c>
      <c r="T176" s="219">
        <f>S176*H176</f>
        <v>0</v>
      </c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R176" s="220" t="s">
        <v>665</v>
      </c>
      <c r="AT176" s="220" t="s">
        <v>202</v>
      </c>
      <c r="AU176" s="220" t="s">
        <v>88</v>
      </c>
      <c r="AY176" s="18" t="s">
        <v>200</v>
      </c>
      <c r="BE176" s="221">
        <f>IF(N176="základní",J176,0)</f>
        <v>0</v>
      </c>
      <c r="BF176" s="221">
        <f>IF(N176="snížená",J176,0)</f>
        <v>0</v>
      </c>
      <c r="BG176" s="221">
        <f>IF(N176="zákl. přenesená",J176,0)</f>
        <v>0</v>
      </c>
      <c r="BH176" s="221">
        <f>IF(N176="sníž. přenesená",J176,0)</f>
        <v>0</v>
      </c>
      <c r="BI176" s="221">
        <f>IF(N176="nulová",J176,0)</f>
        <v>0</v>
      </c>
      <c r="BJ176" s="18" t="s">
        <v>86</v>
      </c>
      <c r="BK176" s="221">
        <f>ROUND(I176*H176,1)</f>
        <v>0</v>
      </c>
      <c r="BL176" s="18" t="s">
        <v>665</v>
      </c>
      <c r="BM176" s="220" t="s">
        <v>3818</v>
      </c>
    </row>
    <row r="177" s="2" customFormat="1">
      <c r="A177" s="40"/>
      <c r="B177" s="41"/>
      <c r="C177" s="42"/>
      <c r="D177" s="222" t="s">
        <v>209</v>
      </c>
      <c r="E177" s="42"/>
      <c r="F177" s="223" t="s">
        <v>3819</v>
      </c>
      <c r="G177" s="42"/>
      <c r="H177" s="42"/>
      <c r="I177" s="224"/>
      <c r="J177" s="42"/>
      <c r="K177" s="42"/>
      <c r="L177" s="46"/>
      <c r="M177" s="225"/>
      <c r="N177" s="226"/>
      <c r="O177" s="86"/>
      <c r="P177" s="86"/>
      <c r="Q177" s="86"/>
      <c r="R177" s="86"/>
      <c r="S177" s="86"/>
      <c r="T177" s="87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T177" s="18" t="s">
        <v>209</v>
      </c>
      <c r="AU177" s="18" t="s">
        <v>88</v>
      </c>
    </row>
    <row r="178" s="2" customFormat="1" ht="16.5" customHeight="1">
      <c r="A178" s="40"/>
      <c r="B178" s="41"/>
      <c r="C178" s="260" t="s">
        <v>511</v>
      </c>
      <c r="D178" s="260" t="s">
        <v>292</v>
      </c>
      <c r="E178" s="261" t="s">
        <v>3820</v>
      </c>
      <c r="F178" s="262" t="s">
        <v>3821</v>
      </c>
      <c r="G178" s="263" t="s">
        <v>449</v>
      </c>
      <c r="H178" s="264">
        <v>4</v>
      </c>
      <c r="I178" s="265"/>
      <c r="J178" s="266">
        <f>ROUND(I178*H178,1)</f>
        <v>0</v>
      </c>
      <c r="K178" s="262" t="s">
        <v>32</v>
      </c>
      <c r="L178" s="267"/>
      <c r="M178" s="268" t="s">
        <v>32</v>
      </c>
      <c r="N178" s="269" t="s">
        <v>49</v>
      </c>
      <c r="O178" s="86"/>
      <c r="P178" s="218">
        <f>O178*H178</f>
        <v>0</v>
      </c>
      <c r="Q178" s="218">
        <v>0</v>
      </c>
      <c r="R178" s="218">
        <f>Q178*H178</f>
        <v>0</v>
      </c>
      <c r="S178" s="218">
        <v>0</v>
      </c>
      <c r="T178" s="219">
        <f>S178*H178</f>
        <v>0</v>
      </c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R178" s="220" t="s">
        <v>1074</v>
      </c>
      <c r="AT178" s="220" t="s">
        <v>292</v>
      </c>
      <c r="AU178" s="220" t="s">
        <v>88</v>
      </c>
      <c r="AY178" s="18" t="s">
        <v>200</v>
      </c>
      <c r="BE178" s="221">
        <f>IF(N178="základní",J178,0)</f>
        <v>0</v>
      </c>
      <c r="BF178" s="221">
        <f>IF(N178="snížená",J178,0)</f>
        <v>0</v>
      </c>
      <c r="BG178" s="221">
        <f>IF(N178="zákl. přenesená",J178,0)</f>
        <v>0</v>
      </c>
      <c r="BH178" s="221">
        <f>IF(N178="sníž. přenesená",J178,0)</f>
        <v>0</v>
      </c>
      <c r="BI178" s="221">
        <f>IF(N178="nulová",J178,0)</f>
        <v>0</v>
      </c>
      <c r="BJ178" s="18" t="s">
        <v>86</v>
      </c>
      <c r="BK178" s="221">
        <f>ROUND(I178*H178,1)</f>
        <v>0</v>
      </c>
      <c r="BL178" s="18" t="s">
        <v>1074</v>
      </c>
      <c r="BM178" s="220" t="s">
        <v>3822</v>
      </c>
    </row>
    <row r="179" s="2" customFormat="1" ht="16.5" customHeight="1">
      <c r="A179" s="40"/>
      <c r="B179" s="41"/>
      <c r="C179" s="260" t="s">
        <v>523</v>
      </c>
      <c r="D179" s="260" t="s">
        <v>292</v>
      </c>
      <c r="E179" s="261" t="s">
        <v>3823</v>
      </c>
      <c r="F179" s="262" t="s">
        <v>3824</v>
      </c>
      <c r="G179" s="263" t="s">
        <v>449</v>
      </c>
      <c r="H179" s="264">
        <v>1</v>
      </c>
      <c r="I179" s="265"/>
      <c r="J179" s="266">
        <f>ROUND(I179*H179,1)</f>
        <v>0</v>
      </c>
      <c r="K179" s="262" t="s">
        <v>32</v>
      </c>
      <c r="L179" s="267"/>
      <c r="M179" s="268" t="s">
        <v>32</v>
      </c>
      <c r="N179" s="269" t="s">
        <v>49</v>
      </c>
      <c r="O179" s="86"/>
      <c r="P179" s="218">
        <f>O179*H179</f>
        <v>0</v>
      </c>
      <c r="Q179" s="218">
        <v>0</v>
      </c>
      <c r="R179" s="218">
        <f>Q179*H179</f>
        <v>0</v>
      </c>
      <c r="S179" s="218">
        <v>0</v>
      </c>
      <c r="T179" s="219">
        <f>S179*H179</f>
        <v>0</v>
      </c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R179" s="220" t="s">
        <v>1074</v>
      </c>
      <c r="AT179" s="220" t="s">
        <v>292</v>
      </c>
      <c r="AU179" s="220" t="s">
        <v>88</v>
      </c>
      <c r="AY179" s="18" t="s">
        <v>200</v>
      </c>
      <c r="BE179" s="221">
        <f>IF(N179="základní",J179,0)</f>
        <v>0</v>
      </c>
      <c r="BF179" s="221">
        <f>IF(N179="snížená",J179,0)</f>
        <v>0</v>
      </c>
      <c r="BG179" s="221">
        <f>IF(N179="zákl. přenesená",J179,0)</f>
        <v>0</v>
      </c>
      <c r="BH179" s="221">
        <f>IF(N179="sníž. přenesená",J179,0)</f>
        <v>0</v>
      </c>
      <c r="BI179" s="221">
        <f>IF(N179="nulová",J179,0)</f>
        <v>0</v>
      </c>
      <c r="BJ179" s="18" t="s">
        <v>86</v>
      </c>
      <c r="BK179" s="221">
        <f>ROUND(I179*H179,1)</f>
        <v>0</v>
      </c>
      <c r="BL179" s="18" t="s">
        <v>1074</v>
      </c>
      <c r="BM179" s="220" t="s">
        <v>3825</v>
      </c>
    </row>
    <row r="180" s="2" customFormat="1" ht="21.75" customHeight="1">
      <c r="A180" s="40"/>
      <c r="B180" s="41"/>
      <c r="C180" s="209" t="s">
        <v>528</v>
      </c>
      <c r="D180" s="209" t="s">
        <v>202</v>
      </c>
      <c r="E180" s="210" t="s">
        <v>3816</v>
      </c>
      <c r="F180" s="211" t="s">
        <v>3817</v>
      </c>
      <c r="G180" s="212" t="s">
        <v>449</v>
      </c>
      <c r="H180" s="213">
        <v>2</v>
      </c>
      <c r="I180" s="214"/>
      <c r="J180" s="215">
        <f>ROUND(I180*H180,1)</f>
        <v>0</v>
      </c>
      <c r="K180" s="211" t="s">
        <v>206</v>
      </c>
      <c r="L180" s="46"/>
      <c r="M180" s="216" t="s">
        <v>32</v>
      </c>
      <c r="N180" s="217" t="s">
        <v>49</v>
      </c>
      <c r="O180" s="86"/>
      <c r="P180" s="218">
        <f>O180*H180</f>
        <v>0</v>
      </c>
      <c r="Q180" s="218">
        <v>0</v>
      </c>
      <c r="R180" s="218">
        <f>Q180*H180</f>
        <v>0</v>
      </c>
      <c r="S180" s="218">
        <v>0</v>
      </c>
      <c r="T180" s="219">
        <f>S180*H180</f>
        <v>0</v>
      </c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R180" s="220" t="s">
        <v>665</v>
      </c>
      <c r="AT180" s="220" t="s">
        <v>202</v>
      </c>
      <c r="AU180" s="220" t="s">
        <v>88</v>
      </c>
      <c r="AY180" s="18" t="s">
        <v>200</v>
      </c>
      <c r="BE180" s="221">
        <f>IF(N180="základní",J180,0)</f>
        <v>0</v>
      </c>
      <c r="BF180" s="221">
        <f>IF(N180="snížená",J180,0)</f>
        <v>0</v>
      </c>
      <c r="BG180" s="221">
        <f>IF(N180="zákl. přenesená",J180,0)</f>
        <v>0</v>
      </c>
      <c r="BH180" s="221">
        <f>IF(N180="sníž. přenesená",J180,0)</f>
        <v>0</v>
      </c>
      <c r="BI180" s="221">
        <f>IF(N180="nulová",J180,0)</f>
        <v>0</v>
      </c>
      <c r="BJ180" s="18" t="s">
        <v>86</v>
      </c>
      <c r="BK180" s="221">
        <f>ROUND(I180*H180,1)</f>
        <v>0</v>
      </c>
      <c r="BL180" s="18" t="s">
        <v>665</v>
      </c>
      <c r="BM180" s="220" t="s">
        <v>3826</v>
      </c>
    </row>
    <row r="181" s="2" customFormat="1">
      <c r="A181" s="40"/>
      <c r="B181" s="41"/>
      <c r="C181" s="42"/>
      <c r="D181" s="222" t="s">
        <v>209</v>
      </c>
      <c r="E181" s="42"/>
      <c r="F181" s="223" t="s">
        <v>3819</v>
      </c>
      <c r="G181" s="42"/>
      <c r="H181" s="42"/>
      <c r="I181" s="224"/>
      <c r="J181" s="42"/>
      <c r="K181" s="42"/>
      <c r="L181" s="46"/>
      <c r="M181" s="225"/>
      <c r="N181" s="226"/>
      <c r="O181" s="86"/>
      <c r="P181" s="86"/>
      <c r="Q181" s="86"/>
      <c r="R181" s="86"/>
      <c r="S181" s="86"/>
      <c r="T181" s="87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T181" s="18" t="s">
        <v>209</v>
      </c>
      <c r="AU181" s="18" t="s">
        <v>88</v>
      </c>
    </row>
    <row r="182" s="2" customFormat="1" ht="16.5" customHeight="1">
      <c r="A182" s="40"/>
      <c r="B182" s="41"/>
      <c r="C182" s="260" t="s">
        <v>534</v>
      </c>
      <c r="D182" s="260" t="s">
        <v>292</v>
      </c>
      <c r="E182" s="261" t="s">
        <v>3827</v>
      </c>
      <c r="F182" s="262" t="s">
        <v>3828</v>
      </c>
      <c r="G182" s="263" t="s">
        <v>449</v>
      </c>
      <c r="H182" s="264">
        <v>2</v>
      </c>
      <c r="I182" s="265"/>
      <c r="J182" s="266">
        <f>ROUND(I182*H182,1)</f>
        <v>0</v>
      </c>
      <c r="K182" s="262" t="s">
        <v>32</v>
      </c>
      <c r="L182" s="267"/>
      <c r="M182" s="268" t="s">
        <v>32</v>
      </c>
      <c r="N182" s="269" t="s">
        <v>49</v>
      </c>
      <c r="O182" s="86"/>
      <c r="P182" s="218">
        <f>O182*H182</f>
        <v>0</v>
      </c>
      <c r="Q182" s="218">
        <v>0</v>
      </c>
      <c r="R182" s="218">
        <f>Q182*H182</f>
        <v>0</v>
      </c>
      <c r="S182" s="218">
        <v>0</v>
      </c>
      <c r="T182" s="219">
        <f>S182*H182</f>
        <v>0</v>
      </c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R182" s="220" t="s">
        <v>1074</v>
      </c>
      <c r="AT182" s="220" t="s">
        <v>292</v>
      </c>
      <c r="AU182" s="220" t="s">
        <v>88</v>
      </c>
      <c r="AY182" s="18" t="s">
        <v>200</v>
      </c>
      <c r="BE182" s="221">
        <f>IF(N182="základní",J182,0)</f>
        <v>0</v>
      </c>
      <c r="BF182" s="221">
        <f>IF(N182="snížená",J182,0)</f>
        <v>0</v>
      </c>
      <c r="BG182" s="221">
        <f>IF(N182="zákl. přenesená",J182,0)</f>
        <v>0</v>
      </c>
      <c r="BH182" s="221">
        <f>IF(N182="sníž. přenesená",J182,0)</f>
        <v>0</v>
      </c>
      <c r="BI182" s="221">
        <f>IF(N182="nulová",J182,0)</f>
        <v>0</v>
      </c>
      <c r="BJ182" s="18" t="s">
        <v>86</v>
      </c>
      <c r="BK182" s="221">
        <f>ROUND(I182*H182,1)</f>
        <v>0</v>
      </c>
      <c r="BL182" s="18" t="s">
        <v>1074</v>
      </c>
      <c r="BM182" s="220" t="s">
        <v>3829</v>
      </c>
    </row>
    <row r="183" s="2" customFormat="1" ht="21.75" customHeight="1">
      <c r="A183" s="40"/>
      <c r="B183" s="41"/>
      <c r="C183" s="209" t="s">
        <v>542</v>
      </c>
      <c r="D183" s="209" t="s">
        <v>202</v>
      </c>
      <c r="E183" s="210" t="s">
        <v>3816</v>
      </c>
      <c r="F183" s="211" t="s">
        <v>3817</v>
      </c>
      <c r="G183" s="212" t="s">
        <v>449</v>
      </c>
      <c r="H183" s="213">
        <v>1</v>
      </c>
      <c r="I183" s="214"/>
      <c r="J183" s="215">
        <f>ROUND(I183*H183,1)</f>
        <v>0</v>
      </c>
      <c r="K183" s="211" t="s">
        <v>206</v>
      </c>
      <c r="L183" s="46"/>
      <c r="M183" s="216" t="s">
        <v>32</v>
      </c>
      <c r="N183" s="217" t="s">
        <v>49</v>
      </c>
      <c r="O183" s="86"/>
      <c r="P183" s="218">
        <f>O183*H183</f>
        <v>0</v>
      </c>
      <c r="Q183" s="218">
        <v>0</v>
      </c>
      <c r="R183" s="218">
        <f>Q183*H183</f>
        <v>0</v>
      </c>
      <c r="S183" s="218">
        <v>0</v>
      </c>
      <c r="T183" s="219">
        <f>S183*H183</f>
        <v>0</v>
      </c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R183" s="220" t="s">
        <v>665</v>
      </c>
      <c r="AT183" s="220" t="s">
        <v>202</v>
      </c>
      <c r="AU183" s="220" t="s">
        <v>88</v>
      </c>
      <c r="AY183" s="18" t="s">
        <v>200</v>
      </c>
      <c r="BE183" s="221">
        <f>IF(N183="základní",J183,0)</f>
        <v>0</v>
      </c>
      <c r="BF183" s="221">
        <f>IF(N183="snížená",J183,0)</f>
        <v>0</v>
      </c>
      <c r="BG183" s="221">
        <f>IF(N183="zákl. přenesená",J183,0)</f>
        <v>0</v>
      </c>
      <c r="BH183" s="221">
        <f>IF(N183="sníž. přenesená",J183,0)</f>
        <v>0</v>
      </c>
      <c r="BI183" s="221">
        <f>IF(N183="nulová",J183,0)</f>
        <v>0</v>
      </c>
      <c r="BJ183" s="18" t="s">
        <v>86</v>
      </c>
      <c r="BK183" s="221">
        <f>ROUND(I183*H183,1)</f>
        <v>0</v>
      </c>
      <c r="BL183" s="18" t="s">
        <v>665</v>
      </c>
      <c r="BM183" s="220" t="s">
        <v>3830</v>
      </c>
    </row>
    <row r="184" s="2" customFormat="1">
      <c r="A184" s="40"/>
      <c r="B184" s="41"/>
      <c r="C184" s="42"/>
      <c r="D184" s="222" t="s">
        <v>209</v>
      </c>
      <c r="E184" s="42"/>
      <c r="F184" s="223" t="s">
        <v>3819</v>
      </c>
      <c r="G184" s="42"/>
      <c r="H184" s="42"/>
      <c r="I184" s="224"/>
      <c r="J184" s="42"/>
      <c r="K184" s="42"/>
      <c r="L184" s="46"/>
      <c r="M184" s="225"/>
      <c r="N184" s="226"/>
      <c r="O184" s="86"/>
      <c r="P184" s="86"/>
      <c r="Q184" s="86"/>
      <c r="R184" s="86"/>
      <c r="S184" s="86"/>
      <c r="T184" s="87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T184" s="18" t="s">
        <v>209</v>
      </c>
      <c r="AU184" s="18" t="s">
        <v>88</v>
      </c>
    </row>
    <row r="185" s="2" customFormat="1" ht="16.5" customHeight="1">
      <c r="A185" s="40"/>
      <c r="B185" s="41"/>
      <c r="C185" s="260" t="s">
        <v>549</v>
      </c>
      <c r="D185" s="260" t="s">
        <v>292</v>
      </c>
      <c r="E185" s="261" t="s">
        <v>3831</v>
      </c>
      <c r="F185" s="262" t="s">
        <v>3832</v>
      </c>
      <c r="G185" s="263" t="s">
        <v>449</v>
      </c>
      <c r="H185" s="264">
        <v>1</v>
      </c>
      <c r="I185" s="265"/>
      <c r="J185" s="266">
        <f>ROUND(I185*H185,1)</f>
        <v>0</v>
      </c>
      <c r="K185" s="262" t="s">
        <v>32</v>
      </c>
      <c r="L185" s="267"/>
      <c r="M185" s="268" t="s">
        <v>32</v>
      </c>
      <c r="N185" s="269" t="s">
        <v>49</v>
      </c>
      <c r="O185" s="86"/>
      <c r="P185" s="218">
        <f>O185*H185</f>
        <v>0</v>
      </c>
      <c r="Q185" s="218">
        <v>0</v>
      </c>
      <c r="R185" s="218">
        <f>Q185*H185</f>
        <v>0</v>
      </c>
      <c r="S185" s="218">
        <v>0</v>
      </c>
      <c r="T185" s="219">
        <f>S185*H185</f>
        <v>0</v>
      </c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R185" s="220" t="s">
        <v>1074</v>
      </c>
      <c r="AT185" s="220" t="s">
        <v>292</v>
      </c>
      <c r="AU185" s="220" t="s">
        <v>88</v>
      </c>
      <c r="AY185" s="18" t="s">
        <v>200</v>
      </c>
      <c r="BE185" s="221">
        <f>IF(N185="základní",J185,0)</f>
        <v>0</v>
      </c>
      <c r="BF185" s="221">
        <f>IF(N185="snížená",J185,0)</f>
        <v>0</v>
      </c>
      <c r="BG185" s="221">
        <f>IF(N185="zákl. přenesená",J185,0)</f>
        <v>0</v>
      </c>
      <c r="BH185" s="221">
        <f>IF(N185="sníž. přenesená",J185,0)</f>
        <v>0</v>
      </c>
      <c r="BI185" s="221">
        <f>IF(N185="nulová",J185,0)</f>
        <v>0</v>
      </c>
      <c r="BJ185" s="18" t="s">
        <v>86</v>
      </c>
      <c r="BK185" s="221">
        <f>ROUND(I185*H185,1)</f>
        <v>0</v>
      </c>
      <c r="BL185" s="18" t="s">
        <v>1074</v>
      </c>
      <c r="BM185" s="220" t="s">
        <v>3833</v>
      </c>
    </row>
    <row r="186" s="2" customFormat="1" ht="16.5" customHeight="1">
      <c r="A186" s="40"/>
      <c r="B186" s="41"/>
      <c r="C186" s="209" t="s">
        <v>555</v>
      </c>
      <c r="D186" s="209" t="s">
        <v>202</v>
      </c>
      <c r="E186" s="210" t="s">
        <v>3834</v>
      </c>
      <c r="F186" s="211" t="s">
        <v>3835</v>
      </c>
      <c r="G186" s="212" t="s">
        <v>449</v>
      </c>
      <c r="H186" s="213">
        <v>1</v>
      </c>
      <c r="I186" s="214"/>
      <c r="J186" s="215">
        <f>ROUND(I186*H186,1)</f>
        <v>0</v>
      </c>
      <c r="K186" s="211" t="s">
        <v>206</v>
      </c>
      <c r="L186" s="46"/>
      <c r="M186" s="216" t="s">
        <v>32</v>
      </c>
      <c r="N186" s="217" t="s">
        <v>49</v>
      </c>
      <c r="O186" s="86"/>
      <c r="P186" s="218">
        <f>O186*H186</f>
        <v>0</v>
      </c>
      <c r="Q186" s="218">
        <v>0</v>
      </c>
      <c r="R186" s="218">
        <f>Q186*H186</f>
        <v>0</v>
      </c>
      <c r="S186" s="218">
        <v>0</v>
      </c>
      <c r="T186" s="219">
        <f>S186*H186</f>
        <v>0</v>
      </c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R186" s="220" t="s">
        <v>665</v>
      </c>
      <c r="AT186" s="220" t="s">
        <v>202</v>
      </c>
      <c r="AU186" s="220" t="s">
        <v>88</v>
      </c>
      <c r="AY186" s="18" t="s">
        <v>200</v>
      </c>
      <c r="BE186" s="221">
        <f>IF(N186="základní",J186,0)</f>
        <v>0</v>
      </c>
      <c r="BF186" s="221">
        <f>IF(N186="snížená",J186,0)</f>
        <v>0</v>
      </c>
      <c r="BG186" s="221">
        <f>IF(N186="zákl. přenesená",J186,0)</f>
        <v>0</v>
      </c>
      <c r="BH186" s="221">
        <f>IF(N186="sníž. přenesená",J186,0)</f>
        <v>0</v>
      </c>
      <c r="BI186" s="221">
        <f>IF(N186="nulová",J186,0)</f>
        <v>0</v>
      </c>
      <c r="BJ186" s="18" t="s">
        <v>86</v>
      </c>
      <c r="BK186" s="221">
        <f>ROUND(I186*H186,1)</f>
        <v>0</v>
      </c>
      <c r="BL186" s="18" t="s">
        <v>665</v>
      </c>
      <c r="BM186" s="220" t="s">
        <v>3836</v>
      </c>
    </row>
    <row r="187" s="2" customFormat="1">
      <c r="A187" s="40"/>
      <c r="B187" s="41"/>
      <c r="C187" s="42"/>
      <c r="D187" s="222" t="s">
        <v>209</v>
      </c>
      <c r="E187" s="42"/>
      <c r="F187" s="223" t="s">
        <v>3837</v>
      </c>
      <c r="G187" s="42"/>
      <c r="H187" s="42"/>
      <c r="I187" s="224"/>
      <c r="J187" s="42"/>
      <c r="K187" s="42"/>
      <c r="L187" s="46"/>
      <c r="M187" s="225"/>
      <c r="N187" s="226"/>
      <c r="O187" s="86"/>
      <c r="P187" s="86"/>
      <c r="Q187" s="86"/>
      <c r="R187" s="86"/>
      <c r="S187" s="86"/>
      <c r="T187" s="87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T187" s="18" t="s">
        <v>209</v>
      </c>
      <c r="AU187" s="18" t="s">
        <v>88</v>
      </c>
    </row>
    <row r="188" s="2" customFormat="1" ht="16.5" customHeight="1">
      <c r="A188" s="40"/>
      <c r="B188" s="41"/>
      <c r="C188" s="260" t="s">
        <v>560</v>
      </c>
      <c r="D188" s="260" t="s">
        <v>292</v>
      </c>
      <c r="E188" s="261" t="s">
        <v>3838</v>
      </c>
      <c r="F188" s="262" t="s">
        <v>3839</v>
      </c>
      <c r="G188" s="263" t="s">
        <v>449</v>
      </c>
      <c r="H188" s="264">
        <v>1</v>
      </c>
      <c r="I188" s="265"/>
      <c r="J188" s="266">
        <f>ROUND(I188*H188,1)</f>
        <v>0</v>
      </c>
      <c r="K188" s="262" t="s">
        <v>32</v>
      </c>
      <c r="L188" s="267"/>
      <c r="M188" s="268" t="s">
        <v>32</v>
      </c>
      <c r="N188" s="269" t="s">
        <v>49</v>
      </c>
      <c r="O188" s="86"/>
      <c r="P188" s="218">
        <f>O188*H188</f>
        <v>0</v>
      </c>
      <c r="Q188" s="218">
        <v>0</v>
      </c>
      <c r="R188" s="218">
        <f>Q188*H188</f>
        <v>0</v>
      </c>
      <c r="S188" s="218">
        <v>0</v>
      </c>
      <c r="T188" s="219">
        <f>S188*H188</f>
        <v>0</v>
      </c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R188" s="220" t="s">
        <v>1074</v>
      </c>
      <c r="AT188" s="220" t="s">
        <v>292</v>
      </c>
      <c r="AU188" s="220" t="s">
        <v>88</v>
      </c>
      <c r="AY188" s="18" t="s">
        <v>200</v>
      </c>
      <c r="BE188" s="221">
        <f>IF(N188="základní",J188,0)</f>
        <v>0</v>
      </c>
      <c r="BF188" s="221">
        <f>IF(N188="snížená",J188,0)</f>
        <v>0</v>
      </c>
      <c r="BG188" s="221">
        <f>IF(N188="zákl. přenesená",J188,0)</f>
        <v>0</v>
      </c>
      <c r="BH188" s="221">
        <f>IF(N188="sníž. přenesená",J188,0)</f>
        <v>0</v>
      </c>
      <c r="BI188" s="221">
        <f>IF(N188="nulová",J188,0)</f>
        <v>0</v>
      </c>
      <c r="BJ188" s="18" t="s">
        <v>86</v>
      </c>
      <c r="BK188" s="221">
        <f>ROUND(I188*H188,1)</f>
        <v>0</v>
      </c>
      <c r="BL188" s="18" t="s">
        <v>1074</v>
      </c>
      <c r="BM188" s="220" t="s">
        <v>3840</v>
      </c>
    </row>
    <row r="189" s="2" customFormat="1" ht="16.5" customHeight="1">
      <c r="A189" s="40"/>
      <c r="B189" s="41"/>
      <c r="C189" s="209" t="s">
        <v>565</v>
      </c>
      <c r="D189" s="209" t="s">
        <v>202</v>
      </c>
      <c r="E189" s="210" t="s">
        <v>3841</v>
      </c>
      <c r="F189" s="211" t="s">
        <v>3842</v>
      </c>
      <c r="G189" s="212" t="s">
        <v>449</v>
      </c>
      <c r="H189" s="213">
        <v>1</v>
      </c>
      <c r="I189" s="214"/>
      <c r="J189" s="215">
        <f>ROUND(I189*H189,1)</f>
        <v>0</v>
      </c>
      <c r="K189" s="211" t="s">
        <v>206</v>
      </c>
      <c r="L189" s="46"/>
      <c r="M189" s="216" t="s">
        <v>32</v>
      </c>
      <c r="N189" s="217" t="s">
        <v>49</v>
      </c>
      <c r="O189" s="86"/>
      <c r="P189" s="218">
        <f>O189*H189</f>
        <v>0</v>
      </c>
      <c r="Q189" s="218">
        <v>0</v>
      </c>
      <c r="R189" s="218">
        <f>Q189*H189</f>
        <v>0</v>
      </c>
      <c r="S189" s="218">
        <v>0</v>
      </c>
      <c r="T189" s="219">
        <f>S189*H189</f>
        <v>0</v>
      </c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R189" s="220" t="s">
        <v>665</v>
      </c>
      <c r="AT189" s="220" t="s">
        <v>202</v>
      </c>
      <c r="AU189" s="220" t="s">
        <v>88</v>
      </c>
      <c r="AY189" s="18" t="s">
        <v>200</v>
      </c>
      <c r="BE189" s="221">
        <f>IF(N189="základní",J189,0)</f>
        <v>0</v>
      </c>
      <c r="BF189" s="221">
        <f>IF(N189="snížená",J189,0)</f>
        <v>0</v>
      </c>
      <c r="BG189" s="221">
        <f>IF(N189="zákl. přenesená",J189,0)</f>
        <v>0</v>
      </c>
      <c r="BH189" s="221">
        <f>IF(N189="sníž. přenesená",J189,0)</f>
        <v>0</v>
      </c>
      <c r="BI189" s="221">
        <f>IF(N189="nulová",J189,0)</f>
        <v>0</v>
      </c>
      <c r="BJ189" s="18" t="s">
        <v>86</v>
      </c>
      <c r="BK189" s="221">
        <f>ROUND(I189*H189,1)</f>
        <v>0</v>
      </c>
      <c r="BL189" s="18" t="s">
        <v>665</v>
      </c>
      <c r="BM189" s="220" t="s">
        <v>3843</v>
      </c>
    </row>
    <row r="190" s="2" customFormat="1">
      <c r="A190" s="40"/>
      <c r="B190" s="41"/>
      <c r="C190" s="42"/>
      <c r="D190" s="222" t="s">
        <v>209</v>
      </c>
      <c r="E190" s="42"/>
      <c r="F190" s="223" t="s">
        <v>3844</v>
      </c>
      <c r="G190" s="42"/>
      <c r="H190" s="42"/>
      <c r="I190" s="224"/>
      <c r="J190" s="42"/>
      <c r="K190" s="42"/>
      <c r="L190" s="46"/>
      <c r="M190" s="225"/>
      <c r="N190" s="226"/>
      <c r="O190" s="86"/>
      <c r="P190" s="86"/>
      <c r="Q190" s="86"/>
      <c r="R190" s="86"/>
      <c r="S190" s="86"/>
      <c r="T190" s="87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T190" s="18" t="s">
        <v>209</v>
      </c>
      <c r="AU190" s="18" t="s">
        <v>88</v>
      </c>
    </row>
    <row r="191" s="2" customFormat="1" ht="16.5" customHeight="1">
      <c r="A191" s="40"/>
      <c r="B191" s="41"/>
      <c r="C191" s="260" t="s">
        <v>570</v>
      </c>
      <c r="D191" s="260" t="s">
        <v>292</v>
      </c>
      <c r="E191" s="261" t="s">
        <v>3845</v>
      </c>
      <c r="F191" s="262" t="s">
        <v>3846</v>
      </c>
      <c r="G191" s="263" t="s">
        <v>449</v>
      </c>
      <c r="H191" s="264">
        <v>1</v>
      </c>
      <c r="I191" s="265"/>
      <c r="J191" s="266">
        <f>ROUND(I191*H191,1)</f>
        <v>0</v>
      </c>
      <c r="K191" s="262" t="s">
        <v>32</v>
      </c>
      <c r="L191" s="267"/>
      <c r="M191" s="268" t="s">
        <v>32</v>
      </c>
      <c r="N191" s="269" t="s">
        <v>49</v>
      </c>
      <c r="O191" s="86"/>
      <c r="P191" s="218">
        <f>O191*H191</f>
        <v>0</v>
      </c>
      <c r="Q191" s="218">
        <v>0</v>
      </c>
      <c r="R191" s="218">
        <f>Q191*H191</f>
        <v>0</v>
      </c>
      <c r="S191" s="218">
        <v>0</v>
      </c>
      <c r="T191" s="219">
        <f>S191*H191</f>
        <v>0</v>
      </c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R191" s="220" t="s">
        <v>1074</v>
      </c>
      <c r="AT191" s="220" t="s">
        <v>292</v>
      </c>
      <c r="AU191" s="220" t="s">
        <v>88</v>
      </c>
      <c r="AY191" s="18" t="s">
        <v>200</v>
      </c>
      <c r="BE191" s="221">
        <f>IF(N191="základní",J191,0)</f>
        <v>0</v>
      </c>
      <c r="BF191" s="221">
        <f>IF(N191="snížená",J191,0)</f>
        <v>0</v>
      </c>
      <c r="BG191" s="221">
        <f>IF(N191="zákl. přenesená",J191,0)</f>
        <v>0</v>
      </c>
      <c r="BH191" s="221">
        <f>IF(N191="sníž. přenesená",J191,0)</f>
        <v>0</v>
      </c>
      <c r="BI191" s="221">
        <f>IF(N191="nulová",J191,0)</f>
        <v>0</v>
      </c>
      <c r="BJ191" s="18" t="s">
        <v>86</v>
      </c>
      <c r="BK191" s="221">
        <f>ROUND(I191*H191,1)</f>
        <v>0</v>
      </c>
      <c r="BL191" s="18" t="s">
        <v>1074</v>
      </c>
      <c r="BM191" s="220" t="s">
        <v>3847</v>
      </c>
    </row>
    <row r="192" s="2" customFormat="1" ht="16.5" customHeight="1">
      <c r="A192" s="40"/>
      <c r="B192" s="41"/>
      <c r="C192" s="209" t="s">
        <v>575</v>
      </c>
      <c r="D192" s="209" t="s">
        <v>202</v>
      </c>
      <c r="E192" s="210" t="s">
        <v>3848</v>
      </c>
      <c r="F192" s="211" t="s">
        <v>3849</v>
      </c>
      <c r="G192" s="212" t="s">
        <v>449</v>
      </c>
      <c r="H192" s="213">
        <v>1</v>
      </c>
      <c r="I192" s="214"/>
      <c r="J192" s="215">
        <f>ROUND(I192*H192,1)</f>
        <v>0</v>
      </c>
      <c r="K192" s="211" t="s">
        <v>206</v>
      </c>
      <c r="L192" s="46"/>
      <c r="M192" s="216" t="s">
        <v>32</v>
      </c>
      <c r="N192" s="217" t="s">
        <v>49</v>
      </c>
      <c r="O192" s="86"/>
      <c r="P192" s="218">
        <f>O192*H192</f>
        <v>0</v>
      </c>
      <c r="Q192" s="218">
        <v>0</v>
      </c>
      <c r="R192" s="218">
        <f>Q192*H192</f>
        <v>0</v>
      </c>
      <c r="S192" s="218">
        <v>0</v>
      </c>
      <c r="T192" s="219">
        <f>S192*H192</f>
        <v>0</v>
      </c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R192" s="220" t="s">
        <v>665</v>
      </c>
      <c r="AT192" s="220" t="s">
        <v>202</v>
      </c>
      <c r="AU192" s="220" t="s">
        <v>88</v>
      </c>
      <c r="AY192" s="18" t="s">
        <v>200</v>
      </c>
      <c r="BE192" s="221">
        <f>IF(N192="základní",J192,0)</f>
        <v>0</v>
      </c>
      <c r="BF192" s="221">
        <f>IF(N192="snížená",J192,0)</f>
        <v>0</v>
      </c>
      <c r="BG192" s="221">
        <f>IF(N192="zákl. přenesená",J192,0)</f>
        <v>0</v>
      </c>
      <c r="BH192" s="221">
        <f>IF(N192="sníž. přenesená",J192,0)</f>
        <v>0</v>
      </c>
      <c r="BI192" s="221">
        <f>IF(N192="nulová",J192,0)</f>
        <v>0</v>
      </c>
      <c r="BJ192" s="18" t="s">
        <v>86</v>
      </c>
      <c r="BK192" s="221">
        <f>ROUND(I192*H192,1)</f>
        <v>0</v>
      </c>
      <c r="BL192" s="18" t="s">
        <v>665</v>
      </c>
      <c r="BM192" s="220" t="s">
        <v>3850</v>
      </c>
    </row>
    <row r="193" s="2" customFormat="1">
      <c r="A193" s="40"/>
      <c r="B193" s="41"/>
      <c r="C193" s="42"/>
      <c r="D193" s="222" t="s">
        <v>209</v>
      </c>
      <c r="E193" s="42"/>
      <c r="F193" s="223" t="s">
        <v>3851</v>
      </c>
      <c r="G193" s="42"/>
      <c r="H193" s="42"/>
      <c r="I193" s="224"/>
      <c r="J193" s="42"/>
      <c r="K193" s="42"/>
      <c r="L193" s="46"/>
      <c r="M193" s="225"/>
      <c r="N193" s="226"/>
      <c r="O193" s="86"/>
      <c r="P193" s="86"/>
      <c r="Q193" s="86"/>
      <c r="R193" s="86"/>
      <c r="S193" s="86"/>
      <c r="T193" s="87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T193" s="18" t="s">
        <v>209</v>
      </c>
      <c r="AU193" s="18" t="s">
        <v>88</v>
      </c>
    </row>
    <row r="194" s="2" customFormat="1" ht="16.5" customHeight="1">
      <c r="A194" s="40"/>
      <c r="B194" s="41"/>
      <c r="C194" s="260" t="s">
        <v>581</v>
      </c>
      <c r="D194" s="260" t="s">
        <v>292</v>
      </c>
      <c r="E194" s="261" t="s">
        <v>3852</v>
      </c>
      <c r="F194" s="262" t="s">
        <v>3853</v>
      </c>
      <c r="G194" s="263" t="s">
        <v>449</v>
      </c>
      <c r="H194" s="264">
        <v>1</v>
      </c>
      <c r="I194" s="265"/>
      <c r="J194" s="266">
        <f>ROUND(I194*H194,1)</f>
        <v>0</v>
      </c>
      <c r="K194" s="262" t="s">
        <v>32</v>
      </c>
      <c r="L194" s="267"/>
      <c r="M194" s="268" t="s">
        <v>32</v>
      </c>
      <c r="N194" s="269" t="s">
        <v>49</v>
      </c>
      <c r="O194" s="86"/>
      <c r="P194" s="218">
        <f>O194*H194</f>
        <v>0</v>
      </c>
      <c r="Q194" s="218">
        <v>0</v>
      </c>
      <c r="R194" s="218">
        <f>Q194*H194</f>
        <v>0</v>
      </c>
      <c r="S194" s="218">
        <v>0</v>
      </c>
      <c r="T194" s="219">
        <f>S194*H194</f>
        <v>0</v>
      </c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R194" s="220" t="s">
        <v>1074</v>
      </c>
      <c r="AT194" s="220" t="s">
        <v>292</v>
      </c>
      <c r="AU194" s="220" t="s">
        <v>88</v>
      </c>
      <c r="AY194" s="18" t="s">
        <v>200</v>
      </c>
      <c r="BE194" s="221">
        <f>IF(N194="základní",J194,0)</f>
        <v>0</v>
      </c>
      <c r="BF194" s="221">
        <f>IF(N194="snížená",J194,0)</f>
        <v>0</v>
      </c>
      <c r="BG194" s="221">
        <f>IF(N194="zákl. přenesená",J194,0)</f>
        <v>0</v>
      </c>
      <c r="BH194" s="221">
        <f>IF(N194="sníž. přenesená",J194,0)</f>
        <v>0</v>
      </c>
      <c r="BI194" s="221">
        <f>IF(N194="nulová",J194,0)</f>
        <v>0</v>
      </c>
      <c r="BJ194" s="18" t="s">
        <v>86</v>
      </c>
      <c r="BK194" s="221">
        <f>ROUND(I194*H194,1)</f>
        <v>0</v>
      </c>
      <c r="BL194" s="18" t="s">
        <v>1074</v>
      </c>
      <c r="BM194" s="220" t="s">
        <v>3854</v>
      </c>
    </row>
    <row r="195" s="2" customFormat="1" ht="16.5" customHeight="1">
      <c r="A195" s="40"/>
      <c r="B195" s="41"/>
      <c r="C195" s="209" t="s">
        <v>587</v>
      </c>
      <c r="D195" s="209" t="s">
        <v>202</v>
      </c>
      <c r="E195" s="210" t="s">
        <v>3855</v>
      </c>
      <c r="F195" s="211" t="s">
        <v>3856</v>
      </c>
      <c r="G195" s="212" t="s">
        <v>280</v>
      </c>
      <c r="H195" s="213">
        <v>50</v>
      </c>
      <c r="I195" s="214"/>
      <c r="J195" s="215">
        <f>ROUND(I195*H195,1)</f>
        <v>0</v>
      </c>
      <c r="K195" s="211" t="s">
        <v>206</v>
      </c>
      <c r="L195" s="46"/>
      <c r="M195" s="216" t="s">
        <v>32</v>
      </c>
      <c r="N195" s="217" t="s">
        <v>49</v>
      </c>
      <c r="O195" s="86"/>
      <c r="P195" s="218">
        <f>O195*H195</f>
        <v>0</v>
      </c>
      <c r="Q195" s="218">
        <v>0</v>
      </c>
      <c r="R195" s="218">
        <f>Q195*H195</f>
        <v>0</v>
      </c>
      <c r="S195" s="218">
        <v>0</v>
      </c>
      <c r="T195" s="219">
        <f>S195*H195</f>
        <v>0</v>
      </c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R195" s="220" t="s">
        <v>665</v>
      </c>
      <c r="AT195" s="220" t="s">
        <v>202</v>
      </c>
      <c r="AU195" s="220" t="s">
        <v>88</v>
      </c>
      <c r="AY195" s="18" t="s">
        <v>200</v>
      </c>
      <c r="BE195" s="221">
        <f>IF(N195="základní",J195,0)</f>
        <v>0</v>
      </c>
      <c r="BF195" s="221">
        <f>IF(N195="snížená",J195,0)</f>
        <v>0</v>
      </c>
      <c r="BG195" s="221">
        <f>IF(N195="zákl. přenesená",J195,0)</f>
        <v>0</v>
      </c>
      <c r="BH195" s="221">
        <f>IF(N195="sníž. přenesená",J195,0)</f>
        <v>0</v>
      </c>
      <c r="BI195" s="221">
        <f>IF(N195="nulová",J195,0)</f>
        <v>0</v>
      </c>
      <c r="BJ195" s="18" t="s">
        <v>86</v>
      </c>
      <c r="BK195" s="221">
        <f>ROUND(I195*H195,1)</f>
        <v>0</v>
      </c>
      <c r="BL195" s="18" t="s">
        <v>665</v>
      </c>
      <c r="BM195" s="220" t="s">
        <v>3857</v>
      </c>
    </row>
    <row r="196" s="2" customFormat="1">
      <c r="A196" s="40"/>
      <c r="B196" s="41"/>
      <c r="C196" s="42"/>
      <c r="D196" s="222" t="s">
        <v>209</v>
      </c>
      <c r="E196" s="42"/>
      <c r="F196" s="223" t="s">
        <v>3858</v>
      </c>
      <c r="G196" s="42"/>
      <c r="H196" s="42"/>
      <c r="I196" s="224"/>
      <c r="J196" s="42"/>
      <c r="K196" s="42"/>
      <c r="L196" s="46"/>
      <c r="M196" s="225"/>
      <c r="N196" s="226"/>
      <c r="O196" s="86"/>
      <c r="P196" s="86"/>
      <c r="Q196" s="86"/>
      <c r="R196" s="86"/>
      <c r="S196" s="86"/>
      <c r="T196" s="87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T196" s="18" t="s">
        <v>209</v>
      </c>
      <c r="AU196" s="18" t="s">
        <v>88</v>
      </c>
    </row>
    <row r="197" s="2" customFormat="1" ht="16.5" customHeight="1">
      <c r="A197" s="40"/>
      <c r="B197" s="41"/>
      <c r="C197" s="209" t="s">
        <v>593</v>
      </c>
      <c r="D197" s="209" t="s">
        <v>202</v>
      </c>
      <c r="E197" s="210" t="s">
        <v>3859</v>
      </c>
      <c r="F197" s="211" t="s">
        <v>3860</v>
      </c>
      <c r="G197" s="212" t="s">
        <v>280</v>
      </c>
      <c r="H197" s="213">
        <v>30</v>
      </c>
      <c r="I197" s="214"/>
      <c r="J197" s="215">
        <f>ROUND(I197*H197,1)</f>
        <v>0</v>
      </c>
      <c r="K197" s="211" t="s">
        <v>32</v>
      </c>
      <c r="L197" s="46"/>
      <c r="M197" s="216" t="s">
        <v>32</v>
      </c>
      <c r="N197" s="217" t="s">
        <v>49</v>
      </c>
      <c r="O197" s="86"/>
      <c r="P197" s="218">
        <f>O197*H197</f>
        <v>0</v>
      </c>
      <c r="Q197" s="218">
        <v>0.0037200000000000002</v>
      </c>
      <c r="R197" s="218">
        <f>Q197*H197</f>
        <v>0.11160000000000001</v>
      </c>
      <c r="S197" s="218">
        <v>0</v>
      </c>
      <c r="T197" s="219">
        <f>S197*H197</f>
        <v>0</v>
      </c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R197" s="220" t="s">
        <v>207</v>
      </c>
      <c r="AT197" s="220" t="s">
        <v>202</v>
      </c>
      <c r="AU197" s="220" t="s">
        <v>88</v>
      </c>
      <c r="AY197" s="18" t="s">
        <v>200</v>
      </c>
      <c r="BE197" s="221">
        <f>IF(N197="základní",J197,0)</f>
        <v>0</v>
      </c>
      <c r="BF197" s="221">
        <f>IF(N197="snížená",J197,0)</f>
        <v>0</v>
      </c>
      <c r="BG197" s="221">
        <f>IF(N197="zákl. přenesená",J197,0)</f>
        <v>0</v>
      </c>
      <c r="BH197" s="221">
        <f>IF(N197="sníž. přenesená",J197,0)</f>
        <v>0</v>
      </c>
      <c r="BI197" s="221">
        <f>IF(N197="nulová",J197,0)</f>
        <v>0</v>
      </c>
      <c r="BJ197" s="18" t="s">
        <v>86</v>
      </c>
      <c r="BK197" s="221">
        <f>ROUND(I197*H197,1)</f>
        <v>0</v>
      </c>
      <c r="BL197" s="18" t="s">
        <v>207</v>
      </c>
      <c r="BM197" s="220" t="s">
        <v>3861</v>
      </c>
    </row>
    <row r="198" s="2" customFormat="1" ht="16.5" customHeight="1">
      <c r="A198" s="40"/>
      <c r="B198" s="41"/>
      <c r="C198" s="260" t="s">
        <v>599</v>
      </c>
      <c r="D198" s="260" t="s">
        <v>292</v>
      </c>
      <c r="E198" s="261" t="s">
        <v>3862</v>
      </c>
      <c r="F198" s="262" t="s">
        <v>3863</v>
      </c>
      <c r="G198" s="263" t="s">
        <v>280</v>
      </c>
      <c r="H198" s="264">
        <v>30</v>
      </c>
      <c r="I198" s="265"/>
      <c r="J198" s="266">
        <f>ROUND(I198*H198,1)</f>
        <v>0</v>
      </c>
      <c r="K198" s="262" t="s">
        <v>32</v>
      </c>
      <c r="L198" s="267"/>
      <c r="M198" s="268" t="s">
        <v>32</v>
      </c>
      <c r="N198" s="269" t="s">
        <v>49</v>
      </c>
      <c r="O198" s="86"/>
      <c r="P198" s="218">
        <f>O198*H198</f>
        <v>0</v>
      </c>
      <c r="Q198" s="218">
        <v>0</v>
      </c>
      <c r="R198" s="218">
        <f>Q198*H198</f>
        <v>0</v>
      </c>
      <c r="S198" s="218">
        <v>0</v>
      </c>
      <c r="T198" s="219">
        <f>S198*H198</f>
        <v>0</v>
      </c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R198" s="220" t="s">
        <v>254</v>
      </c>
      <c r="AT198" s="220" t="s">
        <v>292</v>
      </c>
      <c r="AU198" s="220" t="s">
        <v>88</v>
      </c>
      <c r="AY198" s="18" t="s">
        <v>200</v>
      </c>
      <c r="BE198" s="221">
        <f>IF(N198="základní",J198,0)</f>
        <v>0</v>
      </c>
      <c r="BF198" s="221">
        <f>IF(N198="snížená",J198,0)</f>
        <v>0</v>
      </c>
      <c r="BG198" s="221">
        <f>IF(N198="zákl. přenesená",J198,0)</f>
        <v>0</v>
      </c>
      <c r="BH198" s="221">
        <f>IF(N198="sníž. přenesená",J198,0)</f>
        <v>0</v>
      </c>
      <c r="BI198" s="221">
        <f>IF(N198="nulová",J198,0)</f>
        <v>0</v>
      </c>
      <c r="BJ198" s="18" t="s">
        <v>86</v>
      </c>
      <c r="BK198" s="221">
        <f>ROUND(I198*H198,1)</f>
        <v>0</v>
      </c>
      <c r="BL198" s="18" t="s">
        <v>207</v>
      </c>
      <c r="BM198" s="220" t="s">
        <v>3864</v>
      </c>
    </row>
    <row r="199" s="12" customFormat="1" ht="22.8" customHeight="1">
      <c r="A199" s="12"/>
      <c r="B199" s="193"/>
      <c r="C199" s="194"/>
      <c r="D199" s="195" t="s">
        <v>77</v>
      </c>
      <c r="E199" s="207" t="s">
        <v>3865</v>
      </c>
      <c r="F199" s="207" t="s">
        <v>3866</v>
      </c>
      <c r="G199" s="194"/>
      <c r="H199" s="194"/>
      <c r="I199" s="197"/>
      <c r="J199" s="208">
        <f>BK199</f>
        <v>0</v>
      </c>
      <c r="K199" s="194"/>
      <c r="L199" s="199"/>
      <c r="M199" s="200"/>
      <c r="N199" s="201"/>
      <c r="O199" s="201"/>
      <c r="P199" s="202">
        <f>SUM(P200:P213)</f>
        <v>0</v>
      </c>
      <c r="Q199" s="201"/>
      <c r="R199" s="202">
        <f>SUM(R200:R213)</f>
        <v>0</v>
      </c>
      <c r="S199" s="201"/>
      <c r="T199" s="203">
        <f>SUM(T200:T213)</f>
        <v>0</v>
      </c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R199" s="204" t="s">
        <v>148</v>
      </c>
      <c r="AT199" s="205" t="s">
        <v>77</v>
      </c>
      <c r="AU199" s="205" t="s">
        <v>86</v>
      </c>
      <c r="AY199" s="204" t="s">
        <v>200</v>
      </c>
      <c r="BK199" s="206">
        <f>SUM(BK200:BK213)</f>
        <v>0</v>
      </c>
    </row>
    <row r="200" s="2" customFormat="1" ht="24.15" customHeight="1">
      <c r="A200" s="40"/>
      <c r="B200" s="41"/>
      <c r="C200" s="209" t="s">
        <v>604</v>
      </c>
      <c r="D200" s="209" t="s">
        <v>202</v>
      </c>
      <c r="E200" s="210" t="s">
        <v>3867</v>
      </c>
      <c r="F200" s="211" t="s">
        <v>3868</v>
      </c>
      <c r="G200" s="212" t="s">
        <v>3869</v>
      </c>
      <c r="H200" s="213">
        <v>1</v>
      </c>
      <c r="I200" s="214"/>
      <c r="J200" s="215">
        <f>ROUND(I200*H200,1)</f>
        <v>0</v>
      </c>
      <c r="K200" s="211" t="s">
        <v>206</v>
      </c>
      <c r="L200" s="46"/>
      <c r="M200" s="216" t="s">
        <v>32</v>
      </c>
      <c r="N200" s="217" t="s">
        <v>49</v>
      </c>
      <c r="O200" s="86"/>
      <c r="P200" s="218">
        <f>O200*H200</f>
        <v>0</v>
      </c>
      <c r="Q200" s="218">
        <v>0</v>
      </c>
      <c r="R200" s="218">
        <f>Q200*H200</f>
        <v>0</v>
      </c>
      <c r="S200" s="218">
        <v>0</v>
      </c>
      <c r="T200" s="219">
        <f>S200*H200</f>
        <v>0</v>
      </c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R200" s="220" t="s">
        <v>665</v>
      </c>
      <c r="AT200" s="220" t="s">
        <v>202</v>
      </c>
      <c r="AU200" s="220" t="s">
        <v>88</v>
      </c>
      <c r="AY200" s="18" t="s">
        <v>200</v>
      </c>
      <c r="BE200" s="221">
        <f>IF(N200="základní",J200,0)</f>
        <v>0</v>
      </c>
      <c r="BF200" s="221">
        <f>IF(N200="snížená",J200,0)</f>
        <v>0</v>
      </c>
      <c r="BG200" s="221">
        <f>IF(N200="zákl. přenesená",J200,0)</f>
        <v>0</v>
      </c>
      <c r="BH200" s="221">
        <f>IF(N200="sníž. přenesená",J200,0)</f>
        <v>0</v>
      </c>
      <c r="BI200" s="221">
        <f>IF(N200="nulová",J200,0)</f>
        <v>0</v>
      </c>
      <c r="BJ200" s="18" t="s">
        <v>86</v>
      </c>
      <c r="BK200" s="221">
        <f>ROUND(I200*H200,1)</f>
        <v>0</v>
      </c>
      <c r="BL200" s="18" t="s">
        <v>665</v>
      </c>
      <c r="BM200" s="220" t="s">
        <v>3870</v>
      </c>
    </row>
    <row r="201" s="2" customFormat="1">
      <c r="A201" s="40"/>
      <c r="B201" s="41"/>
      <c r="C201" s="42"/>
      <c r="D201" s="222" t="s">
        <v>209</v>
      </c>
      <c r="E201" s="42"/>
      <c r="F201" s="223" t="s">
        <v>3871</v>
      </c>
      <c r="G201" s="42"/>
      <c r="H201" s="42"/>
      <c r="I201" s="224"/>
      <c r="J201" s="42"/>
      <c r="K201" s="42"/>
      <c r="L201" s="46"/>
      <c r="M201" s="225"/>
      <c r="N201" s="226"/>
      <c r="O201" s="86"/>
      <c r="P201" s="86"/>
      <c r="Q201" s="86"/>
      <c r="R201" s="86"/>
      <c r="S201" s="86"/>
      <c r="T201" s="87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T201" s="18" t="s">
        <v>209</v>
      </c>
      <c r="AU201" s="18" t="s">
        <v>88</v>
      </c>
    </row>
    <row r="202" s="2" customFormat="1" ht="16.5" customHeight="1">
      <c r="A202" s="40"/>
      <c r="B202" s="41"/>
      <c r="C202" s="209" t="s">
        <v>609</v>
      </c>
      <c r="D202" s="209" t="s">
        <v>202</v>
      </c>
      <c r="E202" s="210" t="s">
        <v>3872</v>
      </c>
      <c r="F202" s="211" t="s">
        <v>3873</v>
      </c>
      <c r="G202" s="212" t="s">
        <v>449</v>
      </c>
      <c r="H202" s="213">
        <v>1</v>
      </c>
      <c r="I202" s="214"/>
      <c r="J202" s="215">
        <f>ROUND(I202*H202,1)</f>
        <v>0</v>
      </c>
      <c r="K202" s="211" t="s">
        <v>206</v>
      </c>
      <c r="L202" s="46"/>
      <c r="M202" s="216" t="s">
        <v>32</v>
      </c>
      <c r="N202" s="217" t="s">
        <v>49</v>
      </c>
      <c r="O202" s="86"/>
      <c r="P202" s="218">
        <f>O202*H202</f>
        <v>0</v>
      </c>
      <c r="Q202" s="218">
        <v>0</v>
      </c>
      <c r="R202" s="218">
        <f>Q202*H202</f>
        <v>0</v>
      </c>
      <c r="S202" s="218">
        <v>0</v>
      </c>
      <c r="T202" s="219">
        <f>S202*H202</f>
        <v>0</v>
      </c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R202" s="220" t="s">
        <v>665</v>
      </c>
      <c r="AT202" s="220" t="s">
        <v>202</v>
      </c>
      <c r="AU202" s="220" t="s">
        <v>88</v>
      </c>
      <c r="AY202" s="18" t="s">
        <v>200</v>
      </c>
      <c r="BE202" s="221">
        <f>IF(N202="základní",J202,0)</f>
        <v>0</v>
      </c>
      <c r="BF202" s="221">
        <f>IF(N202="snížená",J202,0)</f>
        <v>0</v>
      </c>
      <c r="BG202" s="221">
        <f>IF(N202="zákl. přenesená",J202,0)</f>
        <v>0</v>
      </c>
      <c r="BH202" s="221">
        <f>IF(N202="sníž. přenesená",J202,0)</f>
        <v>0</v>
      </c>
      <c r="BI202" s="221">
        <f>IF(N202="nulová",J202,0)</f>
        <v>0</v>
      </c>
      <c r="BJ202" s="18" t="s">
        <v>86</v>
      </c>
      <c r="BK202" s="221">
        <f>ROUND(I202*H202,1)</f>
        <v>0</v>
      </c>
      <c r="BL202" s="18" t="s">
        <v>665</v>
      </c>
      <c r="BM202" s="220" t="s">
        <v>3874</v>
      </c>
    </row>
    <row r="203" s="2" customFormat="1">
      <c r="A203" s="40"/>
      <c r="B203" s="41"/>
      <c r="C203" s="42"/>
      <c r="D203" s="222" t="s">
        <v>209</v>
      </c>
      <c r="E203" s="42"/>
      <c r="F203" s="223" t="s">
        <v>3875</v>
      </c>
      <c r="G203" s="42"/>
      <c r="H203" s="42"/>
      <c r="I203" s="224"/>
      <c r="J203" s="42"/>
      <c r="K203" s="42"/>
      <c r="L203" s="46"/>
      <c r="M203" s="225"/>
      <c r="N203" s="226"/>
      <c r="O203" s="86"/>
      <c r="P203" s="86"/>
      <c r="Q203" s="86"/>
      <c r="R203" s="86"/>
      <c r="S203" s="86"/>
      <c r="T203" s="87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T203" s="18" t="s">
        <v>209</v>
      </c>
      <c r="AU203" s="18" t="s">
        <v>88</v>
      </c>
    </row>
    <row r="204" s="2" customFormat="1" ht="16.5" customHeight="1">
      <c r="A204" s="40"/>
      <c r="B204" s="41"/>
      <c r="C204" s="209" t="s">
        <v>632</v>
      </c>
      <c r="D204" s="209" t="s">
        <v>202</v>
      </c>
      <c r="E204" s="210" t="s">
        <v>3876</v>
      </c>
      <c r="F204" s="211" t="s">
        <v>3877</v>
      </c>
      <c r="G204" s="212" t="s">
        <v>449</v>
      </c>
      <c r="H204" s="213">
        <v>3</v>
      </c>
      <c r="I204" s="214"/>
      <c r="J204" s="215">
        <f>ROUND(I204*H204,1)</f>
        <v>0</v>
      </c>
      <c r="K204" s="211" t="s">
        <v>206</v>
      </c>
      <c r="L204" s="46"/>
      <c r="M204" s="216" t="s">
        <v>32</v>
      </c>
      <c r="N204" s="217" t="s">
        <v>49</v>
      </c>
      <c r="O204" s="86"/>
      <c r="P204" s="218">
        <f>O204*H204</f>
        <v>0</v>
      </c>
      <c r="Q204" s="218">
        <v>0</v>
      </c>
      <c r="R204" s="218">
        <f>Q204*H204</f>
        <v>0</v>
      </c>
      <c r="S204" s="218">
        <v>0</v>
      </c>
      <c r="T204" s="219">
        <f>S204*H204</f>
        <v>0</v>
      </c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R204" s="220" t="s">
        <v>665</v>
      </c>
      <c r="AT204" s="220" t="s">
        <v>202</v>
      </c>
      <c r="AU204" s="220" t="s">
        <v>88</v>
      </c>
      <c r="AY204" s="18" t="s">
        <v>200</v>
      </c>
      <c r="BE204" s="221">
        <f>IF(N204="základní",J204,0)</f>
        <v>0</v>
      </c>
      <c r="BF204" s="221">
        <f>IF(N204="snížená",J204,0)</f>
        <v>0</v>
      </c>
      <c r="BG204" s="221">
        <f>IF(N204="zákl. přenesená",J204,0)</f>
        <v>0</v>
      </c>
      <c r="BH204" s="221">
        <f>IF(N204="sníž. přenesená",J204,0)</f>
        <v>0</v>
      </c>
      <c r="BI204" s="221">
        <f>IF(N204="nulová",J204,0)</f>
        <v>0</v>
      </c>
      <c r="BJ204" s="18" t="s">
        <v>86</v>
      </c>
      <c r="BK204" s="221">
        <f>ROUND(I204*H204,1)</f>
        <v>0</v>
      </c>
      <c r="BL204" s="18" t="s">
        <v>665</v>
      </c>
      <c r="BM204" s="220" t="s">
        <v>3878</v>
      </c>
    </row>
    <row r="205" s="2" customFormat="1">
      <c r="A205" s="40"/>
      <c r="B205" s="41"/>
      <c r="C205" s="42"/>
      <c r="D205" s="222" t="s">
        <v>209</v>
      </c>
      <c r="E205" s="42"/>
      <c r="F205" s="223" t="s">
        <v>3879</v>
      </c>
      <c r="G205" s="42"/>
      <c r="H205" s="42"/>
      <c r="I205" s="224"/>
      <c r="J205" s="42"/>
      <c r="K205" s="42"/>
      <c r="L205" s="46"/>
      <c r="M205" s="225"/>
      <c r="N205" s="226"/>
      <c r="O205" s="86"/>
      <c r="P205" s="86"/>
      <c r="Q205" s="86"/>
      <c r="R205" s="86"/>
      <c r="S205" s="86"/>
      <c r="T205" s="87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T205" s="18" t="s">
        <v>209</v>
      </c>
      <c r="AU205" s="18" t="s">
        <v>88</v>
      </c>
    </row>
    <row r="206" s="2" customFormat="1" ht="16.5" customHeight="1">
      <c r="A206" s="40"/>
      <c r="B206" s="41"/>
      <c r="C206" s="209" t="s">
        <v>638</v>
      </c>
      <c r="D206" s="209" t="s">
        <v>202</v>
      </c>
      <c r="E206" s="210" t="s">
        <v>3880</v>
      </c>
      <c r="F206" s="211" t="s">
        <v>3881</v>
      </c>
      <c r="G206" s="212" t="s">
        <v>449</v>
      </c>
      <c r="H206" s="213">
        <v>1</v>
      </c>
      <c r="I206" s="214"/>
      <c r="J206" s="215">
        <f>ROUND(I206*H206,1)</f>
        <v>0</v>
      </c>
      <c r="K206" s="211" t="s">
        <v>206</v>
      </c>
      <c r="L206" s="46"/>
      <c r="M206" s="216" t="s">
        <v>32</v>
      </c>
      <c r="N206" s="217" t="s">
        <v>49</v>
      </c>
      <c r="O206" s="86"/>
      <c r="P206" s="218">
        <f>O206*H206</f>
        <v>0</v>
      </c>
      <c r="Q206" s="218">
        <v>0</v>
      </c>
      <c r="R206" s="218">
        <f>Q206*H206</f>
        <v>0</v>
      </c>
      <c r="S206" s="218">
        <v>0</v>
      </c>
      <c r="T206" s="219">
        <f>S206*H206</f>
        <v>0</v>
      </c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R206" s="220" t="s">
        <v>665</v>
      </c>
      <c r="AT206" s="220" t="s">
        <v>202</v>
      </c>
      <c r="AU206" s="220" t="s">
        <v>88</v>
      </c>
      <c r="AY206" s="18" t="s">
        <v>200</v>
      </c>
      <c r="BE206" s="221">
        <f>IF(N206="základní",J206,0)</f>
        <v>0</v>
      </c>
      <c r="BF206" s="221">
        <f>IF(N206="snížená",J206,0)</f>
        <v>0</v>
      </c>
      <c r="BG206" s="221">
        <f>IF(N206="zákl. přenesená",J206,0)</f>
        <v>0</v>
      </c>
      <c r="BH206" s="221">
        <f>IF(N206="sníž. přenesená",J206,0)</f>
        <v>0</v>
      </c>
      <c r="BI206" s="221">
        <f>IF(N206="nulová",J206,0)</f>
        <v>0</v>
      </c>
      <c r="BJ206" s="18" t="s">
        <v>86</v>
      </c>
      <c r="BK206" s="221">
        <f>ROUND(I206*H206,1)</f>
        <v>0</v>
      </c>
      <c r="BL206" s="18" t="s">
        <v>665</v>
      </c>
      <c r="BM206" s="220" t="s">
        <v>3882</v>
      </c>
    </row>
    <row r="207" s="2" customFormat="1">
      <c r="A207" s="40"/>
      <c r="B207" s="41"/>
      <c r="C207" s="42"/>
      <c r="D207" s="222" t="s">
        <v>209</v>
      </c>
      <c r="E207" s="42"/>
      <c r="F207" s="223" t="s">
        <v>3883</v>
      </c>
      <c r="G207" s="42"/>
      <c r="H207" s="42"/>
      <c r="I207" s="224"/>
      <c r="J207" s="42"/>
      <c r="K207" s="42"/>
      <c r="L207" s="46"/>
      <c r="M207" s="225"/>
      <c r="N207" s="226"/>
      <c r="O207" s="86"/>
      <c r="P207" s="86"/>
      <c r="Q207" s="86"/>
      <c r="R207" s="86"/>
      <c r="S207" s="86"/>
      <c r="T207" s="87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T207" s="18" t="s">
        <v>209</v>
      </c>
      <c r="AU207" s="18" t="s">
        <v>88</v>
      </c>
    </row>
    <row r="208" s="2" customFormat="1" ht="16.5" customHeight="1">
      <c r="A208" s="40"/>
      <c r="B208" s="41"/>
      <c r="C208" s="209" t="s">
        <v>644</v>
      </c>
      <c r="D208" s="209" t="s">
        <v>202</v>
      </c>
      <c r="E208" s="210" t="s">
        <v>3884</v>
      </c>
      <c r="F208" s="211" t="s">
        <v>3885</v>
      </c>
      <c r="G208" s="212" t="s">
        <v>449</v>
      </c>
      <c r="H208" s="213">
        <v>20</v>
      </c>
      <c r="I208" s="214"/>
      <c r="J208" s="215">
        <f>ROUND(I208*H208,1)</f>
        <v>0</v>
      </c>
      <c r="K208" s="211" t="s">
        <v>206</v>
      </c>
      <c r="L208" s="46"/>
      <c r="M208" s="216" t="s">
        <v>32</v>
      </c>
      <c r="N208" s="217" t="s">
        <v>49</v>
      </c>
      <c r="O208" s="86"/>
      <c r="P208" s="218">
        <f>O208*H208</f>
        <v>0</v>
      </c>
      <c r="Q208" s="218">
        <v>0</v>
      </c>
      <c r="R208" s="218">
        <f>Q208*H208</f>
        <v>0</v>
      </c>
      <c r="S208" s="218">
        <v>0</v>
      </c>
      <c r="T208" s="219">
        <f>S208*H208</f>
        <v>0</v>
      </c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R208" s="220" t="s">
        <v>665</v>
      </c>
      <c r="AT208" s="220" t="s">
        <v>202</v>
      </c>
      <c r="AU208" s="220" t="s">
        <v>88</v>
      </c>
      <c r="AY208" s="18" t="s">
        <v>200</v>
      </c>
      <c r="BE208" s="221">
        <f>IF(N208="základní",J208,0)</f>
        <v>0</v>
      </c>
      <c r="BF208" s="221">
        <f>IF(N208="snížená",J208,0)</f>
        <v>0</v>
      </c>
      <c r="BG208" s="221">
        <f>IF(N208="zákl. přenesená",J208,0)</f>
        <v>0</v>
      </c>
      <c r="BH208" s="221">
        <f>IF(N208="sníž. přenesená",J208,0)</f>
        <v>0</v>
      </c>
      <c r="BI208" s="221">
        <f>IF(N208="nulová",J208,0)</f>
        <v>0</v>
      </c>
      <c r="BJ208" s="18" t="s">
        <v>86</v>
      </c>
      <c r="BK208" s="221">
        <f>ROUND(I208*H208,1)</f>
        <v>0</v>
      </c>
      <c r="BL208" s="18" t="s">
        <v>665</v>
      </c>
      <c r="BM208" s="220" t="s">
        <v>3886</v>
      </c>
    </row>
    <row r="209" s="2" customFormat="1">
      <c r="A209" s="40"/>
      <c r="B209" s="41"/>
      <c r="C209" s="42"/>
      <c r="D209" s="222" t="s">
        <v>209</v>
      </c>
      <c r="E209" s="42"/>
      <c r="F209" s="223" t="s">
        <v>3887</v>
      </c>
      <c r="G209" s="42"/>
      <c r="H209" s="42"/>
      <c r="I209" s="224"/>
      <c r="J209" s="42"/>
      <c r="K209" s="42"/>
      <c r="L209" s="46"/>
      <c r="M209" s="225"/>
      <c r="N209" s="226"/>
      <c r="O209" s="86"/>
      <c r="P209" s="86"/>
      <c r="Q209" s="86"/>
      <c r="R209" s="86"/>
      <c r="S209" s="86"/>
      <c r="T209" s="87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T209" s="18" t="s">
        <v>209</v>
      </c>
      <c r="AU209" s="18" t="s">
        <v>88</v>
      </c>
    </row>
    <row r="210" s="2" customFormat="1" ht="24.15" customHeight="1">
      <c r="A210" s="40"/>
      <c r="B210" s="41"/>
      <c r="C210" s="209" t="s">
        <v>651</v>
      </c>
      <c r="D210" s="209" t="s">
        <v>202</v>
      </c>
      <c r="E210" s="210" t="s">
        <v>3888</v>
      </c>
      <c r="F210" s="211" t="s">
        <v>3889</v>
      </c>
      <c r="G210" s="212" t="s">
        <v>3869</v>
      </c>
      <c r="H210" s="213">
        <v>1</v>
      </c>
      <c r="I210" s="214"/>
      <c r="J210" s="215">
        <f>ROUND(I210*H210,1)</f>
        <v>0</v>
      </c>
      <c r="K210" s="211" t="s">
        <v>206</v>
      </c>
      <c r="L210" s="46"/>
      <c r="M210" s="216" t="s">
        <v>32</v>
      </c>
      <c r="N210" s="217" t="s">
        <v>49</v>
      </c>
      <c r="O210" s="86"/>
      <c r="P210" s="218">
        <f>O210*H210</f>
        <v>0</v>
      </c>
      <c r="Q210" s="218">
        <v>0</v>
      </c>
      <c r="R210" s="218">
        <f>Q210*H210</f>
        <v>0</v>
      </c>
      <c r="S210" s="218">
        <v>0</v>
      </c>
      <c r="T210" s="219">
        <f>S210*H210</f>
        <v>0</v>
      </c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R210" s="220" t="s">
        <v>665</v>
      </c>
      <c r="AT210" s="220" t="s">
        <v>202</v>
      </c>
      <c r="AU210" s="220" t="s">
        <v>88</v>
      </c>
      <c r="AY210" s="18" t="s">
        <v>200</v>
      </c>
      <c r="BE210" s="221">
        <f>IF(N210="základní",J210,0)</f>
        <v>0</v>
      </c>
      <c r="BF210" s="221">
        <f>IF(N210="snížená",J210,0)</f>
        <v>0</v>
      </c>
      <c r="BG210" s="221">
        <f>IF(N210="zákl. přenesená",J210,0)</f>
        <v>0</v>
      </c>
      <c r="BH210" s="221">
        <f>IF(N210="sníž. přenesená",J210,0)</f>
        <v>0</v>
      </c>
      <c r="BI210" s="221">
        <f>IF(N210="nulová",J210,0)</f>
        <v>0</v>
      </c>
      <c r="BJ210" s="18" t="s">
        <v>86</v>
      </c>
      <c r="BK210" s="221">
        <f>ROUND(I210*H210,1)</f>
        <v>0</v>
      </c>
      <c r="BL210" s="18" t="s">
        <v>665</v>
      </c>
      <c r="BM210" s="220" t="s">
        <v>3890</v>
      </c>
    </row>
    <row r="211" s="2" customFormat="1">
      <c r="A211" s="40"/>
      <c r="B211" s="41"/>
      <c r="C211" s="42"/>
      <c r="D211" s="222" t="s">
        <v>209</v>
      </c>
      <c r="E211" s="42"/>
      <c r="F211" s="223" t="s">
        <v>3891</v>
      </c>
      <c r="G211" s="42"/>
      <c r="H211" s="42"/>
      <c r="I211" s="224"/>
      <c r="J211" s="42"/>
      <c r="K211" s="42"/>
      <c r="L211" s="46"/>
      <c r="M211" s="225"/>
      <c r="N211" s="226"/>
      <c r="O211" s="86"/>
      <c r="P211" s="86"/>
      <c r="Q211" s="86"/>
      <c r="R211" s="86"/>
      <c r="S211" s="86"/>
      <c r="T211" s="87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T211" s="18" t="s">
        <v>209</v>
      </c>
      <c r="AU211" s="18" t="s">
        <v>88</v>
      </c>
    </row>
    <row r="212" s="2" customFormat="1" ht="16.5" customHeight="1">
      <c r="A212" s="40"/>
      <c r="B212" s="41"/>
      <c r="C212" s="209" t="s">
        <v>660</v>
      </c>
      <c r="D212" s="209" t="s">
        <v>202</v>
      </c>
      <c r="E212" s="210" t="s">
        <v>3892</v>
      </c>
      <c r="F212" s="211" t="s">
        <v>3893</v>
      </c>
      <c r="G212" s="212" t="s">
        <v>3869</v>
      </c>
      <c r="H212" s="213">
        <v>1</v>
      </c>
      <c r="I212" s="214"/>
      <c r="J212" s="215">
        <f>ROUND(I212*H212,1)</f>
        <v>0</v>
      </c>
      <c r="K212" s="211" t="s">
        <v>206</v>
      </c>
      <c r="L212" s="46"/>
      <c r="M212" s="216" t="s">
        <v>32</v>
      </c>
      <c r="N212" s="217" t="s">
        <v>49</v>
      </c>
      <c r="O212" s="86"/>
      <c r="P212" s="218">
        <f>O212*H212</f>
        <v>0</v>
      </c>
      <c r="Q212" s="218">
        <v>0</v>
      </c>
      <c r="R212" s="218">
        <f>Q212*H212</f>
        <v>0</v>
      </c>
      <c r="S212" s="218">
        <v>0</v>
      </c>
      <c r="T212" s="219">
        <f>S212*H212</f>
        <v>0</v>
      </c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R212" s="220" t="s">
        <v>665</v>
      </c>
      <c r="AT212" s="220" t="s">
        <v>202</v>
      </c>
      <c r="AU212" s="220" t="s">
        <v>88</v>
      </c>
      <c r="AY212" s="18" t="s">
        <v>200</v>
      </c>
      <c r="BE212" s="221">
        <f>IF(N212="základní",J212,0)</f>
        <v>0</v>
      </c>
      <c r="BF212" s="221">
        <f>IF(N212="snížená",J212,0)</f>
        <v>0</v>
      </c>
      <c r="BG212" s="221">
        <f>IF(N212="zákl. přenesená",J212,0)</f>
        <v>0</v>
      </c>
      <c r="BH212" s="221">
        <f>IF(N212="sníž. přenesená",J212,0)</f>
        <v>0</v>
      </c>
      <c r="BI212" s="221">
        <f>IF(N212="nulová",J212,0)</f>
        <v>0</v>
      </c>
      <c r="BJ212" s="18" t="s">
        <v>86</v>
      </c>
      <c r="BK212" s="221">
        <f>ROUND(I212*H212,1)</f>
        <v>0</v>
      </c>
      <c r="BL212" s="18" t="s">
        <v>665</v>
      </c>
      <c r="BM212" s="220" t="s">
        <v>3894</v>
      </c>
    </row>
    <row r="213" s="2" customFormat="1">
      <c r="A213" s="40"/>
      <c r="B213" s="41"/>
      <c r="C213" s="42"/>
      <c r="D213" s="222" t="s">
        <v>209</v>
      </c>
      <c r="E213" s="42"/>
      <c r="F213" s="223" t="s">
        <v>3895</v>
      </c>
      <c r="G213" s="42"/>
      <c r="H213" s="42"/>
      <c r="I213" s="224"/>
      <c r="J213" s="42"/>
      <c r="K213" s="42"/>
      <c r="L213" s="46"/>
      <c r="M213" s="225"/>
      <c r="N213" s="226"/>
      <c r="O213" s="86"/>
      <c r="P213" s="86"/>
      <c r="Q213" s="86"/>
      <c r="R213" s="86"/>
      <c r="S213" s="86"/>
      <c r="T213" s="87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T213" s="18" t="s">
        <v>209</v>
      </c>
      <c r="AU213" s="18" t="s">
        <v>88</v>
      </c>
    </row>
    <row r="214" s="12" customFormat="1" ht="25.92" customHeight="1">
      <c r="A214" s="12"/>
      <c r="B214" s="193"/>
      <c r="C214" s="194"/>
      <c r="D214" s="195" t="s">
        <v>77</v>
      </c>
      <c r="E214" s="196" t="s">
        <v>2499</v>
      </c>
      <c r="F214" s="196" t="s">
        <v>2500</v>
      </c>
      <c r="G214" s="194"/>
      <c r="H214" s="194"/>
      <c r="I214" s="197"/>
      <c r="J214" s="198">
        <f>BK214</f>
        <v>0</v>
      </c>
      <c r="K214" s="194"/>
      <c r="L214" s="199"/>
      <c r="M214" s="200"/>
      <c r="N214" s="201"/>
      <c r="O214" s="201"/>
      <c r="P214" s="202">
        <f>SUM(P215:P220)</f>
        <v>0</v>
      </c>
      <c r="Q214" s="201"/>
      <c r="R214" s="202">
        <f>SUM(R215:R220)</f>
        <v>0</v>
      </c>
      <c r="S214" s="201"/>
      <c r="T214" s="203">
        <f>SUM(T215:T220)</f>
        <v>0</v>
      </c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R214" s="204" t="s">
        <v>207</v>
      </c>
      <c r="AT214" s="205" t="s">
        <v>77</v>
      </c>
      <c r="AU214" s="205" t="s">
        <v>78</v>
      </c>
      <c r="AY214" s="204" t="s">
        <v>200</v>
      </c>
      <c r="BK214" s="206">
        <f>SUM(BK215:BK220)</f>
        <v>0</v>
      </c>
    </row>
    <row r="215" s="2" customFormat="1" ht="16.5" customHeight="1">
      <c r="A215" s="40"/>
      <c r="B215" s="41"/>
      <c r="C215" s="209" t="s">
        <v>665</v>
      </c>
      <c r="D215" s="209" t="s">
        <v>202</v>
      </c>
      <c r="E215" s="210" t="s">
        <v>3896</v>
      </c>
      <c r="F215" s="211" t="s">
        <v>3897</v>
      </c>
      <c r="G215" s="212" t="s">
        <v>2503</v>
      </c>
      <c r="H215" s="213">
        <v>10</v>
      </c>
      <c r="I215" s="214"/>
      <c r="J215" s="215">
        <f>ROUND(I215*H215,1)</f>
        <v>0</v>
      </c>
      <c r="K215" s="211" t="s">
        <v>206</v>
      </c>
      <c r="L215" s="46"/>
      <c r="M215" s="216" t="s">
        <v>32</v>
      </c>
      <c r="N215" s="217" t="s">
        <v>49</v>
      </c>
      <c r="O215" s="86"/>
      <c r="P215" s="218">
        <f>O215*H215</f>
        <v>0</v>
      </c>
      <c r="Q215" s="218">
        <v>0</v>
      </c>
      <c r="R215" s="218">
        <f>Q215*H215</f>
        <v>0</v>
      </c>
      <c r="S215" s="218">
        <v>0</v>
      </c>
      <c r="T215" s="219">
        <f>S215*H215</f>
        <v>0</v>
      </c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R215" s="220" t="s">
        <v>2102</v>
      </c>
      <c r="AT215" s="220" t="s">
        <v>202</v>
      </c>
      <c r="AU215" s="220" t="s">
        <v>86</v>
      </c>
      <c r="AY215" s="18" t="s">
        <v>200</v>
      </c>
      <c r="BE215" s="221">
        <f>IF(N215="základní",J215,0)</f>
        <v>0</v>
      </c>
      <c r="BF215" s="221">
        <f>IF(N215="snížená",J215,0)</f>
        <v>0</v>
      </c>
      <c r="BG215" s="221">
        <f>IF(N215="zákl. přenesená",J215,0)</f>
        <v>0</v>
      </c>
      <c r="BH215" s="221">
        <f>IF(N215="sníž. přenesená",J215,0)</f>
        <v>0</v>
      </c>
      <c r="BI215" s="221">
        <f>IF(N215="nulová",J215,0)</f>
        <v>0</v>
      </c>
      <c r="BJ215" s="18" t="s">
        <v>86</v>
      </c>
      <c r="BK215" s="221">
        <f>ROUND(I215*H215,1)</f>
        <v>0</v>
      </c>
      <c r="BL215" s="18" t="s">
        <v>2102</v>
      </c>
      <c r="BM215" s="220" t="s">
        <v>3898</v>
      </c>
    </row>
    <row r="216" s="2" customFormat="1">
      <c r="A216" s="40"/>
      <c r="B216" s="41"/>
      <c r="C216" s="42"/>
      <c r="D216" s="222" t="s">
        <v>209</v>
      </c>
      <c r="E216" s="42"/>
      <c r="F216" s="223" t="s">
        <v>3899</v>
      </c>
      <c r="G216" s="42"/>
      <c r="H216" s="42"/>
      <c r="I216" s="224"/>
      <c r="J216" s="42"/>
      <c r="K216" s="42"/>
      <c r="L216" s="46"/>
      <c r="M216" s="225"/>
      <c r="N216" s="226"/>
      <c r="O216" s="86"/>
      <c r="P216" s="86"/>
      <c r="Q216" s="86"/>
      <c r="R216" s="86"/>
      <c r="S216" s="86"/>
      <c r="T216" s="87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T216" s="18" t="s">
        <v>209</v>
      </c>
      <c r="AU216" s="18" t="s">
        <v>86</v>
      </c>
    </row>
    <row r="217" s="2" customFormat="1" ht="21.75" customHeight="1">
      <c r="A217" s="40"/>
      <c r="B217" s="41"/>
      <c r="C217" s="209" t="s">
        <v>671</v>
      </c>
      <c r="D217" s="209" t="s">
        <v>202</v>
      </c>
      <c r="E217" s="210" t="s">
        <v>2501</v>
      </c>
      <c r="F217" s="211" t="s">
        <v>2502</v>
      </c>
      <c r="G217" s="212" t="s">
        <v>2503</v>
      </c>
      <c r="H217" s="213">
        <v>20</v>
      </c>
      <c r="I217" s="214"/>
      <c r="J217" s="215">
        <f>ROUND(I217*H217,1)</f>
        <v>0</v>
      </c>
      <c r="K217" s="211" t="s">
        <v>206</v>
      </c>
      <c r="L217" s="46"/>
      <c r="M217" s="216" t="s">
        <v>32</v>
      </c>
      <c r="N217" s="217" t="s">
        <v>49</v>
      </c>
      <c r="O217" s="86"/>
      <c r="P217" s="218">
        <f>O217*H217</f>
        <v>0</v>
      </c>
      <c r="Q217" s="218">
        <v>0</v>
      </c>
      <c r="R217" s="218">
        <f>Q217*H217</f>
        <v>0</v>
      </c>
      <c r="S217" s="218">
        <v>0</v>
      </c>
      <c r="T217" s="219">
        <f>S217*H217</f>
        <v>0</v>
      </c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R217" s="220" t="s">
        <v>2102</v>
      </c>
      <c r="AT217" s="220" t="s">
        <v>202</v>
      </c>
      <c r="AU217" s="220" t="s">
        <v>86</v>
      </c>
      <c r="AY217" s="18" t="s">
        <v>200</v>
      </c>
      <c r="BE217" s="221">
        <f>IF(N217="základní",J217,0)</f>
        <v>0</v>
      </c>
      <c r="BF217" s="221">
        <f>IF(N217="snížená",J217,0)</f>
        <v>0</v>
      </c>
      <c r="BG217" s="221">
        <f>IF(N217="zákl. přenesená",J217,0)</f>
        <v>0</v>
      </c>
      <c r="BH217" s="221">
        <f>IF(N217="sníž. přenesená",J217,0)</f>
        <v>0</v>
      </c>
      <c r="BI217" s="221">
        <f>IF(N217="nulová",J217,0)</f>
        <v>0</v>
      </c>
      <c r="BJ217" s="18" t="s">
        <v>86</v>
      </c>
      <c r="BK217" s="221">
        <f>ROUND(I217*H217,1)</f>
        <v>0</v>
      </c>
      <c r="BL217" s="18" t="s">
        <v>2102</v>
      </c>
      <c r="BM217" s="220" t="s">
        <v>3900</v>
      </c>
    </row>
    <row r="218" s="2" customFormat="1">
      <c r="A218" s="40"/>
      <c r="B218" s="41"/>
      <c r="C218" s="42"/>
      <c r="D218" s="222" t="s">
        <v>209</v>
      </c>
      <c r="E218" s="42"/>
      <c r="F218" s="223" t="s">
        <v>2505</v>
      </c>
      <c r="G218" s="42"/>
      <c r="H218" s="42"/>
      <c r="I218" s="224"/>
      <c r="J218" s="42"/>
      <c r="K218" s="42"/>
      <c r="L218" s="46"/>
      <c r="M218" s="225"/>
      <c r="N218" s="226"/>
      <c r="O218" s="86"/>
      <c r="P218" s="86"/>
      <c r="Q218" s="86"/>
      <c r="R218" s="86"/>
      <c r="S218" s="86"/>
      <c r="T218" s="87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T218" s="18" t="s">
        <v>209</v>
      </c>
      <c r="AU218" s="18" t="s">
        <v>86</v>
      </c>
    </row>
    <row r="219" s="2" customFormat="1" ht="16.5" customHeight="1">
      <c r="A219" s="40"/>
      <c r="B219" s="41"/>
      <c r="C219" s="209" t="s">
        <v>676</v>
      </c>
      <c r="D219" s="209" t="s">
        <v>202</v>
      </c>
      <c r="E219" s="210" t="s">
        <v>3901</v>
      </c>
      <c r="F219" s="211" t="s">
        <v>3902</v>
      </c>
      <c r="G219" s="212" t="s">
        <v>2503</v>
      </c>
      <c r="H219" s="213">
        <v>8</v>
      </c>
      <c r="I219" s="214"/>
      <c r="J219" s="215">
        <f>ROUND(I219*H219,1)</f>
        <v>0</v>
      </c>
      <c r="K219" s="211" t="s">
        <v>206</v>
      </c>
      <c r="L219" s="46"/>
      <c r="M219" s="216" t="s">
        <v>32</v>
      </c>
      <c r="N219" s="217" t="s">
        <v>49</v>
      </c>
      <c r="O219" s="86"/>
      <c r="P219" s="218">
        <f>O219*H219</f>
        <v>0</v>
      </c>
      <c r="Q219" s="218">
        <v>0</v>
      </c>
      <c r="R219" s="218">
        <f>Q219*H219</f>
        <v>0</v>
      </c>
      <c r="S219" s="218">
        <v>0</v>
      </c>
      <c r="T219" s="219">
        <f>S219*H219</f>
        <v>0</v>
      </c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R219" s="220" t="s">
        <v>2102</v>
      </c>
      <c r="AT219" s="220" t="s">
        <v>202</v>
      </c>
      <c r="AU219" s="220" t="s">
        <v>86</v>
      </c>
      <c r="AY219" s="18" t="s">
        <v>200</v>
      </c>
      <c r="BE219" s="221">
        <f>IF(N219="základní",J219,0)</f>
        <v>0</v>
      </c>
      <c r="BF219" s="221">
        <f>IF(N219="snížená",J219,0)</f>
        <v>0</v>
      </c>
      <c r="BG219" s="221">
        <f>IF(N219="zákl. přenesená",J219,0)</f>
        <v>0</v>
      </c>
      <c r="BH219" s="221">
        <f>IF(N219="sníž. přenesená",J219,0)</f>
        <v>0</v>
      </c>
      <c r="BI219" s="221">
        <f>IF(N219="nulová",J219,0)</f>
        <v>0</v>
      </c>
      <c r="BJ219" s="18" t="s">
        <v>86</v>
      </c>
      <c r="BK219" s="221">
        <f>ROUND(I219*H219,1)</f>
        <v>0</v>
      </c>
      <c r="BL219" s="18" t="s">
        <v>2102</v>
      </c>
      <c r="BM219" s="220" t="s">
        <v>3903</v>
      </c>
    </row>
    <row r="220" s="2" customFormat="1">
      <c r="A220" s="40"/>
      <c r="B220" s="41"/>
      <c r="C220" s="42"/>
      <c r="D220" s="222" t="s">
        <v>209</v>
      </c>
      <c r="E220" s="42"/>
      <c r="F220" s="223" t="s">
        <v>3904</v>
      </c>
      <c r="G220" s="42"/>
      <c r="H220" s="42"/>
      <c r="I220" s="224"/>
      <c r="J220" s="42"/>
      <c r="K220" s="42"/>
      <c r="L220" s="46"/>
      <c r="M220" s="283"/>
      <c r="N220" s="284"/>
      <c r="O220" s="285"/>
      <c r="P220" s="285"/>
      <c r="Q220" s="285"/>
      <c r="R220" s="285"/>
      <c r="S220" s="285"/>
      <c r="T220" s="286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T220" s="18" t="s">
        <v>209</v>
      </c>
      <c r="AU220" s="18" t="s">
        <v>86</v>
      </c>
    </row>
    <row r="221" s="2" customFormat="1" ht="6.96" customHeight="1">
      <c r="A221" s="40"/>
      <c r="B221" s="61"/>
      <c r="C221" s="62"/>
      <c r="D221" s="62"/>
      <c r="E221" s="62"/>
      <c r="F221" s="62"/>
      <c r="G221" s="62"/>
      <c r="H221" s="62"/>
      <c r="I221" s="62"/>
      <c r="J221" s="62"/>
      <c r="K221" s="62"/>
      <c r="L221" s="46"/>
      <c r="M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</row>
  </sheetData>
  <sheetProtection sheet="1" autoFilter="0" formatColumns="0" formatRows="0" objects="1" scenarios="1" spinCount="100000" saltValue="i4+UjML3anbSmoPZIbuE37V07RXtz+xZuZzl7qwjksLXY4LsaLrtUURKN1+RJKnWFNZgIgvB3fEJ28v5pOR9aw==" hashValue="ywQa2dHOXR0qd2k/OYw8hYa65KDfnodxZaU7URupgs9husbE5wE6No2nlf5gpL7Hy/s17m7qohxCT3YKzxndpQ==" algorithmName="SHA-512" password="CC35"/>
  <autoFilter ref="C90:K220"/>
  <mergeCells count="9">
    <mergeCell ref="E7:H7"/>
    <mergeCell ref="E9:H9"/>
    <mergeCell ref="E18:H18"/>
    <mergeCell ref="E27:H27"/>
    <mergeCell ref="E48:H48"/>
    <mergeCell ref="E50:H50"/>
    <mergeCell ref="E81:H81"/>
    <mergeCell ref="E83:H83"/>
    <mergeCell ref="L2:V2"/>
  </mergeCells>
  <hyperlinks>
    <hyperlink ref="F95" r:id="rId1" display="https://podminky.urs.cz/item/CS_URS_2023_02/119001411"/>
    <hyperlink ref="F97" r:id="rId2" display="https://podminky.urs.cz/item/CS_URS_2023_02/119001421"/>
    <hyperlink ref="F99" r:id="rId3" display="https://podminky.urs.cz/item/CS_URS_2023_02/119002121"/>
    <hyperlink ref="F101" r:id="rId4" display="https://podminky.urs.cz/item/CS_URS_2023_02/119002122"/>
    <hyperlink ref="F103" r:id="rId5" display="https://podminky.urs.cz/item/CS_URS_2023_02/119003131"/>
    <hyperlink ref="F105" r:id="rId6" display="https://podminky.urs.cz/item/CS_URS_2023_02/119003132"/>
    <hyperlink ref="F107" r:id="rId7" display="https://podminky.urs.cz/item/CS_URS_2023_02/132354102"/>
    <hyperlink ref="F109" r:id="rId8" display="https://podminky.urs.cz/item/CS_URS_2023_02/151101101"/>
    <hyperlink ref="F111" r:id="rId9" display="https://podminky.urs.cz/item/CS_URS_2023_02/151101111"/>
    <hyperlink ref="F113" r:id="rId10" display="https://podminky.urs.cz/item/CS_URS_2023_02/167151102"/>
    <hyperlink ref="F115" r:id="rId11" display="https://podminky.urs.cz/item/CS_URS_2023_02/167151122"/>
    <hyperlink ref="F117" r:id="rId12" display="https://podminky.urs.cz/item/CS_URS_2023_02/171201221"/>
    <hyperlink ref="F119" r:id="rId13" display="https://podminky.urs.cz/item/CS_URS_2023_02/174151101"/>
    <hyperlink ref="F121" r:id="rId14" display="https://podminky.urs.cz/item/CS_URS_2023_02/175111201"/>
    <hyperlink ref="F125" r:id="rId15" display="https://podminky.urs.cz/item/CS_URS_2023_02/451572111"/>
    <hyperlink ref="F128" r:id="rId16" display="https://podminky.urs.cz/item/CS_URS_2023_02/899722113"/>
    <hyperlink ref="F131" r:id="rId17" display="https://podminky.urs.cz/item/CS_URS_2023_02/998276101"/>
    <hyperlink ref="F135" r:id="rId18" display="https://podminky.urs.cz/item/CS_URS_2023_02/723111203"/>
    <hyperlink ref="F137" r:id="rId19" display="https://podminky.urs.cz/item/CS_URS_2023_02/723111204"/>
    <hyperlink ref="F139" r:id="rId20" display="https://podminky.urs.cz/item/CS_URS_2023_02/723150366"/>
    <hyperlink ref="F141" r:id="rId21" display="https://podminky.urs.cz/item/CS_URS_2023_02/723150367"/>
    <hyperlink ref="F143" r:id="rId22" display="https://podminky.urs.cz/item/CS_URS_2023_02/723160205"/>
    <hyperlink ref="F145" r:id="rId23" display="https://podminky.urs.cz/item/CS_URS_2023_02/723160335"/>
    <hyperlink ref="F147" r:id="rId24" display="https://podminky.urs.cz/item/CS_URS_2023_02/723190203"/>
    <hyperlink ref="F149" r:id="rId25" display="https://podminky.urs.cz/item/CS_URS_2023_02/723190252"/>
    <hyperlink ref="F151" r:id="rId26" display="https://podminky.urs.cz/item/CS_URS_2023_02/723230103"/>
    <hyperlink ref="F153" r:id="rId27" display="https://podminky.urs.cz/item/CS_URS_2023_02/723231165"/>
    <hyperlink ref="F155" r:id="rId28" display="https://podminky.urs.cz/item/CS_URS_2023_02/998723201"/>
    <hyperlink ref="F158" r:id="rId29" display="https://podminky.urs.cz/item/CS_URS_2023_02/783614651"/>
    <hyperlink ref="F160" r:id="rId30" display="https://podminky.urs.cz/item/CS_URS_2023_02/783617611"/>
    <hyperlink ref="F165" r:id="rId31" display="https://podminky.urs.cz/item/CS_URS_2023_02/230200353"/>
    <hyperlink ref="F167" r:id="rId32" display="https://podminky.urs.cz/item/CS_URS_2023_02/230201012"/>
    <hyperlink ref="F170" r:id="rId33" display="https://podminky.urs.cz/item/CS_URS_2023_02/230201106"/>
    <hyperlink ref="F173" r:id="rId34" display="https://podminky.urs.cz/item/CS_URS_2023_02/230205031"/>
    <hyperlink ref="F177" r:id="rId35" display="https://podminky.urs.cz/item/CS_URS_2023_02/230205231"/>
    <hyperlink ref="F181" r:id="rId36" display="https://podminky.urs.cz/item/CS_URS_2023_02/230205231"/>
    <hyperlink ref="F184" r:id="rId37" display="https://podminky.urs.cz/item/CS_URS_2023_02/230205231"/>
    <hyperlink ref="F187" r:id="rId38" display="https://podminky.urs.cz/item/CS_URS_2023_02/230220001"/>
    <hyperlink ref="F190" r:id="rId39" display="https://podminky.urs.cz/item/CS_URS_2023_02/230220006"/>
    <hyperlink ref="F193" r:id="rId40" display="https://podminky.urs.cz/item/CS_URS_2023_02/230220011"/>
    <hyperlink ref="F196" r:id="rId41" display="https://podminky.urs.cz/item/CS_URS_2023_02/230230016"/>
    <hyperlink ref="F201" r:id="rId42" display="https://podminky.urs.cz/item/CS_URS_2023_02/580506002"/>
    <hyperlink ref="F203" r:id="rId43" display="https://podminky.urs.cz/item/CS_URS_2023_02/580506012"/>
    <hyperlink ref="F205" r:id="rId44" display="https://podminky.urs.cz/item/CS_URS_2023_02/580506013"/>
    <hyperlink ref="F207" r:id="rId45" display="https://podminky.urs.cz/item/CS_URS_2023_02/580506015"/>
    <hyperlink ref="F209" r:id="rId46" display="https://podminky.urs.cz/item/CS_URS_2023_02/580506019"/>
    <hyperlink ref="F211" r:id="rId47" display="https://podminky.urs.cz/item/CS_URS_2023_02/580506028"/>
    <hyperlink ref="F213" r:id="rId48" display="https://podminky.urs.cz/item/CS_URS_2023_02/580506036"/>
    <hyperlink ref="F216" r:id="rId49" display="https://podminky.urs.cz/item/CS_URS_2023_02/HZS2231"/>
    <hyperlink ref="F218" r:id="rId50" display="https://podminky.urs.cz/item/CS_URS_2023_02/HZS2491"/>
    <hyperlink ref="F220" r:id="rId51" display="https://podminky.urs.cz/item/CS_URS_2023_02/HZS4211"/>
  </hyperlink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52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100.832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8" t="s">
        <v>115</v>
      </c>
    </row>
    <row r="3" hidden="1" s="1" customFormat="1" ht="6.96" customHeight="1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21"/>
      <c r="AT3" s="18" t="s">
        <v>88</v>
      </c>
    </row>
    <row r="4" hidden="1" s="1" customFormat="1" ht="24.96" customHeight="1">
      <c r="B4" s="21"/>
      <c r="D4" s="133" t="s">
        <v>121</v>
      </c>
      <c r="L4" s="21"/>
      <c r="M4" s="134" t="s">
        <v>10</v>
      </c>
      <c r="AT4" s="18" t="s">
        <v>4</v>
      </c>
    </row>
    <row r="5" hidden="1" s="1" customFormat="1" ht="6.96" customHeight="1">
      <c r="B5" s="21"/>
      <c r="L5" s="21"/>
    </row>
    <row r="6" hidden="1" s="1" customFormat="1" ht="12" customHeight="1">
      <c r="B6" s="21"/>
      <c r="D6" s="135" t="s">
        <v>16</v>
      </c>
      <c r="L6" s="21"/>
    </row>
    <row r="7" hidden="1" s="1" customFormat="1" ht="16.5" customHeight="1">
      <c r="B7" s="21"/>
      <c r="E7" s="136" t="str">
        <f>'Rekapitulace stavby'!K6</f>
        <v>Kulturní dům ČP 1, Třemošná- rev 03</v>
      </c>
      <c r="F7" s="135"/>
      <c r="G7" s="135"/>
      <c r="H7" s="135"/>
      <c r="L7" s="21"/>
    </row>
    <row r="8" hidden="1" s="2" customFormat="1" ht="12" customHeight="1">
      <c r="A8" s="40"/>
      <c r="B8" s="46"/>
      <c r="C8" s="40"/>
      <c r="D8" s="135" t="s">
        <v>134</v>
      </c>
      <c r="E8" s="40"/>
      <c r="F8" s="40"/>
      <c r="G8" s="40"/>
      <c r="H8" s="40"/>
      <c r="I8" s="40"/>
      <c r="J8" s="40"/>
      <c r="K8" s="40"/>
      <c r="L8" s="137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 hidden="1" s="2" customFormat="1" ht="16.5" customHeight="1">
      <c r="A9" s="40"/>
      <c r="B9" s="46"/>
      <c r="C9" s="40"/>
      <c r="D9" s="40"/>
      <c r="E9" s="138" t="s">
        <v>3905</v>
      </c>
      <c r="F9" s="40"/>
      <c r="G9" s="40"/>
      <c r="H9" s="40"/>
      <c r="I9" s="40"/>
      <c r="J9" s="40"/>
      <c r="K9" s="40"/>
      <c r="L9" s="137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hidden="1" s="2" customFormat="1">
      <c r="A10" s="40"/>
      <c r="B10" s="46"/>
      <c r="C10" s="40"/>
      <c r="D10" s="40"/>
      <c r="E10" s="40"/>
      <c r="F10" s="40"/>
      <c r="G10" s="40"/>
      <c r="H10" s="40"/>
      <c r="I10" s="40"/>
      <c r="J10" s="40"/>
      <c r="K10" s="40"/>
      <c r="L10" s="137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hidden="1" s="2" customFormat="1" ht="12" customHeight="1">
      <c r="A11" s="40"/>
      <c r="B11" s="46"/>
      <c r="C11" s="40"/>
      <c r="D11" s="135" t="s">
        <v>18</v>
      </c>
      <c r="E11" s="40"/>
      <c r="F11" s="139" t="s">
        <v>19</v>
      </c>
      <c r="G11" s="40"/>
      <c r="H11" s="40"/>
      <c r="I11" s="135" t="s">
        <v>20</v>
      </c>
      <c r="J11" s="139" t="s">
        <v>32</v>
      </c>
      <c r="K11" s="40"/>
      <c r="L11" s="137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hidden="1" s="2" customFormat="1" ht="12" customHeight="1">
      <c r="A12" s="40"/>
      <c r="B12" s="46"/>
      <c r="C12" s="40"/>
      <c r="D12" s="135" t="s">
        <v>22</v>
      </c>
      <c r="E12" s="40"/>
      <c r="F12" s="139" t="s">
        <v>23</v>
      </c>
      <c r="G12" s="40"/>
      <c r="H12" s="40"/>
      <c r="I12" s="135" t="s">
        <v>24</v>
      </c>
      <c r="J12" s="140" t="str">
        <f>'Rekapitulace stavby'!AN8</f>
        <v>20. 12. 2023</v>
      </c>
      <c r="K12" s="40"/>
      <c r="L12" s="137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hidden="1" s="2" customFormat="1" ht="10.8" customHeight="1">
      <c r="A13" s="40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137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hidden="1" s="2" customFormat="1" ht="12" customHeight="1">
      <c r="A14" s="40"/>
      <c r="B14" s="46"/>
      <c r="C14" s="40"/>
      <c r="D14" s="135" t="s">
        <v>30</v>
      </c>
      <c r="E14" s="40"/>
      <c r="F14" s="40"/>
      <c r="G14" s="40"/>
      <c r="H14" s="40"/>
      <c r="I14" s="135" t="s">
        <v>31</v>
      </c>
      <c r="J14" s="139" t="s">
        <v>32</v>
      </c>
      <c r="K14" s="40"/>
      <c r="L14" s="137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hidden="1" s="2" customFormat="1" ht="18" customHeight="1">
      <c r="A15" s="40"/>
      <c r="B15" s="46"/>
      <c r="C15" s="40"/>
      <c r="D15" s="40"/>
      <c r="E15" s="139" t="s">
        <v>33</v>
      </c>
      <c r="F15" s="40"/>
      <c r="G15" s="40"/>
      <c r="H15" s="40"/>
      <c r="I15" s="135" t="s">
        <v>34</v>
      </c>
      <c r="J15" s="139" t="s">
        <v>32</v>
      </c>
      <c r="K15" s="40"/>
      <c r="L15" s="137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hidden="1" s="2" customFormat="1" ht="6.96" customHeight="1">
      <c r="A16" s="40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137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hidden="1" s="2" customFormat="1" ht="12" customHeight="1">
      <c r="A17" s="40"/>
      <c r="B17" s="46"/>
      <c r="C17" s="40"/>
      <c r="D17" s="135" t="s">
        <v>35</v>
      </c>
      <c r="E17" s="40"/>
      <c r="F17" s="40"/>
      <c r="G17" s="40"/>
      <c r="H17" s="40"/>
      <c r="I17" s="135" t="s">
        <v>31</v>
      </c>
      <c r="J17" s="34" t="str">
        <f>'Rekapitulace stavby'!AN13</f>
        <v>Vyplň údaj</v>
      </c>
      <c r="K17" s="40"/>
      <c r="L17" s="137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hidden="1" s="2" customFormat="1" ht="18" customHeight="1">
      <c r="A18" s="40"/>
      <c r="B18" s="46"/>
      <c r="C18" s="40"/>
      <c r="D18" s="40"/>
      <c r="E18" s="34" t="str">
        <f>'Rekapitulace stavby'!E14</f>
        <v>Vyplň údaj</v>
      </c>
      <c r="F18" s="139"/>
      <c r="G18" s="139"/>
      <c r="H18" s="139"/>
      <c r="I18" s="135" t="s">
        <v>34</v>
      </c>
      <c r="J18" s="34" t="str">
        <f>'Rekapitulace stavby'!AN14</f>
        <v>Vyplň údaj</v>
      </c>
      <c r="K18" s="40"/>
      <c r="L18" s="137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hidden="1" s="2" customFormat="1" ht="6.96" customHeight="1">
      <c r="A19" s="40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137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hidden="1" s="2" customFormat="1" ht="12" customHeight="1">
      <c r="A20" s="40"/>
      <c r="B20" s="46"/>
      <c r="C20" s="40"/>
      <c r="D20" s="135" t="s">
        <v>37</v>
      </c>
      <c r="E20" s="40"/>
      <c r="F20" s="40"/>
      <c r="G20" s="40"/>
      <c r="H20" s="40"/>
      <c r="I20" s="135" t="s">
        <v>31</v>
      </c>
      <c r="J20" s="139" t="s">
        <v>38</v>
      </c>
      <c r="K20" s="40"/>
      <c r="L20" s="137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hidden="1" s="2" customFormat="1" ht="18" customHeight="1">
      <c r="A21" s="40"/>
      <c r="B21" s="46"/>
      <c r="C21" s="40"/>
      <c r="D21" s="40"/>
      <c r="E21" s="139" t="s">
        <v>39</v>
      </c>
      <c r="F21" s="40"/>
      <c r="G21" s="40"/>
      <c r="H21" s="40"/>
      <c r="I21" s="135" t="s">
        <v>34</v>
      </c>
      <c r="J21" s="139" t="s">
        <v>32</v>
      </c>
      <c r="K21" s="40"/>
      <c r="L21" s="137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hidden="1" s="2" customFormat="1" ht="6.96" customHeight="1">
      <c r="A22" s="40"/>
      <c r="B22" s="46"/>
      <c r="C22" s="40"/>
      <c r="D22" s="40"/>
      <c r="E22" s="40"/>
      <c r="F22" s="40"/>
      <c r="G22" s="40"/>
      <c r="H22" s="40"/>
      <c r="I22" s="40"/>
      <c r="J22" s="40"/>
      <c r="K22" s="40"/>
      <c r="L22" s="137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hidden="1" s="2" customFormat="1" ht="12" customHeight="1">
      <c r="A23" s="40"/>
      <c r="B23" s="46"/>
      <c r="C23" s="40"/>
      <c r="D23" s="135" t="s">
        <v>40</v>
      </c>
      <c r="E23" s="40"/>
      <c r="F23" s="40"/>
      <c r="G23" s="40"/>
      <c r="H23" s="40"/>
      <c r="I23" s="135" t="s">
        <v>31</v>
      </c>
      <c r="J23" s="139" t="str">
        <f>IF('Rekapitulace stavby'!AN19="","",'Rekapitulace stavby'!AN19)</f>
        <v/>
      </c>
      <c r="K23" s="40"/>
      <c r="L23" s="137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hidden="1" s="2" customFormat="1" ht="18" customHeight="1">
      <c r="A24" s="40"/>
      <c r="B24" s="46"/>
      <c r="C24" s="40"/>
      <c r="D24" s="40"/>
      <c r="E24" s="139" t="str">
        <f>IF('Rekapitulace stavby'!E20="","",'Rekapitulace stavby'!E20)</f>
        <v xml:space="preserve"> </v>
      </c>
      <c r="F24" s="40"/>
      <c r="G24" s="40"/>
      <c r="H24" s="40"/>
      <c r="I24" s="135" t="s">
        <v>34</v>
      </c>
      <c r="J24" s="139" t="str">
        <f>IF('Rekapitulace stavby'!AN20="","",'Rekapitulace stavby'!AN20)</f>
        <v/>
      </c>
      <c r="K24" s="40"/>
      <c r="L24" s="137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hidden="1" s="2" customFormat="1" ht="6.96" customHeight="1">
      <c r="A25" s="40"/>
      <c r="B25" s="46"/>
      <c r="C25" s="40"/>
      <c r="D25" s="40"/>
      <c r="E25" s="40"/>
      <c r="F25" s="40"/>
      <c r="G25" s="40"/>
      <c r="H25" s="40"/>
      <c r="I25" s="40"/>
      <c r="J25" s="40"/>
      <c r="K25" s="40"/>
      <c r="L25" s="137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hidden="1" s="2" customFormat="1" ht="12" customHeight="1">
      <c r="A26" s="40"/>
      <c r="B26" s="46"/>
      <c r="C26" s="40"/>
      <c r="D26" s="135" t="s">
        <v>42</v>
      </c>
      <c r="E26" s="40"/>
      <c r="F26" s="40"/>
      <c r="G26" s="40"/>
      <c r="H26" s="40"/>
      <c r="I26" s="40"/>
      <c r="J26" s="40"/>
      <c r="K26" s="40"/>
      <c r="L26" s="137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hidden="1" s="8" customFormat="1" ht="16.5" customHeight="1">
      <c r="A27" s="143"/>
      <c r="B27" s="144"/>
      <c r="C27" s="143"/>
      <c r="D27" s="143"/>
      <c r="E27" s="145" t="s">
        <v>32</v>
      </c>
      <c r="F27" s="145"/>
      <c r="G27" s="145"/>
      <c r="H27" s="145"/>
      <c r="I27" s="143"/>
      <c r="J27" s="143"/>
      <c r="K27" s="143"/>
      <c r="L27" s="146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</row>
    <row r="28" hidden="1" s="2" customFormat="1" ht="6.96" customHeight="1">
      <c r="A28" s="40"/>
      <c r="B28" s="46"/>
      <c r="C28" s="40"/>
      <c r="D28" s="40"/>
      <c r="E28" s="40"/>
      <c r="F28" s="40"/>
      <c r="G28" s="40"/>
      <c r="H28" s="40"/>
      <c r="I28" s="40"/>
      <c r="J28" s="40"/>
      <c r="K28" s="40"/>
      <c r="L28" s="137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hidden="1" s="2" customFormat="1" ht="6.96" customHeight="1">
      <c r="A29" s="40"/>
      <c r="B29" s="46"/>
      <c r="C29" s="40"/>
      <c r="D29" s="147"/>
      <c r="E29" s="147"/>
      <c r="F29" s="147"/>
      <c r="G29" s="147"/>
      <c r="H29" s="147"/>
      <c r="I29" s="147"/>
      <c r="J29" s="147"/>
      <c r="K29" s="147"/>
      <c r="L29" s="137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hidden="1" s="2" customFormat="1" ht="25.44" customHeight="1">
      <c r="A30" s="40"/>
      <c r="B30" s="46"/>
      <c r="C30" s="40"/>
      <c r="D30" s="148" t="s">
        <v>44</v>
      </c>
      <c r="E30" s="40"/>
      <c r="F30" s="40"/>
      <c r="G30" s="40"/>
      <c r="H30" s="40"/>
      <c r="I30" s="40"/>
      <c r="J30" s="149">
        <f>ROUND(J84, 1)</f>
        <v>0</v>
      </c>
      <c r="K30" s="40"/>
      <c r="L30" s="137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hidden="1" s="2" customFormat="1" ht="6.96" customHeight="1">
      <c r="A31" s="40"/>
      <c r="B31" s="46"/>
      <c r="C31" s="40"/>
      <c r="D31" s="147"/>
      <c r="E31" s="147"/>
      <c r="F31" s="147"/>
      <c r="G31" s="147"/>
      <c r="H31" s="147"/>
      <c r="I31" s="147"/>
      <c r="J31" s="147"/>
      <c r="K31" s="147"/>
      <c r="L31" s="137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hidden="1" s="2" customFormat="1" ht="14.4" customHeight="1">
      <c r="A32" s="40"/>
      <c r="B32" s="46"/>
      <c r="C32" s="40"/>
      <c r="D32" s="40"/>
      <c r="E32" s="40"/>
      <c r="F32" s="150" t="s">
        <v>46</v>
      </c>
      <c r="G32" s="40"/>
      <c r="H32" s="40"/>
      <c r="I32" s="150" t="s">
        <v>45</v>
      </c>
      <c r="J32" s="150" t="s">
        <v>47</v>
      </c>
      <c r="K32" s="40"/>
      <c r="L32" s="137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hidden="1" s="2" customFormat="1" ht="14.4" customHeight="1">
      <c r="A33" s="40"/>
      <c r="B33" s="46"/>
      <c r="C33" s="40"/>
      <c r="D33" s="151" t="s">
        <v>48</v>
      </c>
      <c r="E33" s="135" t="s">
        <v>49</v>
      </c>
      <c r="F33" s="152">
        <f>ROUND((SUM(BE84:BE111)),  1)</f>
        <v>0</v>
      </c>
      <c r="G33" s="40"/>
      <c r="H33" s="40"/>
      <c r="I33" s="153">
        <v>0.20999999999999999</v>
      </c>
      <c r="J33" s="152">
        <f>ROUND(((SUM(BE84:BE111))*I33),  1)</f>
        <v>0</v>
      </c>
      <c r="K33" s="40"/>
      <c r="L33" s="137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hidden="1" s="2" customFormat="1" ht="14.4" customHeight="1">
      <c r="A34" s="40"/>
      <c r="B34" s="46"/>
      <c r="C34" s="40"/>
      <c r="D34" s="40"/>
      <c r="E34" s="135" t="s">
        <v>50</v>
      </c>
      <c r="F34" s="152">
        <f>ROUND((SUM(BF84:BF111)),  1)</f>
        <v>0</v>
      </c>
      <c r="G34" s="40"/>
      <c r="H34" s="40"/>
      <c r="I34" s="153">
        <v>0.14999999999999999</v>
      </c>
      <c r="J34" s="152">
        <f>ROUND(((SUM(BF84:BF111))*I34),  1)</f>
        <v>0</v>
      </c>
      <c r="K34" s="40"/>
      <c r="L34" s="137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 hidden="1" s="2" customFormat="1" ht="14.4" customHeight="1">
      <c r="A35" s="40"/>
      <c r="B35" s="46"/>
      <c r="C35" s="40"/>
      <c r="D35" s="40"/>
      <c r="E35" s="135" t="s">
        <v>51</v>
      </c>
      <c r="F35" s="152">
        <f>ROUND((SUM(BG84:BG111)),  1)</f>
        <v>0</v>
      </c>
      <c r="G35" s="40"/>
      <c r="H35" s="40"/>
      <c r="I35" s="153">
        <v>0.20999999999999999</v>
      </c>
      <c r="J35" s="152">
        <f>0</f>
        <v>0</v>
      </c>
      <c r="K35" s="40"/>
      <c r="L35" s="137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 hidden="1" s="2" customFormat="1" ht="14.4" customHeight="1">
      <c r="A36" s="40"/>
      <c r="B36" s="46"/>
      <c r="C36" s="40"/>
      <c r="D36" s="40"/>
      <c r="E36" s="135" t="s">
        <v>52</v>
      </c>
      <c r="F36" s="152">
        <f>ROUND((SUM(BH84:BH111)),  1)</f>
        <v>0</v>
      </c>
      <c r="G36" s="40"/>
      <c r="H36" s="40"/>
      <c r="I36" s="153">
        <v>0.14999999999999999</v>
      </c>
      <c r="J36" s="152">
        <f>0</f>
        <v>0</v>
      </c>
      <c r="K36" s="40"/>
      <c r="L36" s="137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 hidden="1" s="2" customFormat="1" ht="14.4" customHeight="1">
      <c r="A37" s="40"/>
      <c r="B37" s="46"/>
      <c r="C37" s="40"/>
      <c r="D37" s="40"/>
      <c r="E37" s="135" t="s">
        <v>53</v>
      </c>
      <c r="F37" s="152">
        <f>ROUND((SUM(BI84:BI111)),  1)</f>
        <v>0</v>
      </c>
      <c r="G37" s="40"/>
      <c r="H37" s="40"/>
      <c r="I37" s="153">
        <v>0</v>
      </c>
      <c r="J37" s="152">
        <f>0</f>
        <v>0</v>
      </c>
      <c r="K37" s="40"/>
      <c r="L37" s="137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 hidden="1" s="2" customFormat="1" ht="6.96" customHeight="1">
      <c r="A38" s="40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137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 hidden="1" s="2" customFormat="1" ht="25.44" customHeight="1">
      <c r="A39" s="40"/>
      <c r="B39" s="46"/>
      <c r="C39" s="154"/>
      <c r="D39" s="155" t="s">
        <v>54</v>
      </c>
      <c r="E39" s="156"/>
      <c r="F39" s="156"/>
      <c r="G39" s="157" t="s">
        <v>55</v>
      </c>
      <c r="H39" s="158" t="s">
        <v>56</v>
      </c>
      <c r="I39" s="156"/>
      <c r="J39" s="159">
        <f>SUM(J30:J37)</f>
        <v>0</v>
      </c>
      <c r="K39" s="160"/>
      <c r="L39" s="137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 hidden="1" s="2" customFormat="1" ht="14.4" customHeight="1">
      <c r="A40" s="40"/>
      <c r="B40" s="161"/>
      <c r="C40" s="162"/>
      <c r="D40" s="162"/>
      <c r="E40" s="162"/>
      <c r="F40" s="162"/>
      <c r="G40" s="162"/>
      <c r="H40" s="162"/>
      <c r="I40" s="162"/>
      <c r="J40" s="162"/>
      <c r="K40" s="162"/>
      <c r="L40" s="137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 hidden="1"/>
    <row r="42" hidden="1"/>
    <row r="43" hidden="1"/>
    <row r="44" hidden="1" s="2" customFormat="1" ht="6.96" customHeight="1">
      <c r="A44" s="4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37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 hidden="1" s="2" customFormat="1" ht="24.96" customHeight="1">
      <c r="A45" s="40"/>
      <c r="B45" s="41"/>
      <c r="C45" s="24" t="s">
        <v>155</v>
      </c>
      <c r="D45" s="42"/>
      <c r="E45" s="42"/>
      <c r="F45" s="42"/>
      <c r="G45" s="42"/>
      <c r="H45" s="42"/>
      <c r="I45" s="42"/>
      <c r="J45" s="42"/>
      <c r="K45" s="42"/>
      <c r="L45" s="137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 hidden="1" s="2" customFormat="1" ht="6.96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137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 hidden="1" s="2" customFormat="1" ht="12" customHeight="1">
      <c r="A47" s="40"/>
      <c r="B47" s="41"/>
      <c r="C47" s="33" t="s">
        <v>16</v>
      </c>
      <c r="D47" s="42"/>
      <c r="E47" s="42"/>
      <c r="F47" s="42"/>
      <c r="G47" s="42"/>
      <c r="H47" s="42"/>
      <c r="I47" s="42"/>
      <c r="J47" s="42"/>
      <c r="K47" s="42"/>
      <c r="L47" s="137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 hidden="1" s="2" customFormat="1" ht="16.5" customHeight="1">
      <c r="A48" s="40"/>
      <c r="B48" s="41"/>
      <c r="C48" s="42"/>
      <c r="D48" s="42"/>
      <c r="E48" s="165" t="str">
        <f>E7</f>
        <v>Kulturní dům ČP 1, Třemošná- rev 03</v>
      </c>
      <c r="F48" s="33"/>
      <c r="G48" s="33"/>
      <c r="H48" s="33"/>
      <c r="I48" s="42"/>
      <c r="J48" s="42"/>
      <c r="K48" s="42"/>
      <c r="L48" s="137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 hidden="1" s="2" customFormat="1" ht="12" customHeight="1">
      <c r="A49" s="40"/>
      <c r="B49" s="41"/>
      <c r="C49" s="33" t="s">
        <v>134</v>
      </c>
      <c r="D49" s="42"/>
      <c r="E49" s="42"/>
      <c r="F49" s="42"/>
      <c r="G49" s="42"/>
      <c r="H49" s="42"/>
      <c r="I49" s="42"/>
      <c r="J49" s="42"/>
      <c r="K49" s="42"/>
      <c r="L49" s="137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 hidden="1" s="2" customFormat="1" ht="16.5" customHeight="1">
      <c r="A50" s="40"/>
      <c r="B50" s="41"/>
      <c r="C50" s="42"/>
      <c r="D50" s="42"/>
      <c r="E50" s="71" t="str">
        <f>E9</f>
        <v>VON - Vedlejší rozpočtové náklady</v>
      </c>
      <c r="F50" s="42"/>
      <c r="G50" s="42"/>
      <c r="H50" s="42"/>
      <c r="I50" s="42"/>
      <c r="J50" s="42"/>
      <c r="K50" s="42"/>
      <c r="L50" s="137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 hidden="1" s="2" customFormat="1" ht="6.96" customHeight="1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137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 hidden="1" s="2" customFormat="1" ht="12" customHeight="1">
      <c r="A52" s="40"/>
      <c r="B52" s="41"/>
      <c r="C52" s="33" t="s">
        <v>22</v>
      </c>
      <c r="D52" s="42"/>
      <c r="E52" s="42"/>
      <c r="F52" s="28" t="str">
        <f>F12</f>
        <v>Třemošná</v>
      </c>
      <c r="G52" s="42"/>
      <c r="H52" s="42"/>
      <c r="I52" s="33" t="s">
        <v>24</v>
      </c>
      <c r="J52" s="74" t="str">
        <f>IF(J12="","",J12)</f>
        <v>20. 12. 2023</v>
      </c>
      <c r="K52" s="42"/>
      <c r="L52" s="137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 hidden="1" s="2" customFormat="1" ht="6.96" customHeight="1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137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 hidden="1" s="2" customFormat="1" ht="25.65" customHeight="1">
      <c r="A54" s="40"/>
      <c r="B54" s="41"/>
      <c r="C54" s="33" t="s">
        <v>30</v>
      </c>
      <c r="D54" s="42"/>
      <c r="E54" s="42"/>
      <c r="F54" s="28" t="str">
        <f>E15</f>
        <v>Město Třemošná, Sídliště 992, 330 01 Třemošná</v>
      </c>
      <c r="G54" s="42"/>
      <c r="H54" s="42"/>
      <c r="I54" s="33" t="s">
        <v>37</v>
      </c>
      <c r="J54" s="38" t="str">
        <f>E21</f>
        <v>RAVAL projekt v. o. s.</v>
      </c>
      <c r="K54" s="42"/>
      <c r="L54" s="137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 hidden="1" s="2" customFormat="1" ht="15.15" customHeight="1">
      <c r="A55" s="40"/>
      <c r="B55" s="41"/>
      <c r="C55" s="33" t="s">
        <v>35</v>
      </c>
      <c r="D55" s="42"/>
      <c r="E55" s="42"/>
      <c r="F55" s="28" t="str">
        <f>IF(E18="","",E18)</f>
        <v>Vyplň údaj</v>
      </c>
      <c r="G55" s="42"/>
      <c r="H55" s="42"/>
      <c r="I55" s="33" t="s">
        <v>40</v>
      </c>
      <c r="J55" s="38" t="str">
        <f>E24</f>
        <v xml:space="preserve"> </v>
      </c>
      <c r="K55" s="42"/>
      <c r="L55" s="137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 hidden="1" s="2" customFormat="1" ht="10.32" customHeight="1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137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 hidden="1" s="2" customFormat="1" ht="29.28" customHeight="1">
      <c r="A57" s="40"/>
      <c r="B57" s="41"/>
      <c r="C57" s="166" t="s">
        <v>156</v>
      </c>
      <c r="D57" s="167"/>
      <c r="E57" s="167"/>
      <c r="F57" s="167"/>
      <c r="G57" s="167"/>
      <c r="H57" s="167"/>
      <c r="I57" s="167"/>
      <c r="J57" s="168" t="s">
        <v>157</v>
      </c>
      <c r="K57" s="167"/>
      <c r="L57" s="137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 hidden="1" s="2" customFormat="1" ht="10.32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137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 hidden="1" s="2" customFormat="1" ht="22.8" customHeight="1">
      <c r="A59" s="40"/>
      <c r="B59" s="41"/>
      <c r="C59" s="169" t="s">
        <v>76</v>
      </c>
      <c r="D59" s="42"/>
      <c r="E59" s="42"/>
      <c r="F59" s="42"/>
      <c r="G59" s="42"/>
      <c r="H59" s="42"/>
      <c r="I59" s="42"/>
      <c r="J59" s="104">
        <f>J84</f>
        <v>0</v>
      </c>
      <c r="K59" s="42"/>
      <c r="L59" s="137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U59" s="18" t="s">
        <v>158</v>
      </c>
    </row>
    <row r="60" hidden="1" s="9" customFormat="1" ht="24.96" customHeight="1">
      <c r="A60" s="9"/>
      <c r="B60" s="170"/>
      <c r="C60" s="171"/>
      <c r="D60" s="172" t="s">
        <v>3906</v>
      </c>
      <c r="E60" s="173"/>
      <c r="F60" s="173"/>
      <c r="G60" s="173"/>
      <c r="H60" s="173"/>
      <c r="I60" s="173"/>
      <c r="J60" s="174">
        <f>J85</f>
        <v>0</v>
      </c>
      <c r="K60" s="171"/>
      <c r="L60" s="175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idden="1" s="9" customFormat="1" ht="24.96" customHeight="1">
      <c r="A61" s="9"/>
      <c r="B61" s="170"/>
      <c r="C61" s="171"/>
      <c r="D61" s="172" t="s">
        <v>3907</v>
      </c>
      <c r="E61" s="173"/>
      <c r="F61" s="173"/>
      <c r="G61" s="173"/>
      <c r="H61" s="173"/>
      <c r="I61" s="173"/>
      <c r="J61" s="174">
        <f>J92</f>
        <v>0</v>
      </c>
      <c r="K61" s="171"/>
      <c r="L61" s="175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hidden="1" s="9" customFormat="1" ht="24.96" customHeight="1">
      <c r="A62" s="9"/>
      <c r="B62" s="170"/>
      <c r="C62" s="171"/>
      <c r="D62" s="172" t="s">
        <v>3908</v>
      </c>
      <c r="E62" s="173"/>
      <c r="F62" s="173"/>
      <c r="G62" s="173"/>
      <c r="H62" s="173"/>
      <c r="I62" s="173"/>
      <c r="J62" s="174">
        <f>J97</f>
        <v>0</v>
      </c>
      <c r="K62" s="171"/>
      <c r="L62" s="175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hidden="1" s="9" customFormat="1" ht="24.96" customHeight="1">
      <c r="A63" s="9"/>
      <c r="B63" s="170"/>
      <c r="C63" s="171"/>
      <c r="D63" s="172" t="s">
        <v>3909</v>
      </c>
      <c r="E63" s="173"/>
      <c r="F63" s="173"/>
      <c r="G63" s="173"/>
      <c r="H63" s="173"/>
      <c r="I63" s="173"/>
      <c r="J63" s="174">
        <f>J102</f>
        <v>0</v>
      </c>
      <c r="K63" s="171"/>
      <c r="L63" s="175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hidden="1" s="9" customFormat="1" ht="24.96" customHeight="1">
      <c r="A64" s="9"/>
      <c r="B64" s="170"/>
      <c r="C64" s="171"/>
      <c r="D64" s="172" t="s">
        <v>3910</v>
      </c>
      <c r="E64" s="173"/>
      <c r="F64" s="173"/>
      <c r="G64" s="173"/>
      <c r="H64" s="173"/>
      <c r="I64" s="173"/>
      <c r="J64" s="174">
        <f>J105</f>
        <v>0</v>
      </c>
      <c r="K64" s="171"/>
      <c r="L64" s="175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hidden="1" s="2" customFormat="1" ht="21.84" customHeight="1">
      <c r="A65" s="40"/>
      <c r="B65" s="41"/>
      <c r="C65" s="42"/>
      <c r="D65" s="42"/>
      <c r="E65" s="42"/>
      <c r="F65" s="42"/>
      <c r="G65" s="42"/>
      <c r="H65" s="42"/>
      <c r="I65" s="42"/>
      <c r="J65" s="42"/>
      <c r="K65" s="42"/>
      <c r="L65" s="137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 hidden="1" s="2" customFormat="1" ht="6.96" customHeight="1">
      <c r="A66" s="40"/>
      <c r="B66" s="61"/>
      <c r="C66" s="62"/>
      <c r="D66" s="62"/>
      <c r="E66" s="62"/>
      <c r="F66" s="62"/>
      <c r="G66" s="62"/>
      <c r="H66" s="62"/>
      <c r="I66" s="62"/>
      <c r="J66" s="62"/>
      <c r="K66" s="62"/>
      <c r="L66" s="137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 hidden="1"/>
    <row r="68" hidden="1"/>
    <row r="69" hidden="1"/>
    <row r="70" s="2" customFormat="1" ht="6.96" customHeight="1">
      <c r="A70" s="40"/>
      <c r="B70" s="63"/>
      <c r="C70" s="64"/>
      <c r="D70" s="64"/>
      <c r="E70" s="64"/>
      <c r="F70" s="64"/>
      <c r="G70" s="64"/>
      <c r="H70" s="64"/>
      <c r="I70" s="64"/>
      <c r="J70" s="64"/>
      <c r="K70" s="64"/>
      <c r="L70" s="137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 s="2" customFormat="1" ht="24.96" customHeight="1">
      <c r="A71" s="40"/>
      <c r="B71" s="41"/>
      <c r="C71" s="24" t="s">
        <v>185</v>
      </c>
      <c r="D71" s="42"/>
      <c r="E71" s="42"/>
      <c r="F71" s="42"/>
      <c r="G71" s="42"/>
      <c r="H71" s="42"/>
      <c r="I71" s="42"/>
      <c r="J71" s="42"/>
      <c r="K71" s="42"/>
      <c r="L71" s="137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 s="2" customFormat="1" ht="6.96" customHeight="1">
      <c r="A72" s="40"/>
      <c r="B72" s="41"/>
      <c r="C72" s="42"/>
      <c r="D72" s="42"/>
      <c r="E72" s="42"/>
      <c r="F72" s="42"/>
      <c r="G72" s="42"/>
      <c r="H72" s="42"/>
      <c r="I72" s="42"/>
      <c r="J72" s="42"/>
      <c r="K72" s="42"/>
      <c r="L72" s="137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 s="2" customFormat="1" ht="12" customHeight="1">
      <c r="A73" s="40"/>
      <c r="B73" s="41"/>
      <c r="C73" s="33" t="s">
        <v>16</v>
      </c>
      <c r="D73" s="42"/>
      <c r="E73" s="42"/>
      <c r="F73" s="42"/>
      <c r="G73" s="42"/>
      <c r="H73" s="42"/>
      <c r="I73" s="42"/>
      <c r="J73" s="42"/>
      <c r="K73" s="42"/>
      <c r="L73" s="137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 s="2" customFormat="1" ht="16.5" customHeight="1">
      <c r="A74" s="40"/>
      <c r="B74" s="41"/>
      <c r="C74" s="42"/>
      <c r="D74" s="42"/>
      <c r="E74" s="165" t="str">
        <f>E7</f>
        <v>Kulturní dům ČP 1, Třemošná- rev 03</v>
      </c>
      <c r="F74" s="33"/>
      <c r="G74" s="33"/>
      <c r="H74" s="33"/>
      <c r="I74" s="42"/>
      <c r="J74" s="42"/>
      <c r="K74" s="42"/>
      <c r="L74" s="137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 s="2" customFormat="1" ht="12" customHeight="1">
      <c r="A75" s="40"/>
      <c r="B75" s="41"/>
      <c r="C75" s="33" t="s">
        <v>134</v>
      </c>
      <c r="D75" s="42"/>
      <c r="E75" s="42"/>
      <c r="F75" s="42"/>
      <c r="G75" s="42"/>
      <c r="H75" s="42"/>
      <c r="I75" s="42"/>
      <c r="J75" s="42"/>
      <c r="K75" s="42"/>
      <c r="L75" s="137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 s="2" customFormat="1" ht="16.5" customHeight="1">
      <c r="A76" s="40"/>
      <c r="B76" s="41"/>
      <c r="C76" s="42"/>
      <c r="D76" s="42"/>
      <c r="E76" s="71" t="str">
        <f>E9</f>
        <v>VON - Vedlejší rozpočtové náklady</v>
      </c>
      <c r="F76" s="42"/>
      <c r="G76" s="42"/>
      <c r="H76" s="42"/>
      <c r="I76" s="42"/>
      <c r="J76" s="42"/>
      <c r="K76" s="42"/>
      <c r="L76" s="137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 s="2" customFormat="1" ht="6.96" customHeight="1">
      <c r="A77" s="40"/>
      <c r="B77" s="41"/>
      <c r="C77" s="42"/>
      <c r="D77" s="42"/>
      <c r="E77" s="42"/>
      <c r="F77" s="42"/>
      <c r="G77" s="42"/>
      <c r="H77" s="42"/>
      <c r="I77" s="42"/>
      <c r="J77" s="42"/>
      <c r="K77" s="42"/>
      <c r="L77" s="137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 s="2" customFormat="1" ht="12" customHeight="1">
      <c r="A78" s="40"/>
      <c r="B78" s="41"/>
      <c r="C78" s="33" t="s">
        <v>22</v>
      </c>
      <c r="D78" s="42"/>
      <c r="E78" s="42"/>
      <c r="F78" s="28" t="str">
        <f>F12</f>
        <v>Třemošná</v>
      </c>
      <c r="G78" s="42"/>
      <c r="H78" s="42"/>
      <c r="I78" s="33" t="s">
        <v>24</v>
      </c>
      <c r="J78" s="74" t="str">
        <f>IF(J12="","",J12)</f>
        <v>20. 12. 2023</v>
      </c>
      <c r="K78" s="42"/>
      <c r="L78" s="137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 s="2" customFormat="1" ht="6.96" customHeight="1">
      <c r="A79" s="40"/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137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 s="2" customFormat="1" ht="25.65" customHeight="1">
      <c r="A80" s="40"/>
      <c r="B80" s="41"/>
      <c r="C80" s="33" t="s">
        <v>30</v>
      </c>
      <c r="D80" s="42"/>
      <c r="E80" s="42"/>
      <c r="F80" s="28" t="str">
        <f>E15</f>
        <v>Město Třemošná, Sídliště 992, 330 01 Třemošná</v>
      </c>
      <c r="G80" s="42"/>
      <c r="H80" s="42"/>
      <c r="I80" s="33" t="s">
        <v>37</v>
      </c>
      <c r="J80" s="38" t="str">
        <f>E21</f>
        <v>RAVAL projekt v. o. s.</v>
      </c>
      <c r="K80" s="42"/>
      <c r="L80" s="137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 s="2" customFormat="1" ht="15.15" customHeight="1">
      <c r="A81" s="40"/>
      <c r="B81" s="41"/>
      <c r="C81" s="33" t="s">
        <v>35</v>
      </c>
      <c r="D81" s="42"/>
      <c r="E81" s="42"/>
      <c r="F81" s="28" t="str">
        <f>IF(E18="","",E18)</f>
        <v>Vyplň údaj</v>
      </c>
      <c r="G81" s="42"/>
      <c r="H81" s="42"/>
      <c r="I81" s="33" t="s">
        <v>40</v>
      </c>
      <c r="J81" s="38" t="str">
        <f>E24</f>
        <v xml:space="preserve"> </v>
      </c>
      <c r="K81" s="42"/>
      <c r="L81" s="137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 s="2" customFormat="1" ht="10.32" customHeight="1">
      <c r="A82" s="40"/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137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 s="11" customFormat="1" ht="29.28" customHeight="1">
      <c r="A83" s="182"/>
      <c r="B83" s="183"/>
      <c r="C83" s="184" t="s">
        <v>186</v>
      </c>
      <c r="D83" s="185" t="s">
        <v>63</v>
      </c>
      <c r="E83" s="185" t="s">
        <v>59</v>
      </c>
      <c r="F83" s="185" t="s">
        <v>60</v>
      </c>
      <c r="G83" s="185" t="s">
        <v>187</v>
      </c>
      <c r="H83" s="185" t="s">
        <v>188</v>
      </c>
      <c r="I83" s="185" t="s">
        <v>189</v>
      </c>
      <c r="J83" s="185" t="s">
        <v>157</v>
      </c>
      <c r="K83" s="186" t="s">
        <v>190</v>
      </c>
      <c r="L83" s="187"/>
      <c r="M83" s="94" t="s">
        <v>32</v>
      </c>
      <c r="N83" s="95" t="s">
        <v>48</v>
      </c>
      <c r="O83" s="95" t="s">
        <v>191</v>
      </c>
      <c r="P83" s="95" t="s">
        <v>192</v>
      </c>
      <c r="Q83" s="95" t="s">
        <v>193</v>
      </c>
      <c r="R83" s="95" t="s">
        <v>194</v>
      </c>
      <c r="S83" s="95" t="s">
        <v>195</v>
      </c>
      <c r="T83" s="96" t="s">
        <v>196</v>
      </c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</row>
    <row r="84" s="2" customFormat="1" ht="22.8" customHeight="1">
      <c r="A84" s="40"/>
      <c r="B84" s="41"/>
      <c r="C84" s="101" t="s">
        <v>197</v>
      </c>
      <c r="D84" s="42"/>
      <c r="E84" s="42"/>
      <c r="F84" s="42"/>
      <c r="G84" s="42"/>
      <c r="H84" s="42"/>
      <c r="I84" s="42"/>
      <c r="J84" s="188">
        <f>BK84</f>
        <v>0</v>
      </c>
      <c r="K84" s="42"/>
      <c r="L84" s="46"/>
      <c r="M84" s="97"/>
      <c r="N84" s="189"/>
      <c r="O84" s="98"/>
      <c r="P84" s="190">
        <f>P85+P92+P97+P102+P105</f>
        <v>0</v>
      </c>
      <c r="Q84" s="98"/>
      <c r="R84" s="190">
        <f>R85+R92+R97+R102+R105</f>
        <v>0</v>
      </c>
      <c r="S84" s="98"/>
      <c r="T84" s="191">
        <f>T85+T92+T97+T102+T105</f>
        <v>0</v>
      </c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T84" s="18" t="s">
        <v>77</v>
      </c>
      <c r="AU84" s="18" t="s">
        <v>158</v>
      </c>
      <c r="BK84" s="192">
        <f>BK85+BK92+BK97+BK102+BK105</f>
        <v>0</v>
      </c>
    </row>
    <row r="85" s="12" customFormat="1" ht="25.92" customHeight="1">
      <c r="A85" s="12"/>
      <c r="B85" s="193"/>
      <c r="C85" s="194"/>
      <c r="D85" s="195" t="s">
        <v>77</v>
      </c>
      <c r="E85" s="196" t="s">
        <v>3911</v>
      </c>
      <c r="F85" s="196" t="s">
        <v>3912</v>
      </c>
      <c r="G85" s="194"/>
      <c r="H85" s="194"/>
      <c r="I85" s="197"/>
      <c r="J85" s="198">
        <f>BK85</f>
        <v>0</v>
      </c>
      <c r="K85" s="194"/>
      <c r="L85" s="199"/>
      <c r="M85" s="200"/>
      <c r="N85" s="201"/>
      <c r="O85" s="201"/>
      <c r="P85" s="202">
        <f>SUM(P86:P91)</f>
        <v>0</v>
      </c>
      <c r="Q85" s="201"/>
      <c r="R85" s="202">
        <f>SUM(R86:R91)</f>
        <v>0</v>
      </c>
      <c r="S85" s="201"/>
      <c r="T85" s="203">
        <f>SUM(T86:T91)</f>
        <v>0</v>
      </c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R85" s="204" t="s">
        <v>234</v>
      </c>
      <c r="AT85" s="205" t="s">
        <v>77</v>
      </c>
      <c r="AU85" s="205" t="s">
        <v>78</v>
      </c>
      <c r="AY85" s="204" t="s">
        <v>200</v>
      </c>
      <c r="BK85" s="206">
        <f>SUM(BK86:BK91)</f>
        <v>0</v>
      </c>
    </row>
    <row r="86" s="2" customFormat="1" ht="16.5" customHeight="1">
      <c r="A86" s="40"/>
      <c r="B86" s="41"/>
      <c r="C86" s="209" t="s">
        <v>86</v>
      </c>
      <c r="D86" s="209" t="s">
        <v>202</v>
      </c>
      <c r="E86" s="210" t="s">
        <v>3913</v>
      </c>
      <c r="F86" s="211" t="s">
        <v>3914</v>
      </c>
      <c r="G86" s="212" t="s">
        <v>3915</v>
      </c>
      <c r="H86" s="213">
        <v>1</v>
      </c>
      <c r="I86" s="214"/>
      <c r="J86" s="215">
        <f>ROUND(I86*H86,1)</f>
        <v>0</v>
      </c>
      <c r="K86" s="211" t="s">
        <v>32</v>
      </c>
      <c r="L86" s="46"/>
      <c r="M86" s="216" t="s">
        <v>32</v>
      </c>
      <c r="N86" s="217" t="s">
        <v>49</v>
      </c>
      <c r="O86" s="86"/>
      <c r="P86" s="218">
        <f>O86*H86</f>
        <v>0</v>
      </c>
      <c r="Q86" s="218">
        <v>0</v>
      </c>
      <c r="R86" s="218">
        <f>Q86*H86</f>
        <v>0</v>
      </c>
      <c r="S86" s="218">
        <v>0</v>
      </c>
      <c r="T86" s="219">
        <f>S86*H86</f>
        <v>0</v>
      </c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R86" s="220" t="s">
        <v>3916</v>
      </c>
      <c r="AT86" s="220" t="s">
        <v>202</v>
      </c>
      <c r="AU86" s="220" t="s">
        <v>86</v>
      </c>
      <c r="AY86" s="18" t="s">
        <v>200</v>
      </c>
      <c r="BE86" s="221">
        <f>IF(N86="základní",J86,0)</f>
        <v>0</v>
      </c>
      <c r="BF86" s="221">
        <f>IF(N86="snížená",J86,0)</f>
        <v>0</v>
      </c>
      <c r="BG86" s="221">
        <f>IF(N86="zákl. přenesená",J86,0)</f>
        <v>0</v>
      </c>
      <c r="BH86" s="221">
        <f>IF(N86="sníž. přenesená",J86,0)</f>
        <v>0</v>
      </c>
      <c r="BI86" s="221">
        <f>IF(N86="nulová",J86,0)</f>
        <v>0</v>
      </c>
      <c r="BJ86" s="18" t="s">
        <v>86</v>
      </c>
      <c r="BK86" s="221">
        <f>ROUND(I86*H86,1)</f>
        <v>0</v>
      </c>
      <c r="BL86" s="18" t="s">
        <v>3916</v>
      </c>
      <c r="BM86" s="220" t="s">
        <v>3917</v>
      </c>
    </row>
    <row r="87" s="2" customFormat="1">
      <c r="A87" s="40"/>
      <c r="B87" s="41"/>
      <c r="C87" s="42"/>
      <c r="D87" s="229" t="s">
        <v>355</v>
      </c>
      <c r="E87" s="42"/>
      <c r="F87" s="281" t="s">
        <v>3918</v>
      </c>
      <c r="G87" s="42"/>
      <c r="H87" s="42"/>
      <c r="I87" s="224"/>
      <c r="J87" s="42"/>
      <c r="K87" s="42"/>
      <c r="L87" s="46"/>
      <c r="M87" s="225"/>
      <c r="N87" s="226"/>
      <c r="O87" s="86"/>
      <c r="P87" s="86"/>
      <c r="Q87" s="86"/>
      <c r="R87" s="86"/>
      <c r="S87" s="86"/>
      <c r="T87" s="87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T87" s="18" t="s">
        <v>355</v>
      </c>
      <c r="AU87" s="18" t="s">
        <v>86</v>
      </c>
    </row>
    <row r="88" s="2" customFormat="1" ht="16.5" customHeight="1">
      <c r="A88" s="40"/>
      <c r="B88" s="41"/>
      <c r="C88" s="209" t="s">
        <v>88</v>
      </c>
      <c r="D88" s="209" t="s">
        <v>202</v>
      </c>
      <c r="E88" s="210" t="s">
        <v>3919</v>
      </c>
      <c r="F88" s="211" t="s">
        <v>3920</v>
      </c>
      <c r="G88" s="212" t="s">
        <v>3915</v>
      </c>
      <c r="H88" s="213">
        <v>1</v>
      </c>
      <c r="I88" s="214"/>
      <c r="J88" s="215">
        <f>ROUND(I88*H88,1)</f>
        <v>0</v>
      </c>
      <c r="K88" s="211" t="s">
        <v>32</v>
      </c>
      <c r="L88" s="46"/>
      <c r="M88" s="216" t="s">
        <v>32</v>
      </c>
      <c r="N88" s="217" t="s">
        <v>49</v>
      </c>
      <c r="O88" s="86"/>
      <c r="P88" s="218">
        <f>O88*H88</f>
        <v>0</v>
      </c>
      <c r="Q88" s="218">
        <v>0</v>
      </c>
      <c r="R88" s="218">
        <f>Q88*H88</f>
        <v>0</v>
      </c>
      <c r="S88" s="218">
        <v>0</v>
      </c>
      <c r="T88" s="219">
        <f>S88*H88</f>
        <v>0</v>
      </c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R88" s="220" t="s">
        <v>3916</v>
      </c>
      <c r="AT88" s="220" t="s">
        <v>202</v>
      </c>
      <c r="AU88" s="220" t="s">
        <v>86</v>
      </c>
      <c r="AY88" s="18" t="s">
        <v>200</v>
      </c>
      <c r="BE88" s="221">
        <f>IF(N88="základní",J88,0)</f>
        <v>0</v>
      </c>
      <c r="BF88" s="221">
        <f>IF(N88="snížená",J88,0)</f>
        <v>0</v>
      </c>
      <c r="BG88" s="221">
        <f>IF(N88="zákl. přenesená",J88,0)</f>
        <v>0</v>
      </c>
      <c r="BH88" s="221">
        <f>IF(N88="sníž. přenesená",J88,0)</f>
        <v>0</v>
      </c>
      <c r="BI88" s="221">
        <f>IF(N88="nulová",J88,0)</f>
        <v>0</v>
      </c>
      <c r="BJ88" s="18" t="s">
        <v>86</v>
      </c>
      <c r="BK88" s="221">
        <f>ROUND(I88*H88,1)</f>
        <v>0</v>
      </c>
      <c r="BL88" s="18" t="s">
        <v>3916</v>
      </c>
      <c r="BM88" s="220" t="s">
        <v>3921</v>
      </c>
    </row>
    <row r="89" s="2" customFormat="1">
      <c r="A89" s="40"/>
      <c r="B89" s="41"/>
      <c r="C89" s="42"/>
      <c r="D89" s="229" t="s">
        <v>355</v>
      </c>
      <c r="E89" s="42"/>
      <c r="F89" s="281" t="s">
        <v>3922</v>
      </c>
      <c r="G89" s="42"/>
      <c r="H89" s="42"/>
      <c r="I89" s="224"/>
      <c r="J89" s="42"/>
      <c r="K89" s="42"/>
      <c r="L89" s="46"/>
      <c r="M89" s="225"/>
      <c r="N89" s="226"/>
      <c r="O89" s="86"/>
      <c r="P89" s="86"/>
      <c r="Q89" s="86"/>
      <c r="R89" s="86"/>
      <c r="S89" s="86"/>
      <c r="T89" s="87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T89" s="18" t="s">
        <v>355</v>
      </c>
      <c r="AU89" s="18" t="s">
        <v>86</v>
      </c>
    </row>
    <row r="90" s="2" customFormat="1" ht="16.5" customHeight="1">
      <c r="A90" s="40"/>
      <c r="B90" s="41"/>
      <c r="C90" s="209" t="s">
        <v>148</v>
      </c>
      <c r="D90" s="209" t="s">
        <v>202</v>
      </c>
      <c r="E90" s="210" t="s">
        <v>3923</v>
      </c>
      <c r="F90" s="211" t="s">
        <v>3924</v>
      </c>
      <c r="G90" s="212" t="s">
        <v>3915</v>
      </c>
      <c r="H90" s="213">
        <v>1</v>
      </c>
      <c r="I90" s="214"/>
      <c r="J90" s="215">
        <f>ROUND(I90*H90,1)</f>
        <v>0</v>
      </c>
      <c r="K90" s="211" t="s">
        <v>32</v>
      </c>
      <c r="L90" s="46"/>
      <c r="M90" s="216" t="s">
        <v>32</v>
      </c>
      <c r="N90" s="217" t="s">
        <v>49</v>
      </c>
      <c r="O90" s="86"/>
      <c r="P90" s="218">
        <f>O90*H90</f>
        <v>0</v>
      </c>
      <c r="Q90" s="218">
        <v>0</v>
      </c>
      <c r="R90" s="218">
        <f>Q90*H90</f>
        <v>0</v>
      </c>
      <c r="S90" s="218">
        <v>0</v>
      </c>
      <c r="T90" s="219">
        <f>S90*H90</f>
        <v>0</v>
      </c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R90" s="220" t="s">
        <v>3916</v>
      </c>
      <c r="AT90" s="220" t="s">
        <v>202</v>
      </c>
      <c r="AU90" s="220" t="s">
        <v>86</v>
      </c>
      <c r="AY90" s="18" t="s">
        <v>200</v>
      </c>
      <c r="BE90" s="221">
        <f>IF(N90="základní",J90,0)</f>
        <v>0</v>
      </c>
      <c r="BF90" s="221">
        <f>IF(N90="snížená",J90,0)</f>
        <v>0</v>
      </c>
      <c r="BG90" s="221">
        <f>IF(N90="zákl. přenesená",J90,0)</f>
        <v>0</v>
      </c>
      <c r="BH90" s="221">
        <f>IF(N90="sníž. přenesená",J90,0)</f>
        <v>0</v>
      </c>
      <c r="BI90" s="221">
        <f>IF(N90="nulová",J90,0)</f>
        <v>0</v>
      </c>
      <c r="BJ90" s="18" t="s">
        <v>86</v>
      </c>
      <c r="BK90" s="221">
        <f>ROUND(I90*H90,1)</f>
        <v>0</v>
      </c>
      <c r="BL90" s="18" t="s">
        <v>3916</v>
      </c>
      <c r="BM90" s="220" t="s">
        <v>3925</v>
      </c>
    </row>
    <row r="91" s="2" customFormat="1">
      <c r="A91" s="40"/>
      <c r="B91" s="41"/>
      <c r="C91" s="42"/>
      <c r="D91" s="229" t="s">
        <v>355</v>
      </c>
      <c r="E91" s="42"/>
      <c r="F91" s="281" t="s">
        <v>3926</v>
      </c>
      <c r="G91" s="42"/>
      <c r="H91" s="42"/>
      <c r="I91" s="224"/>
      <c r="J91" s="42"/>
      <c r="K91" s="42"/>
      <c r="L91" s="46"/>
      <c r="M91" s="225"/>
      <c r="N91" s="226"/>
      <c r="O91" s="86"/>
      <c r="P91" s="86"/>
      <c r="Q91" s="86"/>
      <c r="R91" s="86"/>
      <c r="S91" s="86"/>
      <c r="T91" s="87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T91" s="18" t="s">
        <v>355</v>
      </c>
      <c r="AU91" s="18" t="s">
        <v>86</v>
      </c>
    </row>
    <row r="92" s="12" customFormat="1" ht="25.92" customHeight="1">
      <c r="A92" s="12"/>
      <c r="B92" s="193"/>
      <c r="C92" s="194"/>
      <c r="D92" s="195" t="s">
        <v>77</v>
      </c>
      <c r="E92" s="196" t="s">
        <v>3927</v>
      </c>
      <c r="F92" s="196" t="s">
        <v>3928</v>
      </c>
      <c r="G92" s="194"/>
      <c r="H92" s="194"/>
      <c r="I92" s="197"/>
      <c r="J92" s="198">
        <f>BK92</f>
        <v>0</v>
      </c>
      <c r="K92" s="194"/>
      <c r="L92" s="199"/>
      <c r="M92" s="200"/>
      <c r="N92" s="201"/>
      <c r="O92" s="201"/>
      <c r="P92" s="202">
        <f>SUM(P93:P96)</f>
        <v>0</v>
      </c>
      <c r="Q92" s="201"/>
      <c r="R92" s="202">
        <f>SUM(R93:R96)</f>
        <v>0</v>
      </c>
      <c r="S92" s="201"/>
      <c r="T92" s="203">
        <f>SUM(T93:T96)</f>
        <v>0</v>
      </c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R92" s="204" t="s">
        <v>234</v>
      </c>
      <c r="AT92" s="205" t="s">
        <v>77</v>
      </c>
      <c r="AU92" s="205" t="s">
        <v>78</v>
      </c>
      <c r="AY92" s="204" t="s">
        <v>200</v>
      </c>
      <c r="BK92" s="206">
        <f>SUM(BK93:BK96)</f>
        <v>0</v>
      </c>
    </row>
    <row r="93" s="2" customFormat="1" ht="16.5" customHeight="1">
      <c r="A93" s="40"/>
      <c r="B93" s="41"/>
      <c r="C93" s="209" t="s">
        <v>207</v>
      </c>
      <c r="D93" s="209" t="s">
        <v>202</v>
      </c>
      <c r="E93" s="210" t="s">
        <v>3929</v>
      </c>
      <c r="F93" s="211" t="s">
        <v>3930</v>
      </c>
      <c r="G93" s="212" t="s">
        <v>3915</v>
      </c>
      <c r="H93" s="213">
        <v>1</v>
      </c>
      <c r="I93" s="214"/>
      <c r="J93" s="215">
        <f>ROUND(I93*H93,1)</f>
        <v>0</v>
      </c>
      <c r="K93" s="211" t="s">
        <v>32</v>
      </c>
      <c r="L93" s="46"/>
      <c r="M93" s="216" t="s">
        <v>32</v>
      </c>
      <c r="N93" s="217" t="s">
        <v>49</v>
      </c>
      <c r="O93" s="86"/>
      <c r="P93" s="218">
        <f>O93*H93</f>
        <v>0</v>
      </c>
      <c r="Q93" s="218">
        <v>0</v>
      </c>
      <c r="R93" s="218">
        <f>Q93*H93</f>
        <v>0</v>
      </c>
      <c r="S93" s="218">
        <v>0</v>
      </c>
      <c r="T93" s="219">
        <f>S93*H93</f>
        <v>0</v>
      </c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R93" s="220" t="s">
        <v>3916</v>
      </c>
      <c r="AT93" s="220" t="s">
        <v>202</v>
      </c>
      <c r="AU93" s="220" t="s">
        <v>86</v>
      </c>
      <c r="AY93" s="18" t="s">
        <v>200</v>
      </c>
      <c r="BE93" s="221">
        <f>IF(N93="základní",J93,0)</f>
        <v>0</v>
      </c>
      <c r="BF93" s="221">
        <f>IF(N93="snížená",J93,0)</f>
        <v>0</v>
      </c>
      <c r="BG93" s="221">
        <f>IF(N93="zákl. přenesená",J93,0)</f>
        <v>0</v>
      </c>
      <c r="BH93" s="221">
        <f>IF(N93="sníž. přenesená",J93,0)</f>
        <v>0</v>
      </c>
      <c r="BI93" s="221">
        <f>IF(N93="nulová",J93,0)</f>
        <v>0</v>
      </c>
      <c r="BJ93" s="18" t="s">
        <v>86</v>
      </c>
      <c r="BK93" s="221">
        <f>ROUND(I93*H93,1)</f>
        <v>0</v>
      </c>
      <c r="BL93" s="18" t="s">
        <v>3916</v>
      </c>
      <c r="BM93" s="220" t="s">
        <v>3931</v>
      </c>
    </row>
    <row r="94" s="2" customFormat="1">
      <c r="A94" s="40"/>
      <c r="B94" s="41"/>
      <c r="C94" s="42"/>
      <c r="D94" s="229" t="s">
        <v>355</v>
      </c>
      <c r="E94" s="42"/>
      <c r="F94" s="281" t="s">
        <v>3932</v>
      </c>
      <c r="G94" s="42"/>
      <c r="H94" s="42"/>
      <c r="I94" s="224"/>
      <c r="J94" s="42"/>
      <c r="K94" s="42"/>
      <c r="L94" s="46"/>
      <c r="M94" s="225"/>
      <c r="N94" s="226"/>
      <c r="O94" s="86"/>
      <c r="P94" s="86"/>
      <c r="Q94" s="86"/>
      <c r="R94" s="86"/>
      <c r="S94" s="86"/>
      <c r="T94" s="87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T94" s="18" t="s">
        <v>355</v>
      </c>
      <c r="AU94" s="18" t="s">
        <v>86</v>
      </c>
    </row>
    <row r="95" s="2" customFormat="1" ht="16.5" customHeight="1">
      <c r="A95" s="40"/>
      <c r="B95" s="41"/>
      <c r="C95" s="209" t="s">
        <v>234</v>
      </c>
      <c r="D95" s="209" t="s">
        <v>202</v>
      </c>
      <c r="E95" s="210" t="s">
        <v>3933</v>
      </c>
      <c r="F95" s="211" t="s">
        <v>3934</v>
      </c>
      <c r="G95" s="212" t="s">
        <v>3915</v>
      </c>
      <c r="H95" s="213">
        <v>1</v>
      </c>
      <c r="I95" s="214"/>
      <c r="J95" s="215">
        <f>ROUND(I95*H95,1)</f>
        <v>0</v>
      </c>
      <c r="K95" s="211" t="s">
        <v>32</v>
      </c>
      <c r="L95" s="46"/>
      <c r="M95" s="216" t="s">
        <v>32</v>
      </c>
      <c r="N95" s="217" t="s">
        <v>49</v>
      </c>
      <c r="O95" s="86"/>
      <c r="P95" s="218">
        <f>O95*H95</f>
        <v>0</v>
      </c>
      <c r="Q95" s="218">
        <v>0</v>
      </c>
      <c r="R95" s="218">
        <f>Q95*H95</f>
        <v>0</v>
      </c>
      <c r="S95" s="218">
        <v>0</v>
      </c>
      <c r="T95" s="219">
        <f>S95*H95</f>
        <v>0</v>
      </c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R95" s="220" t="s">
        <v>3916</v>
      </c>
      <c r="AT95" s="220" t="s">
        <v>202</v>
      </c>
      <c r="AU95" s="220" t="s">
        <v>86</v>
      </c>
      <c r="AY95" s="18" t="s">
        <v>200</v>
      </c>
      <c r="BE95" s="221">
        <f>IF(N95="základní",J95,0)</f>
        <v>0</v>
      </c>
      <c r="BF95" s="221">
        <f>IF(N95="snížená",J95,0)</f>
        <v>0</v>
      </c>
      <c r="BG95" s="221">
        <f>IF(N95="zákl. přenesená",J95,0)</f>
        <v>0</v>
      </c>
      <c r="BH95" s="221">
        <f>IF(N95="sníž. přenesená",J95,0)</f>
        <v>0</v>
      </c>
      <c r="BI95" s="221">
        <f>IF(N95="nulová",J95,0)</f>
        <v>0</v>
      </c>
      <c r="BJ95" s="18" t="s">
        <v>86</v>
      </c>
      <c r="BK95" s="221">
        <f>ROUND(I95*H95,1)</f>
        <v>0</v>
      </c>
      <c r="BL95" s="18" t="s">
        <v>3916</v>
      </c>
      <c r="BM95" s="220" t="s">
        <v>3935</v>
      </c>
    </row>
    <row r="96" s="2" customFormat="1">
      <c r="A96" s="40"/>
      <c r="B96" s="41"/>
      <c r="C96" s="42"/>
      <c r="D96" s="229" t="s">
        <v>355</v>
      </c>
      <c r="E96" s="42"/>
      <c r="F96" s="281" t="s">
        <v>3936</v>
      </c>
      <c r="G96" s="42"/>
      <c r="H96" s="42"/>
      <c r="I96" s="224"/>
      <c r="J96" s="42"/>
      <c r="K96" s="42"/>
      <c r="L96" s="46"/>
      <c r="M96" s="225"/>
      <c r="N96" s="226"/>
      <c r="O96" s="86"/>
      <c r="P96" s="86"/>
      <c r="Q96" s="86"/>
      <c r="R96" s="86"/>
      <c r="S96" s="86"/>
      <c r="T96" s="87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T96" s="18" t="s">
        <v>355</v>
      </c>
      <c r="AU96" s="18" t="s">
        <v>86</v>
      </c>
    </row>
    <row r="97" s="12" customFormat="1" ht="25.92" customHeight="1">
      <c r="A97" s="12"/>
      <c r="B97" s="193"/>
      <c r="C97" s="194"/>
      <c r="D97" s="195" t="s">
        <v>77</v>
      </c>
      <c r="E97" s="196" t="s">
        <v>3937</v>
      </c>
      <c r="F97" s="196" t="s">
        <v>3938</v>
      </c>
      <c r="G97" s="194"/>
      <c r="H97" s="194"/>
      <c r="I97" s="197"/>
      <c r="J97" s="198">
        <f>BK97</f>
        <v>0</v>
      </c>
      <c r="K97" s="194"/>
      <c r="L97" s="199"/>
      <c r="M97" s="200"/>
      <c r="N97" s="201"/>
      <c r="O97" s="201"/>
      <c r="P97" s="202">
        <f>SUM(P98:P101)</f>
        <v>0</v>
      </c>
      <c r="Q97" s="201"/>
      <c r="R97" s="202">
        <f>SUM(R98:R101)</f>
        <v>0</v>
      </c>
      <c r="S97" s="201"/>
      <c r="T97" s="203">
        <f>SUM(T98:T101)</f>
        <v>0</v>
      </c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R97" s="204" t="s">
        <v>234</v>
      </c>
      <c r="AT97" s="205" t="s">
        <v>77</v>
      </c>
      <c r="AU97" s="205" t="s">
        <v>78</v>
      </c>
      <c r="AY97" s="204" t="s">
        <v>200</v>
      </c>
      <c r="BK97" s="206">
        <f>SUM(BK98:BK101)</f>
        <v>0</v>
      </c>
    </row>
    <row r="98" s="2" customFormat="1" ht="16.5" customHeight="1">
      <c r="A98" s="40"/>
      <c r="B98" s="41"/>
      <c r="C98" s="209" t="s">
        <v>254</v>
      </c>
      <c r="D98" s="209" t="s">
        <v>202</v>
      </c>
      <c r="E98" s="210" t="s">
        <v>3939</v>
      </c>
      <c r="F98" s="211" t="s">
        <v>3938</v>
      </c>
      <c r="G98" s="212" t="s">
        <v>3915</v>
      </c>
      <c r="H98" s="213">
        <v>1</v>
      </c>
      <c r="I98" s="214"/>
      <c r="J98" s="215">
        <f>ROUND(I98*H98,1)</f>
        <v>0</v>
      </c>
      <c r="K98" s="211" t="s">
        <v>32</v>
      </c>
      <c r="L98" s="46"/>
      <c r="M98" s="216" t="s">
        <v>32</v>
      </c>
      <c r="N98" s="217" t="s">
        <v>49</v>
      </c>
      <c r="O98" s="86"/>
      <c r="P98" s="218">
        <f>O98*H98</f>
        <v>0</v>
      </c>
      <c r="Q98" s="218">
        <v>0</v>
      </c>
      <c r="R98" s="218">
        <f>Q98*H98</f>
        <v>0</v>
      </c>
      <c r="S98" s="218">
        <v>0</v>
      </c>
      <c r="T98" s="219">
        <f>S98*H98</f>
        <v>0</v>
      </c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R98" s="220" t="s">
        <v>3916</v>
      </c>
      <c r="AT98" s="220" t="s">
        <v>202</v>
      </c>
      <c r="AU98" s="220" t="s">
        <v>86</v>
      </c>
      <c r="AY98" s="18" t="s">
        <v>200</v>
      </c>
      <c r="BE98" s="221">
        <f>IF(N98="základní",J98,0)</f>
        <v>0</v>
      </c>
      <c r="BF98" s="221">
        <f>IF(N98="snížená",J98,0)</f>
        <v>0</v>
      </c>
      <c r="BG98" s="221">
        <f>IF(N98="zákl. přenesená",J98,0)</f>
        <v>0</v>
      </c>
      <c r="BH98" s="221">
        <f>IF(N98="sníž. přenesená",J98,0)</f>
        <v>0</v>
      </c>
      <c r="BI98" s="221">
        <f>IF(N98="nulová",J98,0)</f>
        <v>0</v>
      </c>
      <c r="BJ98" s="18" t="s">
        <v>86</v>
      </c>
      <c r="BK98" s="221">
        <f>ROUND(I98*H98,1)</f>
        <v>0</v>
      </c>
      <c r="BL98" s="18" t="s">
        <v>3916</v>
      </c>
      <c r="BM98" s="220" t="s">
        <v>3940</v>
      </c>
    </row>
    <row r="99" s="2" customFormat="1">
      <c r="A99" s="40"/>
      <c r="B99" s="41"/>
      <c r="C99" s="42"/>
      <c r="D99" s="229" t="s">
        <v>355</v>
      </c>
      <c r="E99" s="42"/>
      <c r="F99" s="281" t="s">
        <v>3941</v>
      </c>
      <c r="G99" s="42"/>
      <c r="H99" s="42"/>
      <c r="I99" s="224"/>
      <c r="J99" s="42"/>
      <c r="K99" s="42"/>
      <c r="L99" s="46"/>
      <c r="M99" s="225"/>
      <c r="N99" s="226"/>
      <c r="O99" s="86"/>
      <c r="P99" s="86"/>
      <c r="Q99" s="86"/>
      <c r="R99" s="86"/>
      <c r="S99" s="86"/>
      <c r="T99" s="87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T99" s="18" t="s">
        <v>355</v>
      </c>
      <c r="AU99" s="18" t="s">
        <v>86</v>
      </c>
    </row>
    <row r="100" s="2" customFormat="1" ht="16.5" customHeight="1">
      <c r="A100" s="40"/>
      <c r="B100" s="41"/>
      <c r="C100" s="209" t="s">
        <v>261</v>
      </c>
      <c r="D100" s="209" t="s">
        <v>202</v>
      </c>
      <c r="E100" s="210" t="s">
        <v>3942</v>
      </c>
      <c r="F100" s="211" t="s">
        <v>3943</v>
      </c>
      <c r="G100" s="212" t="s">
        <v>3915</v>
      </c>
      <c r="H100" s="213">
        <v>1</v>
      </c>
      <c r="I100" s="214"/>
      <c r="J100" s="215">
        <f>ROUND(I100*H100,1)</f>
        <v>0</v>
      </c>
      <c r="K100" s="211" t="s">
        <v>32</v>
      </c>
      <c r="L100" s="46"/>
      <c r="M100" s="216" t="s">
        <v>32</v>
      </c>
      <c r="N100" s="217" t="s">
        <v>49</v>
      </c>
      <c r="O100" s="86"/>
      <c r="P100" s="218">
        <f>O100*H100</f>
        <v>0</v>
      </c>
      <c r="Q100" s="218">
        <v>0</v>
      </c>
      <c r="R100" s="218">
        <f>Q100*H100</f>
        <v>0</v>
      </c>
      <c r="S100" s="218">
        <v>0</v>
      </c>
      <c r="T100" s="219">
        <f>S100*H100</f>
        <v>0</v>
      </c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R100" s="220" t="s">
        <v>3916</v>
      </c>
      <c r="AT100" s="220" t="s">
        <v>202</v>
      </c>
      <c r="AU100" s="220" t="s">
        <v>86</v>
      </c>
      <c r="AY100" s="18" t="s">
        <v>200</v>
      </c>
      <c r="BE100" s="221">
        <f>IF(N100="základní",J100,0)</f>
        <v>0</v>
      </c>
      <c r="BF100" s="221">
        <f>IF(N100="snížená",J100,0)</f>
        <v>0</v>
      </c>
      <c r="BG100" s="221">
        <f>IF(N100="zákl. přenesená",J100,0)</f>
        <v>0</v>
      </c>
      <c r="BH100" s="221">
        <f>IF(N100="sníž. přenesená",J100,0)</f>
        <v>0</v>
      </c>
      <c r="BI100" s="221">
        <f>IF(N100="nulová",J100,0)</f>
        <v>0</v>
      </c>
      <c r="BJ100" s="18" t="s">
        <v>86</v>
      </c>
      <c r="BK100" s="221">
        <f>ROUND(I100*H100,1)</f>
        <v>0</v>
      </c>
      <c r="BL100" s="18" t="s">
        <v>3916</v>
      </c>
      <c r="BM100" s="220" t="s">
        <v>3944</v>
      </c>
    </row>
    <row r="101" s="2" customFormat="1">
      <c r="A101" s="40"/>
      <c r="B101" s="41"/>
      <c r="C101" s="42"/>
      <c r="D101" s="229" t="s">
        <v>355</v>
      </c>
      <c r="E101" s="42"/>
      <c r="F101" s="281" t="s">
        <v>3945</v>
      </c>
      <c r="G101" s="42"/>
      <c r="H101" s="42"/>
      <c r="I101" s="224"/>
      <c r="J101" s="42"/>
      <c r="K101" s="42"/>
      <c r="L101" s="46"/>
      <c r="M101" s="225"/>
      <c r="N101" s="226"/>
      <c r="O101" s="86"/>
      <c r="P101" s="86"/>
      <c r="Q101" s="86"/>
      <c r="R101" s="86"/>
      <c r="S101" s="86"/>
      <c r="T101" s="87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T101" s="18" t="s">
        <v>355</v>
      </c>
      <c r="AU101" s="18" t="s">
        <v>86</v>
      </c>
    </row>
    <row r="102" s="12" customFormat="1" ht="25.92" customHeight="1">
      <c r="A102" s="12"/>
      <c r="B102" s="193"/>
      <c r="C102" s="194"/>
      <c r="D102" s="195" t="s">
        <v>77</v>
      </c>
      <c r="E102" s="196" t="s">
        <v>3946</v>
      </c>
      <c r="F102" s="196" t="s">
        <v>3947</v>
      </c>
      <c r="G102" s="194"/>
      <c r="H102" s="194"/>
      <c r="I102" s="197"/>
      <c r="J102" s="198">
        <f>BK102</f>
        <v>0</v>
      </c>
      <c r="K102" s="194"/>
      <c r="L102" s="199"/>
      <c r="M102" s="200"/>
      <c r="N102" s="201"/>
      <c r="O102" s="201"/>
      <c r="P102" s="202">
        <f>SUM(P103:P104)</f>
        <v>0</v>
      </c>
      <c r="Q102" s="201"/>
      <c r="R102" s="202">
        <f>SUM(R103:R104)</f>
        <v>0</v>
      </c>
      <c r="S102" s="201"/>
      <c r="T102" s="203">
        <f>SUM(T103:T104)</f>
        <v>0</v>
      </c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R102" s="204" t="s">
        <v>234</v>
      </c>
      <c r="AT102" s="205" t="s">
        <v>77</v>
      </c>
      <c r="AU102" s="205" t="s">
        <v>78</v>
      </c>
      <c r="AY102" s="204" t="s">
        <v>200</v>
      </c>
      <c r="BK102" s="206">
        <f>SUM(BK103:BK104)</f>
        <v>0</v>
      </c>
    </row>
    <row r="103" s="2" customFormat="1" ht="16.5" customHeight="1">
      <c r="A103" s="40"/>
      <c r="B103" s="41"/>
      <c r="C103" s="209" t="s">
        <v>291</v>
      </c>
      <c r="D103" s="209" t="s">
        <v>202</v>
      </c>
      <c r="E103" s="210" t="s">
        <v>3948</v>
      </c>
      <c r="F103" s="211" t="s">
        <v>3947</v>
      </c>
      <c r="G103" s="212" t="s">
        <v>3915</v>
      </c>
      <c r="H103" s="213">
        <v>1</v>
      </c>
      <c r="I103" s="214"/>
      <c r="J103" s="215">
        <f>ROUND(I103*H103,1)</f>
        <v>0</v>
      </c>
      <c r="K103" s="211" t="s">
        <v>32</v>
      </c>
      <c r="L103" s="46"/>
      <c r="M103" s="216" t="s">
        <v>32</v>
      </c>
      <c r="N103" s="217" t="s">
        <v>49</v>
      </c>
      <c r="O103" s="86"/>
      <c r="P103" s="218">
        <f>O103*H103</f>
        <v>0</v>
      </c>
      <c r="Q103" s="218">
        <v>0</v>
      </c>
      <c r="R103" s="218">
        <f>Q103*H103</f>
        <v>0</v>
      </c>
      <c r="S103" s="218">
        <v>0</v>
      </c>
      <c r="T103" s="219">
        <f>S103*H103</f>
        <v>0</v>
      </c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R103" s="220" t="s">
        <v>3916</v>
      </c>
      <c r="AT103" s="220" t="s">
        <v>202</v>
      </c>
      <c r="AU103" s="220" t="s">
        <v>86</v>
      </c>
      <c r="AY103" s="18" t="s">
        <v>200</v>
      </c>
      <c r="BE103" s="221">
        <f>IF(N103="základní",J103,0)</f>
        <v>0</v>
      </c>
      <c r="BF103" s="221">
        <f>IF(N103="snížená",J103,0)</f>
        <v>0</v>
      </c>
      <c r="BG103" s="221">
        <f>IF(N103="zákl. přenesená",J103,0)</f>
        <v>0</v>
      </c>
      <c r="BH103" s="221">
        <f>IF(N103="sníž. přenesená",J103,0)</f>
        <v>0</v>
      </c>
      <c r="BI103" s="221">
        <f>IF(N103="nulová",J103,0)</f>
        <v>0</v>
      </c>
      <c r="BJ103" s="18" t="s">
        <v>86</v>
      </c>
      <c r="BK103" s="221">
        <f>ROUND(I103*H103,1)</f>
        <v>0</v>
      </c>
      <c r="BL103" s="18" t="s">
        <v>3916</v>
      </c>
      <c r="BM103" s="220" t="s">
        <v>3949</v>
      </c>
    </row>
    <row r="104" s="2" customFormat="1">
      <c r="A104" s="40"/>
      <c r="B104" s="41"/>
      <c r="C104" s="42"/>
      <c r="D104" s="229" t="s">
        <v>355</v>
      </c>
      <c r="E104" s="42"/>
      <c r="F104" s="281" t="s">
        <v>3950</v>
      </c>
      <c r="G104" s="42"/>
      <c r="H104" s="42"/>
      <c r="I104" s="224"/>
      <c r="J104" s="42"/>
      <c r="K104" s="42"/>
      <c r="L104" s="46"/>
      <c r="M104" s="225"/>
      <c r="N104" s="226"/>
      <c r="O104" s="86"/>
      <c r="P104" s="86"/>
      <c r="Q104" s="86"/>
      <c r="R104" s="86"/>
      <c r="S104" s="86"/>
      <c r="T104" s="87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T104" s="18" t="s">
        <v>355</v>
      </c>
      <c r="AU104" s="18" t="s">
        <v>86</v>
      </c>
    </row>
    <row r="105" s="12" customFormat="1" ht="25.92" customHeight="1">
      <c r="A105" s="12"/>
      <c r="B105" s="193"/>
      <c r="C105" s="194"/>
      <c r="D105" s="195" t="s">
        <v>77</v>
      </c>
      <c r="E105" s="196" t="s">
        <v>3951</v>
      </c>
      <c r="F105" s="196" t="s">
        <v>3952</v>
      </c>
      <c r="G105" s="194"/>
      <c r="H105" s="194"/>
      <c r="I105" s="197"/>
      <c r="J105" s="198">
        <f>BK105</f>
        <v>0</v>
      </c>
      <c r="K105" s="194"/>
      <c r="L105" s="199"/>
      <c r="M105" s="200"/>
      <c r="N105" s="201"/>
      <c r="O105" s="201"/>
      <c r="P105" s="202">
        <f>SUM(P106:P111)</f>
        <v>0</v>
      </c>
      <c r="Q105" s="201"/>
      <c r="R105" s="202">
        <f>SUM(R106:R111)</f>
        <v>0</v>
      </c>
      <c r="S105" s="201"/>
      <c r="T105" s="203">
        <f>SUM(T106:T111)</f>
        <v>0</v>
      </c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R105" s="204" t="s">
        <v>234</v>
      </c>
      <c r="AT105" s="205" t="s">
        <v>77</v>
      </c>
      <c r="AU105" s="205" t="s">
        <v>78</v>
      </c>
      <c r="AY105" s="204" t="s">
        <v>200</v>
      </c>
      <c r="BK105" s="206">
        <f>SUM(BK106:BK111)</f>
        <v>0</v>
      </c>
    </row>
    <row r="106" s="2" customFormat="1" ht="16.5" customHeight="1">
      <c r="A106" s="40"/>
      <c r="B106" s="41"/>
      <c r="C106" s="209" t="s">
        <v>8</v>
      </c>
      <c r="D106" s="209" t="s">
        <v>202</v>
      </c>
      <c r="E106" s="210" t="s">
        <v>3953</v>
      </c>
      <c r="F106" s="211" t="s">
        <v>3954</v>
      </c>
      <c r="G106" s="212" t="s">
        <v>3915</v>
      </c>
      <c r="H106" s="213">
        <v>1</v>
      </c>
      <c r="I106" s="214"/>
      <c r="J106" s="215">
        <f>ROUND(I106*H106,1)</f>
        <v>0</v>
      </c>
      <c r="K106" s="211" t="s">
        <v>32</v>
      </c>
      <c r="L106" s="46"/>
      <c r="M106" s="216" t="s">
        <v>32</v>
      </c>
      <c r="N106" s="217" t="s">
        <v>49</v>
      </c>
      <c r="O106" s="86"/>
      <c r="P106" s="218">
        <f>O106*H106</f>
        <v>0</v>
      </c>
      <c r="Q106" s="218">
        <v>0</v>
      </c>
      <c r="R106" s="218">
        <f>Q106*H106</f>
        <v>0</v>
      </c>
      <c r="S106" s="218">
        <v>0</v>
      </c>
      <c r="T106" s="219">
        <f>S106*H106</f>
        <v>0</v>
      </c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R106" s="220" t="s">
        <v>3916</v>
      </c>
      <c r="AT106" s="220" t="s">
        <v>202</v>
      </c>
      <c r="AU106" s="220" t="s">
        <v>86</v>
      </c>
      <c r="AY106" s="18" t="s">
        <v>200</v>
      </c>
      <c r="BE106" s="221">
        <f>IF(N106="základní",J106,0)</f>
        <v>0</v>
      </c>
      <c r="BF106" s="221">
        <f>IF(N106="snížená",J106,0)</f>
        <v>0</v>
      </c>
      <c r="BG106" s="221">
        <f>IF(N106="zákl. přenesená",J106,0)</f>
        <v>0</v>
      </c>
      <c r="BH106" s="221">
        <f>IF(N106="sníž. přenesená",J106,0)</f>
        <v>0</v>
      </c>
      <c r="BI106" s="221">
        <f>IF(N106="nulová",J106,0)</f>
        <v>0</v>
      </c>
      <c r="BJ106" s="18" t="s">
        <v>86</v>
      </c>
      <c r="BK106" s="221">
        <f>ROUND(I106*H106,1)</f>
        <v>0</v>
      </c>
      <c r="BL106" s="18" t="s">
        <v>3916</v>
      </c>
      <c r="BM106" s="220" t="s">
        <v>3955</v>
      </c>
    </row>
    <row r="107" s="2" customFormat="1">
      <c r="A107" s="40"/>
      <c r="B107" s="41"/>
      <c r="C107" s="42"/>
      <c r="D107" s="229" t="s">
        <v>355</v>
      </c>
      <c r="E107" s="42"/>
      <c r="F107" s="281" t="s">
        <v>3956</v>
      </c>
      <c r="G107" s="42"/>
      <c r="H107" s="42"/>
      <c r="I107" s="224"/>
      <c r="J107" s="42"/>
      <c r="K107" s="42"/>
      <c r="L107" s="46"/>
      <c r="M107" s="225"/>
      <c r="N107" s="226"/>
      <c r="O107" s="86"/>
      <c r="P107" s="86"/>
      <c r="Q107" s="86"/>
      <c r="R107" s="86"/>
      <c r="S107" s="86"/>
      <c r="T107" s="87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T107" s="18" t="s">
        <v>355</v>
      </c>
      <c r="AU107" s="18" t="s">
        <v>86</v>
      </c>
    </row>
    <row r="108" s="2" customFormat="1" ht="16.5" customHeight="1">
      <c r="A108" s="40"/>
      <c r="B108" s="41"/>
      <c r="C108" s="209" t="s">
        <v>320</v>
      </c>
      <c r="D108" s="209" t="s">
        <v>202</v>
      </c>
      <c r="E108" s="210" t="s">
        <v>3957</v>
      </c>
      <c r="F108" s="211" t="s">
        <v>3958</v>
      </c>
      <c r="G108" s="212" t="s">
        <v>3915</v>
      </c>
      <c r="H108" s="213">
        <v>1</v>
      </c>
      <c r="I108" s="214"/>
      <c r="J108" s="215">
        <f>ROUND(I108*H108,1)</f>
        <v>0</v>
      </c>
      <c r="K108" s="211" t="s">
        <v>32</v>
      </c>
      <c r="L108" s="46"/>
      <c r="M108" s="216" t="s">
        <v>32</v>
      </c>
      <c r="N108" s="217" t="s">
        <v>49</v>
      </c>
      <c r="O108" s="86"/>
      <c r="P108" s="218">
        <f>O108*H108</f>
        <v>0</v>
      </c>
      <c r="Q108" s="218">
        <v>0</v>
      </c>
      <c r="R108" s="218">
        <f>Q108*H108</f>
        <v>0</v>
      </c>
      <c r="S108" s="218">
        <v>0</v>
      </c>
      <c r="T108" s="219">
        <f>S108*H108</f>
        <v>0</v>
      </c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R108" s="220" t="s">
        <v>3916</v>
      </c>
      <c r="AT108" s="220" t="s">
        <v>202</v>
      </c>
      <c r="AU108" s="220" t="s">
        <v>86</v>
      </c>
      <c r="AY108" s="18" t="s">
        <v>200</v>
      </c>
      <c r="BE108" s="221">
        <f>IF(N108="základní",J108,0)</f>
        <v>0</v>
      </c>
      <c r="BF108" s="221">
        <f>IF(N108="snížená",J108,0)</f>
        <v>0</v>
      </c>
      <c r="BG108" s="221">
        <f>IF(N108="zákl. přenesená",J108,0)</f>
        <v>0</v>
      </c>
      <c r="BH108" s="221">
        <f>IF(N108="sníž. přenesená",J108,0)</f>
        <v>0</v>
      </c>
      <c r="BI108" s="221">
        <f>IF(N108="nulová",J108,0)</f>
        <v>0</v>
      </c>
      <c r="BJ108" s="18" t="s">
        <v>86</v>
      </c>
      <c r="BK108" s="221">
        <f>ROUND(I108*H108,1)</f>
        <v>0</v>
      </c>
      <c r="BL108" s="18" t="s">
        <v>3916</v>
      </c>
      <c r="BM108" s="220" t="s">
        <v>3959</v>
      </c>
    </row>
    <row r="109" s="2" customFormat="1">
      <c r="A109" s="40"/>
      <c r="B109" s="41"/>
      <c r="C109" s="42"/>
      <c r="D109" s="229" t="s">
        <v>355</v>
      </c>
      <c r="E109" s="42"/>
      <c r="F109" s="281" t="s">
        <v>3960</v>
      </c>
      <c r="G109" s="42"/>
      <c r="H109" s="42"/>
      <c r="I109" s="224"/>
      <c r="J109" s="42"/>
      <c r="K109" s="42"/>
      <c r="L109" s="46"/>
      <c r="M109" s="225"/>
      <c r="N109" s="226"/>
      <c r="O109" s="86"/>
      <c r="P109" s="86"/>
      <c r="Q109" s="86"/>
      <c r="R109" s="86"/>
      <c r="S109" s="86"/>
      <c r="T109" s="87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T109" s="18" t="s">
        <v>355</v>
      </c>
      <c r="AU109" s="18" t="s">
        <v>86</v>
      </c>
    </row>
    <row r="110" s="2" customFormat="1" ht="16.5" customHeight="1">
      <c r="A110" s="40"/>
      <c r="B110" s="41"/>
      <c r="C110" s="209" t="s">
        <v>310</v>
      </c>
      <c r="D110" s="209" t="s">
        <v>202</v>
      </c>
      <c r="E110" s="210" t="s">
        <v>3961</v>
      </c>
      <c r="F110" s="211" t="s">
        <v>3962</v>
      </c>
      <c r="G110" s="212" t="s">
        <v>3915</v>
      </c>
      <c r="H110" s="213">
        <v>1</v>
      </c>
      <c r="I110" s="214"/>
      <c r="J110" s="215">
        <f>ROUND(I110*H110,1)</f>
        <v>0</v>
      </c>
      <c r="K110" s="211" t="s">
        <v>32</v>
      </c>
      <c r="L110" s="46"/>
      <c r="M110" s="216" t="s">
        <v>32</v>
      </c>
      <c r="N110" s="217" t="s">
        <v>49</v>
      </c>
      <c r="O110" s="86"/>
      <c r="P110" s="218">
        <f>O110*H110</f>
        <v>0</v>
      </c>
      <c r="Q110" s="218">
        <v>0</v>
      </c>
      <c r="R110" s="218">
        <f>Q110*H110</f>
        <v>0</v>
      </c>
      <c r="S110" s="218">
        <v>0</v>
      </c>
      <c r="T110" s="219">
        <f>S110*H110</f>
        <v>0</v>
      </c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R110" s="220" t="s">
        <v>3916</v>
      </c>
      <c r="AT110" s="220" t="s">
        <v>202</v>
      </c>
      <c r="AU110" s="220" t="s">
        <v>86</v>
      </c>
      <c r="AY110" s="18" t="s">
        <v>200</v>
      </c>
      <c r="BE110" s="221">
        <f>IF(N110="základní",J110,0)</f>
        <v>0</v>
      </c>
      <c r="BF110" s="221">
        <f>IF(N110="snížená",J110,0)</f>
        <v>0</v>
      </c>
      <c r="BG110" s="221">
        <f>IF(N110="zákl. přenesená",J110,0)</f>
        <v>0</v>
      </c>
      <c r="BH110" s="221">
        <f>IF(N110="sníž. přenesená",J110,0)</f>
        <v>0</v>
      </c>
      <c r="BI110" s="221">
        <f>IF(N110="nulová",J110,0)</f>
        <v>0</v>
      </c>
      <c r="BJ110" s="18" t="s">
        <v>86</v>
      </c>
      <c r="BK110" s="221">
        <f>ROUND(I110*H110,1)</f>
        <v>0</v>
      </c>
      <c r="BL110" s="18" t="s">
        <v>3916</v>
      </c>
      <c r="BM110" s="220" t="s">
        <v>3963</v>
      </c>
    </row>
    <row r="111" s="2" customFormat="1">
      <c r="A111" s="40"/>
      <c r="B111" s="41"/>
      <c r="C111" s="42"/>
      <c r="D111" s="229" t="s">
        <v>355</v>
      </c>
      <c r="E111" s="42"/>
      <c r="F111" s="281" t="s">
        <v>3964</v>
      </c>
      <c r="G111" s="42"/>
      <c r="H111" s="42"/>
      <c r="I111" s="224"/>
      <c r="J111" s="42"/>
      <c r="K111" s="42"/>
      <c r="L111" s="46"/>
      <c r="M111" s="283"/>
      <c r="N111" s="284"/>
      <c r="O111" s="285"/>
      <c r="P111" s="285"/>
      <c r="Q111" s="285"/>
      <c r="R111" s="285"/>
      <c r="S111" s="285"/>
      <c r="T111" s="286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T111" s="18" t="s">
        <v>355</v>
      </c>
      <c r="AU111" s="18" t="s">
        <v>86</v>
      </c>
    </row>
    <row r="112" s="2" customFormat="1" ht="6.96" customHeight="1">
      <c r="A112" s="40"/>
      <c r="B112" s="61"/>
      <c r="C112" s="62"/>
      <c r="D112" s="62"/>
      <c r="E112" s="62"/>
      <c r="F112" s="62"/>
      <c r="G112" s="62"/>
      <c r="H112" s="62"/>
      <c r="I112" s="62"/>
      <c r="J112" s="62"/>
      <c r="K112" s="62"/>
      <c r="L112" s="46"/>
      <c r="M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</row>
  </sheetData>
  <sheetProtection sheet="1" autoFilter="0" formatColumns="0" formatRows="0" objects="1" scenarios="1" spinCount="100000" saltValue="eOXeYuuUb79Qo47f0FvVRK8yMIh1WxX/ATIW9uD1QxP2BysTbAeW/mma4bXWak1epeBa7tMhXOqrgZILZvQYmQ==" hashValue="D5kn64C1O+g2oiS4GxLtYJXjHc83Ub6vaQrnqdxtfaDDD3HSup0ZK47fpoeUIs0pmSchqT3xDefzyx47ySqH0w==" algorithmName="SHA-512" password="CC35"/>
  <autoFilter ref="C83:K111"/>
  <mergeCells count="9">
    <mergeCell ref="E7:H7"/>
    <mergeCell ref="E9:H9"/>
    <mergeCell ref="E18:H18"/>
    <mergeCell ref="E27:H27"/>
    <mergeCell ref="E48:H48"/>
    <mergeCell ref="E50:H50"/>
    <mergeCell ref="E74:H74"/>
    <mergeCell ref="E76:H76"/>
    <mergeCell ref="L2:V2"/>
  </mergeCells>
  <pageMargins left="0.39375" right="0.39375" top="0.39375" bottom="0.39375" header="0" footer="0"/>
  <pageSetup paperSize="9" orientation="landscape" blackAndWhite="1" fitToHeight="100"/>
  <headerFooter>
    <oddFooter>&amp;CStrana &amp;P z &amp;N</oddFooter>
  </headerFooter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667969" style="1" customWidth="1"/>
    <col min="3" max="3" width="25" style="1" customWidth="1"/>
    <col min="4" max="4" width="130.832" style="1" customWidth="1"/>
    <col min="5" max="5" width="13.33203" style="1" customWidth="1"/>
    <col min="6" max="6" width="20" style="1" customWidth="1"/>
    <col min="7" max="7" width="1.667969" style="1" customWidth="1"/>
    <col min="8" max="8" width="8.332031" style="1" customWidth="1"/>
  </cols>
  <sheetData>
    <row r="1" s="1" customFormat="1" ht="11.28" customHeight="1"/>
    <row r="2" s="1" customFormat="1" ht="36.96" customHeight="1"/>
    <row r="3" s="1" customFormat="1" ht="6.96" customHeight="1">
      <c r="B3" s="131"/>
      <c r="C3" s="132"/>
      <c r="D3" s="132"/>
      <c r="E3" s="132"/>
      <c r="F3" s="132"/>
      <c r="G3" s="132"/>
      <c r="H3" s="21"/>
    </row>
    <row r="4" s="1" customFormat="1" ht="24.96" customHeight="1">
      <c r="B4" s="21"/>
      <c r="C4" s="133" t="s">
        <v>3965</v>
      </c>
      <c r="H4" s="21"/>
    </row>
    <row r="5" s="1" customFormat="1" ht="12" customHeight="1">
      <c r="B5" s="21"/>
      <c r="C5" s="141" t="s">
        <v>13</v>
      </c>
      <c r="D5" s="145" t="s">
        <v>14</v>
      </c>
      <c r="E5" s="1"/>
      <c r="F5" s="1"/>
      <c r="H5" s="21"/>
    </row>
    <row r="6" s="1" customFormat="1" ht="36.96" customHeight="1">
      <c r="B6" s="21"/>
      <c r="C6" s="297" t="s">
        <v>16</v>
      </c>
      <c r="D6" s="298" t="s">
        <v>17</v>
      </c>
      <c r="E6" s="1"/>
      <c r="F6" s="1"/>
      <c r="H6" s="21"/>
    </row>
    <row r="7" s="1" customFormat="1" ht="16.5" customHeight="1">
      <c r="B7" s="21"/>
      <c r="C7" s="135" t="s">
        <v>24</v>
      </c>
      <c r="D7" s="140" t="str">
        <f>'Rekapitulace stavby'!AN8</f>
        <v>20. 12. 2023</v>
      </c>
      <c r="H7" s="21"/>
    </row>
    <row r="8" s="2" customFormat="1" ht="10.8" customHeight="1">
      <c r="A8" s="40"/>
      <c r="B8" s="46"/>
      <c r="C8" s="40"/>
      <c r="D8" s="40"/>
      <c r="E8" s="40"/>
      <c r="F8" s="40"/>
      <c r="G8" s="40"/>
      <c r="H8" s="46"/>
    </row>
    <row r="9" s="11" customFormat="1" ht="29.28" customHeight="1">
      <c r="A9" s="182"/>
      <c r="B9" s="299"/>
      <c r="C9" s="300" t="s">
        <v>59</v>
      </c>
      <c r="D9" s="301" t="s">
        <v>60</v>
      </c>
      <c r="E9" s="301" t="s">
        <v>187</v>
      </c>
      <c r="F9" s="302" t="s">
        <v>3966</v>
      </c>
      <c r="G9" s="182"/>
      <c r="H9" s="299"/>
    </row>
    <row r="10" s="2" customFormat="1" ht="26.4" customHeight="1">
      <c r="A10" s="40"/>
      <c r="B10" s="46"/>
      <c r="C10" s="303" t="s">
        <v>3967</v>
      </c>
      <c r="D10" s="303" t="s">
        <v>84</v>
      </c>
      <c r="E10" s="40"/>
      <c r="F10" s="40"/>
      <c r="G10" s="40"/>
      <c r="H10" s="46"/>
    </row>
    <row r="11" s="2" customFormat="1" ht="16.8" customHeight="1">
      <c r="A11" s="40"/>
      <c r="B11" s="46"/>
      <c r="C11" s="304" t="s">
        <v>116</v>
      </c>
      <c r="D11" s="305" t="s">
        <v>116</v>
      </c>
      <c r="E11" s="306" t="s">
        <v>32</v>
      </c>
      <c r="F11" s="307">
        <v>87.734999999999999</v>
      </c>
      <c r="G11" s="40"/>
      <c r="H11" s="46"/>
    </row>
    <row r="12" s="2" customFormat="1" ht="16.8" customHeight="1">
      <c r="A12" s="40"/>
      <c r="B12" s="46"/>
      <c r="C12" s="308" t="s">
        <v>32</v>
      </c>
      <c r="D12" s="308" t="s">
        <v>315</v>
      </c>
      <c r="E12" s="18" t="s">
        <v>32</v>
      </c>
      <c r="F12" s="309">
        <v>0</v>
      </c>
      <c r="G12" s="40"/>
      <c r="H12" s="46"/>
    </row>
    <row r="13" s="2" customFormat="1" ht="16.8" customHeight="1">
      <c r="A13" s="40"/>
      <c r="B13" s="46"/>
      <c r="C13" s="308" t="s">
        <v>32</v>
      </c>
      <c r="D13" s="308" t="s">
        <v>316</v>
      </c>
      <c r="E13" s="18" t="s">
        <v>32</v>
      </c>
      <c r="F13" s="309">
        <v>72.435000000000002</v>
      </c>
      <c r="G13" s="40"/>
      <c r="H13" s="46"/>
    </row>
    <row r="14" s="2" customFormat="1" ht="16.8" customHeight="1">
      <c r="A14" s="40"/>
      <c r="B14" s="46"/>
      <c r="C14" s="308" t="s">
        <v>32</v>
      </c>
      <c r="D14" s="308" t="s">
        <v>317</v>
      </c>
      <c r="E14" s="18" t="s">
        <v>32</v>
      </c>
      <c r="F14" s="309">
        <v>15.300000000000001</v>
      </c>
      <c r="G14" s="40"/>
      <c r="H14" s="46"/>
    </row>
    <row r="15" s="2" customFormat="1" ht="16.8" customHeight="1">
      <c r="A15" s="40"/>
      <c r="B15" s="46"/>
      <c r="C15" s="308" t="s">
        <v>116</v>
      </c>
      <c r="D15" s="308" t="s">
        <v>318</v>
      </c>
      <c r="E15" s="18" t="s">
        <v>32</v>
      </c>
      <c r="F15" s="309">
        <v>87.734999999999999</v>
      </c>
      <c r="G15" s="40"/>
      <c r="H15" s="46"/>
    </row>
    <row r="16" s="2" customFormat="1" ht="16.8" customHeight="1">
      <c r="A16" s="40"/>
      <c r="B16" s="46"/>
      <c r="C16" s="304" t="s">
        <v>118</v>
      </c>
      <c r="D16" s="305" t="s">
        <v>119</v>
      </c>
      <c r="E16" s="306" t="s">
        <v>32</v>
      </c>
      <c r="F16" s="307">
        <v>373.22750000000002</v>
      </c>
      <c r="G16" s="40"/>
      <c r="H16" s="46"/>
    </row>
    <row r="17" s="2" customFormat="1" ht="16.8" customHeight="1">
      <c r="A17" s="40"/>
      <c r="B17" s="46"/>
      <c r="C17" s="308" t="s">
        <v>32</v>
      </c>
      <c r="D17" s="308" t="s">
        <v>614</v>
      </c>
      <c r="E17" s="18" t="s">
        <v>32</v>
      </c>
      <c r="F17" s="309">
        <v>0</v>
      </c>
      <c r="G17" s="40"/>
      <c r="H17" s="46"/>
    </row>
    <row r="18" s="2" customFormat="1" ht="16.8" customHeight="1">
      <c r="A18" s="40"/>
      <c r="B18" s="46"/>
      <c r="C18" s="308" t="s">
        <v>135</v>
      </c>
      <c r="D18" s="308" t="s">
        <v>1806</v>
      </c>
      <c r="E18" s="18" t="s">
        <v>32</v>
      </c>
      <c r="F18" s="309">
        <v>163.06</v>
      </c>
      <c r="G18" s="40"/>
      <c r="H18" s="46"/>
    </row>
    <row r="19" s="2" customFormat="1" ht="16.8" customHeight="1">
      <c r="A19" s="40"/>
      <c r="B19" s="46"/>
      <c r="C19" s="308" t="s">
        <v>139</v>
      </c>
      <c r="D19" s="308" t="s">
        <v>1807</v>
      </c>
      <c r="E19" s="18" t="s">
        <v>32</v>
      </c>
      <c r="F19" s="309">
        <v>164.99000000000001</v>
      </c>
      <c r="G19" s="40"/>
      <c r="H19" s="46"/>
    </row>
    <row r="20" s="2" customFormat="1" ht="16.8" customHeight="1">
      <c r="A20" s="40"/>
      <c r="B20" s="46"/>
      <c r="C20" s="308" t="s">
        <v>32</v>
      </c>
      <c r="D20" s="308" t="s">
        <v>1808</v>
      </c>
      <c r="E20" s="18" t="s">
        <v>32</v>
      </c>
      <c r="F20" s="309">
        <v>5.8574999999999999</v>
      </c>
      <c r="G20" s="40"/>
      <c r="H20" s="46"/>
    </row>
    <row r="21" s="2" customFormat="1" ht="16.8" customHeight="1">
      <c r="A21" s="40"/>
      <c r="B21" s="46"/>
      <c r="C21" s="308" t="s">
        <v>32</v>
      </c>
      <c r="D21" s="308" t="s">
        <v>620</v>
      </c>
      <c r="E21" s="18" t="s">
        <v>32</v>
      </c>
      <c r="F21" s="309">
        <v>0</v>
      </c>
      <c r="G21" s="40"/>
      <c r="H21" s="46"/>
    </row>
    <row r="22" s="2" customFormat="1" ht="16.8" customHeight="1">
      <c r="A22" s="40"/>
      <c r="B22" s="46"/>
      <c r="C22" s="308" t="s">
        <v>1809</v>
      </c>
      <c r="D22" s="308" t="s">
        <v>1810</v>
      </c>
      <c r="E22" s="18" t="s">
        <v>32</v>
      </c>
      <c r="F22" s="309">
        <v>39.32</v>
      </c>
      <c r="G22" s="40"/>
      <c r="H22" s="46"/>
    </row>
    <row r="23" s="2" customFormat="1" ht="16.8" customHeight="1">
      <c r="A23" s="40"/>
      <c r="B23" s="46"/>
      <c r="C23" s="308" t="s">
        <v>118</v>
      </c>
      <c r="D23" s="308" t="s">
        <v>220</v>
      </c>
      <c r="E23" s="18" t="s">
        <v>32</v>
      </c>
      <c r="F23" s="309">
        <v>373.22750000000002</v>
      </c>
      <c r="G23" s="40"/>
      <c r="H23" s="46"/>
    </row>
    <row r="24" s="2" customFormat="1" ht="16.8" customHeight="1">
      <c r="A24" s="40"/>
      <c r="B24" s="46"/>
      <c r="C24" s="310" t="s">
        <v>3968</v>
      </c>
      <c r="D24" s="40"/>
      <c r="E24" s="40"/>
      <c r="F24" s="40"/>
      <c r="G24" s="40"/>
      <c r="H24" s="46"/>
    </row>
    <row r="25" s="2" customFormat="1" ht="16.8" customHeight="1">
      <c r="A25" s="40"/>
      <c r="B25" s="46"/>
      <c r="C25" s="308" t="s">
        <v>1802</v>
      </c>
      <c r="D25" s="308" t="s">
        <v>3969</v>
      </c>
      <c r="E25" s="18" t="s">
        <v>272</v>
      </c>
      <c r="F25" s="309">
        <v>373.22750000000002</v>
      </c>
      <c r="G25" s="40"/>
      <c r="H25" s="46"/>
    </row>
    <row r="26" s="2" customFormat="1" ht="16.8" customHeight="1">
      <c r="A26" s="40"/>
      <c r="B26" s="46"/>
      <c r="C26" s="308" t="s">
        <v>1812</v>
      </c>
      <c r="D26" s="308" t="s">
        <v>3970</v>
      </c>
      <c r="E26" s="18" t="s">
        <v>272</v>
      </c>
      <c r="F26" s="309">
        <v>373.22800000000001</v>
      </c>
      <c r="G26" s="40"/>
      <c r="H26" s="46"/>
    </row>
    <row r="27" s="2" customFormat="1" ht="16.8" customHeight="1">
      <c r="A27" s="40"/>
      <c r="B27" s="46"/>
      <c r="C27" s="308" t="s">
        <v>1855</v>
      </c>
      <c r="D27" s="308" t="s">
        <v>3971</v>
      </c>
      <c r="E27" s="18" t="s">
        <v>272</v>
      </c>
      <c r="F27" s="309">
        <v>373.22800000000001</v>
      </c>
      <c r="G27" s="40"/>
      <c r="H27" s="46"/>
    </row>
    <row r="28" s="2" customFormat="1" ht="16.8" customHeight="1">
      <c r="A28" s="40"/>
      <c r="B28" s="46"/>
      <c r="C28" s="304" t="s">
        <v>122</v>
      </c>
      <c r="D28" s="305" t="s">
        <v>123</v>
      </c>
      <c r="E28" s="306" t="s">
        <v>32</v>
      </c>
      <c r="F28" s="307">
        <v>469.19999999999999</v>
      </c>
      <c r="G28" s="40"/>
      <c r="H28" s="46"/>
    </row>
    <row r="29" s="2" customFormat="1" ht="16.8" customHeight="1">
      <c r="A29" s="40"/>
      <c r="B29" s="46"/>
      <c r="C29" s="308" t="s">
        <v>32</v>
      </c>
      <c r="D29" s="308" t="s">
        <v>614</v>
      </c>
      <c r="E29" s="18" t="s">
        <v>32</v>
      </c>
      <c r="F29" s="309">
        <v>0</v>
      </c>
      <c r="G29" s="40"/>
      <c r="H29" s="46"/>
    </row>
    <row r="30" s="2" customFormat="1" ht="16.8" customHeight="1">
      <c r="A30" s="40"/>
      <c r="B30" s="46"/>
      <c r="C30" s="308" t="s">
        <v>142</v>
      </c>
      <c r="D30" s="308" t="s">
        <v>1881</v>
      </c>
      <c r="E30" s="18" t="s">
        <v>32</v>
      </c>
      <c r="F30" s="309">
        <v>165.94</v>
      </c>
      <c r="G30" s="40"/>
      <c r="H30" s="46"/>
    </row>
    <row r="31" s="2" customFormat="1" ht="16.8" customHeight="1">
      <c r="A31" s="40"/>
      <c r="B31" s="46"/>
      <c r="C31" s="308" t="s">
        <v>32</v>
      </c>
      <c r="D31" s="308" t="s">
        <v>620</v>
      </c>
      <c r="E31" s="18" t="s">
        <v>32</v>
      </c>
      <c r="F31" s="309">
        <v>0</v>
      </c>
      <c r="G31" s="40"/>
      <c r="H31" s="46"/>
    </row>
    <row r="32" s="2" customFormat="1" ht="16.8" customHeight="1">
      <c r="A32" s="40"/>
      <c r="B32" s="46"/>
      <c r="C32" s="308" t="s">
        <v>1882</v>
      </c>
      <c r="D32" s="308" t="s">
        <v>1883</v>
      </c>
      <c r="E32" s="18" t="s">
        <v>32</v>
      </c>
      <c r="F32" s="309">
        <v>303.25999999999999</v>
      </c>
      <c r="G32" s="40"/>
      <c r="H32" s="46"/>
    </row>
    <row r="33" s="2" customFormat="1" ht="16.8" customHeight="1">
      <c r="A33" s="40"/>
      <c r="B33" s="46"/>
      <c r="C33" s="308" t="s">
        <v>122</v>
      </c>
      <c r="D33" s="308" t="s">
        <v>220</v>
      </c>
      <c r="E33" s="18" t="s">
        <v>32</v>
      </c>
      <c r="F33" s="309">
        <v>469.19999999999999</v>
      </c>
      <c r="G33" s="40"/>
      <c r="H33" s="46"/>
    </row>
    <row r="34" s="2" customFormat="1" ht="16.8" customHeight="1">
      <c r="A34" s="40"/>
      <c r="B34" s="46"/>
      <c r="C34" s="310" t="s">
        <v>3968</v>
      </c>
      <c r="D34" s="40"/>
      <c r="E34" s="40"/>
      <c r="F34" s="40"/>
      <c r="G34" s="40"/>
      <c r="H34" s="46"/>
    </row>
    <row r="35" s="2" customFormat="1" ht="16.8" customHeight="1">
      <c r="A35" s="40"/>
      <c r="B35" s="46"/>
      <c r="C35" s="308" t="s">
        <v>1877</v>
      </c>
      <c r="D35" s="308" t="s">
        <v>3972</v>
      </c>
      <c r="E35" s="18" t="s">
        <v>272</v>
      </c>
      <c r="F35" s="309">
        <v>469.19999999999999</v>
      </c>
      <c r="G35" s="40"/>
      <c r="H35" s="46"/>
    </row>
    <row r="36" s="2" customFormat="1" ht="16.8" customHeight="1">
      <c r="A36" s="40"/>
      <c r="B36" s="46"/>
      <c r="C36" s="308" t="s">
        <v>1885</v>
      </c>
      <c r="D36" s="308" t="s">
        <v>3973</v>
      </c>
      <c r="E36" s="18" t="s">
        <v>272</v>
      </c>
      <c r="F36" s="309">
        <v>469.19999999999999</v>
      </c>
      <c r="G36" s="40"/>
      <c r="H36" s="46"/>
    </row>
    <row r="37" s="2" customFormat="1" ht="16.8" customHeight="1">
      <c r="A37" s="40"/>
      <c r="B37" s="46"/>
      <c r="C37" s="308" t="s">
        <v>1890</v>
      </c>
      <c r="D37" s="308" t="s">
        <v>3974</v>
      </c>
      <c r="E37" s="18" t="s">
        <v>272</v>
      </c>
      <c r="F37" s="309">
        <v>469.19999999999999</v>
      </c>
      <c r="G37" s="40"/>
      <c r="H37" s="46"/>
    </row>
    <row r="38" s="2" customFormat="1" ht="16.8" customHeight="1">
      <c r="A38" s="40"/>
      <c r="B38" s="46"/>
      <c r="C38" s="308" t="s">
        <v>1940</v>
      </c>
      <c r="D38" s="308" t="s">
        <v>3975</v>
      </c>
      <c r="E38" s="18" t="s">
        <v>272</v>
      </c>
      <c r="F38" s="309">
        <v>469.19999999999999</v>
      </c>
      <c r="G38" s="40"/>
      <c r="H38" s="46"/>
    </row>
    <row r="39" s="2" customFormat="1" ht="16.8" customHeight="1">
      <c r="A39" s="40"/>
      <c r="B39" s="46"/>
      <c r="C39" s="308" t="s">
        <v>1946</v>
      </c>
      <c r="D39" s="308" t="s">
        <v>3976</v>
      </c>
      <c r="E39" s="18" t="s">
        <v>272</v>
      </c>
      <c r="F39" s="309">
        <v>469.19999999999999</v>
      </c>
      <c r="G39" s="40"/>
      <c r="H39" s="46"/>
    </row>
    <row r="40" s="2" customFormat="1" ht="16.8" customHeight="1">
      <c r="A40" s="40"/>
      <c r="B40" s="46"/>
      <c r="C40" s="304" t="s">
        <v>125</v>
      </c>
      <c r="D40" s="305" t="s">
        <v>126</v>
      </c>
      <c r="E40" s="306" t="s">
        <v>32</v>
      </c>
      <c r="F40" s="307">
        <v>278.73000000000002</v>
      </c>
      <c r="G40" s="40"/>
      <c r="H40" s="46"/>
    </row>
    <row r="41" s="2" customFormat="1" ht="16.8" customHeight="1">
      <c r="A41" s="40"/>
      <c r="B41" s="46"/>
      <c r="C41" s="308" t="s">
        <v>32</v>
      </c>
      <c r="D41" s="308" t="s">
        <v>1978</v>
      </c>
      <c r="E41" s="18" t="s">
        <v>32</v>
      </c>
      <c r="F41" s="309">
        <v>0</v>
      </c>
      <c r="G41" s="40"/>
      <c r="H41" s="46"/>
    </row>
    <row r="42" s="2" customFormat="1" ht="16.8" customHeight="1">
      <c r="A42" s="40"/>
      <c r="B42" s="46"/>
      <c r="C42" s="308" t="s">
        <v>32</v>
      </c>
      <c r="D42" s="308" t="s">
        <v>1979</v>
      </c>
      <c r="E42" s="18" t="s">
        <v>32</v>
      </c>
      <c r="F42" s="309">
        <v>24.899999999999999</v>
      </c>
      <c r="G42" s="40"/>
      <c r="H42" s="46"/>
    </row>
    <row r="43" s="2" customFormat="1" ht="16.8" customHeight="1">
      <c r="A43" s="40"/>
      <c r="B43" s="46"/>
      <c r="C43" s="308" t="s">
        <v>32</v>
      </c>
      <c r="D43" s="308" t="s">
        <v>1980</v>
      </c>
      <c r="E43" s="18" t="s">
        <v>32</v>
      </c>
      <c r="F43" s="309">
        <v>24</v>
      </c>
      <c r="G43" s="40"/>
      <c r="H43" s="46"/>
    </row>
    <row r="44" s="2" customFormat="1" ht="16.8" customHeight="1">
      <c r="A44" s="40"/>
      <c r="B44" s="46"/>
      <c r="C44" s="308" t="s">
        <v>32</v>
      </c>
      <c r="D44" s="308" t="s">
        <v>1981</v>
      </c>
      <c r="E44" s="18" t="s">
        <v>32</v>
      </c>
      <c r="F44" s="309">
        <v>10.76</v>
      </c>
      <c r="G44" s="40"/>
      <c r="H44" s="46"/>
    </row>
    <row r="45" s="2" customFormat="1" ht="16.8" customHeight="1">
      <c r="A45" s="40"/>
      <c r="B45" s="46"/>
      <c r="C45" s="308" t="s">
        <v>32</v>
      </c>
      <c r="D45" s="308" t="s">
        <v>1982</v>
      </c>
      <c r="E45" s="18" t="s">
        <v>32</v>
      </c>
      <c r="F45" s="309">
        <v>14.4</v>
      </c>
      <c r="G45" s="40"/>
      <c r="H45" s="46"/>
    </row>
    <row r="46" s="2" customFormat="1" ht="16.8" customHeight="1">
      <c r="A46" s="40"/>
      <c r="B46" s="46"/>
      <c r="C46" s="308" t="s">
        <v>32</v>
      </c>
      <c r="D46" s="308" t="s">
        <v>1983</v>
      </c>
      <c r="E46" s="18" t="s">
        <v>32</v>
      </c>
      <c r="F46" s="309">
        <v>6.04</v>
      </c>
      <c r="G46" s="40"/>
      <c r="H46" s="46"/>
    </row>
    <row r="47" s="2" customFormat="1" ht="16.8" customHeight="1">
      <c r="A47" s="40"/>
      <c r="B47" s="46"/>
      <c r="C47" s="308" t="s">
        <v>32</v>
      </c>
      <c r="D47" s="308" t="s">
        <v>1984</v>
      </c>
      <c r="E47" s="18" t="s">
        <v>32</v>
      </c>
      <c r="F47" s="309">
        <v>10.4</v>
      </c>
      <c r="G47" s="40"/>
      <c r="H47" s="46"/>
    </row>
    <row r="48" s="2" customFormat="1" ht="16.8" customHeight="1">
      <c r="A48" s="40"/>
      <c r="B48" s="46"/>
      <c r="C48" s="308" t="s">
        <v>32</v>
      </c>
      <c r="D48" s="308" t="s">
        <v>1985</v>
      </c>
      <c r="E48" s="18" t="s">
        <v>32</v>
      </c>
      <c r="F48" s="309">
        <v>9.5999999999999996</v>
      </c>
      <c r="G48" s="40"/>
      <c r="H48" s="46"/>
    </row>
    <row r="49" s="2" customFormat="1" ht="16.8" customHeight="1">
      <c r="A49" s="40"/>
      <c r="B49" s="46"/>
      <c r="C49" s="308" t="s">
        <v>32</v>
      </c>
      <c r="D49" s="308" t="s">
        <v>1986</v>
      </c>
      <c r="E49" s="18" t="s">
        <v>32</v>
      </c>
      <c r="F49" s="309">
        <v>12.4</v>
      </c>
      <c r="G49" s="40"/>
      <c r="H49" s="46"/>
    </row>
    <row r="50" s="2" customFormat="1" ht="16.8" customHeight="1">
      <c r="A50" s="40"/>
      <c r="B50" s="46"/>
      <c r="C50" s="308" t="s">
        <v>32</v>
      </c>
      <c r="D50" s="308" t="s">
        <v>1987</v>
      </c>
      <c r="E50" s="18" t="s">
        <v>32</v>
      </c>
      <c r="F50" s="309">
        <v>10</v>
      </c>
      <c r="G50" s="40"/>
      <c r="H50" s="46"/>
    </row>
    <row r="51" s="2" customFormat="1" ht="16.8" customHeight="1">
      <c r="A51" s="40"/>
      <c r="B51" s="46"/>
      <c r="C51" s="308" t="s">
        <v>32</v>
      </c>
      <c r="D51" s="308" t="s">
        <v>1988</v>
      </c>
      <c r="E51" s="18" t="s">
        <v>32</v>
      </c>
      <c r="F51" s="309">
        <v>9.5999999999999996</v>
      </c>
      <c r="G51" s="40"/>
      <c r="H51" s="46"/>
    </row>
    <row r="52" s="2" customFormat="1" ht="16.8" customHeight="1">
      <c r="A52" s="40"/>
      <c r="B52" s="46"/>
      <c r="C52" s="308" t="s">
        <v>32</v>
      </c>
      <c r="D52" s="308" t="s">
        <v>1989</v>
      </c>
      <c r="E52" s="18" t="s">
        <v>32</v>
      </c>
      <c r="F52" s="309">
        <v>14.199999999999999</v>
      </c>
      <c r="G52" s="40"/>
      <c r="H52" s="46"/>
    </row>
    <row r="53" s="2" customFormat="1" ht="16.8" customHeight="1">
      <c r="A53" s="40"/>
      <c r="B53" s="46"/>
      <c r="C53" s="308" t="s">
        <v>32</v>
      </c>
      <c r="D53" s="308" t="s">
        <v>1990</v>
      </c>
      <c r="E53" s="18" t="s">
        <v>32</v>
      </c>
      <c r="F53" s="309">
        <v>15</v>
      </c>
      <c r="G53" s="40"/>
      <c r="H53" s="46"/>
    </row>
    <row r="54" s="2" customFormat="1" ht="16.8" customHeight="1">
      <c r="A54" s="40"/>
      <c r="B54" s="46"/>
      <c r="C54" s="308" t="s">
        <v>32</v>
      </c>
      <c r="D54" s="308" t="s">
        <v>1991</v>
      </c>
      <c r="E54" s="18" t="s">
        <v>32</v>
      </c>
      <c r="F54" s="309">
        <v>13.359999999999999</v>
      </c>
      <c r="G54" s="40"/>
      <c r="H54" s="46"/>
    </row>
    <row r="55" s="2" customFormat="1" ht="16.8" customHeight="1">
      <c r="A55" s="40"/>
      <c r="B55" s="46"/>
      <c r="C55" s="308" t="s">
        <v>32</v>
      </c>
      <c r="D55" s="308" t="s">
        <v>1992</v>
      </c>
      <c r="E55" s="18" t="s">
        <v>32</v>
      </c>
      <c r="F55" s="309">
        <v>14.960000000000001</v>
      </c>
      <c r="G55" s="40"/>
      <c r="H55" s="46"/>
    </row>
    <row r="56" s="2" customFormat="1" ht="16.8" customHeight="1">
      <c r="A56" s="40"/>
      <c r="B56" s="46"/>
      <c r="C56" s="308" t="s">
        <v>32</v>
      </c>
      <c r="D56" s="308" t="s">
        <v>1993</v>
      </c>
      <c r="E56" s="18" t="s">
        <v>32</v>
      </c>
      <c r="F56" s="309">
        <v>10.210000000000001</v>
      </c>
      <c r="G56" s="40"/>
      <c r="H56" s="46"/>
    </row>
    <row r="57" s="2" customFormat="1" ht="16.8" customHeight="1">
      <c r="A57" s="40"/>
      <c r="B57" s="46"/>
      <c r="C57" s="308" t="s">
        <v>32</v>
      </c>
      <c r="D57" s="308" t="s">
        <v>1994</v>
      </c>
      <c r="E57" s="18" t="s">
        <v>32</v>
      </c>
      <c r="F57" s="309">
        <v>14</v>
      </c>
      <c r="G57" s="40"/>
      <c r="H57" s="46"/>
    </row>
    <row r="58" s="2" customFormat="1" ht="16.8" customHeight="1">
      <c r="A58" s="40"/>
      <c r="B58" s="46"/>
      <c r="C58" s="308" t="s">
        <v>32</v>
      </c>
      <c r="D58" s="308" t="s">
        <v>1995</v>
      </c>
      <c r="E58" s="18" t="s">
        <v>32</v>
      </c>
      <c r="F58" s="309">
        <v>14.800000000000001</v>
      </c>
      <c r="G58" s="40"/>
      <c r="H58" s="46"/>
    </row>
    <row r="59" s="2" customFormat="1" ht="16.8" customHeight="1">
      <c r="A59" s="40"/>
      <c r="B59" s="46"/>
      <c r="C59" s="308" t="s">
        <v>32</v>
      </c>
      <c r="D59" s="308" t="s">
        <v>1996</v>
      </c>
      <c r="E59" s="18" t="s">
        <v>32</v>
      </c>
      <c r="F59" s="309">
        <v>15.560000000000001</v>
      </c>
      <c r="G59" s="40"/>
      <c r="H59" s="46"/>
    </row>
    <row r="60" s="2" customFormat="1" ht="16.8" customHeight="1">
      <c r="A60" s="40"/>
      <c r="B60" s="46"/>
      <c r="C60" s="308" t="s">
        <v>32</v>
      </c>
      <c r="D60" s="308" t="s">
        <v>1997</v>
      </c>
      <c r="E60" s="18" t="s">
        <v>32</v>
      </c>
      <c r="F60" s="309">
        <v>9.5800000000000001</v>
      </c>
      <c r="G60" s="40"/>
      <c r="H60" s="46"/>
    </row>
    <row r="61" s="2" customFormat="1" ht="16.8" customHeight="1">
      <c r="A61" s="40"/>
      <c r="B61" s="46"/>
      <c r="C61" s="308" t="s">
        <v>32</v>
      </c>
      <c r="D61" s="308" t="s">
        <v>1998</v>
      </c>
      <c r="E61" s="18" t="s">
        <v>32</v>
      </c>
      <c r="F61" s="309">
        <v>14.960000000000001</v>
      </c>
      <c r="G61" s="40"/>
      <c r="H61" s="46"/>
    </row>
    <row r="62" s="2" customFormat="1" ht="16.8" customHeight="1">
      <c r="A62" s="40"/>
      <c r="B62" s="46"/>
      <c r="C62" s="308" t="s">
        <v>32</v>
      </c>
      <c r="D62" s="308" t="s">
        <v>1999</v>
      </c>
      <c r="E62" s="18" t="s">
        <v>32</v>
      </c>
      <c r="F62" s="309">
        <v>10</v>
      </c>
      <c r="G62" s="40"/>
      <c r="H62" s="46"/>
    </row>
    <row r="63" s="2" customFormat="1" ht="16.8" customHeight="1">
      <c r="A63" s="40"/>
      <c r="B63" s="46"/>
      <c r="C63" s="308" t="s">
        <v>125</v>
      </c>
      <c r="D63" s="308" t="s">
        <v>318</v>
      </c>
      <c r="E63" s="18" t="s">
        <v>32</v>
      </c>
      <c r="F63" s="309">
        <v>278.73000000000002</v>
      </c>
      <c r="G63" s="40"/>
      <c r="H63" s="46"/>
    </row>
    <row r="64" s="2" customFormat="1" ht="16.8" customHeight="1">
      <c r="A64" s="40"/>
      <c r="B64" s="46"/>
      <c r="C64" s="310" t="s">
        <v>3968</v>
      </c>
      <c r="D64" s="40"/>
      <c r="E64" s="40"/>
      <c r="F64" s="40"/>
      <c r="G64" s="40"/>
      <c r="H64" s="46"/>
    </row>
    <row r="65" s="2" customFormat="1" ht="16.8" customHeight="1">
      <c r="A65" s="40"/>
      <c r="B65" s="46"/>
      <c r="C65" s="308" t="s">
        <v>1974</v>
      </c>
      <c r="D65" s="308" t="s">
        <v>3977</v>
      </c>
      <c r="E65" s="18" t="s">
        <v>272</v>
      </c>
      <c r="F65" s="309">
        <v>284.43000000000001</v>
      </c>
      <c r="G65" s="40"/>
      <c r="H65" s="46"/>
    </row>
    <row r="66" s="2" customFormat="1" ht="16.8" customHeight="1">
      <c r="A66" s="40"/>
      <c r="B66" s="46"/>
      <c r="C66" s="308" t="s">
        <v>2008</v>
      </c>
      <c r="D66" s="308" t="s">
        <v>3978</v>
      </c>
      <c r="E66" s="18" t="s">
        <v>272</v>
      </c>
      <c r="F66" s="309">
        <v>278.73000000000002</v>
      </c>
      <c r="G66" s="40"/>
      <c r="H66" s="46"/>
    </row>
    <row r="67" s="2" customFormat="1" ht="16.8" customHeight="1">
      <c r="A67" s="40"/>
      <c r="B67" s="46"/>
      <c r="C67" s="304" t="s">
        <v>128</v>
      </c>
      <c r="D67" s="305" t="s">
        <v>129</v>
      </c>
      <c r="E67" s="306" t="s">
        <v>32</v>
      </c>
      <c r="F67" s="307">
        <v>284.43000000000001</v>
      </c>
      <c r="G67" s="40"/>
      <c r="H67" s="46"/>
    </row>
    <row r="68" s="2" customFormat="1" ht="16.8" customHeight="1">
      <c r="A68" s="40"/>
      <c r="B68" s="46"/>
      <c r="C68" s="308" t="s">
        <v>32</v>
      </c>
      <c r="D68" s="308" t="s">
        <v>1978</v>
      </c>
      <c r="E68" s="18" t="s">
        <v>32</v>
      </c>
      <c r="F68" s="309">
        <v>0</v>
      </c>
      <c r="G68" s="40"/>
      <c r="H68" s="46"/>
    </row>
    <row r="69" s="2" customFormat="1" ht="16.8" customHeight="1">
      <c r="A69" s="40"/>
      <c r="B69" s="46"/>
      <c r="C69" s="308" t="s">
        <v>32</v>
      </c>
      <c r="D69" s="308" t="s">
        <v>1979</v>
      </c>
      <c r="E69" s="18" t="s">
        <v>32</v>
      </c>
      <c r="F69" s="309">
        <v>24.899999999999999</v>
      </c>
      <c r="G69" s="40"/>
      <c r="H69" s="46"/>
    </row>
    <row r="70" s="2" customFormat="1" ht="16.8" customHeight="1">
      <c r="A70" s="40"/>
      <c r="B70" s="46"/>
      <c r="C70" s="308" t="s">
        <v>32</v>
      </c>
      <c r="D70" s="308" t="s">
        <v>1980</v>
      </c>
      <c r="E70" s="18" t="s">
        <v>32</v>
      </c>
      <c r="F70" s="309">
        <v>24</v>
      </c>
      <c r="G70" s="40"/>
      <c r="H70" s="46"/>
    </row>
    <row r="71" s="2" customFormat="1" ht="16.8" customHeight="1">
      <c r="A71" s="40"/>
      <c r="B71" s="46"/>
      <c r="C71" s="308" t="s">
        <v>32</v>
      </c>
      <c r="D71" s="308" t="s">
        <v>1981</v>
      </c>
      <c r="E71" s="18" t="s">
        <v>32</v>
      </c>
      <c r="F71" s="309">
        <v>10.76</v>
      </c>
      <c r="G71" s="40"/>
      <c r="H71" s="46"/>
    </row>
    <row r="72" s="2" customFormat="1" ht="16.8" customHeight="1">
      <c r="A72" s="40"/>
      <c r="B72" s="46"/>
      <c r="C72" s="308" t="s">
        <v>32</v>
      </c>
      <c r="D72" s="308" t="s">
        <v>1982</v>
      </c>
      <c r="E72" s="18" t="s">
        <v>32</v>
      </c>
      <c r="F72" s="309">
        <v>14.4</v>
      </c>
      <c r="G72" s="40"/>
      <c r="H72" s="46"/>
    </row>
    <row r="73" s="2" customFormat="1" ht="16.8" customHeight="1">
      <c r="A73" s="40"/>
      <c r="B73" s="46"/>
      <c r="C73" s="308" t="s">
        <v>32</v>
      </c>
      <c r="D73" s="308" t="s">
        <v>1983</v>
      </c>
      <c r="E73" s="18" t="s">
        <v>32</v>
      </c>
      <c r="F73" s="309">
        <v>6.04</v>
      </c>
      <c r="G73" s="40"/>
      <c r="H73" s="46"/>
    </row>
    <row r="74" s="2" customFormat="1" ht="16.8" customHeight="1">
      <c r="A74" s="40"/>
      <c r="B74" s="46"/>
      <c r="C74" s="308" t="s">
        <v>32</v>
      </c>
      <c r="D74" s="308" t="s">
        <v>1984</v>
      </c>
      <c r="E74" s="18" t="s">
        <v>32</v>
      </c>
      <c r="F74" s="309">
        <v>10.4</v>
      </c>
      <c r="G74" s="40"/>
      <c r="H74" s="46"/>
    </row>
    <row r="75" s="2" customFormat="1" ht="16.8" customHeight="1">
      <c r="A75" s="40"/>
      <c r="B75" s="46"/>
      <c r="C75" s="308" t="s">
        <v>32</v>
      </c>
      <c r="D75" s="308" t="s">
        <v>1985</v>
      </c>
      <c r="E75" s="18" t="s">
        <v>32</v>
      </c>
      <c r="F75" s="309">
        <v>9.5999999999999996</v>
      </c>
      <c r="G75" s="40"/>
      <c r="H75" s="46"/>
    </row>
    <row r="76" s="2" customFormat="1" ht="16.8" customHeight="1">
      <c r="A76" s="40"/>
      <c r="B76" s="46"/>
      <c r="C76" s="308" t="s">
        <v>32</v>
      </c>
      <c r="D76" s="308" t="s">
        <v>1986</v>
      </c>
      <c r="E76" s="18" t="s">
        <v>32</v>
      </c>
      <c r="F76" s="309">
        <v>12.4</v>
      </c>
      <c r="G76" s="40"/>
      <c r="H76" s="46"/>
    </row>
    <row r="77" s="2" customFormat="1" ht="16.8" customHeight="1">
      <c r="A77" s="40"/>
      <c r="B77" s="46"/>
      <c r="C77" s="308" t="s">
        <v>32</v>
      </c>
      <c r="D77" s="308" t="s">
        <v>1987</v>
      </c>
      <c r="E77" s="18" t="s">
        <v>32</v>
      </c>
      <c r="F77" s="309">
        <v>10</v>
      </c>
      <c r="G77" s="40"/>
      <c r="H77" s="46"/>
    </row>
    <row r="78" s="2" customFormat="1" ht="16.8" customHeight="1">
      <c r="A78" s="40"/>
      <c r="B78" s="46"/>
      <c r="C78" s="308" t="s">
        <v>32</v>
      </c>
      <c r="D78" s="308" t="s">
        <v>1988</v>
      </c>
      <c r="E78" s="18" t="s">
        <v>32</v>
      </c>
      <c r="F78" s="309">
        <v>9.5999999999999996</v>
      </c>
      <c r="G78" s="40"/>
      <c r="H78" s="46"/>
    </row>
    <row r="79" s="2" customFormat="1" ht="16.8" customHeight="1">
      <c r="A79" s="40"/>
      <c r="B79" s="46"/>
      <c r="C79" s="308" t="s">
        <v>32</v>
      </c>
      <c r="D79" s="308" t="s">
        <v>1989</v>
      </c>
      <c r="E79" s="18" t="s">
        <v>32</v>
      </c>
      <c r="F79" s="309">
        <v>14.199999999999999</v>
      </c>
      <c r="G79" s="40"/>
      <c r="H79" s="46"/>
    </row>
    <row r="80" s="2" customFormat="1" ht="16.8" customHeight="1">
      <c r="A80" s="40"/>
      <c r="B80" s="46"/>
      <c r="C80" s="308" t="s">
        <v>32</v>
      </c>
      <c r="D80" s="308" t="s">
        <v>1990</v>
      </c>
      <c r="E80" s="18" t="s">
        <v>32</v>
      </c>
      <c r="F80" s="309">
        <v>15</v>
      </c>
      <c r="G80" s="40"/>
      <c r="H80" s="46"/>
    </row>
    <row r="81" s="2" customFormat="1" ht="16.8" customHeight="1">
      <c r="A81" s="40"/>
      <c r="B81" s="46"/>
      <c r="C81" s="308" t="s">
        <v>32</v>
      </c>
      <c r="D81" s="308" t="s">
        <v>1991</v>
      </c>
      <c r="E81" s="18" t="s">
        <v>32</v>
      </c>
      <c r="F81" s="309">
        <v>13.359999999999999</v>
      </c>
      <c r="G81" s="40"/>
      <c r="H81" s="46"/>
    </row>
    <row r="82" s="2" customFormat="1" ht="16.8" customHeight="1">
      <c r="A82" s="40"/>
      <c r="B82" s="46"/>
      <c r="C82" s="308" t="s">
        <v>32</v>
      </c>
      <c r="D82" s="308" t="s">
        <v>1992</v>
      </c>
      <c r="E82" s="18" t="s">
        <v>32</v>
      </c>
      <c r="F82" s="309">
        <v>14.960000000000001</v>
      </c>
      <c r="G82" s="40"/>
      <c r="H82" s="46"/>
    </row>
    <row r="83" s="2" customFormat="1" ht="16.8" customHeight="1">
      <c r="A83" s="40"/>
      <c r="B83" s="46"/>
      <c r="C83" s="308" t="s">
        <v>32</v>
      </c>
      <c r="D83" s="308" t="s">
        <v>1993</v>
      </c>
      <c r="E83" s="18" t="s">
        <v>32</v>
      </c>
      <c r="F83" s="309">
        <v>10.210000000000001</v>
      </c>
      <c r="G83" s="40"/>
      <c r="H83" s="46"/>
    </row>
    <row r="84" s="2" customFormat="1" ht="16.8" customHeight="1">
      <c r="A84" s="40"/>
      <c r="B84" s="46"/>
      <c r="C84" s="308" t="s">
        <v>32</v>
      </c>
      <c r="D84" s="308" t="s">
        <v>1994</v>
      </c>
      <c r="E84" s="18" t="s">
        <v>32</v>
      </c>
      <c r="F84" s="309">
        <v>14</v>
      </c>
      <c r="G84" s="40"/>
      <c r="H84" s="46"/>
    </row>
    <row r="85" s="2" customFormat="1" ht="16.8" customHeight="1">
      <c r="A85" s="40"/>
      <c r="B85" s="46"/>
      <c r="C85" s="308" t="s">
        <v>32</v>
      </c>
      <c r="D85" s="308" t="s">
        <v>1995</v>
      </c>
      <c r="E85" s="18" t="s">
        <v>32</v>
      </c>
      <c r="F85" s="309">
        <v>14.800000000000001</v>
      </c>
      <c r="G85" s="40"/>
      <c r="H85" s="46"/>
    </row>
    <row r="86" s="2" customFormat="1" ht="16.8" customHeight="1">
      <c r="A86" s="40"/>
      <c r="B86" s="46"/>
      <c r="C86" s="308" t="s">
        <v>32</v>
      </c>
      <c r="D86" s="308" t="s">
        <v>1996</v>
      </c>
      <c r="E86" s="18" t="s">
        <v>32</v>
      </c>
      <c r="F86" s="309">
        <v>15.560000000000001</v>
      </c>
      <c r="G86" s="40"/>
      <c r="H86" s="46"/>
    </row>
    <row r="87" s="2" customFormat="1" ht="16.8" customHeight="1">
      <c r="A87" s="40"/>
      <c r="B87" s="46"/>
      <c r="C87" s="308" t="s">
        <v>32</v>
      </c>
      <c r="D87" s="308" t="s">
        <v>1997</v>
      </c>
      <c r="E87" s="18" t="s">
        <v>32</v>
      </c>
      <c r="F87" s="309">
        <v>9.5800000000000001</v>
      </c>
      <c r="G87" s="40"/>
      <c r="H87" s="46"/>
    </row>
    <row r="88" s="2" customFormat="1" ht="16.8" customHeight="1">
      <c r="A88" s="40"/>
      <c r="B88" s="46"/>
      <c r="C88" s="308" t="s">
        <v>32</v>
      </c>
      <c r="D88" s="308" t="s">
        <v>1998</v>
      </c>
      <c r="E88" s="18" t="s">
        <v>32</v>
      </c>
      <c r="F88" s="309">
        <v>14.960000000000001</v>
      </c>
      <c r="G88" s="40"/>
      <c r="H88" s="46"/>
    </row>
    <row r="89" s="2" customFormat="1" ht="16.8" customHeight="1">
      <c r="A89" s="40"/>
      <c r="B89" s="46"/>
      <c r="C89" s="308" t="s">
        <v>32</v>
      </c>
      <c r="D89" s="308" t="s">
        <v>1999</v>
      </c>
      <c r="E89" s="18" t="s">
        <v>32</v>
      </c>
      <c r="F89" s="309">
        <v>10</v>
      </c>
      <c r="G89" s="40"/>
      <c r="H89" s="46"/>
    </row>
    <row r="90" s="2" customFormat="1" ht="16.8" customHeight="1">
      <c r="A90" s="40"/>
      <c r="B90" s="46"/>
      <c r="C90" s="308" t="s">
        <v>32</v>
      </c>
      <c r="D90" s="308" t="s">
        <v>2000</v>
      </c>
      <c r="E90" s="18" t="s">
        <v>32</v>
      </c>
      <c r="F90" s="309">
        <v>0</v>
      </c>
      <c r="G90" s="40"/>
      <c r="H90" s="46"/>
    </row>
    <row r="91" s="2" customFormat="1" ht="16.8" customHeight="1">
      <c r="A91" s="40"/>
      <c r="B91" s="46"/>
      <c r="C91" s="308" t="s">
        <v>131</v>
      </c>
      <c r="D91" s="308" t="s">
        <v>2001</v>
      </c>
      <c r="E91" s="18" t="s">
        <v>32</v>
      </c>
      <c r="F91" s="309">
        <v>5.7000000000000002</v>
      </c>
      <c r="G91" s="40"/>
      <c r="H91" s="46"/>
    </row>
    <row r="92" s="2" customFormat="1" ht="16.8" customHeight="1">
      <c r="A92" s="40"/>
      <c r="B92" s="46"/>
      <c r="C92" s="308" t="s">
        <v>128</v>
      </c>
      <c r="D92" s="308" t="s">
        <v>220</v>
      </c>
      <c r="E92" s="18" t="s">
        <v>32</v>
      </c>
      <c r="F92" s="309">
        <v>284.43000000000001</v>
      </c>
      <c r="G92" s="40"/>
      <c r="H92" s="46"/>
    </row>
    <row r="93" s="2" customFormat="1" ht="16.8" customHeight="1">
      <c r="A93" s="40"/>
      <c r="B93" s="46"/>
      <c r="C93" s="310" t="s">
        <v>3968</v>
      </c>
      <c r="D93" s="40"/>
      <c r="E93" s="40"/>
      <c r="F93" s="40"/>
      <c r="G93" s="40"/>
      <c r="H93" s="46"/>
    </row>
    <row r="94" s="2" customFormat="1" ht="16.8" customHeight="1">
      <c r="A94" s="40"/>
      <c r="B94" s="46"/>
      <c r="C94" s="308" t="s">
        <v>1974</v>
      </c>
      <c r="D94" s="308" t="s">
        <v>3977</v>
      </c>
      <c r="E94" s="18" t="s">
        <v>272</v>
      </c>
      <c r="F94" s="309">
        <v>284.43000000000001</v>
      </c>
      <c r="G94" s="40"/>
      <c r="H94" s="46"/>
    </row>
    <row r="95" s="2" customFormat="1" ht="16.8" customHeight="1">
      <c r="A95" s="40"/>
      <c r="B95" s="46"/>
      <c r="C95" s="308" t="s">
        <v>605</v>
      </c>
      <c r="D95" s="308" t="s">
        <v>3979</v>
      </c>
      <c r="E95" s="18" t="s">
        <v>272</v>
      </c>
      <c r="F95" s="309">
        <v>284.43000000000001</v>
      </c>
      <c r="G95" s="40"/>
      <c r="H95" s="46"/>
    </row>
    <row r="96" s="2" customFormat="1" ht="16.8" customHeight="1">
      <c r="A96" s="40"/>
      <c r="B96" s="46"/>
      <c r="C96" s="308" t="s">
        <v>610</v>
      </c>
      <c r="D96" s="308" t="s">
        <v>3980</v>
      </c>
      <c r="E96" s="18" t="s">
        <v>272</v>
      </c>
      <c r="F96" s="309">
        <v>1005.4160000000001</v>
      </c>
      <c r="G96" s="40"/>
      <c r="H96" s="46"/>
    </row>
    <row r="97" s="2" customFormat="1" ht="16.8" customHeight="1">
      <c r="A97" s="40"/>
      <c r="B97" s="46"/>
      <c r="C97" s="308" t="s">
        <v>1817</v>
      </c>
      <c r="D97" s="308" t="s">
        <v>3981</v>
      </c>
      <c r="E97" s="18" t="s">
        <v>280</v>
      </c>
      <c r="F97" s="309">
        <v>270.64499999999998</v>
      </c>
      <c r="G97" s="40"/>
      <c r="H97" s="46"/>
    </row>
    <row r="98" s="2" customFormat="1" ht="16.8" customHeight="1">
      <c r="A98" s="40"/>
      <c r="B98" s="46"/>
      <c r="C98" s="308" t="s">
        <v>2003</v>
      </c>
      <c r="D98" s="308" t="s">
        <v>3982</v>
      </c>
      <c r="E98" s="18" t="s">
        <v>272</v>
      </c>
      <c r="F98" s="309">
        <v>284.43000000000001</v>
      </c>
      <c r="G98" s="40"/>
      <c r="H98" s="46"/>
    </row>
    <row r="99" s="2" customFormat="1" ht="16.8" customHeight="1">
      <c r="A99" s="40"/>
      <c r="B99" s="46"/>
      <c r="C99" s="308" t="s">
        <v>2034</v>
      </c>
      <c r="D99" s="308" t="s">
        <v>3983</v>
      </c>
      <c r="E99" s="18" t="s">
        <v>280</v>
      </c>
      <c r="F99" s="309">
        <v>142.215</v>
      </c>
      <c r="G99" s="40"/>
      <c r="H99" s="46"/>
    </row>
    <row r="100" s="2" customFormat="1" ht="16.8" customHeight="1">
      <c r="A100" s="40"/>
      <c r="B100" s="46"/>
      <c r="C100" s="308" t="s">
        <v>2062</v>
      </c>
      <c r="D100" s="308" t="s">
        <v>3984</v>
      </c>
      <c r="E100" s="18" t="s">
        <v>272</v>
      </c>
      <c r="F100" s="309">
        <v>1899.79</v>
      </c>
      <c r="G100" s="40"/>
      <c r="H100" s="46"/>
    </row>
    <row r="101" s="2" customFormat="1" ht="16.8" customHeight="1">
      <c r="A101" s="40"/>
      <c r="B101" s="46"/>
      <c r="C101" s="304" t="s">
        <v>131</v>
      </c>
      <c r="D101" s="305" t="s">
        <v>132</v>
      </c>
      <c r="E101" s="306" t="s">
        <v>32</v>
      </c>
      <c r="F101" s="307">
        <v>5.7000000000000002</v>
      </c>
      <c r="G101" s="40"/>
      <c r="H101" s="46"/>
    </row>
    <row r="102" s="2" customFormat="1" ht="16.8" customHeight="1">
      <c r="A102" s="40"/>
      <c r="B102" s="46"/>
      <c r="C102" s="308" t="s">
        <v>32</v>
      </c>
      <c r="D102" s="308" t="s">
        <v>2000</v>
      </c>
      <c r="E102" s="18" t="s">
        <v>32</v>
      </c>
      <c r="F102" s="309">
        <v>0</v>
      </c>
      <c r="G102" s="40"/>
      <c r="H102" s="46"/>
    </row>
    <row r="103" s="2" customFormat="1" ht="16.8" customHeight="1">
      <c r="A103" s="40"/>
      <c r="B103" s="46"/>
      <c r="C103" s="308" t="s">
        <v>131</v>
      </c>
      <c r="D103" s="308" t="s">
        <v>2001</v>
      </c>
      <c r="E103" s="18" t="s">
        <v>32</v>
      </c>
      <c r="F103" s="309">
        <v>5.7000000000000002</v>
      </c>
      <c r="G103" s="40"/>
      <c r="H103" s="46"/>
    </row>
    <row r="104" s="2" customFormat="1" ht="16.8" customHeight="1">
      <c r="A104" s="40"/>
      <c r="B104" s="46"/>
      <c r="C104" s="310" t="s">
        <v>3968</v>
      </c>
      <c r="D104" s="40"/>
      <c r="E104" s="40"/>
      <c r="F104" s="40"/>
      <c r="G104" s="40"/>
      <c r="H104" s="46"/>
    </row>
    <row r="105" s="2" customFormat="1" ht="16.8" customHeight="1">
      <c r="A105" s="40"/>
      <c r="B105" s="46"/>
      <c r="C105" s="308" t="s">
        <v>1974</v>
      </c>
      <c r="D105" s="308" t="s">
        <v>3977</v>
      </c>
      <c r="E105" s="18" t="s">
        <v>272</v>
      </c>
      <c r="F105" s="309">
        <v>284.43000000000001</v>
      </c>
      <c r="G105" s="40"/>
      <c r="H105" s="46"/>
    </row>
    <row r="106" s="2" customFormat="1" ht="16.8" customHeight="1">
      <c r="A106" s="40"/>
      <c r="B106" s="46"/>
      <c r="C106" s="308" t="s">
        <v>2018</v>
      </c>
      <c r="D106" s="308" t="s">
        <v>3985</v>
      </c>
      <c r="E106" s="18" t="s">
        <v>272</v>
      </c>
      <c r="F106" s="309">
        <v>5.7000000000000002</v>
      </c>
      <c r="G106" s="40"/>
      <c r="H106" s="46"/>
    </row>
    <row r="107" s="2" customFormat="1" ht="16.8" customHeight="1">
      <c r="A107" s="40"/>
      <c r="B107" s="46"/>
      <c r="C107" s="304" t="s">
        <v>135</v>
      </c>
      <c r="D107" s="305" t="s">
        <v>136</v>
      </c>
      <c r="E107" s="306" t="s">
        <v>32</v>
      </c>
      <c r="F107" s="307">
        <v>163.06</v>
      </c>
      <c r="G107" s="40"/>
      <c r="H107" s="46"/>
    </row>
    <row r="108" s="2" customFormat="1" ht="16.8" customHeight="1">
      <c r="A108" s="40"/>
      <c r="B108" s="46"/>
      <c r="C108" s="308" t="s">
        <v>32</v>
      </c>
      <c r="D108" s="308" t="s">
        <v>614</v>
      </c>
      <c r="E108" s="18" t="s">
        <v>32</v>
      </c>
      <c r="F108" s="309">
        <v>0</v>
      </c>
      <c r="G108" s="40"/>
      <c r="H108" s="46"/>
    </row>
    <row r="109" s="2" customFormat="1" ht="16.8" customHeight="1">
      <c r="A109" s="40"/>
      <c r="B109" s="46"/>
      <c r="C109" s="308" t="s">
        <v>135</v>
      </c>
      <c r="D109" s="308" t="s">
        <v>1806</v>
      </c>
      <c r="E109" s="18" t="s">
        <v>32</v>
      </c>
      <c r="F109" s="309">
        <v>163.06</v>
      </c>
      <c r="G109" s="40"/>
      <c r="H109" s="46"/>
    </row>
    <row r="110" s="2" customFormat="1" ht="16.8" customHeight="1">
      <c r="A110" s="40"/>
      <c r="B110" s="46"/>
      <c r="C110" s="310" t="s">
        <v>3968</v>
      </c>
      <c r="D110" s="40"/>
      <c r="E110" s="40"/>
      <c r="F110" s="40"/>
      <c r="G110" s="40"/>
      <c r="H110" s="46"/>
    </row>
    <row r="111" s="2" customFormat="1" ht="16.8" customHeight="1">
      <c r="A111" s="40"/>
      <c r="B111" s="46"/>
      <c r="C111" s="308" t="s">
        <v>1802</v>
      </c>
      <c r="D111" s="308" t="s">
        <v>3969</v>
      </c>
      <c r="E111" s="18" t="s">
        <v>272</v>
      </c>
      <c r="F111" s="309">
        <v>373.22750000000002</v>
      </c>
      <c r="G111" s="40"/>
      <c r="H111" s="46"/>
    </row>
    <row r="112" s="2" customFormat="1" ht="16.8" customHeight="1">
      <c r="A112" s="40"/>
      <c r="B112" s="46"/>
      <c r="C112" s="308" t="s">
        <v>1026</v>
      </c>
      <c r="D112" s="308" t="s">
        <v>3986</v>
      </c>
      <c r="E112" s="18" t="s">
        <v>272</v>
      </c>
      <c r="F112" s="309">
        <v>536.54999999999995</v>
      </c>
      <c r="G112" s="40"/>
      <c r="H112" s="46"/>
    </row>
    <row r="113" s="2" customFormat="1" ht="16.8" customHeight="1">
      <c r="A113" s="40"/>
      <c r="B113" s="46"/>
      <c r="C113" s="308" t="s">
        <v>1075</v>
      </c>
      <c r="D113" s="308" t="s">
        <v>3987</v>
      </c>
      <c r="E113" s="18" t="s">
        <v>272</v>
      </c>
      <c r="F113" s="309">
        <v>536.54999999999995</v>
      </c>
      <c r="G113" s="40"/>
      <c r="H113" s="46"/>
    </row>
    <row r="114" s="2" customFormat="1" ht="16.8" customHeight="1">
      <c r="A114" s="40"/>
      <c r="B114" s="46"/>
      <c r="C114" s="308" t="s">
        <v>1832</v>
      </c>
      <c r="D114" s="308" t="s">
        <v>3988</v>
      </c>
      <c r="E114" s="18" t="s">
        <v>272</v>
      </c>
      <c r="F114" s="309">
        <v>163.06</v>
      </c>
      <c r="G114" s="40"/>
      <c r="H114" s="46"/>
    </row>
    <row r="115" s="2" customFormat="1" ht="16.8" customHeight="1">
      <c r="A115" s="40"/>
      <c r="B115" s="46"/>
      <c r="C115" s="304" t="s">
        <v>139</v>
      </c>
      <c r="D115" s="305" t="s">
        <v>140</v>
      </c>
      <c r="E115" s="306" t="s">
        <v>32</v>
      </c>
      <c r="F115" s="307">
        <v>164.99000000000001</v>
      </c>
      <c r="G115" s="40"/>
      <c r="H115" s="46"/>
    </row>
    <row r="116" s="2" customFormat="1" ht="16.8" customHeight="1">
      <c r="A116" s="40"/>
      <c r="B116" s="46"/>
      <c r="C116" s="308" t="s">
        <v>139</v>
      </c>
      <c r="D116" s="308" t="s">
        <v>1807</v>
      </c>
      <c r="E116" s="18" t="s">
        <v>32</v>
      </c>
      <c r="F116" s="309">
        <v>164.99000000000001</v>
      </c>
      <c r="G116" s="40"/>
      <c r="H116" s="46"/>
    </row>
    <row r="117" s="2" customFormat="1" ht="16.8" customHeight="1">
      <c r="A117" s="40"/>
      <c r="B117" s="46"/>
      <c r="C117" s="310" t="s">
        <v>3968</v>
      </c>
      <c r="D117" s="40"/>
      <c r="E117" s="40"/>
      <c r="F117" s="40"/>
      <c r="G117" s="40"/>
      <c r="H117" s="46"/>
    </row>
    <row r="118" s="2" customFormat="1" ht="16.8" customHeight="1">
      <c r="A118" s="40"/>
      <c r="B118" s="46"/>
      <c r="C118" s="308" t="s">
        <v>1802</v>
      </c>
      <c r="D118" s="308" t="s">
        <v>3969</v>
      </c>
      <c r="E118" s="18" t="s">
        <v>272</v>
      </c>
      <c r="F118" s="309">
        <v>373.22750000000002</v>
      </c>
      <c r="G118" s="40"/>
      <c r="H118" s="46"/>
    </row>
    <row r="119" s="2" customFormat="1" ht="16.8" customHeight="1">
      <c r="A119" s="40"/>
      <c r="B119" s="46"/>
      <c r="C119" s="308" t="s">
        <v>1026</v>
      </c>
      <c r="D119" s="308" t="s">
        <v>3986</v>
      </c>
      <c r="E119" s="18" t="s">
        <v>272</v>
      </c>
      <c r="F119" s="309">
        <v>536.54999999999995</v>
      </c>
      <c r="G119" s="40"/>
      <c r="H119" s="46"/>
    </row>
    <row r="120" s="2" customFormat="1" ht="16.8" customHeight="1">
      <c r="A120" s="40"/>
      <c r="B120" s="46"/>
      <c r="C120" s="308" t="s">
        <v>1075</v>
      </c>
      <c r="D120" s="308" t="s">
        <v>3987</v>
      </c>
      <c r="E120" s="18" t="s">
        <v>272</v>
      </c>
      <c r="F120" s="309">
        <v>536.54999999999995</v>
      </c>
      <c r="G120" s="40"/>
      <c r="H120" s="46"/>
    </row>
    <row r="121" s="2" customFormat="1" ht="16.8" customHeight="1">
      <c r="A121" s="40"/>
      <c r="B121" s="46"/>
      <c r="C121" s="308" t="s">
        <v>1843</v>
      </c>
      <c r="D121" s="308" t="s">
        <v>3989</v>
      </c>
      <c r="E121" s="18" t="s">
        <v>272</v>
      </c>
      <c r="F121" s="309">
        <v>210.16800000000001</v>
      </c>
      <c r="G121" s="40"/>
      <c r="H121" s="46"/>
    </row>
    <row r="122" s="2" customFormat="1" ht="16.8" customHeight="1">
      <c r="A122" s="40"/>
      <c r="B122" s="46"/>
      <c r="C122" s="304" t="s">
        <v>142</v>
      </c>
      <c r="D122" s="305" t="s">
        <v>143</v>
      </c>
      <c r="E122" s="306" t="s">
        <v>32</v>
      </c>
      <c r="F122" s="307">
        <v>165.94</v>
      </c>
      <c r="G122" s="40"/>
      <c r="H122" s="46"/>
    </row>
    <row r="123" s="2" customFormat="1" ht="16.8" customHeight="1">
      <c r="A123" s="40"/>
      <c r="B123" s="46"/>
      <c r="C123" s="308" t="s">
        <v>32</v>
      </c>
      <c r="D123" s="308" t="s">
        <v>614</v>
      </c>
      <c r="E123" s="18" t="s">
        <v>32</v>
      </c>
      <c r="F123" s="309">
        <v>0</v>
      </c>
      <c r="G123" s="40"/>
      <c r="H123" s="46"/>
    </row>
    <row r="124" s="2" customFormat="1" ht="16.8" customHeight="1">
      <c r="A124" s="40"/>
      <c r="B124" s="46"/>
      <c r="C124" s="308" t="s">
        <v>142</v>
      </c>
      <c r="D124" s="308" t="s">
        <v>1881</v>
      </c>
      <c r="E124" s="18" t="s">
        <v>32</v>
      </c>
      <c r="F124" s="309">
        <v>165.94</v>
      </c>
      <c r="G124" s="40"/>
      <c r="H124" s="46"/>
    </row>
    <row r="125" s="2" customFormat="1" ht="16.8" customHeight="1">
      <c r="A125" s="40"/>
      <c r="B125" s="46"/>
      <c r="C125" s="310" t="s">
        <v>3968</v>
      </c>
      <c r="D125" s="40"/>
      <c r="E125" s="40"/>
      <c r="F125" s="40"/>
      <c r="G125" s="40"/>
      <c r="H125" s="46"/>
    </row>
    <row r="126" s="2" customFormat="1" ht="16.8" customHeight="1">
      <c r="A126" s="40"/>
      <c r="B126" s="46"/>
      <c r="C126" s="308" t="s">
        <v>1877</v>
      </c>
      <c r="D126" s="308" t="s">
        <v>3972</v>
      </c>
      <c r="E126" s="18" t="s">
        <v>272</v>
      </c>
      <c r="F126" s="309">
        <v>469.19999999999999</v>
      </c>
      <c r="G126" s="40"/>
      <c r="H126" s="46"/>
    </row>
    <row r="127" s="2" customFormat="1" ht="16.8" customHeight="1">
      <c r="A127" s="40"/>
      <c r="B127" s="46"/>
      <c r="C127" s="308" t="s">
        <v>1026</v>
      </c>
      <c r="D127" s="308" t="s">
        <v>3986</v>
      </c>
      <c r="E127" s="18" t="s">
        <v>272</v>
      </c>
      <c r="F127" s="309">
        <v>536.54999999999995</v>
      </c>
      <c r="G127" s="40"/>
      <c r="H127" s="46"/>
    </row>
    <row r="128" s="2" customFormat="1" ht="16.8" customHeight="1">
      <c r="A128" s="40"/>
      <c r="B128" s="46"/>
      <c r="C128" s="308" t="s">
        <v>1075</v>
      </c>
      <c r="D128" s="308" t="s">
        <v>3987</v>
      </c>
      <c r="E128" s="18" t="s">
        <v>272</v>
      </c>
      <c r="F128" s="309">
        <v>536.54999999999995</v>
      </c>
      <c r="G128" s="40"/>
      <c r="H128" s="46"/>
    </row>
    <row r="129" s="2" customFormat="1" ht="16.8" customHeight="1">
      <c r="A129" s="40"/>
      <c r="B129" s="46"/>
      <c r="C129" s="304" t="s">
        <v>145</v>
      </c>
      <c r="D129" s="305" t="s">
        <v>146</v>
      </c>
      <c r="E129" s="306" t="s">
        <v>32</v>
      </c>
      <c r="F129" s="307">
        <v>3.2400000000000002</v>
      </c>
      <c r="G129" s="40"/>
      <c r="H129" s="46"/>
    </row>
    <row r="130" s="2" customFormat="1" ht="16.8" customHeight="1">
      <c r="A130" s="40"/>
      <c r="B130" s="46"/>
      <c r="C130" s="308" t="s">
        <v>32</v>
      </c>
      <c r="D130" s="308" t="s">
        <v>147</v>
      </c>
      <c r="E130" s="18" t="s">
        <v>32</v>
      </c>
      <c r="F130" s="309">
        <v>3.2400000000000002</v>
      </c>
      <c r="G130" s="40"/>
      <c r="H130" s="46"/>
    </row>
    <row r="131" s="2" customFormat="1" ht="16.8" customHeight="1">
      <c r="A131" s="40"/>
      <c r="B131" s="46"/>
      <c r="C131" s="310" t="s">
        <v>3968</v>
      </c>
      <c r="D131" s="40"/>
      <c r="E131" s="40"/>
      <c r="F131" s="40"/>
      <c r="G131" s="40"/>
      <c r="H131" s="46"/>
    </row>
    <row r="132" s="2" customFormat="1" ht="16.8" customHeight="1">
      <c r="A132" s="40"/>
      <c r="B132" s="46"/>
      <c r="C132" s="308" t="s">
        <v>1026</v>
      </c>
      <c r="D132" s="308" t="s">
        <v>3986</v>
      </c>
      <c r="E132" s="18" t="s">
        <v>272</v>
      </c>
      <c r="F132" s="309">
        <v>536.54999999999995</v>
      </c>
      <c r="G132" s="40"/>
      <c r="H132" s="46"/>
    </row>
    <row r="133" s="2" customFormat="1" ht="16.8" customHeight="1">
      <c r="A133" s="40"/>
      <c r="B133" s="46"/>
      <c r="C133" s="308" t="s">
        <v>1075</v>
      </c>
      <c r="D133" s="308" t="s">
        <v>3987</v>
      </c>
      <c r="E133" s="18" t="s">
        <v>272</v>
      </c>
      <c r="F133" s="309">
        <v>536.54999999999995</v>
      </c>
      <c r="G133" s="40"/>
      <c r="H133" s="46"/>
    </row>
    <row r="134" s="2" customFormat="1" ht="16.8" customHeight="1">
      <c r="A134" s="40"/>
      <c r="B134" s="46"/>
      <c r="C134" s="304" t="s">
        <v>1882</v>
      </c>
      <c r="D134" s="305" t="s">
        <v>3990</v>
      </c>
      <c r="E134" s="306" t="s">
        <v>32</v>
      </c>
      <c r="F134" s="307">
        <v>303.25999999999999</v>
      </c>
      <c r="G134" s="40"/>
      <c r="H134" s="46"/>
    </row>
    <row r="135" s="2" customFormat="1" ht="16.8" customHeight="1">
      <c r="A135" s="40"/>
      <c r="B135" s="46"/>
      <c r="C135" s="308" t="s">
        <v>32</v>
      </c>
      <c r="D135" s="308" t="s">
        <v>620</v>
      </c>
      <c r="E135" s="18" t="s">
        <v>32</v>
      </c>
      <c r="F135" s="309">
        <v>0</v>
      </c>
      <c r="G135" s="40"/>
      <c r="H135" s="46"/>
    </row>
    <row r="136" s="2" customFormat="1" ht="16.8" customHeight="1">
      <c r="A136" s="40"/>
      <c r="B136" s="46"/>
      <c r="C136" s="308" t="s">
        <v>1882</v>
      </c>
      <c r="D136" s="308" t="s">
        <v>1883</v>
      </c>
      <c r="E136" s="18" t="s">
        <v>32</v>
      </c>
      <c r="F136" s="309">
        <v>303.25999999999999</v>
      </c>
      <c r="G136" s="40"/>
      <c r="H136" s="46"/>
    </row>
    <row r="137" s="2" customFormat="1" ht="16.8" customHeight="1">
      <c r="A137" s="40"/>
      <c r="B137" s="46"/>
      <c r="C137" s="304" t="s">
        <v>1809</v>
      </c>
      <c r="D137" s="305" t="s">
        <v>3991</v>
      </c>
      <c r="E137" s="306" t="s">
        <v>32</v>
      </c>
      <c r="F137" s="307">
        <v>39.32</v>
      </c>
      <c r="G137" s="40"/>
      <c r="H137" s="46"/>
    </row>
    <row r="138" s="2" customFormat="1" ht="16.8" customHeight="1">
      <c r="A138" s="40"/>
      <c r="B138" s="46"/>
      <c r="C138" s="308" t="s">
        <v>32</v>
      </c>
      <c r="D138" s="308" t="s">
        <v>620</v>
      </c>
      <c r="E138" s="18" t="s">
        <v>32</v>
      </c>
      <c r="F138" s="309">
        <v>0</v>
      </c>
      <c r="G138" s="40"/>
      <c r="H138" s="46"/>
    </row>
    <row r="139" s="2" customFormat="1" ht="16.8" customHeight="1">
      <c r="A139" s="40"/>
      <c r="B139" s="46"/>
      <c r="C139" s="308" t="s">
        <v>1809</v>
      </c>
      <c r="D139" s="308" t="s">
        <v>1810</v>
      </c>
      <c r="E139" s="18" t="s">
        <v>32</v>
      </c>
      <c r="F139" s="309">
        <v>39.32</v>
      </c>
      <c r="G139" s="40"/>
      <c r="H139" s="46"/>
    </row>
    <row r="140" s="2" customFormat="1" ht="16.8" customHeight="1">
      <c r="A140" s="40"/>
      <c r="B140" s="46"/>
      <c r="C140" s="304" t="s">
        <v>149</v>
      </c>
      <c r="D140" s="305" t="s">
        <v>150</v>
      </c>
      <c r="E140" s="306" t="s">
        <v>32</v>
      </c>
      <c r="F140" s="307">
        <v>707.29999999999995</v>
      </c>
      <c r="G140" s="40"/>
      <c r="H140" s="46"/>
    </row>
    <row r="141" s="2" customFormat="1" ht="16.8" customHeight="1">
      <c r="A141" s="40"/>
      <c r="B141" s="46"/>
      <c r="C141" s="308" t="s">
        <v>32</v>
      </c>
      <c r="D141" s="308" t="s">
        <v>1394</v>
      </c>
      <c r="E141" s="18" t="s">
        <v>32</v>
      </c>
      <c r="F141" s="309">
        <v>0</v>
      </c>
      <c r="G141" s="40"/>
      <c r="H141" s="46"/>
    </row>
    <row r="142" s="2" customFormat="1" ht="16.8" customHeight="1">
      <c r="A142" s="40"/>
      <c r="B142" s="46"/>
      <c r="C142" s="308" t="s">
        <v>32</v>
      </c>
      <c r="D142" s="308" t="s">
        <v>1395</v>
      </c>
      <c r="E142" s="18" t="s">
        <v>32</v>
      </c>
      <c r="F142" s="309">
        <v>707.29999999999995</v>
      </c>
      <c r="G142" s="40"/>
      <c r="H142" s="46"/>
    </row>
    <row r="143" s="2" customFormat="1" ht="16.8" customHeight="1">
      <c r="A143" s="40"/>
      <c r="B143" s="46"/>
      <c r="C143" s="308" t="s">
        <v>149</v>
      </c>
      <c r="D143" s="308" t="s">
        <v>220</v>
      </c>
      <c r="E143" s="18" t="s">
        <v>32</v>
      </c>
      <c r="F143" s="309">
        <v>707.29999999999995</v>
      </c>
      <c r="G143" s="40"/>
      <c r="H143" s="46"/>
    </row>
    <row r="144" s="2" customFormat="1" ht="16.8" customHeight="1">
      <c r="A144" s="40"/>
      <c r="B144" s="46"/>
      <c r="C144" s="310" t="s">
        <v>3968</v>
      </c>
      <c r="D144" s="40"/>
      <c r="E144" s="40"/>
      <c r="F144" s="40"/>
      <c r="G144" s="40"/>
      <c r="H144" s="46"/>
    </row>
    <row r="145" s="2" customFormat="1" ht="16.8" customHeight="1">
      <c r="A145" s="40"/>
      <c r="B145" s="46"/>
      <c r="C145" s="308" t="s">
        <v>1390</v>
      </c>
      <c r="D145" s="308" t="s">
        <v>3992</v>
      </c>
      <c r="E145" s="18" t="s">
        <v>272</v>
      </c>
      <c r="F145" s="309">
        <v>707.29999999999995</v>
      </c>
      <c r="G145" s="40"/>
      <c r="H145" s="46"/>
    </row>
    <row r="146" s="2" customFormat="1" ht="16.8" customHeight="1">
      <c r="A146" s="40"/>
      <c r="B146" s="46"/>
      <c r="C146" s="308" t="s">
        <v>1055</v>
      </c>
      <c r="D146" s="308" t="s">
        <v>3993</v>
      </c>
      <c r="E146" s="18" t="s">
        <v>272</v>
      </c>
      <c r="F146" s="309">
        <v>707.29999999999995</v>
      </c>
      <c r="G146" s="40"/>
      <c r="H146" s="46"/>
    </row>
    <row r="147" s="2" customFormat="1" ht="16.8" customHeight="1">
      <c r="A147" s="40"/>
      <c r="B147" s="46"/>
      <c r="C147" s="308" t="s">
        <v>1065</v>
      </c>
      <c r="D147" s="308" t="s">
        <v>3994</v>
      </c>
      <c r="E147" s="18" t="s">
        <v>272</v>
      </c>
      <c r="F147" s="309">
        <v>707.29999999999995</v>
      </c>
      <c r="G147" s="40"/>
      <c r="H147" s="46"/>
    </row>
    <row r="148" s="2" customFormat="1" ht="16.8" customHeight="1">
      <c r="A148" s="40"/>
      <c r="B148" s="46"/>
      <c r="C148" s="308" t="s">
        <v>1200</v>
      </c>
      <c r="D148" s="308" t="s">
        <v>3995</v>
      </c>
      <c r="E148" s="18" t="s">
        <v>272</v>
      </c>
      <c r="F148" s="309">
        <v>707.29999999999995</v>
      </c>
      <c r="G148" s="40"/>
      <c r="H148" s="46"/>
    </row>
    <row r="149" s="2" customFormat="1" ht="16.8" customHeight="1">
      <c r="A149" s="40"/>
      <c r="B149" s="46"/>
      <c r="C149" s="308" t="s">
        <v>1205</v>
      </c>
      <c r="D149" s="308" t="s">
        <v>3996</v>
      </c>
      <c r="E149" s="18" t="s">
        <v>272</v>
      </c>
      <c r="F149" s="309">
        <v>707.29999999999995</v>
      </c>
      <c r="G149" s="40"/>
      <c r="H149" s="46"/>
    </row>
    <row r="150" s="2" customFormat="1" ht="16.8" customHeight="1">
      <c r="A150" s="40"/>
      <c r="B150" s="46"/>
      <c r="C150" s="308" t="s">
        <v>1397</v>
      </c>
      <c r="D150" s="308" t="s">
        <v>3997</v>
      </c>
      <c r="E150" s="18" t="s">
        <v>272</v>
      </c>
      <c r="F150" s="309">
        <v>707.29999999999995</v>
      </c>
      <c r="G150" s="40"/>
      <c r="H150" s="46"/>
    </row>
    <row r="151" s="2" customFormat="1" ht="16.8" customHeight="1">
      <c r="A151" s="40"/>
      <c r="B151" s="46"/>
      <c r="C151" s="308" t="s">
        <v>1411</v>
      </c>
      <c r="D151" s="308" t="s">
        <v>3998</v>
      </c>
      <c r="E151" s="18" t="s">
        <v>272</v>
      </c>
      <c r="F151" s="309">
        <v>707.29999999999995</v>
      </c>
      <c r="G151" s="40"/>
      <c r="H151" s="46"/>
    </row>
    <row r="152" s="2" customFormat="1" ht="16.8" customHeight="1">
      <c r="A152" s="40"/>
      <c r="B152" s="46"/>
      <c r="C152" s="304" t="s">
        <v>152</v>
      </c>
      <c r="D152" s="305" t="s">
        <v>153</v>
      </c>
      <c r="E152" s="306" t="s">
        <v>32</v>
      </c>
      <c r="F152" s="307">
        <v>584.89999999999998</v>
      </c>
      <c r="G152" s="40"/>
      <c r="H152" s="46"/>
    </row>
    <row r="153" s="2" customFormat="1" ht="16.8" customHeight="1">
      <c r="A153" s="40"/>
      <c r="B153" s="46"/>
      <c r="C153" s="308" t="s">
        <v>32</v>
      </c>
      <c r="D153" s="308" t="s">
        <v>153</v>
      </c>
      <c r="E153" s="18" t="s">
        <v>32</v>
      </c>
      <c r="F153" s="309">
        <v>0</v>
      </c>
      <c r="G153" s="40"/>
      <c r="H153" s="46"/>
    </row>
    <row r="154" s="2" customFormat="1" ht="16.8" customHeight="1">
      <c r="A154" s="40"/>
      <c r="B154" s="46"/>
      <c r="C154" s="308" t="s">
        <v>152</v>
      </c>
      <c r="D154" s="308" t="s">
        <v>975</v>
      </c>
      <c r="E154" s="18" t="s">
        <v>32</v>
      </c>
      <c r="F154" s="309">
        <v>584.89999999999998</v>
      </c>
      <c r="G154" s="40"/>
      <c r="H154" s="46"/>
    </row>
    <row r="155" s="2" customFormat="1" ht="16.8" customHeight="1">
      <c r="A155" s="40"/>
      <c r="B155" s="46"/>
      <c r="C155" s="310" t="s">
        <v>3968</v>
      </c>
      <c r="D155" s="40"/>
      <c r="E155" s="40"/>
      <c r="F155" s="40"/>
      <c r="G155" s="40"/>
      <c r="H155" s="46"/>
    </row>
    <row r="156" s="2" customFormat="1" ht="16.8" customHeight="1">
      <c r="A156" s="40"/>
      <c r="B156" s="46"/>
      <c r="C156" s="308" t="s">
        <v>971</v>
      </c>
      <c r="D156" s="308" t="s">
        <v>3999</v>
      </c>
      <c r="E156" s="18" t="s">
        <v>272</v>
      </c>
      <c r="F156" s="309">
        <v>611.65700000000004</v>
      </c>
      <c r="G156" s="40"/>
      <c r="H156" s="46"/>
    </row>
    <row r="157" s="2" customFormat="1" ht="16.8" customHeight="1">
      <c r="A157" s="40"/>
      <c r="B157" s="46"/>
      <c r="C157" s="308" t="s">
        <v>709</v>
      </c>
      <c r="D157" s="308" t="s">
        <v>4000</v>
      </c>
      <c r="E157" s="18" t="s">
        <v>205</v>
      </c>
      <c r="F157" s="309">
        <v>36.893999999999998</v>
      </c>
      <c r="G157" s="40"/>
      <c r="H157" s="46"/>
    </row>
    <row r="158" s="2" customFormat="1" ht="16.8" customHeight="1">
      <c r="A158" s="40"/>
      <c r="B158" s="46"/>
      <c r="C158" s="308" t="s">
        <v>718</v>
      </c>
      <c r="D158" s="308" t="s">
        <v>4001</v>
      </c>
      <c r="E158" s="18" t="s">
        <v>250</v>
      </c>
      <c r="F158" s="309">
        <v>1.04</v>
      </c>
      <c r="G158" s="40"/>
      <c r="H158" s="46"/>
    </row>
    <row r="159" s="2" customFormat="1" ht="7.44" customHeight="1">
      <c r="A159" s="40"/>
      <c r="B159" s="161"/>
      <c r="C159" s="162"/>
      <c r="D159" s="162"/>
      <c r="E159" s="162"/>
      <c r="F159" s="162"/>
      <c r="G159" s="162"/>
      <c r="H159" s="46"/>
    </row>
    <row r="160" s="2" customFormat="1">
      <c r="A160" s="40"/>
      <c r="B160" s="40"/>
      <c r="C160" s="40"/>
      <c r="D160" s="40"/>
      <c r="E160" s="40"/>
      <c r="F160" s="40"/>
      <c r="G160" s="40"/>
      <c r="H160" s="40"/>
    </row>
  </sheetData>
  <sheetProtection sheet="1" formatColumns="0" formatRows="0" objects="1" scenarios="1" spinCount="100000" saltValue="UnzRT7ji31Ga+unWxm3edt/aZzTtoe70MhSJaul/ZWRB0q1Lj3iyEtE80ikONonSjmrZP/WmwHh6tH7t9gSWPg==" hashValue="CvrAgXTtstzyf9bEyEaaCzsP+YnHXlvPaX/2yZGhzaFPvMaW2GTc0NYOhMnMIBbPMb1L2LmpRuVD7gD5LawGCQ==" algorithmName="SHA-512" password="CC35"/>
  <mergeCells count="2">
    <mergeCell ref="D5:F5"/>
    <mergeCell ref="D6:F6"/>
  </mergeCells>
  <pageSetup paperSize="9" orientation="landscape" blackAndWhite="1" fitToHeight="100"/>
  <headerFooter>
    <oddFooter>&amp;CStrana &amp;P z &amp;N</oddFooter>
  </headerFooter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Andrea Vlažná</dc:creator>
  <cp:lastModifiedBy>Andrea Vlažná</cp:lastModifiedBy>
  <dcterms:created xsi:type="dcterms:W3CDTF">2023-12-20T06:24:49Z</dcterms:created>
  <dcterms:modified xsi:type="dcterms:W3CDTF">2023-12-20T06:25:03Z</dcterms:modified>
</cp:coreProperties>
</file>
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prokopovo\Documents\ROZPOČTOVÁNÍ\17-26 Hala HK\"/>
    </mc:Choice>
  </mc:AlternateContent>
  <xr:revisionPtr revIDLastSave="0" documentId="8_{97960CDD-9DC1-4868-B286-E7827F49C487}" xr6:coauthVersionLast="47" xr6:coauthVersionMax="47" xr10:uidLastSave="{00000000-0000-0000-0000-000000000000}"/>
  <bookViews>
    <workbookView xWindow="14970" yWindow="-16440" windowWidth="29040" windowHeight="15720" xr2:uid="{23D58190-2683-44FA-B2D8-38B92799D369}"/>
  </bookViews>
  <sheets>
    <sheet name="SO 11-61-0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10" i="1" l="1"/>
  <c r="K10" i="1"/>
  <c r="L10" i="1"/>
  <c r="L9" i="1" s="1"/>
  <c r="L8" i="1" s="1"/>
  <c r="I11" i="1"/>
  <c r="M11" i="1"/>
  <c r="I15" i="1"/>
  <c r="M15" i="1"/>
  <c r="O15" i="1" s="1"/>
  <c r="I19" i="1"/>
  <c r="M19" i="1"/>
  <c r="O19" i="1"/>
  <c r="I23" i="1"/>
  <c r="M23" i="1"/>
  <c r="O23" i="1"/>
  <c r="I27" i="1"/>
  <c r="M27" i="1"/>
  <c r="O27" i="1" s="1"/>
  <c r="I31" i="1"/>
  <c r="M31" i="1"/>
  <c r="O31" i="1" s="1"/>
  <c r="J35" i="1"/>
  <c r="K35" i="1"/>
  <c r="L35" i="1"/>
  <c r="I36" i="1"/>
  <c r="M36" i="1"/>
  <c r="O36" i="1"/>
  <c r="I40" i="1"/>
  <c r="M40" i="1"/>
  <c r="O40" i="1"/>
  <c r="I44" i="1"/>
  <c r="M44" i="1"/>
  <c r="O44" i="1" s="1"/>
  <c r="I48" i="1"/>
  <c r="M48" i="1"/>
  <c r="O48" i="1" s="1"/>
  <c r="I52" i="1"/>
  <c r="M52" i="1"/>
  <c r="O52" i="1" s="1"/>
  <c r="J56" i="1"/>
  <c r="K56" i="1"/>
  <c r="L56" i="1"/>
  <c r="M56" i="1"/>
  <c r="I57" i="1"/>
  <c r="M57" i="1"/>
  <c r="O57" i="1"/>
  <c r="I61" i="1"/>
  <c r="M61" i="1"/>
  <c r="O61" i="1" s="1"/>
  <c r="I65" i="1"/>
  <c r="M65" i="1"/>
  <c r="O65" i="1"/>
  <c r="J69" i="1"/>
  <c r="K69" i="1"/>
  <c r="L69" i="1"/>
  <c r="I70" i="1"/>
  <c r="M70" i="1"/>
  <c r="M69" i="1" s="1"/>
  <c r="O70" i="1"/>
  <c r="I74" i="1"/>
  <c r="M74" i="1"/>
  <c r="O74" i="1"/>
  <c r="I78" i="1"/>
  <c r="M78" i="1"/>
  <c r="O78" i="1" s="1"/>
  <c r="J82" i="1"/>
  <c r="K82" i="1"/>
  <c r="K9" i="1" s="1"/>
  <c r="K8" i="1" s="1"/>
  <c r="L82" i="1"/>
  <c r="I83" i="1"/>
  <c r="M83" i="1"/>
  <c r="M82" i="1" s="1"/>
  <c r="I87" i="1"/>
  <c r="M87" i="1"/>
  <c r="O87" i="1"/>
  <c r="I91" i="1"/>
  <c r="M91" i="1"/>
  <c r="O91" i="1"/>
  <c r="J95" i="1"/>
  <c r="K95" i="1"/>
  <c r="L95" i="1"/>
  <c r="I96" i="1"/>
  <c r="M96" i="1"/>
  <c r="I100" i="1"/>
  <c r="M100" i="1"/>
  <c r="O100" i="1" s="1"/>
  <c r="I104" i="1"/>
  <c r="M104" i="1"/>
  <c r="O104" i="1"/>
  <c r="I108" i="1"/>
  <c r="M108" i="1"/>
  <c r="O108" i="1"/>
  <c r="I112" i="1"/>
  <c r="M112" i="1"/>
  <c r="O112" i="1"/>
  <c r="I116" i="1"/>
  <c r="M116" i="1"/>
  <c r="O116" i="1" s="1"/>
  <c r="I120" i="1"/>
  <c r="M120" i="1"/>
  <c r="O120" i="1" s="1"/>
  <c r="I124" i="1"/>
  <c r="M124" i="1"/>
  <c r="O124" i="1"/>
  <c r="I128" i="1"/>
  <c r="M128" i="1"/>
  <c r="O128" i="1" s="1"/>
  <c r="J132" i="1"/>
  <c r="K132" i="1"/>
  <c r="L132" i="1"/>
  <c r="I133" i="1"/>
  <c r="M133" i="1"/>
  <c r="M132" i="1" s="1"/>
  <c r="I137" i="1"/>
  <c r="M137" i="1"/>
  <c r="O137" i="1" s="1"/>
  <c r="I141" i="1"/>
  <c r="M141" i="1"/>
  <c r="O141" i="1"/>
  <c r="J145" i="1"/>
  <c r="J9" i="1" s="1"/>
  <c r="J8" i="1" s="1"/>
  <c r="K145" i="1"/>
  <c r="L145" i="1"/>
  <c r="I146" i="1"/>
  <c r="M146" i="1"/>
  <c r="O146" i="1" s="1"/>
  <c r="I150" i="1"/>
  <c r="M150" i="1"/>
  <c r="O150" i="1" s="1"/>
  <c r="I154" i="1"/>
  <c r="M154" i="1"/>
  <c r="O154" i="1" s="1"/>
  <c r="I158" i="1"/>
  <c r="M158" i="1"/>
  <c r="O158" i="1"/>
  <c r="I162" i="1"/>
  <c r="M162" i="1"/>
  <c r="O162" i="1" s="1"/>
  <c r="I166" i="1"/>
  <c r="M166" i="1"/>
  <c r="O166" i="1" s="1"/>
  <c r="I170" i="1"/>
  <c r="M170" i="1"/>
  <c r="O170" i="1"/>
  <c r="I174" i="1"/>
  <c r="M174" i="1"/>
  <c r="O174" i="1"/>
  <c r="I178" i="1"/>
  <c r="M178" i="1"/>
  <c r="O178" i="1" s="1"/>
  <c r="I182" i="1"/>
  <c r="M182" i="1"/>
  <c r="O182" i="1" s="1"/>
  <c r="I186" i="1"/>
  <c r="M186" i="1"/>
  <c r="O186" i="1" s="1"/>
  <c r="I190" i="1"/>
  <c r="M190" i="1"/>
  <c r="O190" i="1"/>
  <c r="I194" i="1"/>
  <c r="M194" i="1"/>
  <c r="O194" i="1" s="1"/>
  <c r="I198" i="1"/>
  <c r="M198" i="1"/>
  <c r="O198" i="1"/>
  <c r="I202" i="1"/>
  <c r="M202" i="1"/>
  <c r="O202" i="1"/>
  <c r="J206" i="1"/>
  <c r="K206" i="1"/>
  <c r="L206" i="1"/>
  <c r="I207" i="1"/>
  <c r="M207" i="1"/>
  <c r="O207" i="1"/>
  <c r="I211" i="1"/>
  <c r="M211" i="1"/>
  <c r="O211" i="1" s="1"/>
  <c r="I215" i="1"/>
  <c r="M215" i="1"/>
  <c r="O215" i="1" s="1"/>
  <c r="I219" i="1"/>
  <c r="M219" i="1"/>
  <c r="O219" i="1"/>
  <c r="I223" i="1"/>
  <c r="M223" i="1"/>
  <c r="O223" i="1"/>
  <c r="I227" i="1"/>
  <c r="M227" i="1"/>
  <c r="O227" i="1" s="1"/>
  <c r="I231" i="1"/>
  <c r="M231" i="1"/>
  <c r="O231" i="1" s="1"/>
  <c r="I235" i="1"/>
  <c r="M235" i="1"/>
  <c r="O235" i="1" s="1"/>
  <c r="I239" i="1"/>
  <c r="M239" i="1"/>
  <c r="O239" i="1"/>
  <c r="I243" i="1"/>
  <c r="M243" i="1"/>
  <c r="O243" i="1" s="1"/>
  <c r="I247" i="1"/>
  <c r="M247" i="1"/>
  <c r="O247" i="1" s="1"/>
  <c r="I251" i="1"/>
  <c r="M251" i="1"/>
  <c r="O251" i="1"/>
  <c r="I255" i="1"/>
  <c r="M255" i="1"/>
  <c r="O255" i="1"/>
  <c r="I259" i="1"/>
  <c r="M259" i="1"/>
  <c r="O259" i="1" s="1"/>
  <c r="I263" i="1"/>
  <c r="M263" i="1"/>
  <c r="O263" i="1"/>
  <c r="I267" i="1"/>
  <c r="M267" i="1"/>
  <c r="O267" i="1" s="1"/>
  <c r="I271" i="1"/>
  <c r="M271" i="1"/>
  <c r="O271" i="1"/>
  <c r="I275" i="1"/>
  <c r="M275" i="1"/>
  <c r="O275" i="1" s="1"/>
  <c r="I279" i="1"/>
  <c r="M279" i="1"/>
  <c r="O279" i="1" s="1"/>
  <c r="I283" i="1"/>
  <c r="M283" i="1"/>
  <c r="O283" i="1"/>
  <c r="I287" i="1"/>
  <c r="M287" i="1"/>
  <c r="O287" i="1"/>
  <c r="I291" i="1"/>
  <c r="M291" i="1"/>
  <c r="O291" i="1" s="1"/>
  <c r="I295" i="1"/>
  <c r="M295" i="1"/>
  <c r="O295" i="1" s="1"/>
  <c r="I299" i="1"/>
  <c r="M299" i="1"/>
  <c r="O299" i="1" s="1"/>
  <c r="I303" i="1"/>
  <c r="M303" i="1"/>
  <c r="O303" i="1"/>
  <c r="I307" i="1"/>
  <c r="M307" i="1"/>
  <c r="O307" i="1" s="1"/>
  <c r="J311" i="1"/>
  <c r="K311" i="1"/>
  <c r="L311" i="1"/>
  <c r="I312" i="1"/>
  <c r="M312" i="1"/>
  <c r="O312" i="1" s="1"/>
  <c r="I316" i="1"/>
  <c r="M316" i="1"/>
  <c r="O316" i="1" s="1"/>
  <c r="I320" i="1"/>
  <c r="M320" i="1"/>
  <c r="O320" i="1"/>
  <c r="I324" i="1"/>
  <c r="M324" i="1"/>
  <c r="O324" i="1" s="1"/>
  <c r="I328" i="1"/>
  <c r="M328" i="1"/>
  <c r="O328" i="1"/>
  <c r="I332" i="1"/>
  <c r="M332" i="1"/>
  <c r="O332" i="1"/>
  <c r="I336" i="1"/>
  <c r="M336" i="1"/>
  <c r="O336" i="1"/>
  <c r="I340" i="1"/>
  <c r="M340" i="1"/>
  <c r="O340" i="1" s="1"/>
  <c r="J344" i="1"/>
  <c r="K344" i="1"/>
  <c r="L344" i="1"/>
  <c r="I345" i="1"/>
  <c r="M345" i="1"/>
  <c r="M344" i="1" s="1"/>
  <c r="I349" i="1"/>
  <c r="M349" i="1"/>
  <c r="O349" i="1"/>
  <c r="I353" i="1"/>
  <c r="M353" i="1"/>
  <c r="O353" i="1"/>
  <c r="I357" i="1"/>
  <c r="M357" i="1"/>
  <c r="O357" i="1" s="1"/>
  <c r="I361" i="1"/>
  <c r="M361" i="1"/>
  <c r="O361" i="1"/>
  <c r="I365" i="1"/>
  <c r="M365" i="1"/>
  <c r="O365" i="1" s="1"/>
  <c r="I369" i="1"/>
  <c r="M369" i="1"/>
  <c r="O369" i="1"/>
  <c r="I373" i="1"/>
  <c r="M373" i="1"/>
  <c r="O373" i="1" s="1"/>
  <c r="I377" i="1"/>
  <c r="M377" i="1"/>
  <c r="O377" i="1" s="1"/>
  <c r="I381" i="1"/>
  <c r="M381" i="1"/>
  <c r="O381" i="1"/>
  <c r="I385" i="1"/>
  <c r="M385" i="1"/>
  <c r="O385" i="1"/>
  <c r="I389" i="1"/>
  <c r="M389" i="1"/>
  <c r="O389" i="1" s="1"/>
  <c r="I393" i="1"/>
  <c r="M393" i="1"/>
  <c r="O393" i="1" s="1"/>
  <c r="I397" i="1"/>
  <c r="M397" i="1"/>
  <c r="O397" i="1" s="1"/>
  <c r="I401" i="1"/>
  <c r="M401" i="1"/>
  <c r="O401" i="1"/>
  <c r="I405" i="1"/>
  <c r="M405" i="1"/>
  <c r="O405" i="1" s="1"/>
  <c r="I409" i="1"/>
  <c r="M409" i="1"/>
  <c r="O409" i="1" s="1"/>
  <c r="I413" i="1"/>
  <c r="M413" i="1"/>
  <c r="O413" i="1"/>
  <c r="I417" i="1"/>
  <c r="M417" i="1"/>
  <c r="O417" i="1"/>
  <c r="I421" i="1"/>
  <c r="M421" i="1"/>
  <c r="O421" i="1" s="1"/>
  <c r="I425" i="1"/>
  <c r="M425" i="1"/>
  <c r="O425" i="1"/>
  <c r="I429" i="1"/>
  <c r="M429" i="1"/>
  <c r="O429" i="1" s="1"/>
  <c r="I433" i="1"/>
  <c r="M433" i="1"/>
  <c r="O433" i="1"/>
  <c r="I437" i="1"/>
  <c r="M437" i="1"/>
  <c r="O437" i="1" s="1"/>
  <c r="I441" i="1"/>
  <c r="M441" i="1"/>
  <c r="O441" i="1" s="1"/>
  <c r="I445" i="1"/>
  <c r="M445" i="1"/>
  <c r="O445" i="1"/>
  <c r="I449" i="1"/>
  <c r="M449" i="1"/>
  <c r="O449" i="1"/>
  <c r="I453" i="1"/>
  <c r="M453" i="1"/>
  <c r="O453" i="1" s="1"/>
  <c r="I457" i="1"/>
  <c r="M457" i="1"/>
  <c r="O457" i="1" s="1"/>
  <c r="I461" i="1"/>
  <c r="M461" i="1"/>
  <c r="O461" i="1" s="1"/>
  <c r="I465" i="1"/>
  <c r="M465" i="1"/>
  <c r="O465" i="1"/>
  <c r="I469" i="1"/>
  <c r="M469" i="1"/>
  <c r="O469" i="1" s="1"/>
  <c r="I473" i="1"/>
  <c r="M473" i="1"/>
  <c r="O473" i="1" s="1"/>
  <c r="I477" i="1"/>
  <c r="M477" i="1"/>
  <c r="O477" i="1"/>
  <c r="I481" i="1"/>
  <c r="M481" i="1"/>
  <c r="O481" i="1"/>
  <c r="I485" i="1"/>
  <c r="M485" i="1"/>
  <c r="O485" i="1" s="1"/>
  <c r="I489" i="1"/>
  <c r="M489" i="1"/>
  <c r="O489" i="1"/>
  <c r="I493" i="1"/>
  <c r="M493" i="1"/>
  <c r="O493" i="1" s="1"/>
  <c r="I497" i="1"/>
  <c r="M497" i="1"/>
  <c r="O497" i="1"/>
  <c r="I501" i="1"/>
  <c r="M501" i="1"/>
  <c r="O501" i="1" s="1"/>
  <c r="I505" i="1"/>
  <c r="M505" i="1"/>
  <c r="O505" i="1" s="1"/>
  <c r="I509" i="1"/>
  <c r="M509" i="1"/>
  <c r="O509" i="1"/>
  <c r="I513" i="1"/>
  <c r="M513" i="1"/>
  <c r="O513" i="1"/>
  <c r="I517" i="1"/>
  <c r="M517" i="1"/>
  <c r="O517" i="1" s="1"/>
  <c r="I521" i="1"/>
  <c r="M521" i="1"/>
  <c r="O521" i="1" s="1"/>
  <c r="I525" i="1"/>
  <c r="M525" i="1"/>
  <c r="O525" i="1" s="1"/>
  <c r="I529" i="1"/>
  <c r="M529" i="1"/>
  <c r="O529" i="1"/>
  <c r="I533" i="1"/>
  <c r="M533" i="1"/>
  <c r="O533" i="1" s="1"/>
  <c r="I537" i="1"/>
  <c r="M537" i="1"/>
  <c r="O537" i="1" s="1"/>
  <c r="I541" i="1"/>
  <c r="M541" i="1"/>
  <c r="O541" i="1"/>
  <c r="I545" i="1"/>
  <c r="M545" i="1"/>
  <c r="O545" i="1"/>
  <c r="I549" i="1"/>
  <c r="M549" i="1"/>
  <c r="O549" i="1" s="1"/>
  <c r="I553" i="1"/>
  <c r="M553" i="1"/>
  <c r="O553" i="1"/>
  <c r="I557" i="1"/>
  <c r="M557" i="1"/>
  <c r="O557" i="1" s="1"/>
  <c r="I561" i="1"/>
  <c r="M561" i="1"/>
  <c r="O561" i="1"/>
  <c r="I565" i="1"/>
  <c r="M565" i="1"/>
  <c r="O565" i="1" s="1"/>
  <c r="I569" i="1"/>
  <c r="M569" i="1"/>
  <c r="O569" i="1" s="1"/>
  <c r="I573" i="1"/>
  <c r="M573" i="1"/>
  <c r="O573" i="1"/>
  <c r="I577" i="1"/>
  <c r="M577" i="1"/>
  <c r="O577" i="1"/>
  <c r="I581" i="1"/>
  <c r="M581" i="1"/>
  <c r="O581" i="1" s="1"/>
  <c r="I585" i="1"/>
  <c r="M585" i="1"/>
  <c r="O585" i="1" s="1"/>
  <c r="I589" i="1"/>
  <c r="M589" i="1"/>
  <c r="O589" i="1" s="1"/>
  <c r="I593" i="1"/>
  <c r="M593" i="1"/>
  <c r="O593" i="1"/>
  <c r="I597" i="1"/>
  <c r="M597" i="1"/>
  <c r="O597" i="1" s="1"/>
  <c r="I601" i="1"/>
  <c r="M601" i="1"/>
  <c r="O601" i="1" s="1"/>
  <c r="I605" i="1"/>
  <c r="M605" i="1"/>
  <c r="O605" i="1"/>
  <c r="I609" i="1"/>
  <c r="M609" i="1"/>
  <c r="O609" i="1"/>
  <c r="J613" i="1"/>
  <c r="K613" i="1"/>
  <c r="L613" i="1"/>
  <c r="I614" i="1"/>
  <c r="M614" i="1"/>
  <c r="I618" i="1"/>
  <c r="M618" i="1"/>
  <c r="O618" i="1" s="1"/>
  <c r="I622" i="1"/>
  <c r="M622" i="1"/>
  <c r="O622" i="1"/>
  <c r="I626" i="1"/>
  <c r="M626" i="1"/>
  <c r="O626" i="1"/>
  <c r="I630" i="1"/>
  <c r="M630" i="1"/>
  <c r="O630" i="1"/>
  <c r="I634" i="1"/>
  <c r="M634" i="1"/>
  <c r="O634" i="1" s="1"/>
  <c r="I638" i="1"/>
  <c r="M638" i="1"/>
  <c r="O638" i="1" s="1"/>
  <c r="I642" i="1"/>
  <c r="M642" i="1"/>
  <c r="O642" i="1" s="1"/>
  <c r="I646" i="1"/>
  <c r="M646" i="1"/>
  <c r="O646" i="1" s="1"/>
  <c r="I650" i="1"/>
  <c r="M650" i="1"/>
  <c r="O650" i="1" s="1"/>
  <c r="J654" i="1"/>
  <c r="K654" i="1"/>
  <c r="L654" i="1"/>
  <c r="I655" i="1"/>
  <c r="M655" i="1"/>
  <c r="O655" i="1" s="1"/>
  <c r="I659" i="1"/>
  <c r="M659" i="1"/>
  <c r="O659" i="1" s="1"/>
  <c r="I663" i="1"/>
  <c r="M663" i="1"/>
  <c r="O663" i="1" s="1"/>
  <c r="I667" i="1"/>
  <c r="M667" i="1"/>
  <c r="O667" i="1" s="1"/>
  <c r="I671" i="1"/>
  <c r="M671" i="1"/>
  <c r="O671" i="1"/>
  <c r="J675" i="1"/>
  <c r="K675" i="1"/>
  <c r="L675" i="1"/>
  <c r="I676" i="1"/>
  <c r="M676" i="1"/>
  <c r="O676" i="1"/>
  <c r="I680" i="1"/>
  <c r="M680" i="1"/>
  <c r="I684" i="1"/>
  <c r="M684" i="1"/>
  <c r="O684" i="1" s="1"/>
  <c r="I688" i="1"/>
  <c r="M688" i="1"/>
  <c r="O688" i="1"/>
  <c r="I692" i="1"/>
  <c r="M692" i="1"/>
  <c r="O692" i="1"/>
  <c r="I696" i="1"/>
  <c r="M696" i="1"/>
  <c r="O696" i="1" s="1"/>
  <c r="I700" i="1"/>
  <c r="M700" i="1"/>
  <c r="O700" i="1" s="1"/>
  <c r="J704" i="1"/>
  <c r="K704" i="1"/>
  <c r="L704" i="1"/>
  <c r="I705" i="1"/>
  <c r="M705" i="1"/>
  <c r="O705" i="1"/>
  <c r="I709" i="1"/>
  <c r="M709" i="1"/>
  <c r="O709" i="1"/>
  <c r="I713" i="1"/>
  <c r="M713" i="1"/>
  <c r="O713" i="1" s="1"/>
  <c r="I717" i="1"/>
  <c r="M717" i="1"/>
  <c r="O717" i="1"/>
  <c r="I721" i="1"/>
  <c r="M721" i="1"/>
  <c r="O721" i="1" s="1"/>
  <c r="I725" i="1"/>
  <c r="M725" i="1"/>
  <c r="O725" i="1" s="1"/>
  <c r="J729" i="1"/>
  <c r="K729" i="1"/>
  <c r="L729" i="1"/>
  <c r="I730" i="1"/>
  <c r="M730" i="1"/>
  <c r="O730" i="1" s="1"/>
  <c r="I734" i="1"/>
  <c r="M734" i="1"/>
  <c r="M729" i="1" s="1"/>
  <c r="I738" i="1"/>
  <c r="M738" i="1"/>
  <c r="O738" i="1" s="1"/>
  <c r="I742" i="1"/>
  <c r="M742" i="1"/>
  <c r="O742" i="1" s="1"/>
  <c r="I746" i="1"/>
  <c r="M746" i="1"/>
  <c r="O746" i="1" s="1"/>
  <c r="I750" i="1"/>
  <c r="M750" i="1"/>
  <c r="O750" i="1" s="1"/>
  <c r="I754" i="1"/>
  <c r="M754" i="1"/>
  <c r="O754" i="1"/>
  <c r="J758" i="1"/>
  <c r="K758" i="1"/>
  <c r="L758" i="1"/>
  <c r="I759" i="1"/>
  <c r="M759" i="1"/>
  <c r="O759" i="1"/>
  <c r="I763" i="1"/>
  <c r="M763" i="1"/>
  <c r="I767" i="1"/>
  <c r="M767" i="1"/>
  <c r="O767" i="1" s="1"/>
  <c r="I771" i="1"/>
  <c r="M771" i="1"/>
  <c r="O771" i="1"/>
  <c r="I775" i="1"/>
  <c r="M775" i="1"/>
  <c r="O775" i="1"/>
  <c r="J779" i="1"/>
  <c r="K779" i="1"/>
  <c r="L779" i="1"/>
  <c r="I780" i="1"/>
  <c r="M780" i="1"/>
  <c r="J784" i="1"/>
  <c r="K784" i="1"/>
  <c r="L784" i="1"/>
  <c r="I785" i="1"/>
  <c r="M785" i="1"/>
  <c r="M784" i="1" s="1"/>
  <c r="J790" i="1"/>
  <c r="K790" i="1"/>
  <c r="L790" i="1"/>
  <c r="L789" i="1" s="1"/>
  <c r="M790" i="1"/>
  <c r="I791" i="1"/>
  <c r="M791" i="1"/>
  <c r="O791" i="1" s="1"/>
  <c r="J795" i="1"/>
  <c r="K795" i="1"/>
  <c r="L795" i="1"/>
  <c r="I796" i="1"/>
  <c r="M796" i="1"/>
  <c r="O796" i="1"/>
  <c r="I800" i="1"/>
  <c r="M800" i="1"/>
  <c r="O800" i="1" s="1"/>
  <c r="I804" i="1"/>
  <c r="M804" i="1"/>
  <c r="M795" i="1" s="1"/>
  <c r="I808" i="1"/>
  <c r="M808" i="1"/>
  <c r="O808" i="1" s="1"/>
  <c r="I812" i="1"/>
  <c r="M812" i="1"/>
  <c r="O812" i="1"/>
  <c r="I816" i="1"/>
  <c r="M816" i="1"/>
  <c r="O816" i="1" s="1"/>
  <c r="I820" i="1"/>
  <c r="M820" i="1"/>
  <c r="O820" i="1" s="1"/>
  <c r="I824" i="1"/>
  <c r="M824" i="1"/>
  <c r="O824" i="1"/>
  <c r="I828" i="1"/>
  <c r="M828" i="1"/>
  <c r="O828" i="1"/>
  <c r="I832" i="1"/>
  <c r="M832" i="1"/>
  <c r="O832" i="1" s="1"/>
  <c r="I836" i="1"/>
  <c r="M836" i="1"/>
  <c r="O836" i="1"/>
  <c r="I840" i="1"/>
  <c r="M840" i="1"/>
  <c r="O840" i="1" s="1"/>
  <c r="I844" i="1"/>
  <c r="M844" i="1"/>
  <c r="O844" i="1"/>
  <c r="I848" i="1"/>
  <c r="M848" i="1"/>
  <c r="O848" i="1" s="1"/>
  <c r="I852" i="1"/>
  <c r="M852" i="1"/>
  <c r="O852" i="1" s="1"/>
  <c r="I856" i="1"/>
  <c r="M856" i="1"/>
  <c r="O856" i="1"/>
  <c r="I860" i="1"/>
  <c r="M860" i="1"/>
  <c r="O860" i="1"/>
  <c r="I864" i="1"/>
  <c r="M864" i="1"/>
  <c r="O864" i="1" s="1"/>
  <c r="I868" i="1"/>
  <c r="M868" i="1"/>
  <c r="O868" i="1" s="1"/>
  <c r="I872" i="1"/>
  <c r="M872" i="1"/>
  <c r="O872" i="1" s="1"/>
  <c r="I876" i="1"/>
  <c r="M876" i="1"/>
  <c r="O876" i="1"/>
  <c r="I880" i="1"/>
  <c r="M880" i="1"/>
  <c r="O880" i="1" s="1"/>
  <c r="I884" i="1"/>
  <c r="M884" i="1"/>
  <c r="O884" i="1" s="1"/>
  <c r="I888" i="1"/>
  <c r="M888" i="1"/>
  <c r="O888" i="1"/>
  <c r="I892" i="1"/>
  <c r="M892" i="1"/>
  <c r="O892" i="1"/>
  <c r="I896" i="1"/>
  <c r="M896" i="1"/>
  <c r="O896" i="1" s="1"/>
  <c r="I900" i="1"/>
  <c r="M900" i="1"/>
  <c r="O900" i="1"/>
  <c r="I904" i="1"/>
  <c r="M904" i="1"/>
  <c r="O904" i="1" s="1"/>
  <c r="I908" i="1"/>
  <c r="M908" i="1"/>
  <c r="O908" i="1"/>
  <c r="I912" i="1"/>
  <c r="M912" i="1"/>
  <c r="O912" i="1" s="1"/>
  <c r="I916" i="1"/>
  <c r="M916" i="1"/>
  <c r="O916" i="1" s="1"/>
  <c r="I920" i="1"/>
  <c r="M920" i="1"/>
  <c r="O920" i="1"/>
  <c r="I924" i="1"/>
  <c r="M924" i="1"/>
  <c r="O924" i="1"/>
  <c r="I928" i="1"/>
  <c r="M928" i="1"/>
  <c r="O928" i="1"/>
  <c r="I932" i="1"/>
  <c r="M932" i="1"/>
  <c r="O932" i="1"/>
  <c r="I936" i="1"/>
  <c r="M936" i="1"/>
  <c r="O936" i="1" s="1"/>
  <c r="J940" i="1"/>
  <c r="J789" i="1" s="1"/>
  <c r="K940" i="1"/>
  <c r="L940" i="1"/>
  <c r="I941" i="1"/>
  <c r="M941" i="1"/>
  <c r="O941" i="1"/>
  <c r="I945" i="1"/>
  <c r="M945" i="1"/>
  <c r="O945" i="1" s="1"/>
  <c r="I949" i="1"/>
  <c r="M949" i="1"/>
  <c r="M940" i="1" s="1"/>
  <c r="O949" i="1"/>
  <c r="J953" i="1"/>
  <c r="K953" i="1"/>
  <c r="K789" i="1" s="1"/>
  <c r="L953" i="1"/>
  <c r="I954" i="1"/>
  <c r="M954" i="1"/>
  <c r="O954" i="1"/>
  <c r="I958" i="1"/>
  <c r="M958" i="1"/>
  <c r="O958" i="1"/>
  <c r="I962" i="1"/>
  <c r="M962" i="1"/>
  <c r="O962" i="1" s="1"/>
  <c r="I966" i="1"/>
  <c r="M966" i="1"/>
  <c r="O966" i="1"/>
  <c r="I970" i="1"/>
  <c r="M970" i="1"/>
  <c r="O970" i="1" s="1"/>
  <c r="I974" i="1"/>
  <c r="M974" i="1"/>
  <c r="O974" i="1"/>
  <c r="I978" i="1"/>
  <c r="M978" i="1"/>
  <c r="O978" i="1" s="1"/>
  <c r="I982" i="1"/>
  <c r="M982" i="1"/>
  <c r="O982" i="1" s="1"/>
  <c r="I986" i="1"/>
  <c r="M986" i="1"/>
  <c r="O986" i="1"/>
  <c r="I990" i="1"/>
  <c r="M990" i="1"/>
  <c r="O990" i="1"/>
  <c r="I994" i="1"/>
  <c r="M994" i="1"/>
  <c r="O994" i="1" s="1"/>
  <c r="I998" i="1"/>
  <c r="M998" i="1"/>
  <c r="O998" i="1"/>
  <c r="I1002" i="1"/>
  <c r="M1002" i="1"/>
  <c r="O1002" i="1" s="1"/>
  <c r="I1006" i="1"/>
  <c r="M1006" i="1"/>
  <c r="O1006" i="1"/>
  <c r="I1010" i="1"/>
  <c r="M1010" i="1"/>
  <c r="O1010" i="1" s="1"/>
  <c r="I1014" i="1"/>
  <c r="M1014" i="1"/>
  <c r="O1014" i="1" s="1"/>
  <c r="I1018" i="1"/>
  <c r="M1018" i="1"/>
  <c r="O1018" i="1"/>
  <c r="I1022" i="1"/>
  <c r="M1022" i="1"/>
  <c r="O1022" i="1"/>
  <c r="I1026" i="1"/>
  <c r="M1026" i="1"/>
  <c r="O1026" i="1"/>
  <c r="I1030" i="1"/>
  <c r="M1030" i="1"/>
  <c r="O1030" i="1" s="1"/>
  <c r="I1034" i="1"/>
  <c r="M1034" i="1"/>
  <c r="O1034" i="1" s="1"/>
  <c r="I1038" i="1"/>
  <c r="M1038" i="1"/>
  <c r="O1038" i="1"/>
  <c r="I1042" i="1"/>
  <c r="M1042" i="1"/>
  <c r="O1042" i="1" s="1"/>
  <c r="J1046" i="1"/>
  <c r="K1046" i="1"/>
  <c r="L1046" i="1"/>
  <c r="I1047" i="1"/>
  <c r="M1047" i="1"/>
  <c r="M1046" i="1" s="1"/>
  <c r="I1051" i="1"/>
  <c r="M1051" i="1"/>
  <c r="O1051" i="1" s="1"/>
  <c r="J1055" i="1"/>
  <c r="K1055" i="1"/>
  <c r="L1055" i="1"/>
  <c r="M1055" i="1"/>
  <c r="I1056" i="1"/>
  <c r="M1056" i="1"/>
  <c r="O1056" i="1"/>
  <c r="J1060" i="1"/>
  <c r="K1060" i="1"/>
  <c r="L1060" i="1"/>
  <c r="I1061" i="1"/>
  <c r="M1061" i="1"/>
  <c r="J1066" i="1"/>
  <c r="K1066" i="1"/>
  <c r="L1066" i="1"/>
  <c r="I1067" i="1"/>
  <c r="M1067" i="1"/>
  <c r="I1071" i="1"/>
  <c r="M1071" i="1"/>
  <c r="O1071" i="1"/>
  <c r="I1075" i="1"/>
  <c r="M1075" i="1"/>
  <c r="O1075" i="1"/>
  <c r="I1079" i="1"/>
  <c r="M1079" i="1"/>
  <c r="O1079" i="1" s="1"/>
  <c r="I1083" i="1"/>
  <c r="M1083" i="1"/>
  <c r="O1083" i="1"/>
  <c r="J1087" i="1"/>
  <c r="K1087" i="1"/>
  <c r="L1087" i="1"/>
  <c r="I1088" i="1"/>
  <c r="M1088" i="1"/>
  <c r="M1087" i="1" s="1"/>
  <c r="O1088" i="1"/>
  <c r="I1092" i="1"/>
  <c r="M1092" i="1"/>
  <c r="O1092" i="1"/>
  <c r="J1096" i="1"/>
  <c r="K1096" i="1"/>
  <c r="L1096" i="1"/>
  <c r="I1097" i="1"/>
  <c r="M1097" i="1"/>
  <c r="I1101" i="1"/>
  <c r="M1101" i="1"/>
  <c r="O1101" i="1" s="1"/>
  <c r="J1105" i="1"/>
  <c r="K1105" i="1"/>
  <c r="L1105" i="1"/>
  <c r="I1106" i="1"/>
  <c r="M1106" i="1"/>
  <c r="O1106" i="1"/>
  <c r="I1110" i="1"/>
  <c r="M1110" i="1"/>
  <c r="O1110" i="1"/>
  <c r="I1114" i="1"/>
  <c r="M1114" i="1"/>
  <c r="O1114" i="1" s="1"/>
  <c r="I1118" i="1"/>
  <c r="M1118" i="1"/>
  <c r="O1118" i="1" s="1"/>
  <c r="I1122" i="1"/>
  <c r="M1122" i="1"/>
  <c r="O1122" i="1"/>
  <c r="I1126" i="1"/>
  <c r="M1126" i="1"/>
  <c r="O1126" i="1"/>
  <c r="I1130" i="1"/>
  <c r="M1130" i="1"/>
  <c r="O1130" i="1"/>
  <c r="I1134" i="1"/>
  <c r="M1134" i="1"/>
  <c r="O1134" i="1"/>
  <c r="I1138" i="1"/>
  <c r="M1138" i="1"/>
  <c r="O1138" i="1"/>
  <c r="I1142" i="1"/>
  <c r="M1142" i="1"/>
  <c r="O1142" i="1"/>
  <c r="I1146" i="1"/>
  <c r="M1146" i="1"/>
  <c r="O1146" i="1" s="1"/>
  <c r="I1150" i="1"/>
  <c r="M1150" i="1"/>
  <c r="O1150" i="1" s="1"/>
  <c r="I1154" i="1"/>
  <c r="M1154" i="1"/>
  <c r="O1154" i="1"/>
  <c r="I1158" i="1"/>
  <c r="M1158" i="1"/>
  <c r="O1158" i="1"/>
  <c r="I1162" i="1"/>
  <c r="M1162" i="1"/>
  <c r="O1162" i="1" s="1"/>
  <c r="I1166" i="1"/>
  <c r="M1166" i="1"/>
  <c r="O1166" i="1" s="1"/>
  <c r="I1170" i="1"/>
  <c r="M1170" i="1"/>
  <c r="O1170" i="1"/>
  <c r="I1174" i="1"/>
  <c r="M1174" i="1"/>
  <c r="O1174" i="1" s="1"/>
  <c r="I1178" i="1"/>
  <c r="M1178" i="1"/>
  <c r="O1178" i="1" s="1"/>
  <c r="I1182" i="1"/>
  <c r="M1182" i="1"/>
  <c r="O1182" i="1" s="1"/>
  <c r="I1186" i="1"/>
  <c r="M1186" i="1"/>
  <c r="O1186" i="1"/>
  <c r="I1190" i="1"/>
  <c r="M1190" i="1"/>
  <c r="O1190" i="1"/>
  <c r="I1194" i="1"/>
  <c r="M1194" i="1"/>
  <c r="O1194" i="1" s="1"/>
  <c r="I1198" i="1"/>
  <c r="M1198" i="1"/>
  <c r="O1198" i="1"/>
  <c r="J1202" i="1"/>
  <c r="K1202" i="1"/>
  <c r="L1202" i="1"/>
  <c r="I1203" i="1"/>
  <c r="M1203" i="1"/>
  <c r="O1203" i="1"/>
  <c r="I1207" i="1"/>
  <c r="M1207" i="1"/>
  <c r="O1207" i="1"/>
  <c r="I1211" i="1"/>
  <c r="M1211" i="1"/>
  <c r="O1211" i="1" s="1"/>
  <c r="I1215" i="1"/>
  <c r="M1215" i="1"/>
  <c r="O1215" i="1" s="1"/>
  <c r="I1219" i="1"/>
  <c r="M1219" i="1"/>
  <c r="O1219" i="1"/>
  <c r="I1223" i="1"/>
  <c r="M1223" i="1"/>
  <c r="O1223" i="1"/>
  <c r="I1227" i="1"/>
  <c r="M1227" i="1"/>
  <c r="O1227" i="1" s="1"/>
  <c r="I1231" i="1"/>
  <c r="M1231" i="1"/>
  <c r="O1231" i="1" s="1"/>
  <c r="I1235" i="1"/>
  <c r="M1235" i="1"/>
  <c r="O1235" i="1"/>
  <c r="I1239" i="1"/>
  <c r="M1239" i="1"/>
  <c r="O1239" i="1"/>
  <c r="I1243" i="1"/>
  <c r="M1243" i="1"/>
  <c r="O1243" i="1" s="1"/>
  <c r="I1247" i="1"/>
  <c r="M1247" i="1"/>
  <c r="O1247" i="1"/>
  <c r="I1251" i="1"/>
  <c r="M1251" i="1"/>
  <c r="O1251" i="1"/>
  <c r="I1255" i="1"/>
  <c r="M1255" i="1"/>
  <c r="O1255" i="1" s="1"/>
  <c r="I1259" i="1"/>
  <c r="M1259" i="1"/>
  <c r="O1259" i="1" s="1"/>
  <c r="I1263" i="1"/>
  <c r="M1263" i="1"/>
  <c r="O1263" i="1" s="1"/>
  <c r="I1267" i="1"/>
  <c r="M1267" i="1"/>
  <c r="O1267" i="1"/>
  <c r="I1271" i="1"/>
  <c r="M1271" i="1"/>
  <c r="O1271" i="1"/>
  <c r="I1275" i="1"/>
  <c r="M1275" i="1"/>
  <c r="O1275" i="1" s="1"/>
  <c r="I1279" i="1"/>
  <c r="M1279" i="1"/>
  <c r="O1279" i="1" s="1"/>
  <c r="I1283" i="1"/>
  <c r="M1283" i="1"/>
  <c r="O1283" i="1"/>
  <c r="I1287" i="1"/>
  <c r="M1287" i="1"/>
  <c r="O1287" i="1" s="1"/>
  <c r="I1291" i="1"/>
  <c r="M1291" i="1"/>
  <c r="O1291" i="1" s="1"/>
  <c r="I1295" i="1"/>
  <c r="M1295" i="1"/>
  <c r="O1295" i="1" s="1"/>
  <c r="I1299" i="1"/>
  <c r="M1299" i="1"/>
  <c r="O1299" i="1"/>
  <c r="I1303" i="1"/>
  <c r="M1303" i="1"/>
  <c r="O1303" i="1"/>
  <c r="I1307" i="1"/>
  <c r="M1307" i="1"/>
  <c r="O1307" i="1" s="1"/>
  <c r="I1311" i="1"/>
  <c r="M1311" i="1"/>
  <c r="O1311" i="1"/>
  <c r="I1315" i="1"/>
  <c r="M1315" i="1"/>
  <c r="O1315" i="1"/>
  <c r="I1319" i="1"/>
  <c r="M1319" i="1"/>
  <c r="O1319" i="1" s="1"/>
  <c r="I1323" i="1"/>
  <c r="M1323" i="1"/>
  <c r="O1323" i="1" s="1"/>
  <c r="I1327" i="1"/>
  <c r="M1327" i="1"/>
  <c r="O1327" i="1" s="1"/>
  <c r="I1331" i="1"/>
  <c r="M1331" i="1"/>
  <c r="O1331" i="1"/>
  <c r="I1335" i="1"/>
  <c r="M1335" i="1"/>
  <c r="O1335" i="1"/>
  <c r="I1339" i="1"/>
  <c r="M1339" i="1"/>
  <c r="O1339" i="1" s="1"/>
  <c r="I1343" i="1"/>
  <c r="M1343" i="1"/>
  <c r="O1343" i="1" s="1"/>
  <c r="I1347" i="1"/>
  <c r="M1347" i="1"/>
  <c r="O1347" i="1"/>
  <c r="J1351" i="1"/>
  <c r="K1351" i="1"/>
  <c r="L1351" i="1"/>
  <c r="I1352" i="1"/>
  <c r="M1352" i="1"/>
  <c r="O1352" i="1"/>
  <c r="I1356" i="1"/>
  <c r="M1356" i="1"/>
  <c r="O1356" i="1" s="1"/>
  <c r="I1360" i="1"/>
  <c r="M1360" i="1"/>
  <c r="M1351" i="1" s="1"/>
  <c r="I1364" i="1"/>
  <c r="M1364" i="1"/>
  <c r="O1364" i="1"/>
  <c r="I1368" i="1"/>
  <c r="M1368" i="1"/>
  <c r="O1368" i="1"/>
  <c r="I1372" i="1"/>
  <c r="M1372" i="1"/>
  <c r="O1372" i="1" s="1"/>
  <c r="I1376" i="1"/>
  <c r="M1376" i="1"/>
  <c r="O1376" i="1" s="1"/>
  <c r="I1380" i="1"/>
  <c r="M1380" i="1"/>
  <c r="O1380" i="1"/>
  <c r="I1384" i="1"/>
  <c r="M1384" i="1"/>
  <c r="O1384" i="1"/>
  <c r="I1388" i="1"/>
  <c r="M1388" i="1"/>
  <c r="O1388" i="1" s="1"/>
  <c r="I1392" i="1"/>
  <c r="M1392" i="1"/>
  <c r="O1392" i="1"/>
  <c r="I1396" i="1"/>
  <c r="M1396" i="1"/>
  <c r="O1396" i="1"/>
  <c r="I1400" i="1"/>
  <c r="M1400" i="1"/>
  <c r="O1400" i="1"/>
  <c r="I1404" i="1"/>
  <c r="M1404" i="1"/>
  <c r="O1404" i="1" s="1"/>
  <c r="I1408" i="1"/>
  <c r="M1408" i="1"/>
  <c r="O1408" i="1" s="1"/>
  <c r="I1412" i="1"/>
  <c r="M1412" i="1"/>
  <c r="O1412" i="1"/>
  <c r="I1416" i="1"/>
  <c r="M1416" i="1"/>
  <c r="O1416" i="1"/>
  <c r="I1420" i="1"/>
  <c r="M1420" i="1"/>
  <c r="O1420" i="1" s="1"/>
  <c r="J1424" i="1"/>
  <c r="K1424" i="1"/>
  <c r="L1424" i="1"/>
  <c r="I1425" i="1"/>
  <c r="M1425" i="1"/>
  <c r="I1429" i="1"/>
  <c r="M1429" i="1"/>
  <c r="O1429" i="1"/>
  <c r="I1433" i="1"/>
  <c r="M1433" i="1"/>
  <c r="O1433" i="1"/>
  <c r="I1437" i="1"/>
  <c r="M1437" i="1"/>
  <c r="O1437" i="1" s="1"/>
  <c r="J1441" i="1"/>
  <c r="K1441" i="1"/>
  <c r="L1441" i="1"/>
  <c r="I1442" i="1"/>
  <c r="M1442" i="1"/>
  <c r="I1446" i="1"/>
  <c r="M1446" i="1"/>
  <c r="O1446" i="1"/>
  <c r="I1450" i="1"/>
  <c r="M1450" i="1"/>
  <c r="O1450" i="1" s="1"/>
  <c r="I1454" i="1"/>
  <c r="M1454" i="1"/>
  <c r="O1454" i="1"/>
  <c r="I1458" i="1"/>
  <c r="M1458" i="1"/>
  <c r="O1458" i="1" s="1"/>
  <c r="I1462" i="1"/>
  <c r="M1462" i="1"/>
  <c r="O1462" i="1"/>
  <c r="I1466" i="1"/>
  <c r="M1466" i="1"/>
  <c r="O1466" i="1"/>
  <c r="I1470" i="1"/>
  <c r="M1470" i="1"/>
  <c r="O1470" i="1" s="1"/>
  <c r="I1474" i="1"/>
  <c r="M1474" i="1"/>
  <c r="O1474" i="1" s="1"/>
  <c r="I1478" i="1"/>
  <c r="M1478" i="1"/>
  <c r="O1478" i="1"/>
  <c r="I1482" i="1"/>
  <c r="M1482" i="1"/>
  <c r="O1482" i="1" s="1"/>
  <c r="I1486" i="1"/>
  <c r="M1486" i="1"/>
  <c r="O1486" i="1" s="1"/>
  <c r="I1490" i="1"/>
  <c r="M1490" i="1"/>
  <c r="O1490" i="1" s="1"/>
  <c r="I1494" i="1"/>
  <c r="M1494" i="1"/>
  <c r="O1494" i="1"/>
  <c r="I1498" i="1"/>
  <c r="M1498" i="1"/>
  <c r="O1498" i="1" s="1"/>
  <c r="I1502" i="1"/>
  <c r="M1502" i="1"/>
  <c r="O1502" i="1" s="1"/>
  <c r="I1506" i="1"/>
  <c r="M1506" i="1"/>
  <c r="O1506" i="1" s="1"/>
  <c r="I1510" i="1"/>
  <c r="M1510" i="1"/>
  <c r="O1510" i="1"/>
  <c r="I1514" i="1"/>
  <c r="M1514" i="1"/>
  <c r="O1514" i="1" s="1"/>
  <c r="I1518" i="1"/>
  <c r="M1518" i="1"/>
  <c r="O1518" i="1" s="1"/>
  <c r="J1522" i="1"/>
  <c r="K1522" i="1"/>
  <c r="L1522" i="1"/>
  <c r="I1523" i="1"/>
  <c r="M1523" i="1"/>
  <c r="I1527" i="1"/>
  <c r="M1527" i="1"/>
  <c r="O1527" i="1"/>
  <c r="I1531" i="1"/>
  <c r="M1531" i="1"/>
  <c r="O1531" i="1" s="1"/>
  <c r="I1535" i="1"/>
  <c r="M1535" i="1"/>
  <c r="O1535" i="1"/>
  <c r="I1539" i="1"/>
  <c r="M1539" i="1"/>
  <c r="O1539" i="1" s="1"/>
  <c r="I1543" i="1"/>
  <c r="M1543" i="1"/>
  <c r="O1543" i="1"/>
  <c r="I1547" i="1"/>
  <c r="M1547" i="1"/>
  <c r="O1547" i="1" s="1"/>
  <c r="I1551" i="1"/>
  <c r="M1551" i="1"/>
  <c r="O1551" i="1" s="1"/>
  <c r="I1555" i="1"/>
  <c r="M1555" i="1"/>
  <c r="O1555" i="1" s="1"/>
  <c r="J1559" i="1"/>
  <c r="K1559" i="1"/>
  <c r="L1559" i="1"/>
  <c r="M1559" i="1"/>
  <c r="I1560" i="1"/>
  <c r="M1560" i="1"/>
  <c r="O1560" i="1"/>
  <c r="I1564" i="1"/>
  <c r="M1564" i="1"/>
  <c r="O1564" i="1" s="1"/>
  <c r="I1568" i="1"/>
  <c r="M1568" i="1"/>
  <c r="O1568" i="1" s="1"/>
  <c r="J1572" i="1"/>
  <c r="K1572" i="1"/>
  <c r="L1572" i="1"/>
  <c r="I1573" i="1"/>
  <c r="M1573" i="1"/>
  <c r="O1573" i="1"/>
  <c r="I1577" i="1"/>
  <c r="M1577" i="1"/>
  <c r="O1577" i="1"/>
  <c r="I1581" i="1"/>
  <c r="M1581" i="1"/>
  <c r="O1581" i="1" s="1"/>
  <c r="I1585" i="1"/>
  <c r="M1585" i="1"/>
  <c r="O1585" i="1" s="1"/>
  <c r="J1589" i="1"/>
  <c r="K1589" i="1"/>
  <c r="L1589" i="1"/>
  <c r="I1590" i="1"/>
  <c r="M1590" i="1"/>
  <c r="O1590" i="1"/>
  <c r="I1594" i="1"/>
  <c r="M1594" i="1"/>
  <c r="O1594" i="1"/>
  <c r="I1598" i="1"/>
  <c r="M1598" i="1"/>
  <c r="O1598" i="1" s="1"/>
  <c r="I1602" i="1"/>
  <c r="M1602" i="1"/>
  <c r="O1602" i="1" s="1"/>
  <c r="I1606" i="1"/>
  <c r="M1606" i="1"/>
  <c r="O1606" i="1" s="1"/>
  <c r="I1610" i="1"/>
  <c r="M1610" i="1"/>
  <c r="O1610" i="1"/>
  <c r="I1614" i="1"/>
  <c r="M1614" i="1"/>
  <c r="O1614" i="1" s="1"/>
  <c r="J1618" i="1"/>
  <c r="K1618" i="1"/>
  <c r="L1618" i="1"/>
  <c r="I1619" i="1"/>
  <c r="M1619" i="1"/>
  <c r="I1623" i="1"/>
  <c r="M1623" i="1"/>
  <c r="O1623" i="1" s="1"/>
  <c r="I1627" i="1"/>
  <c r="M1627" i="1"/>
  <c r="O1627" i="1"/>
  <c r="J1631" i="1"/>
  <c r="K1631" i="1"/>
  <c r="L1631" i="1"/>
  <c r="M1631" i="1"/>
  <c r="I1632" i="1"/>
  <c r="M1632" i="1"/>
  <c r="O1632" i="1" s="1"/>
  <c r="J1636" i="1"/>
  <c r="K1636" i="1"/>
  <c r="L1636" i="1"/>
  <c r="I1637" i="1"/>
  <c r="M1637" i="1"/>
  <c r="M1636" i="1" s="1"/>
  <c r="J1641" i="1"/>
  <c r="K1641" i="1"/>
  <c r="L1641" i="1"/>
  <c r="I1642" i="1"/>
  <c r="M1642" i="1"/>
  <c r="I1646" i="1"/>
  <c r="M1646" i="1"/>
  <c r="O1646" i="1"/>
  <c r="J1651" i="1"/>
  <c r="K1651" i="1"/>
  <c r="L1651" i="1"/>
  <c r="L1650" i="1" s="1"/>
  <c r="I1652" i="1"/>
  <c r="M1652" i="1"/>
  <c r="O1652" i="1" s="1"/>
  <c r="I1656" i="1"/>
  <c r="M1656" i="1"/>
  <c r="O1656" i="1" s="1"/>
  <c r="I1660" i="1"/>
  <c r="M1660" i="1"/>
  <c r="O1660" i="1"/>
  <c r="I1664" i="1"/>
  <c r="M1664" i="1"/>
  <c r="O1664" i="1"/>
  <c r="I1668" i="1"/>
  <c r="M1668" i="1"/>
  <c r="O1668" i="1"/>
  <c r="I1672" i="1"/>
  <c r="M1672" i="1"/>
  <c r="O1672" i="1" s="1"/>
  <c r="I1676" i="1"/>
  <c r="M1676" i="1"/>
  <c r="O1676" i="1" s="1"/>
  <c r="I1680" i="1"/>
  <c r="M1680" i="1"/>
  <c r="O1680" i="1"/>
  <c r="I1684" i="1"/>
  <c r="M1684" i="1"/>
  <c r="O1684" i="1" s="1"/>
  <c r="I1688" i="1"/>
  <c r="M1688" i="1"/>
  <c r="O1688" i="1"/>
  <c r="I1692" i="1"/>
  <c r="M1692" i="1"/>
  <c r="O1692" i="1" s="1"/>
  <c r="I1696" i="1"/>
  <c r="M1696" i="1"/>
  <c r="O1696" i="1"/>
  <c r="I1700" i="1"/>
  <c r="M1700" i="1"/>
  <c r="O1700" i="1"/>
  <c r="J1704" i="1"/>
  <c r="J1650" i="1" s="1"/>
  <c r="K1704" i="1"/>
  <c r="L1704" i="1"/>
  <c r="I1705" i="1"/>
  <c r="M1705" i="1"/>
  <c r="M1704" i="1" s="1"/>
  <c r="I1709" i="1"/>
  <c r="M1709" i="1"/>
  <c r="O1709" i="1"/>
  <c r="I1713" i="1"/>
  <c r="M1713" i="1"/>
  <c r="O1713" i="1"/>
  <c r="I1717" i="1"/>
  <c r="M1717" i="1"/>
  <c r="O1717" i="1" s="1"/>
  <c r="J1721" i="1"/>
  <c r="K1721" i="1"/>
  <c r="L1721" i="1"/>
  <c r="I1722" i="1"/>
  <c r="M1722" i="1"/>
  <c r="I1726" i="1"/>
  <c r="M1726" i="1"/>
  <c r="O1726" i="1"/>
  <c r="I1730" i="1"/>
  <c r="M1730" i="1"/>
  <c r="O1730" i="1"/>
  <c r="I1734" i="1"/>
  <c r="M1734" i="1"/>
  <c r="O1734" i="1" s="1"/>
  <c r="I1738" i="1"/>
  <c r="M1738" i="1"/>
  <c r="O1738" i="1" s="1"/>
  <c r="I1742" i="1"/>
  <c r="M1742" i="1"/>
  <c r="O1742" i="1" s="1"/>
  <c r="I1746" i="1"/>
  <c r="M1746" i="1"/>
  <c r="O1746" i="1"/>
  <c r="I1750" i="1"/>
  <c r="M1750" i="1"/>
  <c r="O1750" i="1" s="1"/>
  <c r="I1754" i="1"/>
  <c r="M1754" i="1"/>
  <c r="O1754" i="1" s="1"/>
  <c r="I1758" i="1"/>
  <c r="M1758" i="1"/>
  <c r="O1758" i="1"/>
  <c r="J1762" i="1"/>
  <c r="K1762" i="1"/>
  <c r="L1762" i="1"/>
  <c r="I1763" i="1"/>
  <c r="M1763" i="1"/>
  <c r="M1762" i="1" s="1"/>
  <c r="O1763" i="1"/>
  <c r="I1767" i="1"/>
  <c r="M1767" i="1"/>
  <c r="O1767" i="1" s="1"/>
  <c r="I1771" i="1"/>
  <c r="M1771" i="1"/>
  <c r="O1771" i="1" s="1"/>
  <c r="I1775" i="1"/>
  <c r="M1775" i="1"/>
  <c r="O1775" i="1"/>
  <c r="I1779" i="1"/>
  <c r="M1779" i="1"/>
  <c r="O1779" i="1"/>
  <c r="I1783" i="1"/>
  <c r="M1783" i="1"/>
  <c r="O1783" i="1" s="1"/>
  <c r="I1787" i="1"/>
  <c r="M1787" i="1"/>
  <c r="O1787" i="1" s="1"/>
  <c r="I1791" i="1"/>
  <c r="M1791" i="1"/>
  <c r="O1791" i="1" s="1"/>
  <c r="I1795" i="1"/>
  <c r="M1795" i="1"/>
  <c r="O1795" i="1"/>
  <c r="I1799" i="1"/>
  <c r="M1799" i="1"/>
  <c r="O1799" i="1" s="1"/>
  <c r="I1803" i="1"/>
  <c r="M1803" i="1"/>
  <c r="O1803" i="1" s="1"/>
  <c r="I1807" i="1"/>
  <c r="M1807" i="1"/>
  <c r="O1807" i="1"/>
  <c r="J1811" i="1"/>
  <c r="K1811" i="1"/>
  <c r="L1811" i="1"/>
  <c r="I1812" i="1"/>
  <c r="M1812" i="1"/>
  <c r="O1812" i="1"/>
  <c r="I1816" i="1"/>
  <c r="M1816" i="1"/>
  <c r="O1816" i="1" s="1"/>
  <c r="I1820" i="1"/>
  <c r="M1820" i="1"/>
  <c r="O1820" i="1" s="1"/>
  <c r="I1824" i="1"/>
  <c r="M1824" i="1"/>
  <c r="O1824" i="1"/>
  <c r="I1828" i="1"/>
  <c r="M1828" i="1"/>
  <c r="O1828" i="1"/>
  <c r="I1832" i="1"/>
  <c r="M1832" i="1"/>
  <c r="O1832" i="1" s="1"/>
  <c r="I1836" i="1"/>
  <c r="M1836" i="1"/>
  <c r="O1836" i="1" s="1"/>
  <c r="I1840" i="1"/>
  <c r="M1840" i="1"/>
  <c r="O1840" i="1" s="1"/>
  <c r="I1844" i="1"/>
  <c r="M1844" i="1"/>
  <c r="O1844" i="1"/>
  <c r="I1848" i="1"/>
  <c r="M1848" i="1"/>
  <c r="O1848" i="1" s="1"/>
  <c r="I1852" i="1"/>
  <c r="M1852" i="1"/>
  <c r="O1852" i="1" s="1"/>
  <c r="I1856" i="1"/>
  <c r="M1856" i="1"/>
  <c r="O1856" i="1"/>
  <c r="I1860" i="1"/>
  <c r="M1860" i="1"/>
  <c r="O1860" i="1"/>
  <c r="I1864" i="1"/>
  <c r="M1864" i="1"/>
  <c r="O1864" i="1" s="1"/>
  <c r="I1868" i="1"/>
  <c r="M1868" i="1"/>
  <c r="O1868" i="1" s="1"/>
  <c r="I1872" i="1"/>
  <c r="M1872" i="1"/>
  <c r="O1872" i="1" s="1"/>
  <c r="I1876" i="1"/>
  <c r="M1876" i="1"/>
  <c r="O1876" i="1"/>
  <c r="I1880" i="1"/>
  <c r="M1880" i="1"/>
  <c r="O1880" i="1" s="1"/>
  <c r="I1884" i="1"/>
  <c r="M1884" i="1"/>
  <c r="O1884" i="1" s="1"/>
  <c r="I1888" i="1"/>
  <c r="M1888" i="1"/>
  <c r="O1888" i="1"/>
  <c r="I1892" i="1"/>
  <c r="M1892" i="1"/>
  <c r="O1892" i="1"/>
  <c r="J1897" i="1"/>
  <c r="J1896" i="1" s="1"/>
  <c r="K1897" i="1"/>
  <c r="K1896" i="1" s="1"/>
  <c r="L1897" i="1"/>
  <c r="L1896" i="1" s="1"/>
  <c r="I1898" i="1"/>
  <c r="M1898" i="1"/>
  <c r="O1898" i="1" s="1"/>
  <c r="I1902" i="1"/>
  <c r="M1902" i="1"/>
  <c r="O1902" i="1" s="1"/>
  <c r="I1906" i="1"/>
  <c r="M1906" i="1"/>
  <c r="O1906" i="1" s="1"/>
  <c r="I1910" i="1"/>
  <c r="M1910" i="1"/>
  <c r="O1910" i="1"/>
  <c r="I1914" i="1"/>
  <c r="M1914" i="1"/>
  <c r="O1914" i="1"/>
  <c r="I1918" i="1"/>
  <c r="M1918" i="1"/>
  <c r="O1918" i="1" s="1"/>
  <c r="I1922" i="1"/>
  <c r="M1922" i="1"/>
  <c r="O1922" i="1" s="1"/>
  <c r="I1926" i="1"/>
  <c r="M1926" i="1"/>
  <c r="O1926" i="1"/>
  <c r="I1930" i="1"/>
  <c r="M1930" i="1"/>
  <c r="O1930" i="1"/>
  <c r="I1934" i="1"/>
  <c r="M1934" i="1"/>
  <c r="O1934" i="1" s="1"/>
  <c r="I1938" i="1"/>
  <c r="M1938" i="1"/>
  <c r="O1938" i="1" s="1"/>
  <c r="I1942" i="1"/>
  <c r="M1942" i="1"/>
  <c r="O1942" i="1"/>
  <c r="I1946" i="1"/>
  <c r="M1946" i="1"/>
  <c r="O1946" i="1"/>
  <c r="I1950" i="1"/>
  <c r="M1950" i="1"/>
  <c r="O1950" i="1" s="1"/>
  <c r="I1954" i="1"/>
  <c r="M1954" i="1"/>
  <c r="O1954" i="1"/>
  <c r="I1958" i="1"/>
  <c r="M1958" i="1"/>
  <c r="O1958" i="1"/>
  <c r="I1962" i="1"/>
  <c r="M1962" i="1"/>
  <c r="O1962" i="1" s="1"/>
  <c r="I1966" i="1"/>
  <c r="M1966" i="1"/>
  <c r="O1966" i="1" s="1"/>
  <c r="I1970" i="1"/>
  <c r="M1970" i="1"/>
  <c r="O1970" i="1" s="1"/>
  <c r="I1974" i="1"/>
  <c r="M1974" i="1"/>
  <c r="O1974" i="1"/>
  <c r="I1978" i="1"/>
  <c r="M1978" i="1"/>
  <c r="O1978" i="1"/>
  <c r="I1982" i="1"/>
  <c r="M1982" i="1"/>
  <c r="O1982" i="1"/>
  <c r="I1986" i="1"/>
  <c r="M1986" i="1"/>
  <c r="O1986" i="1" s="1"/>
  <c r="I1990" i="1"/>
  <c r="M1990" i="1"/>
  <c r="O1990" i="1"/>
  <c r="I1994" i="1"/>
  <c r="M1994" i="1"/>
  <c r="O1994" i="1" s="1"/>
  <c r="I1998" i="1"/>
  <c r="M1998" i="1"/>
  <c r="O1998" i="1" s="1"/>
  <c r="I2002" i="1"/>
  <c r="M2002" i="1"/>
  <c r="O2002" i="1" s="1"/>
  <c r="I2006" i="1"/>
  <c r="M2006" i="1"/>
  <c r="O2006" i="1"/>
  <c r="I2010" i="1"/>
  <c r="M2010" i="1"/>
  <c r="O2010" i="1"/>
  <c r="I2014" i="1"/>
  <c r="M2014" i="1"/>
  <c r="O2014" i="1"/>
  <c r="I2018" i="1"/>
  <c r="M2018" i="1"/>
  <c r="O2018" i="1"/>
  <c r="I2022" i="1"/>
  <c r="M2022" i="1"/>
  <c r="O2022" i="1"/>
  <c r="I2026" i="1"/>
  <c r="M2026" i="1"/>
  <c r="O2026" i="1" s="1"/>
  <c r="I2030" i="1"/>
  <c r="M2030" i="1"/>
  <c r="O2030" i="1" s="1"/>
  <c r="I2034" i="1"/>
  <c r="M2034" i="1"/>
  <c r="O2034" i="1" s="1"/>
  <c r="I2038" i="1"/>
  <c r="M2038" i="1"/>
  <c r="O2038" i="1"/>
  <c r="I2042" i="1"/>
  <c r="M2042" i="1"/>
  <c r="O2042" i="1"/>
  <c r="I2046" i="1"/>
  <c r="M2046" i="1"/>
  <c r="O2046" i="1"/>
  <c r="I2050" i="1"/>
  <c r="M2050" i="1"/>
  <c r="O2050" i="1"/>
  <c r="I2054" i="1"/>
  <c r="M2054" i="1"/>
  <c r="O2054" i="1"/>
  <c r="I2058" i="1"/>
  <c r="M2058" i="1"/>
  <c r="O2058" i="1" s="1"/>
  <c r="I2062" i="1"/>
  <c r="M2062" i="1"/>
  <c r="O2062" i="1" s="1"/>
  <c r="I2066" i="1"/>
  <c r="M2066" i="1"/>
  <c r="O2066" i="1" s="1"/>
  <c r="I2070" i="1"/>
  <c r="M2070" i="1"/>
  <c r="O2070" i="1"/>
  <c r="I2074" i="1"/>
  <c r="M2074" i="1"/>
  <c r="O2074" i="1"/>
  <c r="I2078" i="1"/>
  <c r="M2078" i="1"/>
  <c r="O2078" i="1"/>
  <c r="I2082" i="1"/>
  <c r="M2082" i="1"/>
  <c r="O2082" i="1"/>
  <c r="I2086" i="1"/>
  <c r="M2086" i="1"/>
  <c r="O2086" i="1"/>
  <c r="I2090" i="1"/>
  <c r="M2090" i="1"/>
  <c r="O2090" i="1" s="1"/>
  <c r="I2094" i="1"/>
  <c r="M2094" i="1"/>
  <c r="O2094" i="1" s="1"/>
  <c r="I2098" i="1"/>
  <c r="M2098" i="1"/>
  <c r="O2098" i="1" s="1"/>
  <c r="I2102" i="1"/>
  <c r="M2102" i="1"/>
  <c r="O2102" i="1"/>
  <c r="J2107" i="1"/>
  <c r="K2107" i="1"/>
  <c r="L2107" i="1"/>
  <c r="I2108" i="1"/>
  <c r="M2108" i="1"/>
  <c r="O2108" i="1"/>
  <c r="I2112" i="1"/>
  <c r="M2112" i="1"/>
  <c r="O2112" i="1"/>
  <c r="I2116" i="1"/>
  <c r="M2116" i="1"/>
  <c r="M2107" i="1" s="1"/>
  <c r="O2116" i="1"/>
  <c r="I2120" i="1"/>
  <c r="M2120" i="1"/>
  <c r="O2120" i="1"/>
  <c r="I2124" i="1"/>
  <c r="M2124" i="1"/>
  <c r="O2124" i="1" s="1"/>
  <c r="I2128" i="1"/>
  <c r="M2128" i="1"/>
  <c r="O2128" i="1" s="1"/>
  <c r="J2132" i="1"/>
  <c r="K2132" i="1"/>
  <c r="L2132" i="1"/>
  <c r="I2133" i="1"/>
  <c r="M2133" i="1"/>
  <c r="M2132" i="1" s="1"/>
  <c r="I2137" i="1"/>
  <c r="M2137" i="1"/>
  <c r="O2137" i="1"/>
  <c r="I2141" i="1"/>
  <c r="M2141" i="1"/>
  <c r="O2141" i="1" s="1"/>
  <c r="I2145" i="1"/>
  <c r="M2145" i="1"/>
  <c r="O2145" i="1" s="1"/>
  <c r="I2149" i="1"/>
  <c r="M2149" i="1"/>
  <c r="O2149" i="1" s="1"/>
  <c r="I2153" i="1"/>
  <c r="M2153" i="1"/>
  <c r="O2153" i="1"/>
  <c r="J2157" i="1"/>
  <c r="J2106" i="1" s="1"/>
  <c r="K2157" i="1"/>
  <c r="L2157" i="1"/>
  <c r="I2158" i="1"/>
  <c r="M2158" i="1"/>
  <c r="O2158" i="1" s="1"/>
  <c r="I2162" i="1"/>
  <c r="M2162" i="1"/>
  <c r="O2162" i="1" s="1"/>
  <c r="I2166" i="1"/>
  <c r="M2166" i="1"/>
  <c r="O2166" i="1" s="1"/>
  <c r="I2170" i="1"/>
  <c r="M2170" i="1"/>
  <c r="O2170" i="1"/>
  <c r="I2174" i="1"/>
  <c r="M2174" i="1"/>
  <c r="O2174" i="1"/>
  <c r="J2178" i="1"/>
  <c r="K2178" i="1"/>
  <c r="L2178" i="1"/>
  <c r="I2179" i="1"/>
  <c r="M2179" i="1"/>
  <c r="I2183" i="1"/>
  <c r="M2183" i="1"/>
  <c r="O2183" i="1" s="1"/>
  <c r="I2187" i="1"/>
  <c r="M2187" i="1"/>
  <c r="O2187" i="1"/>
  <c r="I2191" i="1"/>
  <c r="M2191" i="1"/>
  <c r="O2191" i="1"/>
  <c r="I2195" i="1"/>
  <c r="M2195" i="1"/>
  <c r="O2195" i="1"/>
  <c r="J2200" i="1"/>
  <c r="K2200" i="1"/>
  <c r="K2199" i="1" s="1"/>
  <c r="L2200" i="1"/>
  <c r="I2201" i="1"/>
  <c r="M2201" i="1"/>
  <c r="O2201" i="1"/>
  <c r="I2205" i="1"/>
  <c r="M2205" i="1"/>
  <c r="O2205" i="1"/>
  <c r="I2209" i="1"/>
  <c r="M2209" i="1"/>
  <c r="O2209" i="1" s="1"/>
  <c r="I2213" i="1"/>
  <c r="M2213" i="1"/>
  <c r="O2213" i="1" s="1"/>
  <c r="I2217" i="1"/>
  <c r="M2217" i="1"/>
  <c r="O2217" i="1" s="1"/>
  <c r="J2221" i="1"/>
  <c r="K2221" i="1"/>
  <c r="L2221" i="1"/>
  <c r="L2199" i="1" s="1"/>
  <c r="I2222" i="1"/>
  <c r="M2222" i="1"/>
  <c r="O2222" i="1"/>
  <c r="I2226" i="1"/>
  <c r="M2226" i="1"/>
  <c r="O2226" i="1" s="1"/>
  <c r="I2230" i="1"/>
  <c r="M2230" i="1"/>
  <c r="O2230" i="1" s="1"/>
  <c r="I2234" i="1"/>
  <c r="M2234" i="1"/>
  <c r="O2234" i="1" s="1"/>
  <c r="I2238" i="1"/>
  <c r="M2238" i="1"/>
  <c r="O2238" i="1"/>
  <c r="I2242" i="1"/>
  <c r="M2242" i="1"/>
  <c r="O2242" i="1"/>
  <c r="I2246" i="1"/>
  <c r="M2246" i="1"/>
  <c r="O2246" i="1"/>
  <c r="I2250" i="1"/>
  <c r="M2250" i="1"/>
  <c r="O2250" i="1"/>
  <c r="I2254" i="1"/>
  <c r="M2254" i="1"/>
  <c r="O2254" i="1"/>
  <c r="I2258" i="1"/>
  <c r="M2258" i="1"/>
  <c r="O2258" i="1" s="1"/>
  <c r="I2262" i="1"/>
  <c r="M2262" i="1"/>
  <c r="O2262" i="1" s="1"/>
  <c r="I2266" i="1"/>
  <c r="M2266" i="1"/>
  <c r="O2266" i="1" s="1"/>
  <c r="I2270" i="1"/>
  <c r="M2270" i="1"/>
  <c r="O2270" i="1"/>
  <c r="I2274" i="1"/>
  <c r="M2274" i="1"/>
  <c r="O2274" i="1" s="1"/>
  <c r="I2278" i="1"/>
  <c r="M2278" i="1"/>
  <c r="O2278" i="1"/>
  <c r="I2282" i="1"/>
  <c r="M2282" i="1"/>
  <c r="O2282" i="1"/>
  <c r="J2286" i="1"/>
  <c r="K2286" i="1"/>
  <c r="L2286" i="1"/>
  <c r="I2287" i="1"/>
  <c r="M2287" i="1"/>
  <c r="O2287" i="1"/>
  <c r="I2291" i="1"/>
  <c r="M2291" i="1"/>
  <c r="O2291" i="1" s="1"/>
  <c r="I2295" i="1"/>
  <c r="M2295" i="1"/>
  <c r="O2295" i="1"/>
  <c r="I2299" i="1"/>
  <c r="M2299" i="1"/>
  <c r="O2299" i="1" s="1"/>
  <c r="I2303" i="1"/>
  <c r="M2303" i="1"/>
  <c r="O2303" i="1"/>
  <c r="I2307" i="1"/>
  <c r="M2307" i="1"/>
  <c r="O2307" i="1" s="1"/>
  <c r="I2311" i="1"/>
  <c r="M2311" i="1"/>
  <c r="O2311" i="1" s="1"/>
  <c r="I2315" i="1"/>
  <c r="M2315" i="1"/>
  <c r="O2315" i="1" s="1"/>
  <c r="I2319" i="1"/>
  <c r="M2319" i="1"/>
  <c r="O2319" i="1"/>
  <c r="I2323" i="1"/>
  <c r="M2323" i="1"/>
  <c r="O2323" i="1" s="1"/>
  <c r="I2327" i="1"/>
  <c r="M2327" i="1"/>
  <c r="O2327" i="1"/>
  <c r="I2331" i="1"/>
  <c r="M2331" i="1"/>
  <c r="O2331" i="1"/>
  <c r="I2335" i="1"/>
  <c r="M2335" i="1"/>
  <c r="O2335" i="1"/>
  <c r="I2339" i="1"/>
  <c r="M2339" i="1"/>
  <c r="O2339" i="1" s="1"/>
  <c r="I2343" i="1"/>
  <c r="M2343" i="1"/>
  <c r="O2343" i="1" s="1"/>
  <c r="I2347" i="1"/>
  <c r="M2347" i="1"/>
  <c r="O2347" i="1" s="1"/>
  <c r="I2351" i="1"/>
  <c r="M2351" i="1"/>
  <c r="O2351" i="1"/>
  <c r="I2355" i="1"/>
  <c r="M2355" i="1"/>
  <c r="O2355" i="1" s="1"/>
  <c r="I2359" i="1"/>
  <c r="M2359" i="1"/>
  <c r="O2359" i="1"/>
  <c r="I2363" i="1"/>
  <c r="M2363" i="1"/>
  <c r="O2363" i="1" s="1"/>
  <c r="I2367" i="1"/>
  <c r="M2367" i="1"/>
  <c r="O2367" i="1"/>
  <c r="I2371" i="1"/>
  <c r="M2371" i="1"/>
  <c r="O2371" i="1" s="1"/>
  <c r="I2375" i="1"/>
  <c r="M2375" i="1"/>
  <c r="O2375" i="1" s="1"/>
  <c r="I2379" i="1"/>
  <c r="M2379" i="1"/>
  <c r="O2379" i="1" s="1"/>
  <c r="I2383" i="1"/>
  <c r="M2383" i="1"/>
  <c r="O2383" i="1"/>
  <c r="I2387" i="1"/>
  <c r="M2387" i="1"/>
  <c r="O2387" i="1" s="1"/>
  <c r="I2391" i="1"/>
  <c r="M2391" i="1"/>
  <c r="O2391" i="1"/>
  <c r="I2395" i="1"/>
  <c r="M2395" i="1"/>
  <c r="O2395" i="1"/>
  <c r="I2399" i="1"/>
  <c r="M2399" i="1"/>
  <c r="O2399" i="1" s="1"/>
  <c r="I2403" i="1"/>
  <c r="M2403" i="1"/>
  <c r="O2403" i="1"/>
  <c r="I2407" i="1"/>
  <c r="M2407" i="1"/>
  <c r="O2407" i="1"/>
  <c r="I2411" i="1"/>
  <c r="M2411" i="1"/>
  <c r="O2411" i="1" s="1"/>
  <c r="I2415" i="1"/>
  <c r="M2415" i="1"/>
  <c r="O2415" i="1" s="1"/>
  <c r="I2419" i="1"/>
  <c r="M2419" i="1"/>
  <c r="O2419" i="1"/>
  <c r="I2423" i="1"/>
  <c r="M2423" i="1"/>
  <c r="O2423" i="1"/>
  <c r="I2427" i="1"/>
  <c r="M2427" i="1"/>
  <c r="O2427" i="1"/>
  <c r="I2431" i="1"/>
  <c r="M2431" i="1"/>
  <c r="O2431" i="1" s="1"/>
  <c r="I2435" i="1"/>
  <c r="M2435" i="1"/>
  <c r="O2435" i="1"/>
  <c r="I2439" i="1"/>
  <c r="M2439" i="1"/>
  <c r="O2439" i="1"/>
  <c r="I2443" i="1"/>
  <c r="M2443" i="1"/>
  <c r="O2443" i="1" s="1"/>
  <c r="I2447" i="1"/>
  <c r="M2447" i="1"/>
  <c r="O2447" i="1" s="1"/>
  <c r="I2451" i="1"/>
  <c r="M2451" i="1"/>
  <c r="O2451" i="1"/>
  <c r="I2455" i="1"/>
  <c r="M2455" i="1"/>
  <c r="O2455" i="1"/>
  <c r="I2459" i="1"/>
  <c r="M2459" i="1"/>
  <c r="O2459" i="1"/>
  <c r="I2463" i="1"/>
  <c r="M2463" i="1"/>
  <c r="O2463" i="1" s="1"/>
  <c r="I2467" i="1"/>
  <c r="M2467" i="1"/>
  <c r="O2467" i="1"/>
  <c r="I2471" i="1"/>
  <c r="M2471" i="1"/>
  <c r="O2471" i="1"/>
  <c r="I2475" i="1"/>
  <c r="M2475" i="1"/>
  <c r="O2475" i="1" s="1"/>
  <c r="J2479" i="1"/>
  <c r="K2479" i="1"/>
  <c r="L2479" i="1"/>
  <c r="I2480" i="1"/>
  <c r="M2480" i="1"/>
  <c r="M2479" i="1" s="1"/>
  <c r="I2484" i="1"/>
  <c r="M2484" i="1"/>
  <c r="O2484" i="1"/>
  <c r="I2488" i="1"/>
  <c r="M2488" i="1"/>
  <c r="O2488" i="1"/>
  <c r="I2492" i="1"/>
  <c r="M2492" i="1"/>
  <c r="O2492" i="1" s="1"/>
  <c r="I2496" i="1"/>
  <c r="M2496" i="1"/>
  <c r="O2496" i="1" s="1"/>
  <c r="I2500" i="1"/>
  <c r="M2500" i="1"/>
  <c r="O2500" i="1"/>
  <c r="I2504" i="1"/>
  <c r="M2504" i="1"/>
  <c r="O2504" i="1"/>
  <c r="I2508" i="1"/>
  <c r="M2508" i="1"/>
  <c r="O2508" i="1" s="1"/>
  <c r="I2512" i="1"/>
  <c r="M2512" i="1"/>
  <c r="O2512" i="1" s="1"/>
  <c r="I2516" i="1"/>
  <c r="M2516" i="1"/>
  <c r="O2516" i="1"/>
  <c r="K2520" i="1"/>
  <c r="J2521" i="1"/>
  <c r="J2520" i="1" s="1"/>
  <c r="K2521" i="1"/>
  <c r="L2521" i="1"/>
  <c r="L2520" i="1" s="1"/>
  <c r="I2522" i="1"/>
  <c r="M2522" i="1"/>
  <c r="O2522" i="1"/>
  <c r="I2526" i="1"/>
  <c r="M2526" i="1"/>
  <c r="O2526" i="1" s="1"/>
  <c r="I2530" i="1"/>
  <c r="M2530" i="1"/>
  <c r="O2530" i="1" s="1"/>
  <c r="I2534" i="1"/>
  <c r="M2534" i="1"/>
  <c r="O2534" i="1"/>
  <c r="I2538" i="1"/>
  <c r="M2538" i="1"/>
  <c r="O2538" i="1"/>
  <c r="I2542" i="1"/>
  <c r="M2542" i="1"/>
  <c r="O2542" i="1" s="1"/>
  <c r="I2546" i="1"/>
  <c r="M2546" i="1"/>
  <c r="O2546" i="1" s="1"/>
  <c r="I2550" i="1"/>
  <c r="M2550" i="1"/>
  <c r="O2550" i="1"/>
  <c r="I2554" i="1"/>
  <c r="M2554" i="1"/>
  <c r="O2554" i="1"/>
  <c r="K2558" i="1"/>
  <c r="J2559" i="1"/>
  <c r="J2558" i="1" s="1"/>
  <c r="K2559" i="1"/>
  <c r="L2559" i="1"/>
  <c r="L2558" i="1" s="1"/>
  <c r="I2560" i="1"/>
  <c r="M2560" i="1"/>
  <c r="M2559" i="1" s="1"/>
  <c r="M2558" i="1" s="1"/>
  <c r="I2564" i="1"/>
  <c r="M2564" i="1"/>
  <c r="O2564" i="1" s="1"/>
  <c r="I2568" i="1"/>
  <c r="M2568" i="1"/>
  <c r="O2568" i="1"/>
  <c r="I2572" i="1"/>
  <c r="M2572" i="1"/>
  <c r="O2572" i="1"/>
  <c r="I2576" i="1"/>
  <c r="M2576" i="1"/>
  <c r="O2576" i="1"/>
  <c r="I2580" i="1"/>
  <c r="M2580" i="1"/>
  <c r="O2580" i="1" s="1"/>
  <c r="I2584" i="1"/>
  <c r="M2584" i="1"/>
  <c r="O2584" i="1"/>
  <c r="I2588" i="1"/>
  <c r="M2588" i="1"/>
  <c r="O2588" i="1"/>
  <c r="I2592" i="1"/>
  <c r="M2592" i="1"/>
  <c r="O2592" i="1" s="1"/>
  <c r="I2596" i="1"/>
  <c r="M2596" i="1"/>
  <c r="O2596" i="1" s="1"/>
  <c r="I2600" i="1"/>
  <c r="M2600" i="1"/>
  <c r="O2600" i="1"/>
  <c r="I2604" i="1"/>
  <c r="M2604" i="1"/>
  <c r="O2604" i="1"/>
  <c r="I2608" i="1"/>
  <c r="M2608" i="1"/>
  <c r="O2608" i="1"/>
  <c r="M2200" i="1" l="1"/>
  <c r="O2560" i="1"/>
  <c r="O2179" i="1"/>
  <c r="M2178" i="1"/>
  <c r="M1572" i="1"/>
  <c r="M1441" i="1"/>
  <c r="O1442" i="1"/>
  <c r="K1065" i="1"/>
  <c r="O1047" i="1"/>
  <c r="O763" i="1"/>
  <c r="M758" i="1"/>
  <c r="M704" i="1"/>
  <c r="O11" i="1"/>
  <c r="M10" i="1"/>
  <c r="M2221" i="1"/>
  <c r="O1619" i="1"/>
  <c r="M1618" i="1"/>
  <c r="L1065" i="1"/>
  <c r="M953" i="1"/>
  <c r="M789" i="1" s="1"/>
  <c r="O614" i="1"/>
  <c r="M613" i="1"/>
  <c r="O2480" i="1"/>
  <c r="M2157" i="1"/>
  <c r="M2106" i="1" s="1"/>
  <c r="O2133" i="1"/>
  <c r="M1651" i="1"/>
  <c r="O1360" i="1"/>
  <c r="O133" i="1"/>
  <c r="T7" i="1"/>
  <c r="M1589" i="1"/>
  <c r="O804" i="1"/>
  <c r="O780" i="1"/>
  <c r="M779" i="1"/>
  <c r="O734" i="1"/>
  <c r="M1105" i="1"/>
  <c r="K2106" i="1"/>
  <c r="M1897" i="1"/>
  <c r="M1896" i="1" s="1"/>
  <c r="M1522" i="1"/>
  <c r="O1523" i="1"/>
  <c r="J1065" i="1"/>
  <c r="O1097" i="1"/>
  <c r="M1096" i="1"/>
  <c r="O96" i="1"/>
  <c r="M95" i="1"/>
  <c r="M2521" i="1"/>
  <c r="M2520" i="1" s="1"/>
  <c r="J2199" i="1"/>
  <c r="L2106" i="1"/>
  <c r="M1811" i="1"/>
  <c r="M1641" i="1"/>
  <c r="O1642" i="1"/>
  <c r="M1202" i="1"/>
  <c r="O1061" i="1"/>
  <c r="M1060" i="1"/>
  <c r="O680" i="1"/>
  <c r="M675" i="1"/>
  <c r="M311" i="1"/>
  <c r="M1721" i="1"/>
  <c r="K1650" i="1"/>
  <c r="M1424" i="1"/>
  <c r="O1425" i="1"/>
  <c r="M1066" i="1"/>
  <c r="O785" i="1"/>
  <c r="M654" i="1"/>
  <c r="M145" i="1"/>
  <c r="M206" i="1"/>
  <c r="M35" i="1"/>
  <c r="O1722" i="1"/>
  <c r="O1705" i="1"/>
  <c r="O1637" i="1"/>
  <c r="M2286" i="1"/>
  <c r="O1067" i="1"/>
  <c r="O345" i="1"/>
  <c r="O83" i="1"/>
  <c r="M1065" i="1" l="1"/>
  <c r="M9" i="1"/>
  <c r="M8" i="1" s="1"/>
  <c r="M1650" i="1"/>
  <c r="M2199" i="1"/>
  <c r="M3" i="1" l="1"/>
</calcChain>
</file>

<file path=xl/sharedStrings.xml><?xml version="1.0" encoding="utf-8"?>
<sst xmlns="http://schemas.openxmlformats.org/spreadsheetml/2006/main" count="9117" uniqueCount="1970">
  <si>
    <t>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</si>
  <si>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TS</t>
  </si>
  <si>
    <t/>
  </si>
  <si>
    <t>VV</t>
  </si>
  <si>
    <t>Šrouby - Set steel web 60x500mm - Ocelová pásovina pozink 60x500mm</t>
  </si>
  <si>
    <t>PP</t>
  </si>
  <si>
    <t>2</t>
  </si>
  <si>
    <t>R</t>
  </si>
  <si>
    <t>M</t>
  </si>
  <si>
    <t>R74328</t>
  </si>
  <si>
    <t>13</t>
  </si>
  <si>
    <t>P</t>
  </si>
  <si>
    <t>Šrouby - Set of stainless steel M16 screws - Sestava šroubu M16 nerez (šr.50mm+podlož.+mat.samojis.)</t>
  </si>
  <si>
    <t>KUS</t>
  </si>
  <si>
    <t>R74327</t>
  </si>
  <si>
    <t>12</t>
  </si>
  <si>
    <t>Nerez - EN 795C - Stainless steel end anchor kit – bimaterial - Sestava koncového kotvícího bodu-komplet (2ks na vedení)</t>
  </si>
  <si>
    <t>R68488</t>
  </si>
  <si>
    <t>11</t>
  </si>
  <si>
    <t>OOPP – osobní ochranné prostředky - Kolečkový jezdec - pouze pro nerezové body-montáž na strop</t>
  </si>
  <si>
    <t>R251649</t>
  </si>
  <si>
    <t>10</t>
  </si>
  <si>
    <t>Drátěnná lana - Galvanised steel wire rope-per meter - Galvanizované ocelové lano-cena za 1m, pro vedení násobit 2x</t>
  </si>
  <si>
    <t>R17311</t>
  </si>
  <si>
    <t>9</t>
  </si>
  <si>
    <t>Nerez - EN 795C - Stainless steel intermediate anchor - Mezilehlý kotvící bod - nerezová ocel</t>
  </si>
  <si>
    <t>R126435</t>
  </si>
  <si>
    <t>8</t>
  </si>
  <si>
    <t>Příslušenství - Sign post - Výstražná informativní tabulka</t>
  </si>
  <si>
    <t>R117505</t>
  </si>
  <si>
    <t>7</t>
  </si>
  <si>
    <t>OOPP – osobní ochranné prostředky - Pracovní přilba pro práci ve výškách</t>
  </si>
  <si>
    <t>R01104</t>
  </si>
  <si>
    <t>6</t>
  </si>
  <si>
    <t>OOPP – osobní ochranné prostředky - Jednoduchý pracovní postroj</t>
  </si>
  <si>
    <t>R01103</t>
  </si>
  <si>
    <t>5</t>
  </si>
  <si>
    <t>Osobní ochranné prostředky - Samonavíjející zachycovač pádu 10m</t>
  </si>
  <si>
    <t>R01102</t>
  </si>
  <si>
    <t>4</t>
  </si>
  <si>
    <t>Montáž</t>
  </si>
  <si>
    <t>KOMPL</t>
  </si>
  <si>
    <t>R.pol.03</t>
  </si>
  <si>
    <t>3</t>
  </si>
  <si>
    <t>Pronájem kloubové plošiny</t>
  </si>
  <si>
    <t>R.pol.02</t>
  </si>
  <si>
    <t>Doprava 3cesty 120km x 2 x 3 cesty x 9,-Kč/km</t>
  </si>
  <si>
    <t>R.pol.01</t>
  </si>
  <si>
    <t>1</t>
  </si>
  <si>
    <t>Zemní práce</t>
  </si>
  <si>
    <t>SD</t>
  </si>
  <si>
    <t>Záchytný systém - vnitřní</t>
  </si>
  <si>
    <t>09.1</t>
  </si>
  <si>
    <t>O2</t>
  </si>
  <si>
    <t>Montážní práce</t>
  </si>
  <si>
    <t>2023_vlastní</t>
  </si>
  <si>
    <t>767-Z009</t>
  </si>
  <si>
    <t>Výchozí prohlídka</t>
  </si>
  <si>
    <t>767-Z008</t>
  </si>
  <si>
    <t>ID štítek</t>
  </si>
  <si>
    <t>767-Z007</t>
  </si>
  <si>
    <t>Nerezové lano 8 mm</t>
  </si>
  <si>
    <t>767-Z006</t>
  </si>
  <si>
    <t>Koncový tlumič</t>
  </si>
  <si>
    <t>PÁR</t>
  </si>
  <si>
    <t>767-Z005</t>
  </si>
  <si>
    <t>Rohový prvek</t>
  </si>
  <si>
    <t>767-Z004</t>
  </si>
  <si>
    <t>Středový prvek</t>
  </si>
  <si>
    <t>767-Z003</t>
  </si>
  <si>
    <t>Koncový prvek</t>
  </si>
  <si>
    <t>767-Z002</t>
  </si>
  <si>
    <t>Kotvicí zařízení typu C dle ČSN EN 795</t>
  </si>
  <si>
    <t>767-Z001</t>
  </si>
  <si>
    <t>Konstrukce zámečnické</t>
  </si>
  <si>
    <t>767</t>
  </si>
  <si>
    <t>Záchytný systém - vnější</t>
  </si>
  <si>
    <t>08.1</t>
  </si>
  <si>
    <t>Elektromontážní práce hromosvod + uzemění</t>
  </si>
  <si>
    <t>h</t>
  </si>
  <si>
    <t>741-1039</t>
  </si>
  <si>
    <t>79</t>
  </si>
  <si>
    <t>revize hromosvodu 12x svod + uzemnění</t>
  </si>
  <si>
    <t>741-1038.2</t>
  </si>
  <si>
    <t>78</t>
  </si>
  <si>
    <t>doprava materiálu 3%</t>
  </si>
  <si>
    <t>741-1038.1</t>
  </si>
  <si>
    <t>77</t>
  </si>
  <si>
    <t>podružný materiál</t>
  </si>
  <si>
    <t>MJ</t>
  </si>
  <si>
    <t>741-1037</t>
  </si>
  <si>
    <t>76</t>
  </si>
  <si>
    <t>drát 10mm</t>
  </si>
  <si>
    <t>741-1036</t>
  </si>
  <si>
    <t>75</t>
  </si>
  <si>
    <t>drát 8mm</t>
  </si>
  <si>
    <t>741-1035</t>
  </si>
  <si>
    <t>74</t>
  </si>
  <si>
    <t>FEZN 30/4</t>
  </si>
  <si>
    <t>741-1034</t>
  </si>
  <si>
    <t>73</t>
  </si>
  <si>
    <t>svorky</t>
  </si>
  <si>
    <t>741-1033</t>
  </si>
  <si>
    <t>72</t>
  </si>
  <si>
    <t>podpěry</t>
  </si>
  <si>
    <t>741-1032</t>
  </si>
  <si>
    <t>71</t>
  </si>
  <si>
    <t>Jímač 1,5m + patka</t>
  </si>
  <si>
    <t>741-1031</t>
  </si>
  <si>
    <t>70</t>
  </si>
  <si>
    <t>Hromosvody</t>
  </si>
  <si>
    <t>D4</t>
  </si>
  <si>
    <t>doprava materiálu 2%</t>
  </si>
  <si>
    <t>741-1077.2</t>
  </si>
  <si>
    <t>69</t>
  </si>
  <si>
    <t>Revize</t>
  </si>
  <si>
    <t>741-1077.1</t>
  </si>
  <si>
    <t>68</t>
  </si>
  <si>
    <t>Elektromontážní práce osvětlení</t>
  </si>
  <si>
    <t>741-1076</t>
  </si>
  <si>
    <t>67</t>
  </si>
  <si>
    <t>Elektromontážní práce osazení - zapojení</t>
  </si>
  <si>
    <t>741-1075</t>
  </si>
  <si>
    <t>66</t>
  </si>
  <si>
    <t>Protipožární ucpávky malá 400x250</t>
  </si>
  <si>
    <t>741-1074.3</t>
  </si>
  <si>
    <t>65</t>
  </si>
  <si>
    <t>Protipožární ucpávky malá DN 160</t>
  </si>
  <si>
    <t>741-1074.2</t>
  </si>
  <si>
    <t>64</t>
  </si>
  <si>
    <t>Protipožární ucpávky malá DN 50-63</t>
  </si>
  <si>
    <t>741-1074.1</t>
  </si>
  <si>
    <t>63</t>
  </si>
  <si>
    <t>Pordužné rozvodnice venkovní</t>
  </si>
  <si>
    <t>741-1073</t>
  </si>
  <si>
    <t>62</t>
  </si>
  <si>
    <t>Pordužné rozvodnice vnitřní</t>
  </si>
  <si>
    <t>741-1072</t>
  </si>
  <si>
    <t>61</t>
  </si>
  <si>
    <t>Elektroinstalační lišta 20x20mm + montáž</t>
  </si>
  <si>
    <t>741-1071</t>
  </si>
  <si>
    <t>60</t>
  </si>
  <si>
    <t>Trubka 125mm</t>
  </si>
  <si>
    <t>741-1070</t>
  </si>
  <si>
    <t>59</t>
  </si>
  <si>
    <t>Vačkový přepínač 1-0-2 160A ABB OT160E04WCP</t>
  </si>
  <si>
    <t>741-1069</t>
  </si>
  <si>
    <t>58</t>
  </si>
  <si>
    <t>Vačkový přepínač 1-0-2 250A ABB OT250E04WCP</t>
  </si>
  <si>
    <t>741-1068</t>
  </si>
  <si>
    <t>57</t>
  </si>
  <si>
    <t>Stykač TESYST F 250A</t>
  </si>
  <si>
    <t>741-1067</t>
  </si>
  <si>
    <t>56</t>
  </si>
  <si>
    <t>podružný materiál, Wago, sponky</t>
  </si>
  <si>
    <t>741-1066</t>
  </si>
  <si>
    <t>55</t>
  </si>
  <si>
    <t>Pojistky GG 00 125A</t>
  </si>
  <si>
    <t>741-1064</t>
  </si>
  <si>
    <t>54</t>
  </si>
  <si>
    <t>Jistič 1f 2A - B</t>
  </si>
  <si>
    <t>741-1063</t>
  </si>
  <si>
    <t>53</t>
  </si>
  <si>
    <t>Jistič 1f 32A - B</t>
  </si>
  <si>
    <t>741-1062</t>
  </si>
  <si>
    <t>52</t>
  </si>
  <si>
    <t>Jistič 1f 10A - B</t>
  </si>
  <si>
    <t>741-1061</t>
  </si>
  <si>
    <t>51</t>
  </si>
  <si>
    <t>Jistič 1f 16A - B</t>
  </si>
  <si>
    <t>741-1060</t>
  </si>
  <si>
    <t>50</t>
  </si>
  <si>
    <t>Jistič 1f 16A - C</t>
  </si>
  <si>
    <t>741-1059</t>
  </si>
  <si>
    <t>49</t>
  </si>
  <si>
    <t>Jistič 3f 25A - B</t>
  </si>
  <si>
    <t>741-1058</t>
  </si>
  <si>
    <t>48</t>
  </si>
  <si>
    <t>Jistič 3f 10A - B</t>
  </si>
  <si>
    <t>741-1057</t>
  </si>
  <si>
    <t>47</t>
  </si>
  <si>
    <t>Jistič 3f 16A - C</t>
  </si>
  <si>
    <t>741-1056</t>
  </si>
  <si>
    <t>46</t>
  </si>
  <si>
    <t>Jistič 3f 32A - C</t>
  </si>
  <si>
    <t>741-1055</t>
  </si>
  <si>
    <t>45</t>
  </si>
  <si>
    <t>Jistič 3f 40A - B</t>
  </si>
  <si>
    <t>741-1054</t>
  </si>
  <si>
    <t>44</t>
  </si>
  <si>
    <t>Jistič 3f 63A - C</t>
  </si>
  <si>
    <t>741-1053</t>
  </si>
  <si>
    <t>43</t>
  </si>
  <si>
    <t>Jistič 3f 80A - B</t>
  </si>
  <si>
    <t>741-1052.2</t>
  </si>
  <si>
    <t>42</t>
  </si>
  <si>
    <t>Jistič 3f 80A - C</t>
  </si>
  <si>
    <t>741-1052.1</t>
  </si>
  <si>
    <t>41</t>
  </si>
  <si>
    <t>Jistič 3f 100A - B</t>
  </si>
  <si>
    <t>741-1051</t>
  </si>
  <si>
    <t>40</t>
  </si>
  <si>
    <t>Jistič 3f 125A - C</t>
  </si>
  <si>
    <t>741-1050</t>
  </si>
  <si>
    <t>39</t>
  </si>
  <si>
    <t>Proudový chránič 25A</t>
  </si>
  <si>
    <t>741-1049</t>
  </si>
  <si>
    <t>38</t>
  </si>
  <si>
    <t>Proudový chránič 80A</t>
  </si>
  <si>
    <t>741-1047</t>
  </si>
  <si>
    <t>37</t>
  </si>
  <si>
    <t>Přepěťové ochrany Podružné</t>
  </si>
  <si>
    <t>741-1044</t>
  </si>
  <si>
    <t>36</t>
  </si>
  <si>
    <t>Skříň přepěťové ochrany SPO B1</t>
  </si>
  <si>
    <t>741-1043</t>
  </si>
  <si>
    <t>35</t>
  </si>
  <si>
    <t>Pomálý náběh pro kompresor 40kW</t>
  </si>
  <si>
    <t>741-1042</t>
  </si>
  <si>
    <t>34</t>
  </si>
  <si>
    <t>Elektroměr + transformátory proudu 200/5</t>
  </si>
  <si>
    <t>741-1041</t>
  </si>
  <si>
    <t>33</t>
  </si>
  <si>
    <t>Jistič BC160NT305 + Spoušť + připojení</t>
  </si>
  <si>
    <t>741-1029.2</t>
  </si>
  <si>
    <t>32</t>
  </si>
  <si>
    <t>HL Jistič BD250NE305 + Spoušť + připojení</t>
  </si>
  <si>
    <t>741-1029.1</t>
  </si>
  <si>
    <t>31</t>
  </si>
  <si>
    <t>HL Rozvaděč 250A - IP43</t>
  </si>
  <si>
    <t>741-1028</t>
  </si>
  <si>
    <t>30</t>
  </si>
  <si>
    <t>Zásuvka 3f 125A</t>
  </si>
  <si>
    <t>741-1027</t>
  </si>
  <si>
    <t>29</t>
  </si>
  <si>
    <t>Zásuvka 3f 63A</t>
  </si>
  <si>
    <t>741-1026</t>
  </si>
  <si>
    <t>28</t>
  </si>
  <si>
    <t>Zásuvka 3f 32A</t>
  </si>
  <si>
    <t>741-1025</t>
  </si>
  <si>
    <t>27</t>
  </si>
  <si>
    <t>Zásuvka 3f 16A</t>
  </si>
  <si>
    <t>741-1024.2</t>
  </si>
  <si>
    <t>26</t>
  </si>
  <si>
    <t>Zásuvka 3f 16A kombi</t>
  </si>
  <si>
    <t>741-1024.1</t>
  </si>
  <si>
    <t>25</t>
  </si>
  <si>
    <t>Zásuvka 1f + krabička na povrch</t>
  </si>
  <si>
    <t>741-1023</t>
  </si>
  <si>
    <t>24</t>
  </si>
  <si>
    <t>Vypínače+ krabička na povrch</t>
  </si>
  <si>
    <t>741-1022</t>
  </si>
  <si>
    <t>23</t>
  </si>
  <si>
    <t>Krabice rozvodné</t>
  </si>
  <si>
    <t>741-1021</t>
  </si>
  <si>
    <t>22</t>
  </si>
  <si>
    <t>Instalační materiál</t>
  </si>
  <si>
    <t>D3</t>
  </si>
  <si>
    <t>741-1016</t>
  </si>
  <si>
    <t>21</t>
  </si>
  <si>
    <t>Montáž žlab Merkur</t>
  </si>
  <si>
    <t>741-1015</t>
  </si>
  <si>
    <t>20</t>
  </si>
  <si>
    <t>Kabelový žlab Merkur 50/50</t>
  </si>
  <si>
    <t>741-1014</t>
  </si>
  <si>
    <t>19</t>
  </si>
  <si>
    <t>Kabelový žlab Merkur 300/50</t>
  </si>
  <si>
    <t>741-1013</t>
  </si>
  <si>
    <t>18</t>
  </si>
  <si>
    <t>Elektromontážní práce kabely podružné</t>
  </si>
  <si>
    <t>741-1012</t>
  </si>
  <si>
    <t>17</t>
  </si>
  <si>
    <t>Elektromontážní práce kabely silové</t>
  </si>
  <si>
    <t>741-1011</t>
  </si>
  <si>
    <t>16</t>
  </si>
  <si>
    <t>CYKY-J 5x1,5mm2</t>
  </si>
  <si>
    <t>741-1010</t>
  </si>
  <si>
    <t>15</t>
  </si>
  <si>
    <t>CYKY-J 3x1,5mm2</t>
  </si>
  <si>
    <t>741-1009</t>
  </si>
  <si>
    <t>14</t>
  </si>
  <si>
    <t>CYKY-J 5x2,5mm2</t>
  </si>
  <si>
    <t>741-1008</t>
  </si>
  <si>
    <t>CYKY-J 3x2,5mm2</t>
  </si>
  <si>
    <t>741-1007</t>
  </si>
  <si>
    <t>PRAFlaDur-J 3x1,5 RE P60-R</t>
  </si>
  <si>
    <t>741-1006</t>
  </si>
  <si>
    <t>PRAFlaDur-J 3x2,5 RE P60-R</t>
  </si>
  <si>
    <t>741-1005</t>
  </si>
  <si>
    <t>1-CYKY-J 5x16mm2</t>
  </si>
  <si>
    <t>741-1004</t>
  </si>
  <si>
    <t>1-CYKY-J 5x6mm2</t>
  </si>
  <si>
    <t>741-1003</t>
  </si>
  <si>
    <t>1-CYKY-J 5x70mm2</t>
  </si>
  <si>
    <t>741-1002</t>
  </si>
  <si>
    <t>1-CYKY-J 5x35mm2</t>
  </si>
  <si>
    <t>741-1001</t>
  </si>
  <si>
    <t>Kabely</t>
  </si>
  <si>
    <t>D2</t>
  </si>
  <si>
    <t>Trubka 63mm</t>
  </si>
  <si>
    <t>460-05</t>
  </si>
  <si>
    <t>Pískové lože</t>
  </si>
  <si>
    <t>460-04</t>
  </si>
  <si>
    <t>Příplatek na zátah kabelu v trubce</t>
  </si>
  <si>
    <t>460-03</t>
  </si>
  <si>
    <t>Rýhy 50x120cm</t>
  </si>
  <si>
    <t>460-02</t>
  </si>
  <si>
    <t>Rýhy 35x80cm</t>
  </si>
  <si>
    <t>460-01</t>
  </si>
  <si>
    <t>Zemní práce při extr.mont.pracích</t>
  </si>
  <si>
    <t>46-M</t>
  </si>
  <si>
    <t>Elektroinstalace</t>
  </si>
  <si>
    <t>07.1</t>
  </si>
  <si>
    <t>Montážní, spojovací, těsnící a kotvící materiál</t>
  </si>
  <si>
    <t>4.08</t>
  </si>
  <si>
    <t>Štítky a popisy potrubí a zařízení</t>
  </si>
  <si>
    <t>4.05</t>
  </si>
  <si>
    <t>Pomocné ocelové konstrukce</t>
  </si>
  <si>
    <t>4.04</t>
  </si>
  <si>
    <t>Doprava materiálu, doprava vlastní</t>
  </si>
  <si>
    <t>4.03</t>
  </si>
  <si>
    <t>Doplnění chladiva R32</t>
  </si>
  <si>
    <t>4.02</t>
  </si>
  <si>
    <t>Společné položky</t>
  </si>
  <si>
    <t>Komunikační kabel pro připojení vnitřních jednotek JYTY 5x1,5</t>
  </si>
  <si>
    <t>3.05</t>
  </si>
  <si>
    <t>Předizolované potrubí pro vedení chladiva O 9,5 mm</t>
  </si>
  <si>
    <t>3.04</t>
  </si>
  <si>
    <t>Předizolované potrubí pro vedení chladiva O 6,4 mm</t>
  </si>
  <si>
    <t>3.03</t>
  </si>
  <si>
    <t>Vnitřní jednotka nástěnná, Qch=2,5 kW; Qt=3,2 kW, Qv=570 m3/h, akustický tlak v 1,5 m: 23 dB(A), rozměry: 798*293*230 Š*V*H, připojení kapalina 6,4 mm, připojení plyn 9,5 mm, hmotnost 9 kg vč. dálkové</t>
  </si>
  <si>
    <t>Vnitřní jednotka nástěnná, Qch=2,5 kW; Qt=3,2 kW, Qv=570 m3/h, akustický tlak v 1,5 m: 23 dB(A), rozměry: 798*293*230 Š*V*H, připojení kapalina 6,4 mm, připojen</t>
  </si>
  <si>
    <t>3.02</t>
  </si>
  <si>
    <t>Venkovní jednotka multisplit, chladící výkon nominální 7,50 kW, příkon: 2,00 kW, akustický tlak v 1m: 48 db(A), rozměry: 890*900*320 V*Š*H, hmotnost: 72 kg, el. připojení: 1x230, doporučené jištění 16</t>
  </si>
  <si>
    <t>Venkovní jednotka multisplit, chladící výkon nominální 7,50 kW, příkon: 2,00 kW, akustický tlak v 1m: 48 db(A), rozměry: 890*900*320 V*Š*H, hmotnost: 72 kg, el.</t>
  </si>
  <si>
    <t>3.01</t>
  </si>
  <si>
    <t>Zařízení CH.03.00</t>
  </si>
  <si>
    <t>2.06</t>
  </si>
  <si>
    <t>Předizolované potrubí pro vedení chladiva O 12,7 mm</t>
  </si>
  <si>
    <t>2.05</t>
  </si>
  <si>
    <t>2.04</t>
  </si>
  <si>
    <t>Nástěnný kabelový ovladač</t>
  </si>
  <si>
    <t>2.03</t>
  </si>
  <si>
    <t>Vnitřní jednotka nástěnná, Qch=5,0 kW, Qv=2400 m3/h, akustický tlak v 1,5 m: 41 dB(A), rozměry: 1050*320*250 Š*V*H, připojení kapalina 6,4 mm, připojení plyn 12,7 mm, hmotnost 14 kg</t>
  </si>
  <si>
    <t>Vnitřní jednotka nástěnná, Qch=5,0 kW, Qv=2400 m3/h, akustický tlak v 1,5 m: 41 dB(A), rozměry: 1050*320*250 Š*V*H, připojení kapalina 6,4 mm, připojení plyn 12</t>
  </si>
  <si>
    <t>2.02</t>
  </si>
  <si>
    <t>Venkovní kondenzační jednotka, chladící výkon nominální 5,00 kW, příkon: 1,66 kW, akustický tlak v 1m: 48 db(A), rozměry: 550*780*290 V*Š*H, hmotnost: 40 kg, el. připojení: 1x230, doporučené jištění 1</t>
  </si>
  <si>
    <t>Venkovní kondenzační jednotka, chladící výkon nominální 5,00 kW, příkon: 1,66 kW, akustický tlak v 1m: 48 db(A), rozměry: 550*780*290 V*Š*H, hmotnost: 40 kg, el</t>
  </si>
  <si>
    <t>2.01</t>
  </si>
  <si>
    <t>Zařízení CH.02.00</t>
  </si>
  <si>
    <t>1.06</t>
  </si>
  <si>
    <t>1.05</t>
  </si>
  <si>
    <t>1.04</t>
  </si>
  <si>
    <t>1.03</t>
  </si>
  <si>
    <t>1.02</t>
  </si>
  <si>
    <t>1.01</t>
  </si>
  <si>
    <t>Zařízení CH.01.00</t>
  </si>
  <si>
    <t>D1</t>
  </si>
  <si>
    <t>Chlazení</t>
  </si>
  <si>
    <t>06.1</t>
  </si>
  <si>
    <t>Štítky a označení potrubí</t>
  </si>
  <si>
    <t>N.5</t>
  </si>
  <si>
    <t>N.4</t>
  </si>
  <si>
    <t>Provozní přepisy a řády</t>
  </si>
  <si>
    <t>N.3</t>
  </si>
  <si>
    <t>Zaškolení obsluhy</t>
  </si>
  <si>
    <t>N.2</t>
  </si>
  <si>
    <t>Jemné zaregulování</t>
  </si>
  <si>
    <t>N.1</t>
  </si>
  <si>
    <t>Požární izolace oboustranná s odolností 30 minut</t>
  </si>
  <si>
    <t>M2</t>
  </si>
  <si>
    <t>2.20</t>
  </si>
  <si>
    <t>Parotěsná izolace do vnitřního prostředí, tl. 20 mm - na rozvody sání a výfuku za VZT jednotkou</t>
  </si>
  <si>
    <t>2.19b</t>
  </si>
  <si>
    <t>Tepelná izolace do vnitřního prostředí, tl. 20 mm - veškeré přívodní a odvodní rozvody</t>
  </si>
  <si>
    <t>2.19a</t>
  </si>
  <si>
    <t>Protihluková izolace s oplechováním - na rozvody od VZT jednotky až po tlumiče hluku včetně</t>
  </si>
  <si>
    <t>2.18</t>
  </si>
  <si>
    <t>Čtyřhranné potrubí z ocel. pozink. plechu spojovaného přírubami do vnitřního prostředí, včetně závěsů, spojovacího materiálu a požárních ucpávek pro dotěsnění prostupů</t>
  </si>
  <si>
    <t>Čtyřhranné potrubí z ocel. pozink. plechu spojovaného přírubami do vnitřního prostředí, včetně závěsů, spojovacího materiálu a požárních ucpávek pro dotěsnění p</t>
  </si>
  <si>
    <t>2.17</t>
  </si>
  <si>
    <t>pr. 125</t>
  </si>
  <si>
    <t>2.16.4</t>
  </si>
  <si>
    <t>pr. 160</t>
  </si>
  <si>
    <t>2.16.3</t>
  </si>
  <si>
    <t>pr. 200</t>
  </si>
  <si>
    <t>2.16.2</t>
  </si>
  <si>
    <t>pr. 250</t>
  </si>
  <si>
    <t>2.16.1</t>
  </si>
  <si>
    <t>2.15.3</t>
  </si>
  <si>
    <t>2.15.2</t>
  </si>
  <si>
    <t>2.15.1</t>
  </si>
  <si>
    <t>Kulisový tlumič hluku 400x400-1000, vč.2ks kulis 100x400-1000</t>
  </si>
  <si>
    <t>2.10b</t>
  </si>
  <si>
    <t>Kulisový tlumič hluku 400x400-1500, vč.2ks kulis 100x400-1500</t>
  </si>
  <si>
    <t>2.10a</t>
  </si>
  <si>
    <t>Výfuková hlavice na potrubí pr. 400</t>
  </si>
  <si>
    <t>2.08b</t>
  </si>
  <si>
    <t>Protidešťová žaluzie nasávací s ochranným sítem rozměr 500x400</t>
  </si>
  <si>
    <t>2.08a</t>
  </si>
  <si>
    <t>Talířový ventil kovový přívodní pr. 125</t>
  </si>
  <si>
    <t>2.07h</t>
  </si>
  <si>
    <t>2.07g</t>
  </si>
  <si>
    <t>Talířový ventil kovový přívodní pr. 160</t>
  </si>
  <si>
    <t>2.07f</t>
  </si>
  <si>
    <t>2.07e</t>
  </si>
  <si>
    <t>Talířový ventil kovový přívodní pr. 200</t>
  </si>
  <si>
    <t>2.07d</t>
  </si>
  <si>
    <t>2.07c</t>
  </si>
  <si>
    <t>Čtyřhranná vyústka odvodní s regulací rozměr 500x200</t>
  </si>
  <si>
    <t>2.07b</t>
  </si>
  <si>
    <t>Vířivý anemostat vel. 600 pro průtok 500 m3/h, vč.napojovacího boxu s regulační klapkou</t>
  </si>
  <si>
    <t>2.07a</t>
  </si>
  <si>
    <t>Zdroj chladu / tepla pro VZT jednotku - kondenzační jednotka systému přímého chlazení / topení, Qch = 6 kW Včetně 5 bm potrubí, chladiva a veškerého příslušentví pro napojení na VZT jednotku Včetně re</t>
  </si>
  <si>
    <t>Zdroj chladu / tepla pro VZT jednotku - kondenzační jednotka systému přímého chlazení / topení, Qch = 6 kW Včetně 5 bm potrubí, chladiva a veškerého příslušentv</t>
  </si>
  <si>
    <t>2.02a</t>
  </si>
  <si>
    <t>VZT jednotka pro přívod a odvod vzduchu ve venkovním svislém provedení Průtok +5500 m3/h, -5000 m3/h, 300 Pa - filtrace F7 - deskový rekuperátor - elektrický ohřívač - výparník přímého chlazení /</t>
  </si>
  <si>
    <t>VZT jednotka pro přívod a odvod vzduchu ve venkovním svislém provedení Průtok +5500 m3/h, -5000 m3/h, 300 Pa - filtrace F7 - deskový rekuperátor - elektrický oh</t>
  </si>
  <si>
    <t>2.01a</t>
  </si>
  <si>
    <t>Tepelná izolace do vnitřního prostředí, tl. 20 mm - na rozvody v podlahovém kanálu</t>
  </si>
  <si>
    <t>1.19b</t>
  </si>
  <si>
    <t>Tepelná izolace do venkovního prostředí, tl. 60 mm, včetně oplechování</t>
  </si>
  <si>
    <t>1.19a</t>
  </si>
  <si>
    <t>Protihluková izolace s oplechováním - na rozvody od VZT jednotek až po tlumiče hluku včetně</t>
  </si>
  <si>
    <t>1.18</t>
  </si>
  <si>
    <t>Čtyřhranné potrubí z ocel. pozink. plechu spojovaného přírubami do vnitřního i vnějšího prostředí, včetně závěsů, spojovacího materiálu a požárních ucpávek pro dotěsnění prostupů</t>
  </si>
  <si>
    <t>Čtyřhranné potrubí z ocel. pozink. plechu spojovaného přírubami do vnitřního i vnějšího prostředí, včetně závěsů, spojovacího materiálu a požárních ucpávek pro</t>
  </si>
  <si>
    <t>1.17</t>
  </si>
  <si>
    <t>Průměr 125</t>
  </si>
  <si>
    <t>1.16.6</t>
  </si>
  <si>
    <t>Průměr 200</t>
  </si>
  <si>
    <t>1.16.5</t>
  </si>
  <si>
    <t>Průměr 250</t>
  </si>
  <si>
    <t>1.16.4</t>
  </si>
  <si>
    <t>Průměr 315</t>
  </si>
  <si>
    <t>1.16.3</t>
  </si>
  <si>
    <t>Průměr 400</t>
  </si>
  <si>
    <t>1.16.2</t>
  </si>
  <si>
    <t>Průměr 500</t>
  </si>
  <si>
    <t>1.16.1</t>
  </si>
  <si>
    <t>Kulisový tlumič hluku 400x900-1000, Včetně 2ks kulis 100x900-1000</t>
  </si>
  <si>
    <t>1.10b</t>
  </si>
  <si>
    <t>Kulisový tlumič hluku 400x900-1500, Včetně 2ks kulis 100x900-1500</t>
  </si>
  <si>
    <t>1.10a</t>
  </si>
  <si>
    <t>Protidešťová žaluzie výfuková rozměr 630x900</t>
  </si>
  <si>
    <t>1.08b</t>
  </si>
  <si>
    <t>Protidešťová žaluzie nasávací s ochranným sítem rozměr 630x900</t>
  </si>
  <si>
    <t>1.08a</t>
  </si>
  <si>
    <t>1.07c</t>
  </si>
  <si>
    <t>Čtyřhranná vyústka do kruhového potrubí přívodní s regulací R2 rozměr 425x75</t>
  </si>
  <si>
    <t>1.07b</t>
  </si>
  <si>
    <t>Čtyřhranná vyústka do kruhového potrubí odvodní s regulací R1 rozměr 425x125</t>
  </si>
  <si>
    <t>1.07a</t>
  </si>
  <si>
    <t>Zdroj chladu / tepla pro VZT jednotku - kondenzační jednotka systému přímého chlazení / topení, Qch = 10 kW Včetně 8 bm potrubí, chladiva a veškerého příslušentví pro napojení na VZT jednotku Včetně r</t>
  </si>
  <si>
    <t>Zdroj chladu / tepla pro VZT jednotku - kondenzační jednotka systému přímého chlazení / topení, Qch = 10 kW Včetně 8 bm potrubí, chladiva a veškerého příslušent</t>
  </si>
  <si>
    <t>1.02b</t>
  </si>
  <si>
    <t>1.02a</t>
  </si>
  <si>
    <t>1.01b</t>
  </si>
  <si>
    <t>1.01a</t>
  </si>
  <si>
    <t>Vzduchotechnika</t>
  </si>
  <si>
    <t>751</t>
  </si>
  <si>
    <t>05.1</t>
  </si>
  <si>
    <t>Montáž zářičů včetně montážní plošinySpecifikace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</si>
  <si>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m.č.OP01   1=1.000 [A]</t>
  </si>
  <si>
    <t>Montáž zářičů včetně montážní plošiny</t>
  </si>
  <si>
    <t>R7355110069</t>
  </si>
  <si>
    <t>Doprava na staveništěSpecifikace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</si>
  <si>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Doprava na staveniště</t>
  </si>
  <si>
    <t>R7355110068</t>
  </si>
  <si>
    <t>Prostorový programovatelný termostatSpecifikace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</si>
  <si>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Prostorový programovatelný termostat</t>
  </si>
  <si>
    <t>R7355110067</t>
  </si>
  <si>
    <t>Ovládací skříň infrazářičůSpecifikace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</si>
  <si>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Ovládací skříň infrazářičů</t>
  </si>
  <si>
    <t>R7355110066</t>
  </si>
  <si>
    <t>Uzlový řetízek pro zavěšení infrazářiče a společného odvodu spalin/přívodu vzduchuSpecifikace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</si>
  <si>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m.č.OP01   4*20.00=80.000 [A]</t>
  </si>
  <si>
    <t>Uzlový řetízek pro zavěšení infrazářiče a společného odvodu spalin/přívodu vzduchu</t>
  </si>
  <si>
    <t>R7355110065</t>
  </si>
  <si>
    <t>Odvod spalin/přívod spalovacího vzduchu základní vertikální provedení AL střechouSpecifikace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</si>
  <si>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m.č.OP01   4=4.000 [A]</t>
  </si>
  <si>
    <t>Odvod spalin/přívod spalovacího vzduchu základní vertikální provedení AL střechou</t>
  </si>
  <si>
    <t>R7355110064</t>
  </si>
  <si>
    <t>Plynová připojovací hadice o délce 1000 mmSpecifikace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</si>
  <si>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m.č.OP01   4*1=4.000 [A]</t>
  </si>
  <si>
    <t>Plynová připojovací hadice o délce 1000 mm</t>
  </si>
  <si>
    <t>R7355110063</t>
  </si>
  <si>
    <t>Uvedení do provozu a seřízeníSpecifikace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</si>
  <si>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Uvedení do provozu a seřízení</t>
  </si>
  <si>
    <t>R7355110062</t>
  </si>
  <si>
    <t>Tmavý plynový infrazářič o tepelném výkonu 15,3 kW s trubicemi tvaru U, neizolovaný s nerez zákrytem, jednostupňový na zemní plyn o celkové délce infrazářiče 6 530 mmSpecifikace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</si>
  <si>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Tmavý plynový infrazářič o tepelném výkonu 15,3 kW s trubicemi tvaru U, neizolovaný s nerez zákrytem, jednostupňový na zemní plyn o celkové délce infrazářiče 6 530 mm</t>
  </si>
  <si>
    <t>Tmavý plynový infrazářič o tepelném výkonu 15,3 kW s trubicemi tvaru U, neizolovaný s nerez zákrytem, jednostupňový na zemní plyn o celkové délce infrazářiče 6</t>
  </si>
  <si>
    <t>R7355110061</t>
  </si>
  <si>
    <t>Elektrické topné těleso s termostatem - 1000 WSpecifikace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</si>
  <si>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Elektrické topné těleso s termostatem - 1000 W</t>
  </si>
  <si>
    <t>R541530262</t>
  </si>
  <si>
    <t>těleso trubkové přímotopné 1800x750mm 600WSpecifikace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</si>
  <si>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těleso trubkové přímotopné 1800x750mm 600W</t>
  </si>
  <si>
    <t>R541530261</t>
  </si>
  <si>
    <t>Přesun hmot pro otopná tělesa stanovený procentní sazbou (%) z ceny Příplatek k cenám za zvětšený přesun přes vymezenou největší dopravní vzdálenost do 500 m</t>
  </si>
  <si>
    <t>CS ÚRS 2023 02</t>
  </si>
  <si>
    <t>%</t>
  </si>
  <si>
    <t>998735293</t>
  </si>
  <si>
    <t>Přesun hmot pro otopná tělesa stanovený procentní sazbou (%) z ceny vodorovná dopravní vzdálenost do 50 m v objektech výšky přes 6 do 12 m</t>
  </si>
  <si>
    <t>998735202</t>
  </si>
  <si>
    <t>m.č.OP07   1=1.000 [A]</t>
  </si>
  <si>
    <t>Otopná tělesa trubková montáž těles na stěnu výšky tělesa přes 1500 mm</t>
  </si>
  <si>
    <t>735164512</t>
  </si>
  <si>
    <t>m.č.OP15 3 OP14   1+2=3.000 [A]</t>
  </si>
  <si>
    <t>Otopná tělesa panelová VK dvoudesková PN 1,0 MPa, T do 110°C se dvěma přídavnými přestupními plochami výšky tělesa 600 mm stavební délky / výkonu 1200 mm / 2015 W</t>
  </si>
  <si>
    <t>Otopná tělesa panelová VK dvoudesková PN 1,0 MPa, T do 110°C se dvěma přídavnými přestupními plochami výšky tělesa 600 mm stavební délky / výkonu 1200 mm / 2015</t>
  </si>
  <si>
    <t>735152579</t>
  </si>
  <si>
    <t>m.č.OP08   1=1.000 [A]</t>
  </si>
  <si>
    <t>Otopná tělesa panelová VK dvoudesková PN 1,0 MPa, T do 110°C se dvěma přídavnými přestupními plochami výšky tělesa 600 mm stavební délky / výkonu 600 mm / 1007 W</t>
  </si>
  <si>
    <t>Otopná tělesa panelová VK dvoudesková PN 1,0 MPa, T do 110°C se dvěma přídavnými přestupními plochami výšky tělesa 600 mm stavební délky / výkonu 600 mm / 1007</t>
  </si>
  <si>
    <t>735152573</t>
  </si>
  <si>
    <t>m.č.OP05 2 OP11   1+1=2.000 [A]</t>
  </si>
  <si>
    <t>Otopná tělesa panelová VK dvoudesková PN 1,0 MPa, T do 110°C se dvěma přídavnými přestupními plochami výšky tělesa 600 mm stavební délky / výkonu 500 mm / 840 W</t>
  </si>
  <si>
    <t>735152572</t>
  </si>
  <si>
    <t>m.č.OP5 2 OP11   1+1=2.000 [A]</t>
  </si>
  <si>
    <t>Otopná tělesa panelová VK dvoudesková PN 1,0 MPa, T do 110°C s jednou přídavnou přestupní plochou výšky tělesa 600 mm stavební délky / výkonu 1100 mm / 1417 W</t>
  </si>
  <si>
    <t>735152478</t>
  </si>
  <si>
    <t>m.č.OP6 2 OP2   1+1=2.000 [A]</t>
  </si>
  <si>
    <t>Otopná tělesa panelová VK dvoudesková PN 1,0 MPa, T do 110°C s jednou přídavnou přestupní plochou výšky tělesa 600 mm stavební délky / výkonu 900 mm / 1159 W</t>
  </si>
  <si>
    <t>735152476</t>
  </si>
  <si>
    <t>m.č.OP03 2 OP16   1+1=2.000 [A]</t>
  </si>
  <si>
    <t>Otopná tělesa panelová VK dvoudesková PN 1,0 MPa, T do 110°C s jednou přídavnou přestupní plochou výšky tělesa 600 mm stavební délky / výkonu 700 mm / 902 W</t>
  </si>
  <si>
    <t>735152474</t>
  </si>
  <si>
    <t>m.č.OP11   1=1.000 [A]</t>
  </si>
  <si>
    <t>Otopná tělesa panelová VK dvoudesková PN 1,0 MPa, T do 110°C s jednou přídavnou přestupní plochou výšky tělesa 600 mm stavební délky / výkonu 600 mm / 773 W</t>
  </si>
  <si>
    <t>735152473</t>
  </si>
  <si>
    <t>Ústřední vytápění - otopná tělesa</t>
  </si>
  <si>
    <t>735</t>
  </si>
  <si>
    <t>Šroubení připojovací armatury radiátorů VK PN 10 do 110°C, regulační uzavíratelné přímé G 1/2 x 15Specifikace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</si>
  <si>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Na všech otopných tělesech dle počtu   12=12.000 [A]</t>
  </si>
  <si>
    <t>Šroubení připojovací armatury radiátorů VK PN 10 do 110°C, regulační uzavíratelné přímé G 1/2 x 15</t>
  </si>
  <si>
    <t>R734261406</t>
  </si>
  <si>
    <t>m.č.OP071=1.000 [A]</t>
  </si>
  <si>
    <t>Ventily regulační závitové hlavice termostatické, pro ovládání ventilů PN 10 do 110°C kapalinové otopných těles VK</t>
  </si>
  <si>
    <t>R734221682</t>
  </si>
  <si>
    <t>Přesun hmot pro armatury stanovený z hmotnosti přesunovaného materiálu Příplatek k cenám za zvětšený přesun přes vymezenou největší dopravní vzdálenost do 500 m</t>
  </si>
  <si>
    <t>T</t>
  </si>
  <si>
    <t>998734193</t>
  </si>
  <si>
    <t>Přesun hmot pro armatury stanovený z hmotnosti přesunovaného materiálu vodorovná dopravní vzdálenost do 50 m v objektech výšky přes 6 do 12 m</t>
  </si>
  <si>
    <t>998734102</t>
  </si>
  <si>
    <t>m.č.OP026=6.000 [A]</t>
  </si>
  <si>
    <t>Ostatní armatury kulové kohouty PN 42 do 185°C přímé vnitřní závit G 1</t>
  </si>
  <si>
    <t>734292715</t>
  </si>
  <si>
    <t>m.č.OP021=1.000 [A]</t>
  </si>
  <si>
    <t>Ostatní armatury filtry závitové pro topné a chladicí systémy PN 30 do 110°C přímé s vnitřními závity a integrovaným magnetem G 1</t>
  </si>
  <si>
    <t>734291274</t>
  </si>
  <si>
    <t>m.č.OP022=2.000 [A]</t>
  </si>
  <si>
    <t>Ostatní armatury kohouty plnicí a vypouštěcí PN 10 do 90°C G 1/2</t>
  </si>
  <si>
    <t>734291123</t>
  </si>
  <si>
    <t>Šroubení regulační radiátorové rohové s vypouštěním G 1/2</t>
  </si>
  <si>
    <t>734261417</t>
  </si>
  <si>
    <t>m.č.OP072=2.000 [A]</t>
  </si>
  <si>
    <t>Šroubení topenářské PN 16 do 120°C přímé G 1</t>
  </si>
  <si>
    <t>734261235</t>
  </si>
  <si>
    <t>Na všech otopných tělesech dle počtu   11=11.000 [A]</t>
  </si>
  <si>
    <t>734221682</t>
  </si>
  <si>
    <t>Ventily regulační závitové termostatické, bez hlavice ovládání PN 16 do 110°C rohové dvouregulační G 1/2</t>
  </si>
  <si>
    <t>734221536</t>
  </si>
  <si>
    <t>m.č.OP02   1+1=2.000 [A]</t>
  </si>
  <si>
    <t>Ventily odvzdušňovací závitové automatické PN 14 do 120°C G 3/8</t>
  </si>
  <si>
    <t>734211119</t>
  </si>
  <si>
    <t>Ústřední vytápění - armatury</t>
  </si>
  <si>
    <t>734</t>
  </si>
  <si>
    <t>Přesun hmot pro rozvody potrubí stanovený z hmotnosti přesunovaného materiálu Příplatek k cenám za zvětšený přesun přes vymezenou největší dopravní vzdálenost do 500 m</t>
  </si>
  <si>
    <t>Přesun hmot pro rozvody potrubí stanovený z hmotnosti přesunovaného materiálu Příplatek k cenám za zvětšený přesun přes vymezenou největší dopravní vzdálenost d</t>
  </si>
  <si>
    <t>998733193</t>
  </si>
  <si>
    <t>Přesun hmot pro rozvody potrubí stanovený z hmotnosti přesunovaného materiálu vodorovná dopravní vzdálenost do 50 m v objektech výšky přes 6 do 12 m</t>
  </si>
  <si>
    <t>998733102</t>
  </si>
  <si>
    <t>dle délky potrubí   12.00+34.00=46.000 [A]</t>
  </si>
  <si>
    <t>Ochrana potrubí termoizolačními trubicemi z pěnového polyetylenu PE přilepenými v příčných a podélných spojích, tloušťky izolace přes 20 do 25 mm, vnitřního průměru izolace DN přes 22 do 45 mm</t>
  </si>
  <si>
    <t>Ochrana potrubí termoizolačními trubicemi z pěnového polyetylenu PE přilepenými v příčných a podélných spojích, tloušťky izolace přes 20 do 25 mm, vnitřního prů</t>
  </si>
  <si>
    <t>733811252</t>
  </si>
  <si>
    <t>dle délky potrubí   60.00+38.00=98.000 [A]</t>
  </si>
  <si>
    <t>Ochrana potrubí termoizolačními trubicemi z pěnového polyetylenu PE přilepenými v příčných a podélných spojích, tloušťky izolace přes 20 do 25 mm, vnitřního průměru izolace DN do 22 mm</t>
  </si>
  <si>
    <t>733811251</t>
  </si>
  <si>
    <t>dle délky potrubí   144.00=144.000 [A]</t>
  </si>
  <si>
    <t>Zkoušky těsnosti potrubí z trubek měděných O do 35/1,5</t>
  </si>
  <si>
    <t>733291101</t>
  </si>
  <si>
    <t>1.NP u všech otopných těles   24.00=24.000 [A]</t>
  </si>
  <si>
    <t>Potrubí z trubek měděných Příplatek k cenám za zhotovení přípojky z trubek měděných O 15/1</t>
  </si>
  <si>
    <t>733224222</t>
  </si>
  <si>
    <t>1.NP odměřeno z výkresu   34.00=34.000 [A]</t>
  </si>
  <si>
    <t>Potrubí z trubek měděných tvrdých spojovaných tvrdým pájením O 28/1,5</t>
  </si>
  <si>
    <t>733223205</t>
  </si>
  <si>
    <t>1.NP odměřeno z výkresu   12.00=12.000 [A]</t>
  </si>
  <si>
    <t>Potrubí z trubek měděných tvrdých spojovaných tvrdým pájením O 22/1</t>
  </si>
  <si>
    <t>733223204</t>
  </si>
  <si>
    <t>1.NP odměřeno z výkresu   38.00=38.000 [A]</t>
  </si>
  <si>
    <t>Potrubí z trubek měděných tvrdých spojovaných tvrdým pájením O 18/1</t>
  </si>
  <si>
    <t>733223203</t>
  </si>
  <si>
    <t>1.NP odměřeno z výkresu   60.00=60.000 [A]</t>
  </si>
  <si>
    <t>Potrubí z trubek měděných tvrdých spojovaných tvrdým pájením O 15/1</t>
  </si>
  <si>
    <t>733223202</t>
  </si>
  <si>
    <t>Ústřední vytápění - rozvodné potrubí</t>
  </si>
  <si>
    <t>733</t>
  </si>
  <si>
    <t>Zásobník teplé vody včetně teplotního čidla a propojení - 120 lSpecifikace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</si>
  <si>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m.č.0P02  1=1.000 [A]</t>
  </si>
  <si>
    <t>Zásobník teplé vody včetně teplotního čidla a propojení - 120 l</t>
  </si>
  <si>
    <t>SOUBOR</t>
  </si>
  <si>
    <t>R732-pol.01</t>
  </si>
  <si>
    <t>Přesun hmot pro strojovny stanovený procentní sazbou (%) z ceny Příplatek k cenám za zvětšený přesun přes vymezenou největší dopravní vzdálenost do 500 m</t>
  </si>
  <si>
    <t>998732293</t>
  </si>
  <si>
    <t>Přesun hmot pro strojovny stanovený procentní sazbou (%) z ceny vodorovná dopravní vzdálenost do 50 m v objektech výšky přes 6 do 12 m</t>
  </si>
  <si>
    <t>998732202</t>
  </si>
  <si>
    <t>Montáž ohříváků vody zásobníkových stojatých kombinovaných do 200 l</t>
  </si>
  <si>
    <t>732219301</t>
  </si>
  <si>
    <t>Ústřední vytápění - strojovny</t>
  </si>
  <si>
    <t>732</t>
  </si>
  <si>
    <t>Montáž odkouřeníSpecifikace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</si>
  <si>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Montáž odkouření</t>
  </si>
  <si>
    <t>R731-pol.10</t>
  </si>
  <si>
    <t>Revize spalinových cestSpecifikace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</si>
  <si>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Revize spalinových cest</t>
  </si>
  <si>
    <t>R731-pol.09</t>
  </si>
  <si>
    <t>Odkouření - sada odkouření přes střechu 80/125 včetně hlaviceSpecifikace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</si>
  <si>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Odkouření - sada odkouření přes střechu 80/125 včetně hlavice</t>
  </si>
  <si>
    <t>R731-pol.08</t>
  </si>
  <si>
    <t>Odkouření - trubka DN80/125 - 2000 mmSpecifikace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</si>
  <si>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Odkouření - trubka DN80/125 - 2000 mm</t>
  </si>
  <si>
    <t>R731-pol.07</t>
  </si>
  <si>
    <t>Odkouření - trubka DN80/125 - 1000 mmSpecifikace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</si>
  <si>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Odkouření - trubka DN80/125 - 1000 mm</t>
  </si>
  <si>
    <t>R731-pol.06</t>
  </si>
  <si>
    <t>Odkouření - trubka revizní DN80/125 - 250 mmSpecifikace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</si>
  <si>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Odkouření - trubka revizní DN80/125 - 250 mm</t>
  </si>
  <si>
    <t>R731-pol.05</t>
  </si>
  <si>
    <t>Uvedení kotle do provozu a zapojení M+RSpecifikace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</si>
  <si>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Uvedení kotle do provozu a zapojení M+R</t>
  </si>
  <si>
    <t>R731-pol.04</t>
  </si>
  <si>
    <t>Sada sifonu pro kotelSpecifikace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</si>
  <si>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Sada sifonu pro kotel</t>
  </si>
  <si>
    <t>R731-pol.03</t>
  </si>
  <si>
    <t>Magnetický odlučovač nečistot 3/4' vč.izolaceSpecifikace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</si>
  <si>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Magnetický odlučovač nečistot 3/4" vč.izolace</t>
  </si>
  <si>
    <t>R731-pol.02</t>
  </si>
  <si>
    <t>Nástěnný kondenzační kotel o výkonu 5-15 kW včetně ekvitermního regulátoru a venkovního čidla, EN 6 l, PV 3 barySpecifikace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</si>
  <si>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Nástěnný kondenzační kotel o výkonu 5-15 kW včetně ekvitermního regulátoru a venkovního čidla, EN 6 l, PV 3 bary</t>
  </si>
  <si>
    <t>R731-pol.01</t>
  </si>
  <si>
    <t>Přesun hmot pro kotelny stanovený procentní sazbou (%) z ceny Příplatek k cenám za zvětšený přesun přes vymezenou největší dopravní vzdálenost do 500 m</t>
  </si>
  <si>
    <t>998731293</t>
  </si>
  <si>
    <t>Přesun hmot pro kotelny stanovený procentní sazbou (%) z ceny vodorovná dopravní vzdálenost do 50 m v objektech výšky přes 6 do 12 m</t>
  </si>
  <si>
    <t>998731202</t>
  </si>
  <si>
    <t>Kotle ocelové teplovodní plynové stacionární kondenzační montáž kotlů kondenzačních ostatních typů o výkonu přes 14 do 20 kW</t>
  </si>
  <si>
    <t>731244492</t>
  </si>
  <si>
    <t>Ústřední vytápění - kotelny</t>
  </si>
  <si>
    <t>731</t>
  </si>
  <si>
    <t>Vytápění</t>
  </si>
  <si>
    <t>04.1</t>
  </si>
  <si>
    <t>Hodinové zúčtovací sazby profesí PSV zednické výpomoci a pomocné práce PSV dělník zednických výpomocí</t>
  </si>
  <si>
    <t>HOD</t>
  </si>
  <si>
    <t>HZS2491</t>
  </si>
  <si>
    <t>142</t>
  </si>
  <si>
    <t>Hodinové zúčtovací sazby profesí PSV provádění stavebních instalací instalatér odborný</t>
  </si>
  <si>
    <t>HZS2212</t>
  </si>
  <si>
    <t>141</t>
  </si>
  <si>
    <t>Hodinové zúčtovací sazby</t>
  </si>
  <si>
    <t>HZS</t>
  </si>
  <si>
    <t>Přesun hmot pro budovy a haly občanské výstavby, bydlení, výrobu a služby s nosnou svislou konstrukcí montovanou z dílců kovových vodorovná dopravní vzdálenost do 100 m, pro budovy a haly vícepodlažní, výšky do 18 m</t>
  </si>
  <si>
    <t>Přesun hmot pro budovy a haly občanské výstavby, bydlení, výrobu a služby s nosnou svislou konstrukcí montovanou z dílců kovových vodorovná dopravní vzdálenost</t>
  </si>
  <si>
    <t>998014221</t>
  </si>
  <si>
    <t>140</t>
  </si>
  <si>
    <t>Přesun hmot</t>
  </si>
  <si>
    <t>998</t>
  </si>
  <si>
    <t>Lešení pomocné pracovní pro objekty pozemních staveb pro zatížení do 150 kg/m2, o výšce lešeňové podlahy přes 1,9 do 3,5 m</t>
  </si>
  <si>
    <t>949101112</t>
  </si>
  <si>
    <t>139</t>
  </si>
  <si>
    <t>Lešení a stavební výtahy</t>
  </si>
  <si>
    <t>94</t>
  </si>
  <si>
    <t>Krycí nátěr (email) armatur a kovových potrubí potrubí přes DN 50 do DN 100 mm dvojnásobný syntetický standardní</t>
  </si>
  <si>
    <t>783617631</t>
  </si>
  <si>
    <t>138</t>
  </si>
  <si>
    <t>Základní nátěr armatur a kovových potrubí jednonásobný potrubí přes DN 50 do DN 100 mm syntetický</t>
  </si>
  <si>
    <t>783614561</t>
  </si>
  <si>
    <t>137</t>
  </si>
  <si>
    <t>Příprava podkladu armatur a kovových potrubí před provedením nátěru potrubí přes DN 50 do DN 100 mm odmaštěním, odmašťovačem vodou ředitelným</t>
  </si>
  <si>
    <t>783601731</t>
  </si>
  <si>
    <t>136</t>
  </si>
  <si>
    <t>Dokončovací práce - nátěry</t>
  </si>
  <si>
    <t>783</t>
  </si>
  <si>
    <t>Trubka hliníková DN25x1,5Specifikace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</si>
  <si>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Trubka hliníková DN25x1,5</t>
  </si>
  <si>
    <t>R19431124</t>
  </si>
  <si>
    <t>135</t>
  </si>
  <si>
    <t>Trubka hliníková DN 20x1,5Specifikace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</si>
  <si>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Trubka hliníková DN 20x1,5</t>
  </si>
  <si>
    <t>R19431116</t>
  </si>
  <si>
    <t>134</t>
  </si>
  <si>
    <t>Přesun hmot pro vzduchotechniku stanovený z hmotnosti přesunovaného materiálu Příplatek k cenám za přesun prováděný bez použití mechanizace pro jakoukoliv výšku objektu</t>
  </si>
  <si>
    <t>Přesun hmot pro vzduchotechniku stanovený z hmotnosti přesunovaného materiálu Příplatek k cenám za přesun prováděný bez použití mechanizace pro jakoukoliv výšku</t>
  </si>
  <si>
    <t>998751181</t>
  </si>
  <si>
    <t>133</t>
  </si>
  <si>
    <t>Přesun hmot pro vzduchotechniku stanovený z hmotnosti přesunovaného materiálu vodorovná dopravní vzdálenost do 100 m v objektech výšky přes 12 do 24 m</t>
  </si>
  <si>
    <t>998751102</t>
  </si>
  <si>
    <t>132</t>
  </si>
  <si>
    <t>DN 20105.00=105.000 [A] 
DN 2569=69.000 [B] 
Celkem: 105+69=174.000 [C]</t>
  </si>
  <si>
    <t>Montáž potrubí plechového skupiny II kruhového s přírubou tloušťky plechu 1,0 mm, průměru do 100 mm</t>
  </si>
  <si>
    <t>751512161</t>
  </si>
  <si>
    <t>131</t>
  </si>
  <si>
    <t>rychlospojka 1/2“ se stopem a nastavitelným úlem</t>
  </si>
  <si>
    <t>55117891</t>
  </si>
  <si>
    <t>130</t>
  </si>
  <si>
    <t>klapka čtyřhranná regulační Pz 500x500mm</t>
  </si>
  <si>
    <t>42982464</t>
  </si>
  <si>
    <t>129</t>
  </si>
  <si>
    <t>Tlakoměr deformační 0-10 MPa č. 03313, D 160Specifikace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</si>
  <si>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Tlakoměr deformační 0-10 MPa č. 03313, D 160</t>
  </si>
  <si>
    <t>R734421130</t>
  </si>
  <si>
    <t>128</t>
  </si>
  <si>
    <t>Přesun hmot pro armatury stanovený z hmotnosti přesunovaného materiálu Příplatek k cenám za přesun prováděný bez použití mechanizace pro jakoukoliv výšku objektu</t>
  </si>
  <si>
    <t>Přesun hmot pro armatury stanovený z hmotnosti přesunovaného materiálu Příplatek k cenám za přesun prováděný bez použití mechanizace pro jakoukoliv výšku objekt</t>
  </si>
  <si>
    <t>998734181</t>
  </si>
  <si>
    <t>127</t>
  </si>
  <si>
    <t>126</t>
  </si>
  <si>
    <t>Ventily pojistné závitové a čepové rohové provozní tlak od 2,5 do 6 bar G 1/2</t>
  </si>
  <si>
    <t>734251211</t>
  </si>
  <si>
    <t>125</t>
  </si>
  <si>
    <t>Přesun hmot pro strojovny stanovený z hmotnosti přesunovaného materiálu Příplatek k cenám za přesun prováděný bez použití mechanizace pro jakoukoliv výšku objektu</t>
  </si>
  <si>
    <t>Přesun hmot pro strojovny stanovený z hmotnosti přesunovaného materiálu Příplatek k cenám za přesun prováděný bez použití mechanizace pro jakoukoliv výšku objek</t>
  </si>
  <si>
    <t>998732181</t>
  </si>
  <si>
    <t>124</t>
  </si>
  <si>
    <t>Přesun hmot pro strojovny stanovený z hmotnosti přesunovaného materiálu vodorovná dopravní vzdálenost do 50 m v objektech výšky přes 6 do 12 m</t>
  </si>
  <si>
    <t>998732102</t>
  </si>
  <si>
    <t>123</t>
  </si>
  <si>
    <t>Nádoby expanzní tlakové pro solární, topné a chladicí soustavy s membránou bez pojistného ventilu se závitovým připojením PN 0,8 o objemu 12 l</t>
  </si>
  <si>
    <t>732330102</t>
  </si>
  <si>
    <t>122</t>
  </si>
  <si>
    <t>Modul-sprcha h 112 cmSpecifikace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</si>
  <si>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Modul-sprcha h 112 cm</t>
  </si>
  <si>
    <t>R726211373</t>
  </si>
  <si>
    <t>121</t>
  </si>
  <si>
    <t>Modul-výlevka, h 130 cmSpecifikace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</si>
  <si>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Modul-výlevka, h 130 cm</t>
  </si>
  <si>
    <t>R726211367</t>
  </si>
  <si>
    <t>120</t>
  </si>
  <si>
    <t>Přesun hmot pro instalační prefabrikáty stanovený z hmotnosti přesunovaného materiálu Příplatek k cenám za přesun prováděný bez použití mechanizace pro jakoukoliv výšku objektu</t>
  </si>
  <si>
    <t>Přesun hmot pro instalační prefabrikáty stanovený z hmotnosti přesunovaného materiálu Příplatek k cenám za přesun prováděný bez použití mechanizace pro jakoukol</t>
  </si>
  <si>
    <t>998726181</t>
  </si>
  <si>
    <t>119</t>
  </si>
  <si>
    <t>Přesun hmot pro instalační prefabrikáty stanovený z hmotnosti přesunovaného materiálu vodorovná dopravní vzdálenost do 50 m v objektech výšky přes 6 m do 12 m</t>
  </si>
  <si>
    <t>998726112</t>
  </si>
  <si>
    <t>118</t>
  </si>
  <si>
    <t>Ostatní příslušenství instalačních systémů zvukoizolační souprava pro WC a bidet</t>
  </si>
  <si>
    <t>726191001</t>
  </si>
  <si>
    <t>117</t>
  </si>
  <si>
    <t>Předstěnové instalační systémy do lehkých stěn s kovovou konstrukcí pro závěsné klozety ovládání zepředu, stavební výšky 1120 mm</t>
  </si>
  <si>
    <t>726131041</t>
  </si>
  <si>
    <t>116</t>
  </si>
  <si>
    <t>Předstěnové instalační systémy do lehkých stěn s kovovou konstrukcí pro pisoáry stavební výška 1300 mm</t>
  </si>
  <si>
    <t>726131021</t>
  </si>
  <si>
    <t>115</t>
  </si>
  <si>
    <t>Předstěnové instalační systémy do lehkých stěn s kovovou konstrukcí pro umyvadla stavební výšky do 1120 mm se stojánkovou baterií</t>
  </si>
  <si>
    <t>726131001</t>
  </si>
  <si>
    <t>114</t>
  </si>
  <si>
    <t>tlačítko pro ovládání WC shora/zepředu plast dvě množství vody 213x142mm</t>
  </si>
  <si>
    <t>55281795</t>
  </si>
  <si>
    <t>113</t>
  </si>
  <si>
    <t>Zdravotechnika - předstěnové instalace</t>
  </si>
  <si>
    <t>726</t>
  </si>
  <si>
    <t>Přesun hmot pro zařizovací předměty stanovený z hmotnosti přesunovaného materiálu Příplatek k cenám za přesun prováděný bez použití mechanizace pro jakoukoliv výšku objektu</t>
  </si>
  <si>
    <t>Přesun hmot pro zařizovací předměty stanovený z hmotnosti přesunovaného materiálu Příplatek k cenám za přesun prováděný bez použití mechanizace pro jakoukoliv v</t>
  </si>
  <si>
    <t>998725181</t>
  </si>
  <si>
    <t>112</t>
  </si>
  <si>
    <t>Přesun hmot pro zařizovací předměty stanovený z hmotnosti přesunovaného materiálu vodorovná dopravní vzdálenost do 50 m v objektech výšky přes 6 do 12 m</t>
  </si>
  <si>
    <t>998725102</t>
  </si>
  <si>
    <t>111</t>
  </si>
  <si>
    <t>Plastová dvířka 150/30010=10.000 [A]</t>
  </si>
  <si>
    <t>Dvířka 30/30</t>
  </si>
  <si>
    <t>725980123</t>
  </si>
  <si>
    <t>110</t>
  </si>
  <si>
    <t>Zápachové uzávěrky zařizovacích předmětů pro dřezy s přípojkou pro pračku nebo myčku DN 40/50</t>
  </si>
  <si>
    <t>725862113</t>
  </si>
  <si>
    <t>109</t>
  </si>
  <si>
    <t>Zápachové uzávěrky zařizovacích předmětů pro umyvadla DN 40</t>
  </si>
  <si>
    <t>725861102</t>
  </si>
  <si>
    <t>108</t>
  </si>
  <si>
    <t>Baterie sprchové podomítkové (zápustné) s přepínačem a pohyblivým držákem</t>
  </si>
  <si>
    <t>725841332</t>
  </si>
  <si>
    <t>107</t>
  </si>
  <si>
    <t>Baterie umyvadlové stojánkové pákové bez výpusti</t>
  </si>
  <si>
    <t>725822611</t>
  </si>
  <si>
    <t>106</t>
  </si>
  <si>
    <t>Baterie dřezové stojánkové pákové s otáčivým ústím a délkou ramínka 220 mm</t>
  </si>
  <si>
    <t>725821325</t>
  </si>
  <si>
    <t>105</t>
  </si>
  <si>
    <t>výlevka1=1.000 [A]</t>
  </si>
  <si>
    <t>Baterie dřezové nástěnné pákové s otáčivým kulatým ústím a délkou ramínka 300 mm</t>
  </si>
  <si>
    <t>725821312</t>
  </si>
  <si>
    <t>104</t>
  </si>
  <si>
    <t>Ventily rohové bez připojovací trubičky nebo flexi hadičky G 1/2"</t>
  </si>
  <si>
    <t>725813111</t>
  </si>
  <si>
    <t>103</t>
  </si>
  <si>
    <t>Elektrické ohřívače zásobníkové beztlakové přepadové akumulační s pojistným ventilem závěsné svislé objem nádrže (příkon) 120 l (3,0 kW) rychloohřev 220 V</t>
  </si>
  <si>
    <t>725532118</t>
  </si>
  <si>
    <t>102</t>
  </si>
  <si>
    <t>Výlevky bez výtokových armatur a splachovací nádrže keramické se sklopnou plastovou mřížkou 425 mm</t>
  </si>
  <si>
    <t>725331111</t>
  </si>
  <si>
    <t>101</t>
  </si>
  <si>
    <t>Dřezy bez výtokových armatur montáž dřezů ostatních typů</t>
  </si>
  <si>
    <t>725319111</t>
  </si>
  <si>
    <t>100</t>
  </si>
  <si>
    <t>Umyvadla montáž umyvadel ostatních typů na šrouby</t>
  </si>
  <si>
    <t>725219102</t>
  </si>
  <si>
    <t>99</t>
  </si>
  <si>
    <t>Pisoárové záchodky keramické automatické s radarovým senzorem</t>
  </si>
  <si>
    <t>725121525</t>
  </si>
  <si>
    <t>98</t>
  </si>
  <si>
    <t>Zařízení záchodů klozety keramické závěsné na nosné stěny s hlubokým splachováním odpad vodorovný</t>
  </si>
  <si>
    <t>725112022</t>
  </si>
  <si>
    <t>97</t>
  </si>
  <si>
    <t>Armatury se dvěma závity filtry mosazný PN 20 do 80 °C G 1/2"</t>
  </si>
  <si>
    <t>722234263</t>
  </si>
  <si>
    <t>96</t>
  </si>
  <si>
    <t>umyvadlo keramické závěsné bílé 550x420mm</t>
  </si>
  <si>
    <t>64211005</t>
  </si>
  <si>
    <t>95</t>
  </si>
  <si>
    <t>umyvadlo nerezové pro stojánkovou baterii 560x435x185mm</t>
  </si>
  <si>
    <t>55231110</t>
  </si>
  <si>
    <t>dřez nerez s odkládací ploškou vestavný matný 560x480mm</t>
  </si>
  <si>
    <t>55231082</t>
  </si>
  <si>
    <t>93</t>
  </si>
  <si>
    <t>Zdravotechnika - zařizovací předměty</t>
  </si>
  <si>
    <t>725</t>
  </si>
  <si>
    <t>Teploměr D 100 mmSpecifikace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</si>
  <si>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Teploměr D 100 mm</t>
  </si>
  <si>
    <t>R724231172</t>
  </si>
  <si>
    <t>92</t>
  </si>
  <si>
    <t>Přesun hmot pro strojní vybavení stanovený z hmotnosti přesunovaného materiálu Příplatek k ceně za přesun prováděný bez použití mechanizace pro jakoukoliv výšku objektu</t>
  </si>
  <si>
    <t>Přesun hmot pro strojní vybavení stanovený z hmotnosti přesunovaného materiálu Příplatek k ceně za přesun prováděný bez použití mechanizace pro jakoukoliv výšku</t>
  </si>
  <si>
    <t>998724181</t>
  </si>
  <si>
    <t>91</t>
  </si>
  <si>
    <t>Přesun hmot pro strojní vybavení stanovený z hmotnosti přesunovaného materiálu vodorovná dopravní vzdálenost do 50 m v objektech výšky přes 6 do 12 m</t>
  </si>
  <si>
    <t>998724102</t>
  </si>
  <si>
    <t>90</t>
  </si>
  <si>
    <t>Kompresor pístový</t>
  </si>
  <si>
    <t>724411102</t>
  </si>
  <si>
    <t>89</t>
  </si>
  <si>
    <t>Zdravotechnika - strojní vybavení</t>
  </si>
  <si>
    <t>724</t>
  </si>
  <si>
    <t>Spojkový kohout AKH pravýSpecifikace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</si>
  <si>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Spojkový kohout AKH pravý</t>
  </si>
  <si>
    <t>R723237214</t>
  </si>
  <si>
    <t>88</t>
  </si>
  <si>
    <t>BAP, DN 80Specifikace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</si>
  <si>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BAP, DN 80</t>
  </si>
  <si>
    <t>R723235117</t>
  </si>
  <si>
    <t>87</t>
  </si>
  <si>
    <t>Ventil vzorkov.přímý.vnější DN15Specifikace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</si>
  <si>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Ventil vzorkov.přímý.vnější DN15</t>
  </si>
  <si>
    <t>R723225114</t>
  </si>
  <si>
    <t>86</t>
  </si>
  <si>
    <t>Přesun hmot pro vnitřní plynovod stanovený z hmotnosti přesunovaného materiálu Příplatek k ceně za přesun prováděný bez použití mechanizace pro jakoukoliv výšku objektu</t>
  </si>
  <si>
    <t>Přesun hmot pro vnitřní plynovod stanovený z hmotnosti přesunovaného materiálu Příplatek k ceně za přesun prováděný bez použití mechanizace pro jakoukoliv výšku</t>
  </si>
  <si>
    <t>998723181</t>
  </si>
  <si>
    <t>85</t>
  </si>
  <si>
    <t>Přesun hmot pro vnitřní plynovod stanovený z hmotnosti přesunovaného materiálu vodorovná dopravní vzdálenost do 50 m v objektech výšky přes 6 do 12 m</t>
  </si>
  <si>
    <t>998723102</t>
  </si>
  <si>
    <t>84</t>
  </si>
  <si>
    <t>Plynové sporáky a vařidlové desky bez regulátoru tlaku montáž sporáků na zemní plyn</t>
  </si>
  <si>
    <t>725619101</t>
  </si>
  <si>
    <t>83</t>
  </si>
  <si>
    <t>Armatury se dvěma závity montáž armatur se dvěma závity ostatních typů G 3"</t>
  </si>
  <si>
    <t>723239108</t>
  </si>
  <si>
    <t>82</t>
  </si>
  <si>
    <t>Armatury se dvěma závity montáž armatur se dvěma závity ostatních typů G 3/4"</t>
  </si>
  <si>
    <t>723239102</t>
  </si>
  <si>
    <t>81</t>
  </si>
  <si>
    <t>Armatury se dvěma závity s protipožární armaturou PN 5 kulové uzávěry rohové vnější a vnitřní závit G 3/4" MF</t>
  </si>
  <si>
    <t>723230113</t>
  </si>
  <si>
    <t>80</t>
  </si>
  <si>
    <t>Opravy plynovodního potrubí odvzdušnění a napuštění potrubí</t>
  </si>
  <si>
    <t>723190907</t>
  </si>
  <si>
    <t>Přípojky plynovodní ke strojům a zařízením z trubek vyvedení a upevnění plynovodních výpustek na potrubí DN 20</t>
  </si>
  <si>
    <t>723190252</t>
  </si>
  <si>
    <t>Přípojky plynovodní ke spotřebičům z hadic nerezových vnitřní závit G 1/2" FF, délky 100 cm</t>
  </si>
  <si>
    <t>723190105</t>
  </si>
  <si>
    <t>Potrubí z ocelových trubek hladkých černých spojovaných svařováním tvářených za tepla O 89/3,6</t>
  </si>
  <si>
    <t>723150314</t>
  </si>
  <si>
    <t>Potrubí z ocelových trubek hladkých černých spojovaných svařováním tvářených za tepla O 76/3,2</t>
  </si>
  <si>
    <t>723150313</t>
  </si>
  <si>
    <t>Potrubí z ocelových trubek hladkých černých spojovaných svařováním tvářených za tepla O 28/2,6</t>
  </si>
  <si>
    <t>723150303</t>
  </si>
  <si>
    <t>Potrubí z ocelových trubek závitových černých spojovaných svařováním, bezešvých běžných DN 25</t>
  </si>
  <si>
    <t>723111204</t>
  </si>
  <si>
    <t>Potrubí z ocelových trubek závitových černých spojovaných svařováním, bezešvých běžných DN 20</t>
  </si>
  <si>
    <t>723111203</t>
  </si>
  <si>
    <t>Zdravotechnika - vnitřní plynovod</t>
  </si>
  <si>
    <t>723</t>
  </si>
  <si>
    <t>Klapka uzavírací,regulační 500x 500Specifikace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</si>
  <si>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Klapka uzavírací,regulační 500x 500</t>
  </si>
  <si>
    <t>R722216521</t>
  </si>
  <si>
    <t>Přípojky vodovodní pro pevné připojení DN 15Specifikace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</si>
  <si>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Přípojky vodovodní pro pevné připojení DN 15</t>
  </si>
  <si>
    <t>R722190221</t>
  </si>
  <si>
    <t>Přesun hmot pro vnitřní vodovod stanovený z hmotnosti přesunovaného materiálu Příplatek k ceně za přesun prováděný bez použití mechanizace pro jakoukoliv výšku objektu</t>
  </si>
  <si>
    <t>Přesun hmot pro vnitřní vodovod stanovený z hmotnosti přesunovaného materiálu Příplatek k ceně za přesun prováděný bez použití mechanizace pro jakoukoliv výšku</t>
  </si>
  <si>
    <t>998722181</t>
  </si>
  <si>
    <t>Přesun hmot pro vnitřní vodovod stanovený z hmotnosti přesunovaného materiálu vodorovná dopravní vzdálenost do 50 m v objektech výšky přes 6 do 12 m</t>
  </si>
  <si>
    <t>998722102</t>
  </si>
  <si>
    <t>Zkoušky, proplach a desinfekce vodovodního potrubí proplach a desinfekce vodovodního potrubí do DN 80</t>
  </si>
  <si>
    <t>722290234</t>
  </si>
  <si>
    <t>Zkoušky, proplach a desinfekce vodovodního potrubí zkoušky těsnosti vodovodního potrubí hrdlového nebo přírubového do DN 100</t>
  </si>
  <si>
    <t>722290215</t>
  </si>
  <si>
    <t>Vodoměrové sestavy závitové G 1"</t>
  </si>
  <si>
    <t>722270102</t>
  </si>
  <si>
    <t>Požární příslušenství a armatury hydrantové skříně vnitřní s výzbrojí D 25 (polyesterová hadice)</t>
  </si>
  <si>
    <t>722254115</t>
  </si>
  <si>
    <t>Požární příslušenství a armatury hydrantový systém s tvarově stálou hadicí prosklený D 25 x 30 m</t>
  </si>
  <si>
    <t>722250143</t>
  </si>
  <si>
    <t>Požární příslušenství a armatury hydrantový systém s tvarově stálou hadicí celoplechový D 25 x 30 m</t>
  </si>
  <si>
    <t>722250133</t>
  </si>
  <si>
    <t>Požární příslušenství a armatury hydrantové ventily s hadicovou přípojkou G 1"</t>
  </si>
  <si>
    <t>722250101</t>
  </si>
  <si>
    <t>Armatury se dvěma závity filtry mosazný PN 20 do 80 °C G 3/4"</t>
  </si>
  <si>
    <t>722234264</t>
  </si>
  <si>
    <t>Armatury se dvěma závity kulové kohouty PN 42 do 185 °C přímé vnitřní závit s vypouštěním G 1/2"</t>
  </si>
  <si>
    <t>722232061</t>
  </si>
  <si>
    <t>Armatury se dvěma závity kulové kohouty PN 42 do 185 °C přímé vnitřní závit G 5/4"</t>
  </si>
  <si>
    <t>722232046</t>
  </si>
  <si>
    <t>Armatury se dvěma závity kulové kohouty PN 42 do 185 °C přímé vnitřní závit G 1"</t>
  </si>
  <si>
    <t>722232045</t>
  </si>
  <si>
    <t>Armatury se dvěma závity kulové kohouty PN 42 do 185 °C přímé vnitřní závit G 3/4"</t>
  </si>
  <si>
    <t>722232044</t>
  </si>
  <si>
    <t>Armatury se dvěma závity ventily zpětné mosazné PN 10 do 110°C G 1"</t>
  </si>
  <si>
    <t>722231074</t>
  </si>
  <si>
    <t>Armatury se dvěma závity ventily zpětné mosazné PN 10 do 110°C G 3/4"</t>
  </si>
  <si>
    <t>722231073</t>
  </si>
  <si>
    <t>Armatury s jedním závitem plastové (PPR) PN 20 (SDR 6) DN 20 x G 1/2" (nástěnný komplet)</t>
  </si>
  <si>
    <t>722220161</t>
  </si>
  <si>
    <t>Armatury s jedním závitem nástěnky pro výtokový ventil G 1/2"</t>
  </si>
  <si>
    <t>722220111</t>
  </si>
  <si>
    <t>DN 20 1=1.000 [A]</t>
  </si>
  <si>
    <t>Armatury přírubové zařízení pro magnetickou úpravu vody PN 16 do 100°C DN 25</t>
  </si>
  <si>
    <t>722213311</t>
  </si>
  <si>
    <t>DN 15 30=30.000 [A]</t>
  </si>
  <si>
    <t>Zřízení přípojek na potrubí vyvedení a upevnění výpustek do DN 25</t>
  </si>
  <si>
    <t>722190401</t>
  </si>
  <si>
    <t>DN 28 48.00=48.000 [A] 
DN 32 38.00=38.000 [B] 
DN 45 9.00=9.000 [C] 
Celkem: 48+38+9=95.000 [D]</t>
  </si>
  <si>
    <t>Ochrana potrubí termoizolačními trubicemi z pěnového polyetylenu PE přilepenými v příčných a podélných spojích, tloušťky izolace přes 9 do 13 mm, vnitřního průměru izolace DN přes 22 do 45 mm</t>
  </si>
  <si>
    <t>Ochrana potrubí termoizolačními trubicemi z pěnového polyetylenu PE přilepenými v příčných a podélných spojích, tloušťky izolace přes 9 do 13 mm, vnitřního prům</t>
  </si>
  <si>
    <t>722181232</t>
  </si>
  <si>
    <t>DN 18 128.00=128.000 [A] 
DN 2252.00=52.000 [B] 
Celkem: 128+52=180.000 [C]</t>
  </si>
  <si>
    <t>Ochrana potrubí termoizolačními trubicemi z pěnového polyetylenu PE přilepenými v příčných a podélných spojích, tloušťky izolace přes 9 do 13 mm, vnitřního průměru izolace DN do 22 mm</t>
  </si>
  <si>
    <t>722181231</t>
  </si>
  <si>
    <t>Ochrana potrubí termoizolačními trubicemi z pěnového polyetylenu PE přilepenými v příčných a podélných spojích, tloušťky izolace do 6 mm, vnitřního průměru izolace DN přes 32 mm</t>
  </si>
  <si>
    <t>Ochrana potrubí termoizolačními trubicemi z pěnového polyetylenu PE přilepenými v příčných a podélných spojích, tloušťky izolace do 6 mm, vnitřního průměru izol</t>
  </si>
  <si>
    <t>722181213</t>
  </si>
  <si>
    <t>Potrubí z plastových trubek z polypropylenu PPR svařovaných polyfúzně PN 16 (SDR 7,4) D 32 x 4,4</t>
  </si>
  <si>
    <t>722174004</t>
  </si>
  <si>
    <t>Potrubí z plastových trubek z polypropylenu PPR svařovaných polyfúzně PN 16 (SDR 7,4) D 25 x 3,5</t>
  </si>
  <si>
    <t>722174003</t>
  </si>
  <si>
    <t>Potrubí z plastových trubek z polypropylenu PPR svařovaných polyfúzně PN 16 (SDR 7,4) D 20 x 2,8</t>
  </si>
  <si>
    <t>722174002</t>
  </si>
  <si>
    <t>Potrubí z plastových trubek z polypropylenu PPR svařovaných polyfúzně PN 16 (SDR 7,4) D 16 x 2,2</t>
  </si>
  <si>
    <t>722174001</t>
  </si>
  <si>
    <t>Potrubí zplastových trubek ze síťovaného polyethylenu (PE-Xa) spojované mechanicky násuvnou objímkou plastovou D 63/8,6</t>
  </si>
  <si>
    <t>Potrubí z plastových trubek ze síťovaného polyethylenu (PE-Xa) spojované mechanicky násuvnou objímkou kovovou D 63/8,6</t>
  </si>
  <si>
    <t>722173108</t>
  </si>
  <si>
    <t>Potrubí z ocelových trubek pozinkovaných závitových svařovaných běžných DN 40</t>
  </si>
  <si>
    <t>722130235</t>
  </si>
  <si>
    <t>Potrubí z ocelových trubek pozinkovaných závitových svařovaných běžných DN 32</t>
  </si>
  <si>
    <t>722130234</t>
  </si>
  <si>
    <t>Potrubí z ocelových trubek pozinkovaných závitových svařovaných běžných DN 25</t>
  </si>
  <si>
    <t>722130233</t>
  </si>
  <si>
    <t>Potrubí z ocelových trubek pozinkovaných závitových svařovaných běžných DN 20</t>
  </si>
  <si>
    <t>722130232</t>
  </si>
  <si>
    <t>Potrubí z ocelových trubek pozinkovaných závitových svařovaných běžných DN 15</t>
  </si>
  <si>
    <t>722130231</t>
  </si>
  <si>
    <t>flexi hadice ohebná k baterii D 8x12mm F 3/8'xM10 500mm</t>
  </si>
  <si>
    <t>18*0.50=9.000 [A]</t>
  </si>
  <si>
    <t>flexi hadice ohebná k baterii D 8x12mm F 3/8"xM10 500mm</t>
  </si>
  <si>
    <t>55190004</t>
  </si>
  <si>
    <t>Zdravotechnika - vnitřní vodovod</t>
  </si>
  <si>
    <t>722</t>
  </si>
  <si>
    <t>Přesun hmot pro vnitřní kanalizace stanovený z hmotnosti přesunovaného materiálu Příplatek k ceně za přesun prováděný bez použití mechanizace pro jakoukoliv výšku objektu</t>
  </si>
  <si>
    <t>Přesun hmot pro vnitřní kanalizace stanovený z hmotnosti přesunovaného materiálu Příplatek k ceně za přesun prováděný bez použití mechanizace pro jakoukoliv výš</t>
  </si>
  <si>
    <t>998721181</t>
  </si>
  <si>
    <t>Přesun hmot pro vnitřní kanalizace stanovený z hmotnosti přesunovaného materiálu vodorovná dopravní vzdálenost do 50 m v objektech výšky přes 12 do 24 m</t>
  </si>
  <si>
    <t>998721103</t>
  </si>
  <si>
    <t>Montáž tvarovek na kanalizačním plastovém potrubí z polypropylenu PP nebo tvrdého PVC hladkého plnostěnného kolen, víček nebo hrdlových uzávěrů DN 125</t>
  </si>
  <si>
    <t>877275211</t>
  </si>
  <si>
    <t>Montáž tvarovek na kanalizačním plastovém potrubí z polypropylenu PP nebo tvrdého PVC hladkého plnostěnného kolen, víček nebo hrdlových uzávěrů DN 100</t>
  </si>
  <si>
    <t>877265211</t>
  </si>
  <si>
    <t>Zkouška těsnosti kanalizace v objektech vodou DN 150 nebo DN 200</t>
  </si>
  <si>
    <t>721290112</t>
  </si>
  <si>
    <t>Ventilační hlavice z polypropylenu (PP) DN 110</t>
  </si>
  <si>
    <t>721273153</t>
  </si>
  <si>
    <t>Podlahové vpusti se svislým odtokem DN 50/75/110 mřížka nerez 115x115</t>
  </si>
  <si>
    <t>721211421</t>
  </si>
  <si>
    <t>Vyměření přípojek na potrubí vyvedení a upevnění odpadních výpustek DN 110</t>
  </si>
  <si>
    <t>721194109</t>
  </si>
  <si>
    <t>Vyměření přípojek na potrubí vyvedení a upevnění odpadních výpustek DN 50</t>
  </si>
  <si>
    <t>721194105</t>
  </si>
  <si>
    <t>Vyměření přípojek na potrubí vyvedení a upevnění odpadních výpustek DN 40</t>
  </si>
  <si>
    <t>721194104</t>
  </si>
  <si>
    <t>Potrubí z trub polypropylenových dešťové DN 110</t>
  </si>
  <si>
    <t>721174055</t>
  </si>
  <si>
    <t>Potrubí z trub polypropylenových připojovací DN 110</t>
  </si>
  <si>
    <t>721174045</t>
  </si>
  <si>
    <t>Potrubí z trub polypropylenových připojovací DN 75</t>
  </si>
  <si>
    <t>721174044</t>
  </si>
  <si>
    <t>Potrubí z trub polypropylenových připojovací DN 50</t>
  </si>
  <si>
    <t>721174043</t>
  </si>
  <si>
    <t>Potrubí z trub polypropylenových připojovací DN 40</t>
  </si>
  <si>
    <t>721174042</t>
  </si>
  <si>
    <t>Potrubí z trub polypropylenových odpadní (svislé) DN 110</t>
  </si>
  <si>
    <t>721174025</t>
  </si>
  <si>
    <t>Potrubí z trub polypropylenových svodné (ležaté) DN 125</t>
  </si>
  <si>
    <t>721174006</t>
  </si>
  <si>
    <t>Potrubí z trub PVC SN4 svodné (ležaté) DN 200</t>
  </si>
  <si>
    <t>721173404</t>
  </si>
  <si>
    <t>Potrubí z trub PVC SN4 svodné (ležaté) DN 160</t>
  </si>
  <si>
    <t>721173403</t>
  </si>
  <si>
    <t>Potrubí z trub PVC SN4 svodné (ležaté) DN 125</t>
  </si>
  <si>
    <t>721173402</t>
  </si>
  <si>
    <t>Potrubí z trub PVC SN4 svodné (ležaté) DN 110</t>
  </si>
  <si>
    <t>721173401</t>
  </si>
  <si>
    <t>čistící kus PP kanalizační třívrstvý vysoká zvuková izolace DN 125</t>
  </si>
  <si>
    <t>28614462</t>
  </si>
  <si>
    <t>čistící kus PP kanalizační třívrstvý vysoká zvuková izolace DN 110</t>
  </si>
  <si>
    <t>28614461</t>
  </si>
  <si>
    <t>Zdravotechnika - vnitřní kanalizace</t>
  </si>
  <si>
    <t>721</t>
  </si>
  <si>
    <t>Montáž plastové skříně , včetně dodávky skříně PP1V 700x600x1200 cmSpecifikace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</si>
  <si>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Montáž plastové skříně , včetně dodávky skříně PP1V 700x600x1200 cm</t>
  </si>
  <si>
    <t>R349-pol.01</t>
  </si>
  <si>
    <t>Lože pod potrubí, stoky a drobné objekty v otevřeném výkopu z písku a štěrkopísku do 63 mm</t>
  </si>
  <si>
    <t>M3</t>
  </si>
  <si>
    <t>451573111</t>
  </si>
  <si>
    <t>Vodorovné konstrukce</t>
  </si>
  <si>
    <t>Zkouška těsnosti potrubí DN přes 40 do 80</t>
  </si>
  <si>
    <t>230170012</t>
  </si>
  <si>
    <t>Příprava pro zkoušku těsnosti potrubí DN přes 40 do 80</t>
  </si>
  <si>
    <t>SADA</t>
  </si>
  <si>
    <t>230170002</t>
  </si>
  <si>
    <t>Montáže potrubí</t>
  </si>
  <si>
    <t>23-M</t>
  </si>
  <si>
    <t>štěrkopísek netříděný</t>
  </si>
  <si>
    <t>58331200</t>
  </si>
  <si>
    <t>Obsypání potrubí strojně sypaninou z vhodných třídy těžitelnosti I a II, skupiny 1 až 4 nebo materiálem připraveným podél výkopu ve vzdálenosti do 3 m od jeho kraje, pro jakoukoliv hloubku výkopu a míru zhutnění bez prohození sypaniny</t>
  </si>
  <si>
    <t>Obsypání potrubí strojně sypaninou z vhodných třídy těžitelnosti I a II, skupiny 1 až 4 nebo materiálem připraveným podél výkopu ve vzdálenosti do 3 m od jeho k</t>
  </si>
  <si>
    <t>175151101</t>
  </si>
  <si>
    <t>Odstranění pažení a rozepření stěn rýh pro podzemní vedení s uložením materiálu na vzdálenost do 3 m od kraje výkopu příložné, hloubky přes 2 do 4 m</t>
  </si>
  <si>
    <t>151101112</t>
  </si>
  <si>
    <t>Zřízení pažení a rozepření stěn rýh pro podzemní vedení příložné pro jakoukoliv mezerovitost, hloubky přes 2 do 4 m</t>
  </si>
  <si>
    <t>151101102</t>
  </si>
  <si>
    <t>Hloubení zapažených rýh šířky přes 800 do 2 000 mm strojně s urovnáním dna do předepsaného profilu a spádu v hornině třídy těžitelnosti I skupiny 3 přes 100 do 500 m3</t>
  </si>
  <si>
    <t>Hloubení zapažených rýh šířky přes 800 do 2 000 mm strojně s urovnáním dna do předepsaného profilu a spádu v hornině třídy těžitelnosti I skupiny 3 přes 100 do</t>
  </si>
  <si>
    <t>132254204</t>
  </si>
  <si>
    <t>Zdravotechnika</t>
  </si>
  <si>
    <t>03.1</t>
  </si>
  <si>
    <t>Přesun hmot pro budovy a haly občanské výstavby, bydlení, výrobu a služby s nosnou svislou konstrukcí montovanou zdílců kovových vodorovná dopravní vzdálenost do 100 m, pro budovy a haly jednopodlažní1. Pokud se prefabrikáty složí přímo do prostoru technologické manipulace (pracovní zóna jeřábu), nezapočítává se jejich hmotnost do hmotnosti pro výpočet přesunu hmot.</t>
  </si>
  <si>
    <t>Přesun hmot pro budovy a haly občanské výstavby, bydlení, výrobu a služby s nosnou svislou konstrukcí montovanou z dílců kovových vodorovná dopravní vzdálenost do 100 m, pro budovy a haly jednopodlažní</t>
  </si>
  <si>
    <t>998014211</t>
  </si>
  <si>
    <t>1. Položka obsahuje: - veškeré poplatky provozovateli skládky, recyklační linky nebo jiného zařízení na zpracování nebo likvidaci odpadů související s převzetím, uložením, zpracováním nebo likvidací odpadu - náklady spojené s dopravou odpadu z místa stavby na místo převzetí provozovatelem skládky, recyklační linky nebo jiného zařízení na zpracování a likvidaci odpadů, veškerou manipulaci s odpadem 2. Způsob měření: Tunou se rozumí hmotnost odpadu vytříděného v souladu se zákonem č. 541/2020 Sb., o nakládání s odpady, v platném znění.</t>
  </si>
  <si>
    <t>'SO 11-61-01'   
215.553*1.900=409.551 [A]</t>
  </si>
  <si>
    <t>Evidenční položka</t>
  </si>
  <si>
    <t>NEOCEŇOVAT - POPLATKY ZA LIKVIDACI ODPADŮ NEKONTAMINOVANÝCH - 17 05 04 VYTĚŽENÉ ZEMINY A HORNINY - I. TŘÍDA TĚŽITELNOSTI VČ. DOPRAVY NA SKLÁDKU A MANIPULACE</t>
  </si>
  <si>
    <t>901</t>
  </si>
  <si>
    <t>R015111</t>
  </si>
  <si>
    <t>Poplatky za skládky</t>
  </si>
  <si>
    <t>995</t>
  </si>
  <si>
    <t>Základní antikorozní nátěr zámečnických konstrukcí jednonásobný syntetický standardní</t>
  </si>
  <si>
    <t>783314201</t>
  </si>
  <si>
    <t>Příprava podkladu zámečnických konstrukcí před provedením nátěru ometení</t>
  </si>
  <si>
    <t>'P= (23*H)-(7*H1)' 
(23*(93.92427+76.66576))-(7*(1.37475+40.920+26.4864))=3 442.103 [A]</t>
  </si>
  <si>
    <t>783301401</t>
  </si>
  <si>
    <t>tyč závitová Zn bílý DIN 975 8.8 M16Specifikace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</si>
  <si>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viz. PD - statika 7*1.00=7.000 [A] 
7 * 1.2Koeficient množství=8.400 [B]</t>
  </si>
  <si>
    <t>tyč závitová Zn bílý DIN 975 8.8 M16</t>
  </si>
  <si>
    <t>R31197006</t>
  </si>
  <si>
    <t>profil ocelový obdélníkový svařovaný 120x80x8mmSpecifikace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</si>
  <si>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'viz. PD - statika' 
Ztužení 7  747.00=747.000 [A] 
Ztužení 8  219.95=219.950 [B] 
Ztužení 9  141.10=141.100 [C] 
Ztužení 10  128.65=128.650 [D] 
Ztužení 11  135.91=135.910 [E] 
Mezisoučet: 747+219.95+141.1+128.65+135.91=1 372.610 [F] 
1372.61/1000=1.373 [G] 
1.373 * 1.2Koeficient množství=1.648 [H]</t>
  </si>
  <si>
    <t>profil ocelový obdélníkový svařovaný 120x80x8mm</t>
  </si>
  <si>
    <t>R145503</t>
  </si>
  <si>
    <t>Přesun hmot pro zámečnické konstrukce stanovený zhmotnosti přesunovaného materiálu vodorovná dopravní vzdálenost do 50 m v objektech výšky přes 12 do 24 m1. Ceny pro přesun hmot stanovený zhmotnosti přesunovaného materiálu se používají tehdy, pokud je možné určit hmotnost za celý stavební díl. Do této hmotnosti se započítává i hmotnost materiálů oceňovaných ve specifikaci.  
2. Pokud nelze jednoznačně stanovit hmotnost přesunovaných materiálů, lze pro výpočet přesunu hmot použít orientačně procentní sazbu. Touto sazbou se vynásobí rozpočtové náklady za celý stavební díl včetně nákladů na materiál ve specifikacích.  
3. Příplatek kcenám -7181 pro přesun prováděný bez použití mechanizace, tj. za ztížených podmínek, lze použít pouze pro hmotnost materiálu, která se tímto způsobem skutečně přemísťuje.</t>
  </si>
  <si>
    <t>Přesun hmot pro zámečnické konstrukce stanovený z hmotnosti přesunovaného materiálu vodorovná dopravní vzdálenost do 50 m v objektech výšky přes 12 do 24 m</t>
  </si>
  <si>
    <t>998767103</t>
  </si>
  <si>
    <t>Montáž ostatních atypických zámečnických konstrukcí hmotnosti přes 250 do 500 kg1. Určení cen se řídí hmotností jednotlivě montovaného dílu konstrukce.</t>
  </si>
  <si>
    <t>'viz. PD - statika' 
90908.19+93924.27=184 832.460 [A]</t>
  </si>
  <si>
    <t>Montáž ostatních atypických zámečnických konstrukcí hmotnosti přes 250 do 500 kg</t>
  </si>
  <si>
    <t>KG</t>
  </si>
  <si>
    <t>767995117</t>
  </si>
  <si>
    <t>tyč závitová Zn bílý DIN 975 8.8 M36</t>
  </si>
  <si>
    <t>'viz. PD - statika' 
240*1.00=240.000 [A] 
240 * 1.2Koeficient množství=288.000 [B]</t>
  </si>
  <si>
    <t>31197019</t>
  </si>
  <si>
    <t>tyč závitová Zn bílý DIN 975 8.8 M20</t>
  </si>
  <si>
    <t>'viz. PD - statika' 
73*1.00=73.000 [A] 
73 * 1.2Koeficient množství=87.600 [B]</t>
  </si>
  <si>
    <t>31197009</t>
  </si>
  <si>
    <t>profil ocelový svařovaný jakost S235 průřez čtvercový 100x100x6mm</t>
  </si>
  <si>
    <t>'viz. PD - statika' 
Ztužení kce diag. 1  108.90=108.900 [A] 
Ztužení kce diag. 2  107.25=107.250 [B] 
Ztužení kce diag. 3  105.60=105.600 [C] 
Ztužení kce diag. 4  130.35=130.350 [D] 
Ztužení kce diag. 5  133.65=133.650 [E] 
Ztužení kce diag. 6  132.00=132.000 [F] 
Mezisoučet: 108.9+107.25+105.6+130.35+133.65+132=717.750 [G] 
717.75/1000=0.718 [H] 
0.718 * 1.2Koeficient množství=0.862 [I]</t>
  </si>
  <si>
    <t>14550302</t>
  </si>
  <si>
    <t>úhelník ocelový rovnostranný jakost S235JR (11 375) 120x120x12mm</t>
  </si>
  <si>
    <t>'viz. PD - statika' 
Střešní ztužení 1 522.72=522.720 [A] 
Střešní ztužení 2  505.44=505.440 [B] 
Střešní ztužení 3  483.84=483.840 [C] 
Střešní ztužení 4  574.56=574.560 [D] 
Střešní ztužení 5  557.28=557.280 [E] 
Střešní ztužení 6 540.00=540.000 [F] 
Mezisoučet: 522.72+505.44+483.84+574.56+557.28+540=3 183.840 [G] 
3183.84/1000=3.184 [H] 
3.184 * 1.2Koeficient množství=3.821 [I]</t>
  </si>
  <si>
    <t>13011070</t>
  </si>
  <si>
    <t>ocel profilová jakost S235JR (11 375) průřez HEB 400</t>
  </si>
  <si>
    <t>'viz. PD - statika' 
Sloup 40920.00=40 920.000 [A] 
Rámová příčle26486.40=26 486.400 [B] 
Mezisoučet: 40920+26486.4=67 406.400 [C] 
67406.40/1000=67.406 [D] 
67.406 * 1.2Koeficient množství=80.887 [E]</t>
  </si>
  <si>
    <t>13011011</t>
  </si>
  <si>
    <t>ocel profilová jakost S235JR (11 375) průřez HEA 320</t>
  </si>
  <si>
    <t>'viz. PD - statika' 
Konzola jeřábu  936.96=936.960 [A] 
Nosník jeřábu 1  10540.80=10 540.800 [B] 
Nosník jeřábu 2  2127.68=2 127.680 [C] 
Mezisoučet: 936.96+10540.8+2127.68=13 605.440 [D] 
13605.44/1000=13.605 [E] 
13.605 * 1.2Koeficient množství=16.326 [F]</t>
  </si>
  <si>
    <t>13011002</t>
  </si>
  <si>
    <t>ocel profilová jakost S235JR (11 375) průřez HEB 300</t>
  </si>
  <si>
    <t>'viz. PD - statika' 
Štítový sloup 11374.75=1 374.750 [A] 
Mezisoučet: 1374.75=1 374.750 [B] 
1374.75/1000=1.375 [C] 
1.375 * 1.2Koeficient množství=1.650 [D]</t>
  </si>
  <si>
    <t>13010990</t>
  </si>
  <si>
    <t>ocel profilová jakost S235JR (11 375) průřez HEB 280</t>
  </si>
  <si>
    <t>'viz. PD - statika' 
Příčle kce diag. 1  4449.60=4 449.600 [A] 
Příčle kce diag. 2  1289.56=1 289.560 [B] 
Mezisoučet: 4449.6+1289.56=5 739.160 [C] 
5739.16/1000=5.739 [D] 
5.739 * 1.2Koeficient množství=6.887 [E]</t>
  </si>
  <si>
    <t>13010988</t>
  </si>
  <si>
    <t>ocel profilová jakost S235JR (11 375) průřez HEB 220</t>
  </si>
  <si>
    <t>'viz. PD - statika' 
Vazník přístavku2757.04=2 757.040 [A] 
Sloup přístavku 11012.44=1 012.440 [B] 
Sloup přístavku 21604.46=1 604.460 [C] 
Mezisoučet: 2757.04+1012.44+1604.46=5 373.940 [D] 
5373.94/1000=5.374 [E] 
5.374 * 1.2Koeficient množství=6.449 [F]</t>
  </si>
  <si>
    <t>13010982</t>
  </si>
  <si>
    <t>ocel profilová jakost S235JR (11 375) průřez HEB 180</t>
  </si>
  <si>
    <t>'viz. PD - statika' 
Ztužení 61080.32=1 080.320 [A] 
Mezisoučet: 1080.32=1 080.320 [B] 
1080.32/1000=1.080 [C] 
1.08 * 1.2Koeficient množství=1.296 [D]</t>
  </si>
  <si>
    <t>13010978</t>
  </si>
  <si>
    <t>ocel profilová jakost S235JR (11 375) průřez HEB 160</t>
  </si>
  <si>
    <t>'viz. PD - statika' 
Hlava štít. sloupů387.66=387.660 [A] 
Mezisoučet: 387.66=387.660 [B] 
387.66/1000=0.388 [C] 
0.388 * 1.2Koeficient množství=0.466 [D]</t>
  </si>
  <si>
    <t>13010976</t>
  </si>
  <si>
    <t>ocel profilová jakost S235JR (11 375) průřez HEB 140</t>
  </si>
  <si>
    <t>'viz. PD - statika' 
Ztužení 1  4448.40=4 448.400 [A] 
Ztužení 2 1071.66=1 071.660 [B] 
Ztužení 3  367.33=367.330 [C] 
Ztužení 4 1011.00=1 011.000 [D] 
Ztužení 5 2129.84=2 129.840 [E] 
Ztužení jeřábu606.60=606.600 [F] 
Mezisoučet: 4448.4+1071.66+367.33+1011+2129.84+606.6=9 634.830 [G] 
9634.83/1000=9.635 [H] 
9.635 * 1.2Koeficient množství=11.562 [I]</t>
  </si>
  <si>
    <t>13010974</t>
  </si>
  <si>
    <t>ocel profilová jakost S235JR (11 375) průřez HEA 220</t>
  </si>
  <si>
    <t>'viz. PD - statika' 
Nosník lávek diag. 1  1818.00=1 818.000 [A] 
Nosník lávek diag. 2  535.30=535.300 [B] 
Mezisoučet: 1818+535.3=2 353.300 [C] 
2353.30/1000=2.353 [D] 
2.353 * 1.2Koeficient množství=2.824 [E]</t>
  </si>
  <si>
    <t>13010962</t>
  </si>
  <si>
    <t>ocel profilová jakost S235JR (11 375) průřez HEA 200</t>
  </si>
  <si>
    <t>'viz. PD - statika' 
Sloup střed.lávky3553.20=3 553.200 [A] 
Vaznice 1  19796.40=19 796.400 [B] 
Vaznice 2  2341.31=2 341.310 [C] 
Vaznice 34380.17=4 380.170 [D] 
Mezisoučet: 3553.2+19796.4+2341.31+4380.17=30 071.080 [E] 
30071.08/1000=30.071 [F] 
30.071 * 1.2Koeficient množství=36.085 [G]</t>
  </si>
  <si>
    <t>13010960</t>
  </si>
  <si>
    <t>ocel profilová jakost S235JR (11 375) průřez HEA 180</t>
  </si>
  <si>
    <t>'viz. PD - statika' 
Konzola láv. ochozu 1473.25=1 473.250 [A] 
Konzola střed. lávky  782.78=782.780 [B] 
Mezisoučet: 1473.25+782.78=2 256.030 [C] 
2256.030/1000=2.256 [D] 
2.256 * 1.2Koeficient množství=2.707 [E]</t>
  </si>
  <si>
    <t>13010958</t>
  </si>
  <si>
    <t>ocel profilová jakost S235JR (11 375) průřez HEA 160</t>
  </si>
  <si>
    <t>'viz. PD - statika' 
Nosník lávky 1  15321.60=15 321.600 [A] 
Nosník lávky 2  364.80=364.800 [B] 
Nosník kce diag. 1  729.60=729.600 [C] 
Nosník kce diag. 2  924.16=924.160 [D] 
Mezisoučet: 15321.6+364.8+729.6+924.16=17 340.160 [E] 
17340.16/1000=17.340 [F] 
17.34 * 1.2Koeficient množství=20.808 [G]</t>
  </si>
  <si>
    <t>13010956</t>
  </si>
  <si>
    <t>ocel profilová jakost S235JR (11 375) průřez U (UPN) 280</t>
  </si>
  <si>
    <t>'viz. PD - statika' 
Štítový sloup 23604.83=3 604.830 [A] 
Štítový sloup 31957.91=1 957.910 [B] 
Sloup kce diag.5718.24=5 718.240 [C] 
Mezisoučet: 3604.83+1957.91+5718.24=11 280.980 [D] 
11280.98/1000=11.281 [E] 
11.281 * 1.2Koeficient množství=13.537 [F]</t>
  </si>
  <si>
    <t>13010834</t>
  </si>
  <si>
    <t>ocel profilová jakost S235JR (11 375) průřez U (UPN) 220</t>
  </si>
  <si>
    <t>'viz. PD - statika' 
stáhnutí rámu 7702.80=7 702.800 [A] 
Schodnice na ochoz1975.68=1 975.680 [B] 
Mezisoučet: 7702.8+1975.68=9 678.480 [C] 
9678.48/1000=9.678 [D] 
9.678 * 1.2Koeficient množství=11.614 [E]</t>
  </si>
  <si>
    <t>13010828</t>
  </si>
  <si>
    <t>úhelník ocelový rovnostranný jakost S235JR (11 375) 50x50x6mm</t>
  </si>
  <si>
    <t>'viz. PD - statika' 
Lem montážních jam1975.74=1 975.740 [A] 
Mezisoučet: 1975.74=1 975.740 [B] 
1975.74/1000=1.976 [C] 
1.976 * 1.2Koeficient množství=2.371 [D]</t>
  </si>
  <si>
    <t>13010422</t>
  </si>
  <si>
    <t>Výztuž stropů prostě uložených, vetknutých, spojitých, deskových, trámových (žebrových, kazetových), s keramickými a jinými vložkami, konsolových nebo balkonových, hřibových včetně hlavic hřibových sloupů, plochých střech a pro zavěšení železobetonových podhledů z betonářské oceli 10 505 (R) nebo BSt 500</t>
  </si>
  <si>
    <t>Výztuž stropů prostě uložených, vetknutých, spojitých, deskových, trámových (žebrových, kazetových), s keramickými a jinými vložkami, konsolových nebo balkonový</t>
  </si>
  <si>
    <t>411361821</t>
  </si>
  <si>
    <t>Bednění stropů ztracené ocelové žebrované ze širokých tenkostěnných ohýbaných profilů (hraněných trapézových vln), bez úpravy povrchu otevřeného podhledu, bez podpěrné konstrukce, s osazením nasucho na zdech do připravených ozubů, popř. na rovných zdech, trámech, průvlacích, do traverz s povrchem lesklým, výšky vln 60 mm, tl. plechu 0,88 mm1. Konstrukce ocelového profilovaného bednění (ceny -4203 až -4271 za m2 půdorysu shora včetně uložení) vytváří monolitický žebrovaný strop, pro který jsou určeny ceny betonů 411 32-.... - Stropy zbetonu železového (bez výztuže) , ceny výztuže stropů 411 36-21..Výztuž stropů , je-li předepsána u této spřažené konstrukce, a ceny podpěrné konstrukce.</t>
  </si>
  <si>
    <t>2*2.80*0.90=5.040 [A]</t>
  </si>
  <si>
    <t>Bednění stropů ztracené ocelové žebrované ze širokých tenkostěnných ohýbaných profilů (hraněných trapézových vln), bez úpravy povrchu otevřeného podhledu, bez podpěrné konstrukce, s osazením nasucho na zdech do připravených ozubů, popř. na rovných zdech, trámech, průvlacích, do traverz s povrchem lesklým, výšky vln 60 mm, tl. plechu 0,88 mm</t>
  </si>
  <si>
    <t>Bednění stropů ztracené ocelové žebrované ze širokých tenkostěnných ohýbaných profilů (hraněných trapézových vln), bez úpravy povrchu otevřeného podhledu, bez p</t>
  </si>
  <si>
    <t>411354214</t>
  </si>
  <si>
    <t>Stropy zbetonu železového (bez výztuže) stropů deskových, plochých střech, desek balkonových, desek hřibových stropů včetně hlavic hřibových sloupů tř. C 25/301. V cenách pohledového betonu 411 35-4 a 411 35-5 jsou započteny i náklady na pečlivé hutnění zejména při líci konstrukce pro docílení neporušeného maltového povrchu bez vzhledových kazů.</t>
  </si>
  <si>
    <t>2*2.80*0.90*0.20=1.008 [A]</t>
  </si>
  <si>
    <t>Stropy z betonu železového (bez výztuže) stropů deskových, plochých střech, desek balkonových, desek hřibových stropů včetně hlavic hřibových sloupů tř. C 25/30</t>
  </si>
  <si>
    <t>411321414</t>
  </si>
  <si>
    <t>beton C 30/37 XF3 kamenivo frakce 0/16</t>
  </si>
  <si>
    <t>'výztuž pilot vč.hlavic' 
P17.00*21=147.000 [A] 
P28.00*24=192.000 [B] 
Mezisoučet: 147+192=339.000 [C] 
3.14*0.45*0.45*339.00=215.553 [D]</t>
  </si>
  <si>
    <t>58933332</t>
  </si>
  <si>
    <t>Výztuž základových zdí nosných svislých nebo odkloněných od svislice, rovinných nebo oblých, deskových nebo žebrových, včetně výztuže jejich žeber z betonářské oceli 10 505 (R) nebo BSt 500</t>
  </si>
  <si>
    <t>Výztuž základových zdí nosných svislých nebo odkloněných od svislice, rovinných nebo oblých, deskových nebo žebrových, včetně výztuže jejich žeber z betonářské</t>
  </si>
  <si>
    <t>279361821</t>
  </si>
  <si>
    <t>Bednění základových zdí rovné jednostranné odstranění1. Ceny jsou určeny pro bednění svislé nebo šikmé (odkloněné), půdorysně přímé nebo zalomené ve volném prostranství, ve volných nebo zapažených jamách a rýhách.  
2. Kruhové nebo obloukové bednění poloměru do 1 m se oceňuje individuálně.</t>
  </si>
  <si>
    <t>Bednění základových zdí rovné jednostranné odstranění</t>
  </si>
  <si>
    <t>279351312</t>
  </si>
  <si>
    <t>Bednění základových zdí rovné jednostranné zřízení1. Ceny jsou určeny pro bednění svislé nebo šikmé (odkloněné), půdorysně přímé nebo zalomené ve volném prostranství, ve volných nebo zapažených jamách a rýhách.  
2. Kruhové nebo obloukové bednění poloměru do 1 m se oceňuje individuálně.</t>
  </si>
  <si>
    <t>'stěny jam nad hydroizolaci' 
2*58.30*2*1.10=256.520 [A] 
2*0.90*2*1.10=3.960 [B] 
Celkem: 256.52+3.96=260.480 [C]</t>
  </si>
  <si>
    <t>Bednění základových zdí rovné jednostranné zřízení</t>
  </si>
  <si>
    <t>279351311</t>
  </si>
  <si>
    <t>Bednění základových zdí rovné oboustranné za každou stranu odstranění1. Ceny jsou určeny pro bednění svislé nebo šikmé (odkloněné), půdorysně přímé nebo zalomené ve volném prostranství, ve volných nebo zapažených jamách a rýhách.  
2. Kruhové nebo obloukové bednění poloměru do 1 m se oceňuje individuálně.</t>
  </si>
  <si>
    <t>Bednění základových zdí rovné oboustranné za každou stranu odstranění</t>
  </si>
  <si>
    <t>279351122</t>
  </si>
  <si>
    <t>Bednění základových zdí rovné oboustranné za každou stranu zřízení1. Ceny jsou určeny pro bednění svislé nebo šikmé (odkloněné), půdorysně přímé nebo zalomené ve volném prostranství, ve volných nebo zapažených jamách a rýhách.  
2. Kruhové nebo obloukové bednění poloměru do 1 m se oceňuje individuálně.</t>
  </si>
  <si>
    <t>'stěny jam pod hydroizolaci' 
2*58.85*1.195*2*2=562.606 [A] 
2*2.50*1.195*2=11.950 [B] 
Celkem: 562.606+11.95=574.556 [C]</t>
  </si>
  <si>
    <t>Bednění základových zdí rovné oboustranné za každou stranu zřízení</t>
  </si>
  <si>
    <t>279351121</t>
  </si>
  <si>
    <t>2*0.90*2*0.90=3.240 [A]</t>
  </si>
  <si>
    <t>Základové zdi zbetonu železového (bez výztuže) se zvýšenými nároky na prostředí tř. C 30/371. V ceně příplatku -5911 jsou započteny náklady na technologické opatření a na ztíženou betonáž pod hladinou pažící bentonitové suspenze a na průběžné odčerpávání suspenze s přepouštěním na určité místo do 20 m, popř. do vany nebo do kalové cisterny k odvozu. Odvoz se oceňuje cenami katalogu 800-2 Zvláštní zakládání objektů.  
2. Hloubení s použitím bentonitové suspenze se oceňuje katalogem 800-1 Zemní práce. Bednění se neoceňuje.  
3. Vcenách nejsou započteny náklady na:  
a) bednění; tyto se oceňují cenami souboru cen 279 35-11 Bednění základových zdí,  
b) dodání a uložení výztuže; tyto se oceňují cenami souboru cen 279 36- . . Výztuž základových zdí nosných.</t>
  </si>
  <si>
    <t>'stěny jam pod hydroizolaci' 
2*58.85*1.195*0.25*2=70.326 [A] 
2*2.50*1.195*0.25=1.494 [B] 
Celkem: 70.326+1.494=71.820 [C]</t>
  </si>
  <si>
    <t>Základové zdi z betonu železového (bez výztuže) se zvýšenými nároky na prostředí tř. C 30/37</t>
  </si>
  <si>
    <t>279322512</t>
  </si>
  <si>
    <t>Základové zdi zbetonu železového (bez výztuže) bez zvláštních nároků na prostředí tř. C 25/301. V ceně příplatku -5911 jsou započteny náklady na technologické opatření a na ztíženou betonáž pod hladinou pažící bentonitové suspenze a na průběžné odčerpávání suspenze s přepouštěním na určité místo do 20 m, popř. do vany nebo do kalové cisterny k odvozu. Odvoz se oceňuje cenami katalogu 800-2 Zvláštní zakládání objektů.  
2. Hloubení s použitím bentonitové suspenze se oceňuje katalogem 800-1 Zemní práce. Bednění se neoceňuje.  
3. Vcenách nejsou započteny náklady na:  
a) bednění; tyto se oceňují cenami souboru cen 279 35-11 Bednění základových zdí,  
b) dodání a uložení výztuže; tyto se oceňují cenami souboru cen 279 36- . . Výztuž základových zdí nosných.</t>
  </si>
  <si>
    <t>'stěny jam nad hydroizolaci' 
2*(58.30*2*0.55)*1.10=141.086 [A] 
2*(0.90*2*0.25)*1.10=0.990 [B] 
2*0.90*0.25*0.90=0.405 [C] 
Celkem: 141.086+0.99+0.405=142.481 [D]</t>
  </si>
  <si>
    <t>Základové zdi z betonu železového (bez výztuže) bez zvláštních nároků na prostředí tř. C 25/30</t>
  </si>
  <si>
    <t>279321347</t>
  </si>
  <si>
    <t>Výztuž základů patek z betonářské oceli 10 505 (R)1. Ceny platí pro desky rovné, snáběhy, hřibové nebo upnuté do žeber včetně výztuže těchto žeber.</t>
  </si>
  <si>
    <t>'svařence pod sloupy  - dle statika' 
detail 324.71 - 24svařenců 324.71=324.710 [A] 
detail D -  7 svařenců  3.38=3.380 [B] 
detail G - 21 svařenců 81.18=81.180 [C] 
detail  O - 6 svařenců5.80=5.800 [D] 
detail  P - 1 svařenec 0.97=0.970 [E] 
detail  S - 8 svařenců 30.93=30.930 [F] 
Mezisoučet: 324.71+3.38+81.18+5.8+0.97+30.93=446.970 [G] 
446.97/1000=0.447 [H]</t>
  </si>
  <si>
    <t>Výztuž základů patek z betonářské oceli 10 505 (R)</t>
  </si>
  <si>
    <t>275361821</t>
  </si>
  <si>
    <t>Bednění základů patek odstranění1. Ceny jsou určeny pro bednění ve volném prostranství, ve volných nebo zapažených jamách, rýhách a šachtách.  
2. Kruhové nebo obloukové bednění poloměru do 1 m se oceňuje individuálně.</t>
  </si>
  <si>
    <t>Bednění základů patek odstranění</t>
  </si>
  <si>
    <t>275351122</t>
  </si>
  <si>
    <t>Bednění základů patek zřízení1. Ceny jsou určeny pro bednění ve volném prostranství, ve volných nebo zapažených jamách, rýhách a šachtách.  
2. Kruhové nebo obloukové bednění poloměru do 1 m se oceňuje individuálně.</t>
  </si>
  <si>
    <t>'zarážedlo' 
2*(3.45+1.80)*2*3.35=70.350 [A]</t>
  </si>
  <si>
    <t>Bednění základů patek zřízení</t>
  </si>
  <si>
    <t>275351121</t>
  </si>
  <si>
    <t>'hala' 
6*1.60*4*0.75=28.800 [A] 
2*(1.58+1.10)*2*0.75=8.040 [B] 
2*1.25*4*0.75=7.500 [C] 
2*(2.70+1.60)*2*0.75=12.900 [D] 
17*1.10*4*0.75=56.100 [E] 
Mezisoučet: 28.8+8.04+7.5+12.9+56.1=113.340 [F] 
''přístavek' 
7*1.25*4*0.75=26.250 [G] 
Mezisoučet: 26.25=26.250 [H] 
''hlavice' 
(21+24)*1.10*4*1.00=198.000 [I] 
Mezisoučet: 198=198.000 [J] 
Celkem: 28.8+8.04+7.5+12.9+56.1+26.25+198=337.590 [K]</t>
  </si>
  <si>
    <t>Základy z betonu železového (bez výztuže) patky z betonu se zvýšenými nároky na prostředí tř. C 30/371. V ceně příplatku -5911 jsou započteny náklady na technologické opatření a na ztíženou betonáž pod hladinou pažící bentonitové suspenze a na průběžné odčerpání suspenze s přepouštěním na určené místo do 20 m, popř. do vany nebo do kalové cisterny k odvozu. Odvoz se oceňuje cenami katalogu 800-2 Zvláštní zakládání objektů.  
2. Hloubení s použitím bentonitové suspenze se oceňuje katalogem 800-1 Zemní práce. Bednění se neoceňuje.  
3. V cenách nejsou započteny náklady na výztuž, tyto se oceňují cenami souboru cen 27* 36-.... Výztuž základů.  
4. V cenách z betonu pro konstrukce bílých van 27. 32-3 nejsou započteny náklady na těsnění dilatačních a pracovních spar, tyto se oceňují cenami souborů cen 953 33 části A08 tohoto katalogu.</t>
  </si>
  <si>
    <t>'hlavice' 
45*1.10*1.10*1.00=54.450 [A]</t>
  </si>
  <si>
    <t>Základy z betonu železového (bez výztuže) patky z betonu se zvýšenými nároky na prostředí tř. C 30/37</t>
  </si>
  <si>
    <t>275322611</t>
  </si>
  <si>
    <t>Základy z betonu prostého patky a bloky z betonu kamenem neprokládaného tř. C 16/201. V ceně příplatku -5911 jsou započteny náklady na technologické opatření a na ztíženou betonáž pod hladinou pažící bentonitové suspenze a na průběžné odčerpání suspenze s přepouštěním na určené místo do 20 m, popř. do vany nebo do kalové cisterny k odvozu. Odvoz se oceňuje cenami katalogu 800-2 Zvláštní zakládání objektů.  
2. Hloubení s použitím bentonitové suspenze se oceňuje katalogem 800-1 Zemní práce. Bednění se neoceňuje.</t>
  </si>
  <si>
    <t>'zarážedlo' 
3.45*1.80*3.35=20.804 [A] 
-3.45*(0.80+0.175)/2*1.75=-2.943 [B] 
Mezisoučet: 20.804+-2.943=17.861 [C] 
17.861*2=35.722 [D]</t>
  </si>
  <si>
    <t>Základy z betonu prostého patky a bloky z betonu kamenem neprokládaného tř. C 16/20</t>
  </si>
  <si>
    <t>275313611</t>
  </si>
  <si>
    <t>Základy z betonu prostého patky a bloky z betonu kamenem neprokládaného tř. C 12/151. V ceně příplatku -5911 jsou započteny náklady na technologické opatření a na ztíženou betonáž pod hladinou pažící bentonitové suspenze a na průběžné odčerpání suspenze s přepouštěním na určené místo do 20 m, popř. do vany nebo do kalové cisterny k odvozu. Odvoz se oceňuje cenami katalogu 800-2 Zvláštní zakládání objektů.  
2. Hloubení s použitím bentonitové suspenze se oceňuje katalogem 800-1 Zemní práce. Bednění se neoceňuje.</t>
  </si>
  <si>
    <t>'hala' 
6*1.60*1.60*0.75=11.520 [A] 
2*1.58*1.10*0.75=2.607 [B] 
2*1.25*1.25*0.75=2.344 [C] 
2*(1.48*1.60+1.20*0.87+0.50*0.35)*0.75=5.381 [D] 
17*1.10*1.10*0.75=15.428 [E] 
''přístavek' 
7*1.25*1.25*0.75=8.203 [F] 
Celkem: 11.52+2.607+2.344+5.381+15.428+8.203=45.483 [G]</t>
  </si>
  <si>
    <t>Základy z betonu prostého patky a bloky z betonu kamenem neprokládaného tř. C 12/15</t>
  </si>
  <si>
    <t>275313511</t>
  </si>
  <si>
    <t>Výztuž základů pasů z betonářské oceli 10 505 (R) nebo BSt 5001. Ceny platí pro desky rovné, snáběhy, hřibové nebo upnuté do žeber včetně výztuže těchto žeber.</t>
  </si>
  <si>
    <t>'dle PD' 
(4475.818+2746.594)/1000=7.222 [A]</t>
  </si>
  <si>
    <t>Výztuž základů pasů z betonářské oceli 10 505 (R) nebo BSt 500</t>
  </si>
  <si>
    <t>274361821</t>
  </si>
  <si>
    <t>Bednění základů pasů rovné odstranění1. Ceny jsou určeny pro bednění ve volném prostranství, ve volných nebo zapažených jamách, rýhách a šachtách.  
2. Kruhové nebo obloukové bednění poloměru do 1 m se oceňuje individuálně.</t>
  </si>
  <si>
    <t>Bednění základů pasů rovné odstranění</t>
  </si>
  <si>
    <t>274351122</t>
  </si>
  <si>
    <t>Bednění základů pasů rovné zřízení1. Ceny jsou určeny pro bednění ve volném prostranství, ve volných nebo zapažených jamách, rýhách a šachtách.  
2. Kruhové nebo obloukové bednění poloměru do 1 m se oceňuje individuálně.</t>
  </si>
  <si>
    <t>'hala' 
(4.20*4+1.05*4+2.25*4+4.90*6*2+1.65*4+1.125*2+4.935*2)*2*0.75=161.280 [A] 
''přístavek' 
(3.915*2+4.05+4.75*5)*2*0.75=53.445 [B] 
Mezisoučet: 161.28+53.445=214.725 [C] 
''ztužující prahy' 
2*(1.875+1.10)*2*0.30=3.570 [D] 
18*(2.35+1.10)*2*0.30=37.260 [E] 
20*2.50*2*0.55=55.000 [F] 
Mezisoučet: 3.57+37.26+55=95.830 [G] 
Celkem: 161.28+53.445+3.57+37.26+55=310.555 [H]</t>
  </si>
  <si>
    <t>Bednění základů pasů rovné zřízení</t>
  </si>
  <si>
    <t>274351121</t>
  </si>
  <si>
    <t>Základy z betonu železového (bez výztuže) pasy z betonu bez zvláštních nároků na prostředí tř. C 25/301. V ceně příplatku -5911 jsou započteny náklady na technologické opatření a na ztíženou betonáž pod hladinou pažící bentonitové suspenze a na průběžné odčerpání suspenze s přepouštěním na určené místo do 20 m, popř. do vany nebo do kalové cisterny k odvozu. Odvoz se oceňuje cenami katalogu 800-2 Zvláštní zakládání objektů.  
2. Hloubení s použitím bentonitové suspenze se oceňuje katalogem 800-1 Zemní práce. Bednění se neoceňuje.  
3. V cenách nejsou započteny náklady na výztuž, tyto se oceňují cenami souboru cen 27* 36-.... Výztuž základů.  
4. V cenách z betonu pro konstrukce bílých van 27. 32-3 nejsou započteny náklady na těsnění dilatačních a pracovních spar, tyto se oceňují cenami souborů cen 953 33 části A08 tohoto katalogu.</t>
  </si>
  <si>
    <t>'ztužující prahy' 
2*1.875*1.10*0.30=1.238 [A] 
18*2.35*1.10*0.30=13.959 [B] 
20*2.50*0.95*0.55=26.125 [C] 
Celkem: 1.238+13.959+26.125=41.322 [D]</t>
  </si>
  <si>
    <t>Základy z betonu železového (bez výztuže) pasy z betonu bez zvláštních nároků na prostředí tř. C 25/30</t>
  </si>
  <si>
    <t>274321511</t>
  </si>
  <si>
    <t>Základy z betonu prostého pasy betonu kamenem neprokládaného tř. C 12/151. V ceně příplatku -5911 jsou započteny náklady na technologické opatření a na ztíženou betonáž pod hladinou pažící bentonitové suspenze a na průběžné odčerpání suspenze s přepouštěním na určené místo do 20 m, popř. do vany nebo do kalové cisterny k odvozu. Odvoz se oceňuje cenami katalogu 800-2 Zvláštní zakládání objektů.  
2. Hloubení s použitím bentonitové suspenze se oceňuje katalogem 800-1 Zemní práce. Bednění se neoceňuje.</t>
  </si>
  <si>
    <t>'hala' 
4.20*4+1.05*4+2.25*4+4.90*6*2+1.65*4+1.125*2+4.935*2=107.520 [A] 
''přístavek' 
3.915*2+4.05+4.75*5=35.630 [B] 
Mezisoučet: 107.52+35.63=143.150 [C] 
143.15*0.40*0.75=42.945 [D]</t>
  </si>
  <si>
    <t>Základy z betonu prostého pasy betonu kamenem neprokládaného tř. C 12/15</t>
  </si>
  <si>
    <t>274313511</t>
  </si>
  <si>
    <t>Výztuž základů desek z betonářské oceli 10 505 (R) nebo BSt 5001. Ceny platí pro desky rovné, snáběhy, hřibové nebo upnuté do žeber včetně výztuže těchto žeber.</t>
  </si>
  <si>
    <t>Výztuž základů desek z betonářské oceli 10 505 (R) nebo BSt 500</t>
  </si>
  <si>
    <t>273361821</t>
  </si>
  <si>
    <t>Bednění základů desek odstranění1. Ceny jsou určeny pro bednění ve volném prostranství, ve volných nebo zapažených jamách, rýhách a šachtách.  
2. Kruhové nebo obloukové bednění poloměru do 1 m se oceňuje individuálně.</t>
  </si>
  <si>
    <t>Bednění základů desek odstranění</t>
  </si>
  <si>
    <t>273351122</t>
  </si>
  <si>
    <t>Bednění základů desek zřízení1. Ceny jsou určeny pro bednění ve volném prostranství, ve volných nebo zapažených jamách, rýhách a šachtách.  
2. Kruhové nebo obloukové bednění poloměru do 1 m se oceňuje individuálně.</t>
  </si>
  <si>
    <t>'podlahová deska' 
169.23=169.230 [A] 
smršťovací pruh2*19.70=39.400 [B] 
''  jámy' 
(2.00+58.55)*2*2=242.200 [C] 
'' bloky SUDOP' 
(3.45+1.80)*2*2=21.000 [D] 
Mezisoučet: 169.23+39.4+242.2+21=471.830 [E] 
471.83*0.20=94.366 [F]</t>
  </si>
  <si>
    <t>Bednění základů desek zřízení</t>
  </si>
  <si>
    <t>273351121</t>
  </si>
  <si>
    <t>'dno na jam pod hydroizolaci' 
2*(58.85+2.50)*2*0.25=61.350 [A] 
''dno na jam nad hydroizolaci' 
2*(58.30+2.00)*2*0.25=60.300 [B] 
Celkem: 61.35+60.3=121.650 [C]</t>
  </si>
  <si>
    <t>Základy z betonu železového (bez výztuže) desky z betonu se zvýšenými nároky na prostředí tř. C 30/371. V ceně příplatku -5911 jsou započteny náklady na technologické opatření a na ztíženou betonáž pod hladinou pažící bentonitové suspenze a na průběžné odčerpání suspenze s přepouštěním na určené místo do 20 m, popř. do vany nebo do kalové cisterny k odvozu. Odvoz se oceňuje cenami katalogu 800-2 Zvláštní zakládání objektů.  
2. Hloubení s použitím bentonitové suspenze se oceňuje katalogem 800-1 Zemní práce. Bednění se neoceňuje.  
3. V cenách nejsou započteny náklady na výztuž, tyto se oceňují cenami souboru cen 27* 36-.... Výztuž základů.  
4. V cenách z betonu pro konstrukce bílých van 27. 32-3 nejsou započteny náklady na těsnění dilatačních a pracovních spar, tyto se oceňují cenami souborů cen 953 33 části A08 tohoto katalogu.</t>
  </si>
  <si>
    <t>'dno na jam pod hydroizolaci' 
2*58.85*2.50*0.25=73.563 [A]</t>
  </si>
  <si>
    <t>Základy z betonu železového (bez výztuže) desky z betonu se zvýšenými nároky na prostředí tř. C 30/37</t>
  </si>
  <si>
    <t>273322611</t>
  </si>
  <si>
    <t>Základy z betonu železového (bez výztuže) desky z betonu bez zvláštních nároků na prostředí tř. C 25/301. V ceně příplatku -5911 jsou započteny náklady na technologické opatření a na ztíženou betonáž pod hladinou pažící bentonitové suspenze a na průběžné odčerpání suspenze s přepouštěním na určené místo do 20 m, popř. do vany nebo do kalové cisterny k odvozu. Odvoz se oceňuje cenami katalogu 800-2 Zvláštní zakládání objektů.  
2. Hloubení s použitím bentonitové suspenze se oceňuje katalogem 800-1 Zemní práce. Bednění se neoceňuje.  
3. V cenách nejsou započteny náklady na výztuž, tyto se oceňují cenami souboru cen 27* 36-.... Výztuž základů.  
4. V cenách z betonu pro konstrukce bílých van 27. 32-3 nejsou započteny náklady na těsnění dilatačních a pracovních spar, tyto se oceňují cenami souborů cen 953 33 části A08 tohoto katalogu.</t>
  </si>
  <si>
    <t>'podlahová deska' 
1132.00=1 132.000 [A] 
''odpočet  jámy' 
-2.00*58.55*2=- 234.200 [B] 
''odpočet bloků SUDOP' 
-3.45*1.80*2=-12.420 [C] 
Mezisoučet: 1132+-234.2+-12.42=885.380 [D] 
885.38*0.20=177.076 [E]</t>
  </si>
  <si>
    <t>Základy z betonu železového (bez výztuže) desky z betonu bez zvláštních nároků na prostředí tř. C 25/30</t>
  </si>
  <si>
    <t>273321511</t>
  </si>
  <si>
    <t>'dno na jam nad hydroizolaci' 
2*58.30*2.00*0.25=58.300 [A]</t>
  </si>
  <si>
    <t>Výztuž pilot betonovaných do země z oceli 10 505 (R)1. Ceny lze použít i pro zřízení armokošů.  
2. V cenách nejsou započteny náklady na uložení výztuže a nastavení armokošů; tyto náklady jsou započteny vcenách souboru cen 231 . . - Zřízení výplně pilot z betonu železového, části A01 Zvláštní zakládání objektů.</t>
  </si>
  <si>
    <t>dle PD30441.973/1000=30.442 [A]</t>
  </si>
  <si>
    <t>Výztuž pilot betonovaných do země z oceli 10 505 (R)</t>
  </si>
  <si>
    <t>231611114</t>
  </si>
  <si>
    <t>Zřízení výplně pilot bez vytažení pažnic nezapažených nebo zapažených bentonitovou suspenzí svislých z betonu železového, v hl od 0 do 10 m, při průměru piloty přes 650 do 1250 mm1. V cenách nejsou započteny náklady na dodání výplně, tyto se oceňují ve specifikaci. Objem výplně se určí pro:  
a) pilotu nezapaženou nebo zapaženou bentonitovou suspenzí jako součin délky piloty a projektem předepsané průřezové plochy zvětšené u pilot:  
- O do 450 mm . . . . . . . . . . . . . o 15 %  
- O přes 450 do 1050 mm . . . . . o 10 %  
- O přes 1050 mm . . . . . . . . . . . o 5 %  
b) nestejné velikosti průřezové plochy jedné piloty jako součet objemů jednotlivých částí piloty.  
2. Množství měrných jednotek se u dodávky určuje vm3 objemu výplně piloty.  
3. Do celkového množství se započítává i objem výplně pro nutné nadbetonování při betonování do suspenze.  
4. Pokud je výplň dodávána přímo na místo zabudování nebo do prostoru technologické manipulace, její hmotnost se nezapočítává do přesunu hmot.  
5. V cenách nejsou započteny náklady na provedení vrtu.</t>
  </si>
  <si>
    <t>P17.00*21=147.000 [A] 
P28.00*24=192.000 [B] 
Celkem: 147+192=339.000 [C]</t>
  </si>
  <si>
    <t>Zřízení výplně pilot bez vytažení pažnic nezapažených nebo zapažených bentonitovou suspenzí svislých z betonu železového, v hl od 0 do 10 m, při průměru piloty přes 650 do 1250 mm</t>
  </si>
  <si>
    <t>Zřízení výplně pilot bez vytažení pažnic nezapažených nebo zapažených bentonitovou suspenzí svislých z betonu železového, v hl od 0 do 10 m, při průměru piloty</t>
  </si>
  <si>
    <t>231112113</t>
  </si>
  <si>
    <t>Velkoprofilové vrty náběrovým vrtáním svislé nezapažené průměru přes 850 do 1050 mm, v hl přes 5 m v hornině tř. III</t>
  </si>
  <si>
    <t>226113213</t>
  </si>
  <si>
    <t>Zakládání</t>
  </si>
  <si>
    <t>Vodorovné přemístění výkopku nebo sypaniny po suchu na obvyklém dopravním prostředku, bez naložení výkopku, avšak se složením bez rozhrnutí z horniny třídy těžitelnosti I skupiny 1 až 3 na vzdálenost přes 50 do 500 m</t>
  </si>
  <si>
    <t>'z pilot' 
215.553=215.553 [A]</t>
  </si>
  <si>
    <t>Vodorovné přemístění výkopku nebo sypaniny po suchu na obvyklém dopravním prostředku, bez naložení výkopku, avšak se složením bez rozhrnutí z horniny třídy těži</t>
  </si>
  <si>
    <t>162351103</t>
  </si>
  <si>
    <t>Statika</t>
  </si>
  <si>
    <t>02.1</t>
  </si>
  <si>
    <t>190</t>
  </si>
  <si>
    <t>2547.447*1.900=4 840.149 [A]</t>
  </si>
  <si>
    <t>189</t>
  </si>
  <si>
    <t>dozory, posudky, zkoušky a ostatní měření, revize, kompletační a koordinační činnost, veškerá ostatní inženýrská činnnost v  rámci stavby 20-067-239 
Celkem 1=1.000 [A]</t>
  </si>
  <si>
    <t>Inženýrská činnost</t>
  </si>
  <si>
    <t>KPL</t>
  </si>
  <si>
    <t>R9999901</t>
  </si>
  <si>
    <t>188</t>
  </si>
  <si>
    <t>Osazování drobných kovových předmětů kotvených do stěny hasicího přístroje1. Vcenách nejsou započteny náklady na dodávku kovových předmětů; tyto se oceňují ve specifikaci. Ztratné se nestanoví.  
2. Cenu -2841 lze použít pro osazení rámu pod pružinový (roštový) ocelový základ např. domovních praček, odstředivek, ždímaček, motorových zařízení, ventilátorů apod.  
3. Cena -2851 je určena pro zednické osazení zábradlí ze samostatných dílů nevyžadující samostatnou montáž.  
4. Ceny platí za každé zalití.</t>
  </si>
  <si>
    <t>7+3=10.000 [A]</t>
  </si>
  <si>
    <t>Osazování drobných kovových předmětů kotvených do stěny hasicího přístroje</t>
  </si>
  <si>
    <t>953943211</t>
  </si>
  <si>
    <t>187</t>
  </si>
  <si>
    <t>Vyčištění budov nebo objektů před předáním do užívání průmyslových budov a objektů výrobních, skladovacích, garáží, dílen nebo hal apod. s nespalnou podlahou jakékoliv výšky podlaží1. Cenu -1111 lze použít i pro vyčištění půdy a rovné střechy budov, pokud definitivní úprava umožňuje, aby se ploché střechy používalo jako terasy, nebo tehdy, když je nutno čistit konstrukce na těchto střechách (světlíky, dveře apod.). Do výměry se započítávají jednou třetinou plochy.  
2. Střešní plochy hal se světlíky nebo okny se oceňují jako podlaží cenou -1221.  
3. Množství měrných jednotek se určuje v m2 půdorysné plochy každého podlaží, dané vnějším obrysem podlaží budovy. Plochy balkonů se přičítají.  
4. v ceně -1111 a -1114 jsou započteny náklady na zametení a umytí podlah, dlažeb, obkladů, schodů v místnostech, chodbách a schodištích, vyčištění a umytí oken, dveří s rámy, zárubněmi, umytí a vyčištění jiných zasklených a natíraných ploch a zařizovacích předmětů.  
5. V ceně -1221 jsou započteny náklady na zametení podlahy, umytí dlažeb nebo keramických podlah v přilehlých místnostech, chodbách a schodištích, umytí obkladů, schodů, vyčištění a umytí oken a dveří s rámy a zárubněmi, umytí a vyčištění jiných zasklených a natíraných ploch a zařizovacích předmětů.  
6. V ceně -1311 jsou započteny náklady na zametení a čištění dlažeb, umytí, vyčištění okenních a dveřních rámů a zařizovacích předmětů.  
7. V ceně -1411 jsou započteny náklady na vynesení zbytků stavebního rumu, kropení a 2x zametení podlah, oprášení stěn a výplní otvorů.</t>
  </si>
  <si>
    <t>65.20*15.00=978.000 [A] 
36.00*5.00=180.000 [B] 
2*3.735*1.90=14.193 [C] 
Celkem: 978+180+14.193=1 172.193 [D]</t>
  </si>
  <si>
    <t>Vyčištění budov nebo objektů před předáním do užívání průmyslových budov a objektů výrobních, skladovacích, garáží, dílen nebo hal apod. s nespalnou podlahou jakékoliv výšky podlaží</t>
  </si>
  <si>
    <t>Vyčištění budov nebo objektů před předáním do užívání průmyslových budov a objektů výrobních, skladovacích, garáží, dílen nebo hal apod. s nespalnou podlahou ja</t>
  </si>
  <si>
    <t>952901221</t>
  </si>
  <si>
    <t>186</t>
  </si>
  <si>
    <t>přístroj hasicí ruční sněhový KS 5 BG</t>
  </si>
  <si>
    <t>44932211</t>
  </si>
  <si>
    <t>185</t>
  </si>
  <si>
    <t>přístroj hasicí ruční práškový PG 6 LE</t>
  </si>
  <si>
    <t>44932114</t>
  </si>
  <si>
    <t>184</t>
  </si>
  <si>
    <t>Různé dokončovací konstrukce a práce pozemních staveb</t>
  </si>
  <si>
    <t>Demontáž lešeňové podlahy pro trubková lešení zfošen, prken nebo dřevěných sbíjených lešeňových dílců s příčníky nebo podélníky, ve výšce do 10 m1. Ceny -1811 až -1822 lze použít i pro demontáž lešeňové podlahy ve světlíku nebo šachtě o půdorysné ploše přes 6 m2.  
2. Demontáž lešeňové podlahy ve výšce přes 25 m se oceňuje individuálně.</t>
  </si>
  <si>
    <t>Lešeňová podlaha pro trubková lešení z fošen, prken nebo dřevěných sbíjených lešeňových dílců s příčníky nebo podélníky, ve výšce do 10 m demontáž</t>
  </si>
  <si>
    <t>949211811</t>
  </si>
  <si>
    <t>183</t>
  </si>
  <si>
    <t>Montáž lešeňové podlahy pro trubková lešení Příplatek za první a každý další den použití lešení kceně -1111 nebo -11121. V cenách nejsou započteny náklady na vysekání otvorů ve zdivu, světlíku nebo šachtě; tyto stavební práce se oceňují příslušnými cenami katalogu 801-3 Budovy a haly - bourání konstrukcí.  
2. Ceny -1111 až -1122 lze použít i pro montáž lešeňové podlahy ve světlíku nebo šachtě o půdorysné ploše přes 6 m2.  
3. Množství měrných jednotek se určuje v m2 půdorysné plochy pracovní podlahy.  
4. Montáž lešeňové podlahy ve výšce přes 25 m se oceňuje individuálně.</t>
  </si>
  <si>
    <t>Lešeňová podlaha pro trubková lešení z fošen, prken nebo dřevěných sbíjených lešeňových dílců s příčníky nebo podélníky, ve výšce do 10 m příplatek k ceně za každý den použití</t>
  </si>
  <si>
    <t>Lešeňová podlaha pro trubková lešení z fošen, prken nebo dřevěných sbíjených lešeňových dílců s příčníky nebo podélníky, ve výšce do 10 m příplatek k ceně za ka</t>
  </si>
  <si>
    <t>949211211</t>
  </si>
  <si>
    <t>182</t>
  </si>
  <si>
    <t>Montáž lešeňové podlahy pro trubková lešení zfošen, prken nebo dřevěných sbíjených lešeňových dílců s příčníky nebo podélníky, ve výšce do 10 m1. V cenách nejsou započteny náklady na vysekání otvorů ve zdivu, světlíku nebo šachtě; tyto stavební práce se oceňují příslušnými cenami katalogu 801-3 Budovy a haly - bourání konstrukcí.  
2. Ceny -1111 až -1122 lze použít i pro montáž lešeňové podlahy ve světlíku nebo šachtě o půdorysné ploše přes 6 m2.  
3. Množství měrných jednotek se určuje v m2 půdorysné plochy pracovní podlahy.  
4. Montáž lešeňové podlahy ve výšce přes 25 m se oceňuje individuálně.</t>
  </si>
  <si>
    <t>OP 144.715*4.50=21.218 [A] 
(4.715+2.50)*2*1.00*3=43.290 [B] 
OP 154.715*7.735=36.471 [C] 
(4.715+5.735)*2*1.00*3=62.700 [D] 
Celkem: 21.218+43.29+36.471+62.7=163.679 [E]</t>
  </si>
  <si>
    <t>Lešeňová podlaha pro trubková lešení z fošen, prken nebo dřevěných sbíjených lešeňových dílců s příčníky nebo podélníky, ve výšce do 10 m montáž</t>
  </si>
  <si>
    <t>949211111</t>
  </si>
  <si>
    <t>181</t>
  </si>
  <si>
    <t>Lešení pomocné pracovní pro objekty pozemních staveb pro zatížení do 150 kg/m2, o výšce lešeňové podlahy do 1,9 m1. Vceně jsou započteny i náklady na montáž, opotřebení a demontáž lešení.  
2. Vceně nejsou započteny náklady na manipulaci slešením; tyto jsou již zahrnuty vcenách příslušných stavebních prací.  
3. Množství měrných jednotek se určuje m2 podlahové plochy, na které se práce provádí.</t>
  </si>
  <si>
    <t>15.99+5.82+13.25+14.33+9.94+7.66+2.98+1.66+1.71=73.340 [A] 
+21.42+1.56+1.28+5.97= 
Celkem: 73.34+30.23=103.570 [C]</t>
  </si>
  <si>
    <t>Lešení pomocné pracovní pro objekty pozemních staveb pro zatížení do 150 kg/m2, o výšce lešeňové podlahy do 1,9 m</t>
  </si>
  <si>
    <t>949101111</t>
  </si>
  <si>
    <t>180</t>
  </si>
  <si>
    <t>Demontáž lešení prostorového trubkového lehkého pracovního bez podlah s provozním zatížením tř. 3 do 200 kg/m2, výšky do 10 m1. Demontáž lešení prostorového trubkového lehkého výšky přes 30 m se oceňuje individuálně.  
2. Demontáž lešeňové podlahy se oceňuje cenami souboru cen 949 21-18 Demontáž lešeňové podlahy pro trubková lešení.</t>
  </si>
  <si>
    <t>Lešení prostorové trubkové lehké pracovní bez podlah s provozním zatížením tř. 3 do 200 kg/m2 výšky do 10 m demontáž</t>
  </si>
  <si>
    <t>943111811</t>
  </si>
  <si>
    <t>179</t>
  </si>
  <si>
    <t>Montáž lešení prostorového trubkového lehkého pracovního bez podlah Příplatek za první a každý další den použití lešení k ceně -11111. Montáž lešení prostorového trubkového lehkého výšky přes 30 m se oceňuje individuálně.  
2. Montáž lešeňové podlahy se oceňuje cenami souboru cen 949 21 Montáž lešeňové podlahy pro trubková lešení.</t>
  </si>
  <si>
    <t>Lešení prostorové trubkové lehké pracovní bez podlah s provozním zatížením tř. 3 do 200 kg/m2 výšky do 10 m příplatek k ceně za každý den použití</t>
  </si>
  <si>
    <t>943111211</t>
  </si>
  <si>
    <t>178</t>
  </si>
  <si>
    <t>Montáž lešení prostorového trubkového lehkého pracovního bez podlah s provozním zatížením tř. 3 do 200 kg/m2, výšky do 10 m1. Montáž lešení prostorového trubkového lehkého výšky přes 30 m se oceňuje individuálně.  
2. Montáž lešeňové podlahy se oceňuje cenami souboru cen 949 21 Montáž lešeňové podlahy pro trubková lešení.</t>
  </si>
  <si>
    <t>OP 144.715*4.50*(7.15+7.78)/2=158.389 [A] 
OP 154.715*7.735*(7.15+7.78)/2=272.252 [B] 
Celkem: 158.389+272.252=430.641 [C]</t>
  </si>
  <si>
    <t>Lešení prostorové trubkové lehké pracovní bez podlah s provozním zatížením tř. 3 do 200 kg/m2 výšky do 10 m montáž</t>
  </si>
  <si>
    <t>943111111</t>
  </si>
  <si>
    <t>177</t>
  </si>
  <si>
    <t>Malby z malířských směsí oděruvzdorných za mokra dvojnásobné, bílé za mokra oděruvzdorné výborně v místnostech výšky přes 5,00 m</t>
  </si>
  <si>
    <t>784211105</t>
  </si>
  <si>
    <t>176</t>
  </si>
  <si>
    <t>Malby z malířských směsí oděruvzdorných za mokra dvojnásobné, bílé za mokra oděruvzdorné výborně v místnostech výšky do 3,80 m</t>
  </si>
  <si>
    <t>784211101</t>
  </si>
  <si>
    <t>175</t>
  </si>
  <si>
    <t>Penetrace podkladu jednonásobná hloubková akrylátová bezbarvá v místnostech výšky přes 5,00 m</t>
  </si>
  <si>
    <t>784181125</t>
  </si>
  <si>
    <t>174</t>
  </si>
  <si>
    <t>Penetrace podkladu jednonásobná hloubková akrylátová bezbarvá v místnostech výšky do 3,80 m</t>
  </si>
  <si>
    <t>784181121</t>
  </si>
  <si>
    <t>173</t>
  </si>
  <si>
    <t>Oprášení (ometení) podkladu v místnostech výšky přes 5,00 m</t>
  </si>
  <si>
    <t>OP 144.715*2*(7.75+7.15)/2+4.50*7.15=102.429 [A] 
OP 154.715*2*(7.75+7.15)/2+7.735*7.15=125.559 [B] 
Celkem: 102.429+125.559=227.988 [C]</t>
  </si>
  <si>
    <t>784111005</t>
  </si>
  <si>
    <t>172</t>
  </si>
  <si>
    <t>Oprášení (ometení) podkladu v místnostech výšky do 3,80 m</t>
  </si>
  <si>
    <t>podhledy60.98+26.6=87.580 [A] 
OP 02 (4.72+3.35)*2.80=22.596 [B] 
OP 03 (2.50+2.275)*2*2.80=26.740 [C] 
OP 04(4.81*2+2.75)*2.80=34.636 [D] 
OP 05 (4.715*2+3.00)*2.80=34.804 [E] 
OP 06 (3.175+3.095)*2*2.80=35.112 [F] 
OP 07(2.55+3.095)*2*2.80=31.612 [G] 
OP 08(1.20+2.175)*2*2.80=18.900 [H] 
OP 09 (1.05+1.77)*2*2.80=15.792 [I] 
OP 10 (1.77+1.05)*2*2.80=15.792 [J] 
OP 11(9.30+1.50)*2*2.80=60.480 [K] 
OP 12 (0.90+1.55)*2*2.80=13.720 [L] 
OP 13 (0.90+1.42)*2*2.80=12.992 [M] 
OP 16(2.50+2.275*2)*2.80=19.740 [N] 
odpočet keramických obkladů -62.516=-62.516 [O] 
Celkem: 87.58+22.596+26.74+34.636+34.804+35.112+31.612+18.9+15.792+15.792+60.48+13.72+12.992+19.74+-62.516=367.980 [P]</t>
  </si>
  <si>
    <t>784111001</t>
  </si>
  <si>
    <t>171</t>
  </si>
  <si>
    <t>Dokončovací práce - malby a tapety</t>
  </si>
  <si>
    <t>784</t>
  </si>
  <si>
    <t>Přesun hmot pro obklady keramické stanovený zhmotnosti přesunovaného materiálu vodorovná dopravní vzdálenost do 50 m v objektech výšky přes 12 do 24 m1. Ceny pro přesun hmot stanovený zhmotnosti přesunovaného materiálu se používají tehdy, pokud je možné určit hmotnost za celý stavební díl. Do této hmotnosti se započítává i hmotnost materiálů oceňovaných ve specifikaci.  
2. Pokud nelze jednoznačně stanovit hmotnost přesunovaných materiálů, lze pro výpočet přesunu hmot použít orientačně procentní sazbu. Touto sazbou se vynásobí rozpočtové náklady za celý stavební díl včetně nákladů na materiál ve specifikacích.  
3. Příplatek kcenám -1181 pro přesun prováděný bez použití mechanizace, tj. za ztížených podmínek, lze použít pouze pro hmotnost materiálu, která se tímto způsobem skutečně přemísťuje.</t>
  </si>
  <si>
    <t>Přesun hmot pro obklady keramické stanovený z hmotnosti přesunovaného materiálu vodorovná dopravní vzdálenost do 50 m v objektech výšky přes 12 do 24 m</t>
  </si>
  <si>
    <t>998781103</t>
  </si>
  <si>
    <t>170</t>
  </si>
  <si>
    <t>Montáž obkladů vnitřních stěn z dlaždic keramických lepených flexibilním lepidlem maloformátových hladkých přes 9 do 12 ks/m21. Položky jsou určeny pro všechny druhy povrchových úprav.</t>
  </si>
  <si>
    <t>Montáž obkladů vnitřních stěn z dlaždic keramických lepených flexibilním lepidlem maloformátových hladkých přes 9 do 12 ks/m2</t>
  </si>
  <si>
    <t>781474112</t>
  </si>
  <si>
    <t>169</t>
  </si>
  <si>
    <t>Izolace stěny pod obklad izolace těsnícími izolačními pásy pro styčné nebo dilatační spáry1. Položka 781 13-1112 se použije pro izolaci stěny zatížené přechodnou vlhkostí.  
2. V cenách 781 13-1112 až -1262 jsou započteny i náklady na materiál.  
3. V cenách 78113-1207,78113-1227, 78159-1237, 78159-1247, 78159-1257 nejsou započteny náklady na materiál, tyto se oceňují ve specifikaci.</t>
  </si>
  <si>
    <t>OP 07 6*2.15=12.900 [A] 
12*0.25=3.000 [B] 
Celkem: 12.9+3=15.900 [C]</t>
  </si>
  <si>
    <t>Izolace stěny pod obklad izolace těsnícími izolačními pásy pro styčné nebo dilatační spáry</t>
  </si>
  <si>
    <t>781131232</t>
  </si>
  <si>
    <t>168</t>
  </si>
  <si>
    <t>Izolace stěny pod obklad izolace nátěrem nebo stěrkou ve dvou vrstvách1. Položka 781 13-1112 se použije pro izolaci stěny zatížené přechodnou vlhkostí.  
2. V cenách 781 13-1112 až -1262 jsou započteny i náklady na materiál.  
3. V cenách 78113-1207,78113-1227, 78159-1237, 78159-1247, 78159-1257 nejsou započteny náklady na materiál, tyto se oceňují ve specifikaci.</t>
  </si>
  <si>
    <t>OP 07(2.65+2.335+7.605)*2.15=27.069 [A] 
1.28*1.08=1.382 [B] 
Celkem: 27.069+1.382=28.451 [C]</t>
  </si>
  <si>
    <t>Izolace stěny pod obklad izolace nátěrem nebo stěrkou ve dvou vrstvách</t>
  </si>
  <si>
    <t>781131112</t>
  </si>
  <si>
    <t>167</t>
  </si>
  <si>
    <t>Příprava podkladu před provedením obkladu nátěr penetrační na stěnu1. V cenách 781 12-1011 až -1015 jsou započteny i náklady na materiál.  
2. V cenách 781 15-1011 až -1041 jsou započteny i náklady na materiál.  
3. Lokalní vyrovnání podkladu tloušťky vetší než 3 mm se oceňuje cenami souboru cen Vyrovnání podkladu vnitřních omítaných ploch katalogu 801-4 Budovy a haly - opravy a údržba.  
4. V cenách 781 16-1011 až -1023 nejsou započteny náklady na materiál, tyto se oceňují ve specifikaci.</t>
  </si>
  <si>
    <t>Příprava podkladu před provedením obkladu nátěr penetrační na stěnu</t>
  </si>
  <si>
    <t>781121011</t>
  </si>
  <si>
    <t>166</t>
  </si>
  <si>
    <t>Příprava podkladu před provedením obkladu oprášení (ometení) stěny1. V cenách 781 12-1011 až -1015 jsou započteny i náklady na materiál.  
2. V cenách 781 15-1011 až -1041 jsou započteny i náklady na materiál.  
3. Lokalní vyrovnání podkladu tloušťky vetší než 3 mm se oceňuje cenami souboru cen Vyrovnání podkladu vnitřních omítaných ploch katalogu 801-4 Budovy a haly - opravy a údržba.  
4. V cenách 781 16-1011 až -1023 nejsou započteny náklady na materiál, tyto se oceňují ve specifikaci.</t>
  </si>
  <si>
    <t>OP 05 (2*0.60+3.00)*0.60-2.08*0.35=1.792 [A] 
OP 07(2.65+2.335+7.605)*2.15=27.069 [B] 
1.28*1.08=1.382 [C] 
OP 08(2.45+0.10+0.275+0.325)*2.15=6.773 [D] 
OP 09(1.87+2.21)*2.15=8.772 [E] 
0.68*1.68=1.142 [F] 
OP 10(1.995+2.085)*2.15=8.772 [G] 
0.81*1.68=1.361 [H] 
OP 133.635*1.50=5.453 [I] 
Celkem: 1.792+27.069+1.382+6.773+8.772+1.142+8.772+1.361+5.453=62.516 [J]</t>
  </si>
  <si>
    <t>Příprava podkladu před provedením obkladu oprášení (ometení) stěny</t>
  </si>
  <si>
    <t>781111011</t>
  </si>
  <si>
    <t>165</t>
  </si>
  <si>
    <t>obklad keramický hladký do 12ks/m2</t>
  </si>
  <si>
    <t>59761026</t>
  </si>
  <si>
    <t>164</t>
  </si>
  <si>
    <t>Dokončovací práce - obklady</t>
  </si>
  <si>
    <t>781</t>
  </si>
  <si>
    <t>Přesun hmot pro podlahy lité stanovený zhmotnosti přesunovaného materiálu vodorovná dopravní vzdálenost do 50 m v objektech výšky přes 12 do 24 m1. Ceny pro přesun hmot stanovený zhmotnosti přesunovaného materiálu se používají tehdy, pokud je možné určit hmotnost za celý stavební díl. Do této hmotnosti se započítává i hmotnost materiálů oceňovaných ve specifikaci.  
2. Pokud nelze jednoznačně stanovit hmotnost přesunovaných materiálů, lze pro výpočet přesunu hmot použít orientačně procentní sazbu. Touto sazbou se vynásobí rozpočtové náklady za celý stavební díl včetně nákladů na materiál ve specifikacích.  
3. Příplatek kcenám -7181 pro přesun prováděný bez použití mechanizace, tj. za ztížených podmínek, lze použít pouze pro hmotnost materiálu, která se tímto způsobem skutečně přemísťuje.</t>
  </si>
  <si>
    <t>Přesun hmot pro podlahy lité stanovený z hmotnosti přesunovaného materiálu vodorovná dopravní vzdálenost do 50 m v objektech výšky přes 12 do 24 m</t>
  </si>
  <si>
    <t>998777103</t>
  </si>
  <si>
    <t>163</t>
  </si>
  <si>
    <t>Uzavírací nátěr podlahy epoxidový transparentní</t>
  </si>
  <si>
    <t>777612103</t>
  </si>
  <si>
    <t>162</t>
  </si>
  <si>
    <t>Krycí nátěr podlahy parkovacích ploch epoxidový1. V ceně -1133 a -1134 nejsou započteny náklady na napojení na zemnící okruh.  
2. V ceně -1135 a -1137 nejsou započteny náklady na změření odporu.</t>
  </si>
  <si>
    <t>Krycí nátěr podlahy parkovacích ploch epoxidový</t>
  </si>
  <si>
    <t>777611151</t>
  </si>
  <si>
    <t>161</t>
  </si>
  <si>
    <t>Podlahy z epoxidové pryskyřice a oblázků (kamenný koberec) ostatní práce nátěr pro vytvoření protiskluzového povrchu</t>
  </si>
  <si>
    <t>777211713</t>
  </si>
  <si>
    <t>160</t>
  </si>
  <si>
    <t>Penetrační nátěr podlahy epoxidový odolný proti vzlínání olejů</t>
  </si>
  <si>
    <t>1054.03=1 054.030 [A]</t>
  </si>
  <si>
    <t>777131109</t>
  </si>
  <si>
    <t>159</t>
  </si>
  <si>
    <t>Podlahy lité</t>
  </si>
  <si>
    <t>777</t>
  </si>
  <si>
    <t>Přesun hmot pro podlahy z dlaždic stanovený zhmotnosti přesunovaného materiálu vodorovná dopravní vzdálenost do 50 m v objektech výšky přes 12 do 24 m1. Ceny pro přesun hmot stanovený zhmotnosti přesunovaného materiálu se používají tehdy, pokud je možné určit hmotnost za celý stavební díl. Do této hmotnosti se započítává i hmotnost materiálů oceňovaných ve specifikaci.  
2. Pokud nelze jednoznačně stanovit hmotnost přesunovaných materiálů, lze pro výpočet přesunu hmot použít orientačně procentní sazbu. Touto sazbou se vynásobí rozpočtové náklady za celý stavební díl včetně nákladů na materiál ve specifikacích.  
3. Příplatek kcenám -1181 pro přesun prováděný bez použití mechanizace, tj. za ztížených podmínek, lze použít pouze pro hmotnost materiálu, která se tímto způsobem skutečně přemísťuje.</t>
  </si>
  <si>
    <t>Přesun hmot pro podlahy z dlaždic stanovený z hmotnosti přesunovaného materiálu vodorovná dopravní vzdálenost do 50 m v objektech výšky přes 12 do 24 m</t>
  </si>
  <si>
    <t>998771103</t>
  </si>
  <si>
    <t>158</t>
  </si>
  <si>
    <t>Čištění vnitřních ploch po položení dlažby podlah nebo schodišť chemickými prostředky</t>
  </si>
  <si>
    <t>7.66+54.88=62.540 [A]</t>
  </si>
  <si>
    <t>771592011</t>
  </si>
  <si>
    <t>157</t>
  </si>
  <si>
    <t>Izolace podlahy pod dlažbu těsnícími izolačními pásy mezi podlahou a stěnu1. Položka 771 59-1112 se použije pro izolaci podlah zatížené přechodnou vlhkostí.  
2. V ceně 771 59-1112 až -1212 jsou započteny i náklady na materiál.  
3. V cenách 771 59-1207, 77159-1217 ,77159-1227, 77159-1237, 77159-1247, 77159-1257, nejsou započteny náklady na materiál, tyto se oceňují ve specifikaci.</t>
  </si>
  <si>
    <t>OP 07 (2.50+3.095+0.90+1.93)*2=16.850 [A] 
-0.80*2+0.70*2=-0.200 [B] 
Celkem: 16.85+-0.2=16.650 [C]</t>
  </si>
  <si>
    <t>Izolace podlahy pod dlažbu těsnícími izolačními pásy mezi podlahou a stěnu</t>
  </si>
  <si>
    <t>771591264</t>
  </si>
  <si>
    <t>156</t>
  </si>
  <si>
    <t>Izolace podlahy pod dlažbu těsnícími izolačními pásy vnější roh1. Položka 771 59-1112 se použije pro izolaci podlah zatížené přechodnou vlhkostí.  
2. V ceně 771 59-1112 až -1212 jsou započteny i náklady na materiál.  
3. V cenách 771 59-1207, 77159-1217 ,77159-1227, 77159-1237, 77159-1247, 77159-1257, nejsou započteny náklady na materiál, tyto se oceňují ve specifikaci.</t>
  </si>
  <si>
    <t>Izolace podlahy pod dlažbu těsnícími izolačními pásy vnější roh</t>
  </si>
  <si>
    <t>771591242</t>
  </si>
  <si>
    <t>155</t>
  </si>
  <si>
    <t>Izolace podlahy pod dlažbu těsnícími izolačními pásy vnitřní kout1. Položka 771 59-1112 se použije pro izolaci podlah zatížené přechodnou vlhkostí.  
2. V ceně 771 59-1112 až -1212 jsou započteny i náklady na materiál.  
3. V cenách 771 59-1207, 77159-1217 ,77159-1227, 77159-1237, 77159-1247, 77159-1257, nejsou započteny náklady na materiál, tyto se oceňují ve specifikaci.</t>
  </si>
  <si>
    <t>Izolace podlahy pod dlažbu těsnícími izolačními pásy vnitřní kout</t>
  </si>
  <si>
    <t>771591241</t>
  </si>
  <si>
    <t>154</t>
  </si>
  <si>
    <t>Izolace podlahy pod dlažbu nátěrem nebo stěrkou ve dvou vrstvách1. Položka 771 59-1112 se použije pro izolaci podlah zatížené přechodnou vlhkostí.  
2. V ceně 771 59-1112 až -1212 jsou započteny i náklady na materiál.  
3. V cenách 771 59-1207, 77159-1217 ,77159-1227, 77159-1237, 77159-1247, 77159-1257, nejsou započteny náklady na materiál, tyto se oceňují ve specifikaci.</t>
  </si>
  <si>
    <t>7.66=7.660 [A]</t>
  </si>
  <si>
    <t>Izolace podlahy pod dlažbu nátěrem nebo stěrkou ve dvou vrstvách</t>
  </si>
  <si>
    <t>771591112</t>
  </si>
  <si>
    <t>153</t>
  </si>
  <si>
    <t>Montáž podlah z dlaždic keramických lepených flexibilním lepidlem maloformátových pro vysoké mechanické zatížení protiskluzných nebo reliéfních (bezbariérových) přes 9 do 12 ks/m21. Položky jsou učeny pro všechy druhy povrchových úprav.</t>
  </si>
  <si>
    <t>54.88+7.66=62.540 [A]</t>
  </si>
  <si>
    <t>Montáž podlah z dlaždic keramických lepených cementovým flexibilním lepidlem reliéfních nebo z dekorů, tloušťky do 10 mm přes 9 do 12 ks/m2</t>
  </si>
  <si>
    <t>771574263</t>
  </si>
  <si>
    <t>152</t>
  </si>
  <si>
    <t>Příprava podkladu před provedením dlažby nátěr penetrační na podlahu1. V cenách 771 12-1011 až 771 12-1015 jsou započteny i náklady na dodání nátěru.  
2. V cenách 771 15-1011 až 771 15-1026 jsou započteny i náklady na dodání stěrky.  
3. V cenách 771 16-1011 až -1023 nejsou započteny náklady na materiál, tyto se oceňují ve specifikaci.</t>
  </si>
  <si>
    <t>Příprava podkladu před provedením dlažby nátěr penetrační na podlahu</t>
  </si>
  <si>
    <t>771121011</t>
  </si>
  <si>
    <t>151</t>
  </si>
  <si>
    <t>Příprava podkladu před provedením dlažby vysátí podlah1. V cenách 771 12-1011 až 771 12-1015 jsou započteny i náklady na dodání nátěru.  
2. V cenách 771 15-1011 až 771 15-1026 jsou započteny i náklady na dodání stěrky.  
3. V cenách 771 16-1011 až -1023 nejsou započteny náklady na materiál, tyto se oceňují ve specifikaci.</t>
  </si>
  <si>
    <t>Příprava podkladu před provedením dlažby vysátí podlah</t>
  </si>
  <si>
    <t>771111011</t>
  </si>
  <si>
    <t>150</t>
  </si>
  <si>
    <t>dlažba keramická slinutá protiskluzná do interiéru i exteriéru pro vysoké mechanické namáhání přes 9 do 12ks/m2</t>
  </si>
  <si>
    <t>dlažba keramická slinutá mrazuvzdorná do interiéru i exteriéru R10/A povrch reliéfní/matný tl do 10mm přes 9 do 12ks/m2</t>
  </si>
  <si>
    <t>59761409</t>
  </si>
  <si>
    <t>149</t>
  </si>
  <si>
    <t>Podlahy z dlaždic</t>
  </si>
  <si>
    <t>771</t>
  </si>
  <si>
    <t>Kabelová šachta v podlaze - DLE SPECIFIKACE PD - ozn.Z 16Specifikace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</si>
  <si>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Kabelová šachta v podlaze - DLE SPECIFIKACE PD - ozn.Z 16</t>
  </si>
  <si>
    <t>R767-Z16</t>
  </si>
  <si>
    <t>148</t>
  </si>
  <si>
    <t>Zábradlí na montážní lávce - DLE SPECIFIKACE PD - ozn.Z 14Specifikace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</si>
  <si>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Zábradlí na montážní lávce - DLE SPECIFIKACE PD - ozn.Z 14</t>
  </si>
  <si>
    <t>R767-Z14</t>
  </si>
  <si>
    <t>147</t>
  </si>
  <si>
    <t>Zábradlí na montážní lávce - DLE SPECIFIKACE PD - ozn.Z 13Specifikace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</si>
  <si>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Zábradlí na montážní lávce - DLE SPECIFIKACE PD - ozn.Z 13</t>
  </si>
  <si>
    <t>R767-Z13</t>
  </si>
  <si>
    <t>146</t>
  </si>
  <si>
    <t>Zábradlí na montážní lávce - DLE SPECIFIKACE PD - ozn.Z 12Specifikace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</si>
  <si>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Zábradlí na montážní lávce - DLE SPECIFIKACE PD - ozn.Z 12</t>
  </si>
  <si>
    <t>R767-Z12</t>
  </si>
  <si>
    <t>145</t>
  </si>
  <si>
    <t>Schodišťové zábradlí - DLE SPECIFIKACE PD - ozn.Z 11Specifikace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</si>
  <si>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Schodišťové zábradlí - DLE SPECIFIKACE PD - ozn.Z 11</t>
  </si>
  <si>
    <t>R767-Z11</t>
  </si>
  <si>
    <t>144</t>
  </si>
  <si>
    <t>Zaklopení kabelového kanálu - DLE SPECIFIKACE PD - ozn.Z 10Specifikace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</si>
  <si>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Zaklopení kabelového kanálu - DLE SPECIFIKACE PD - ozn.Z 10</t>
  </si>
  <si>
    <t>R767-Z10</t>
  </si>
  <si>
    <t>143</t>
  </si>
  <si>
    <t>Přístřešek pro VZT - DLE SPECIFIKACE PD - ozn.Z 08Specifikace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</si>
  <si>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Přístřešek pro VZT - DLE SPECIFIKACE PD - ozn.Z 08</t>
  </si>
  <si>
    <t>R767-Z08</t>
  </si>
  <si>
    <t>Zábradlí na montážní lávce - DLE SPECIFIKACE PD - ozn.Z 07Specifikace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</si>
  <si>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Zábradlí na montážní lávce - DLE SPECIFIKACE PD - ozn.Z 07</t>
  </si>
  <si>
    <t>R767-Z07</t>
  </si>
  <si>
    <t>Zábradlí na montážní lávce - DLE SPECIFIKACE PD - ozn.Z 06Specifikace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</si>
  <si>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Zábradlí na montážní lávce - DLE SPECIFIKACE PD - ozn.Z 06</t>
  </si>
  <si>
    <t>R767-Z06</t>
  </si>
  <si>
    <t>Zábradlí na montážní lávce - DLE SPECIFIKACE PD - ozn.Z 05Specifikace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</si>
  <si>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Zábradlí na montážní lávce - DLE SPECIFIKACE PD - ozn.Z 05</t>
  </si>
  <si>
    <t>R767-Z05</t>
  </si>
  <si>
    <t>Podesta k žebříku - DLE SPECIFIKACE PD - ozn.Z 04Specifikace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</si>
  <si>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Podesta k žebříku - DLE SPECIFIKACE PD - ozn.Z 04</t>
  </si>
  <si>
    <t>R767-Z04</t>
  </si>
  <si>
    <t>Dibomdová deska - logo dle manuálu SŽ - 3710/8500mm - ozn.R01Specifikace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</si>
  <si>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Dibomdová deska - logo dle manuálu SŽ - 3710/8500mm - ozn.R01</t>
  </si>
  <si>
    <t>R767-R01</t>
  </si>
  <si>
    <t>Konstrukce příčky mezi OP14 a OP15 - DLE PDSpecifikace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</si>
  <si>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ozn.04 - jakl 120/120/3 761.98=761.980 [A]</t>
  </si>
  <si>
    <t>Konstrukce příčky mezi OP14 a OP15 - DLE PD</t>
  </si>
  <si>
    <t>R767-OK04</t>
  </si>
  <si>
    <t>Konstrukce pro panely a okna - DLE PD - ozn.01+02+03Specifikace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</si>
  <si>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ozn.01  jakl 120/120/1051088.30=51 088.300 [A] 
ozn. 02  L 100/100/10 3345.30=3 345.300 [B] 
ozn.03  L 150/100/10 3579.41=3 579.410 [C] 
Celkem: 51088.3+3345.3+3579.41=58 013.010 [D]</t>
  </si>
  <si>
    <t>Konstrukce pro panely a okna - DLE PD - ozn.01+02+03</t>
  </si>
  <si>
    <t>R767-OK01</t>
  </si>
  <si>
    <t>dveře dvoukřídlé Al plné max rozměru otvoru 4,84m2 bezpečnostní třídy RC3  - DLE SPECIFIKACE PDSpecifikace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</si>
  <si>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O 15 2*1.48*2.33=6.897 [A]</t>
  </si>
  <si>
    <t>dveře dvoukřídlé Al plné max rozměru otvoru 4,84m2 bezpečnostní třídy RC3  - DLE SPECIFIKACE PD</t>
  </si>
  <si>
    <t>R55341333</t>
  </si>
  <si>
    <t>O 161.43*2.83=4.047 [A]</t>
  </si>
  <si>
    <t>R55341332</t>
  </si>
  <si>
    <t>dveře jednokřídlé Al plné max rozměru otvoru 2,42m2 bezpečnostní třídy RC3 DLE SPECIFIKACE PDSpecifikace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</si>
  <si>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O 17 1.06*2.33=2.470 [A]</t>
  </si>
  <si>
    <t>dveře jednokřídlé Al plné max rozměru otvoru 2,42m2 bezpečnostní třídy RC3 DLE SPECIFIKACE PD</t>
  </si>
  <si>
    <t>R55341330</t>
  </si>
  <si>
    <t>okno Al s fixním zasklením trojsklo přes plochu 1m2 přes v 2,5m- samozatmívací - DLE SPECIFIKACE PDSpecifikace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</si>
  <si>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okno Al s fixním zasklením trojsklo přes plochu 1m2 přes v 2,5m- samozatmívací - DLE SPECIFIKACE PD</t>
  </si>
  <si>
    <t>R55341007</t>
  </si>
  <si>
    <t>dveře dvoukřídlé ocelové interierové protipožární RC3, vč zárubeně a kováná  1300x2100mm - dle specifikace PDSpecifikace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</si>
  <si>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01 - 800+300/21003+1=4.000 [A] 
06 - 700+600/21001=1.000 [B] 
Celkem: 4+1=5.000 [C]</t>
  </si>
  <si>
    <t>dveře dvoukřídlé ocelové interierové protipožární RC3, vč zárubeně a kováná  1300x2100mm - dle specifikace PD</t>
  </si>
  <si>
    <t>R553.pol.05</t>
  </si>
  <si>
    <t>dveře dvoukřídlé ocelové interierové protipožární RC3,vč. zárubeně a kování  2400x2500mm - dle specifikace PDSpecifikace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</si>
  <si>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03 - 1200+1200/25001=1.000 [A]</t>
  </si>
  <si>
    <t>dveře dvoukřídlé ocelové interierové protipožární RC3,vč. zárubeně a kování  2400x2500mm - dle specifikace PD</t>
  </si>
  <si>
    <t>R553.pol.04</t>
  </si>
  <si>
    <t>dveře jednokřídlé ocelové interierové plné 700x2100mm, vč.zárubně a kování - dle specifikace PDSpecifikace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</si>
  <si>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05 - 700/2100 1+2=3.000 [A]</t>
  </si>
  <si>
    <t>dveře jednokřídlé ocelové interierové plné 700x2100mm, vč.zárubně a kování - dle specifikace PD</t>
  </si>
  <si>
    <t>R553.pol.03</t>
  </si>
  <si>
    <t>dveře jednokřídlé ocelové interierové plné 800x2100mm, vč.zárubně a kování - dle specifikace PDSpecifikace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</si>
  <si>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04 - 800/2100 1+3=4.000 [A]</t>
  </si>
  <si>
    <t>dveře jednokřídlé ocelové interierové plné 800x2100mm, vč.zárubně a kování - dle specifikace PD</t>
  </si>
  <si>
    <t>R553.pol.02</t>
  </si>
  <si>
    <t>dveře jednokřídlé ocelové  atypický 600-1270x1970-2500mm EW15DP3-C2, vč.zárubně a kování - viz specifikace PDSpecifikace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</si>
  <si>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02 -1000/2100 1+1=2.000 [A] 
07 - 900/21001=1.000 [B] 
Celkem: 2+1=3.000 [C]</t>
  </si>
  <si>
    <t>dveře jednokřídlé ocelové  atypický 600-1270x1970-2500mm EW15DP3-C2, vč.zárubně a kování - viz specifikace PD</t>
  </si>
  <si>
    <t>R553.pol.01</t>
  </si>
  <si>
    <t>světlík bodový třívrstvá kopule, manžeta v 150mm 1,8x1,8mSpecifikace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</si>
  <si>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světlík bodový třívrstvá kopule, manžeta v 150mm 1,8x1,8m</t>
  </si>
  <si>
    <t>R.pol.01-562</t>
  </si>
  <si>
    <t>Montáž stříšek nad venkovními vstupy z kovových profilů kotvených k nosné konstrukci pomocí závěsů, výplň z umělých hmot rovná, šířky přes 1,50 do 2,00 m1. Ceny -3111 až -3192 jsou učeny pro konstrukce bez vnější izolace.</t>
  </si>
  <si>
    <t>ozn.Z 09 -  DLE SPECIFIKACE PD  1=1.000 [A]</t>
  </si>
  <si>
    <t>Montáž stříšek nad venkovními vstupy z kovových profilů kotvených k nosné konstrukci pomocí závěsů, výplň z umělých hmot rovná, šířky přes 1,50 do 2,00 m</t>
  </si>
  <si>
    <t>767893112</t>
  </si>
  <si>
    <t>Montáž venkovních požárních žebříků Příplatek k cenám za montáž ochranného koše, připevněného svařováním</t>
  </si>
  <si>
    <t>Z.01 4.775=4.775 [A] 
Z.028.11=8.110 [B] 
Z.0312.185=12.185 [C] 
Z.158.00=8.000 [D] 
Celkem: 4.775+8.11+12.185+8=33.070 [E]</t>
  </si>
  <si>
    <t>767834112</t>
  </si>
  <si>
    <t>Montáž venkovních požárních žebříků do sendvičového panelu bez suchovodu</t>
  </si>
  <si>
    <t>Z.0312.185=12.185 [A]</t>
  </si>
  <si>
    <t>767832132</t>
  </si>
  <si>
    <t>Z.028.11=8.110 [A] 
Z.158.00=8.000 [B] 
Celkem: 8.11+8=16.110 [C]</t>
  </si>
  <si>
    <t>Z.01 4.775=4.775 [A]</t>
  </si>
  <si>
    <t>Montáž vrat garážových nebo průmyslových příslušenství sekčních vrat elektrického pohonu1. Vcenách -1126 a -1131 nejsou započteny náklady na zajištění přívodu elektrické energie; tyto se oceňují cenami katalogu 800-741 Elektroinstalace - silnoproud.  
2. Cenami -7210 až -7340 nelze oceňovat montáž vrat s elektrickým, pneumatickým nebo hydraulickým ovládáním.  
3. Vcenách -1210 až -7523 je započtena i montáž dokončení okování dvířek průchodových.  
4. Vcenách -1210 až -7523 není započtena montáž elektromagnetického stavěče křídel vrat; tyto práce se oceňují cenou 767 64-6593 Montáž stavěče křídel.</t>
  </si>
  <si>
    <t>Montáž vrat garážových nebo průmyslových příslušenství sekčních vrat elektrického pohonu</t>
  </si>
  <si>
    <t>767651126</t>
  </si>
  <si>
    <t>Montáž vrat garážových nebo průmyslových sekčních zajížděcích pod strop, plochy přes 13 m21. Vcenách -1126 a -1131 nejsou započteny náklady na zajištění přívodu elektrické energie; tyto se oceňují cenami katalogu 800-741 Elektroinstalace - silnoproud.  
2. Cenami -7210 až -7340 nelze oceňovat montáž vrat s elektrickým, pneumatickým nebo hydraulickým ovládáním.  
3. Vcenách -1210 až -7523 je započtena i montáž dokončení okování dvířek průchodových.  
4. Vcenách -1210 až -7523 není započtena montáž elektromagnetického stavěče křídel vrat; tyto práce se oceňují cenou 767 64-6593 Montáž stavěče křídel.</t>
  </si>
  <si>
    <t>O 18 2=2.000 [A]</t>
  </si>
  <si>
    <t>Montáž vrat garážových nebo průmyslových sekčních zajížděcích pod strop, plochy přes 13 m2</t>
  </si>
  <si>
    <t>767651114</t>
  </si>
  <si>
    <t>Montáž dveří ocelových nebo hliníkových doplňků dveří samozavírače hydraulického1. Cenami nelze oceňovat montáž kompletu dveří s rámem charakteru stěny; tyto práce se oceňují cenami souborů cen 767 11- . . Montáž stěn a příček pro zasklení, 767 12- . . Montáž stěn a příček s výplní drátěnou sítí a 767 13- . . Montáž stěn a příček zhliníkového plechu.  
2. V cenách nejsou započteny náklady na:  
a) montáž okopových plechů a hliníkových lišt; tyto práce se oceňují cenami souboru cen 767 89-61 Montáž lišt a okopových plechů,  
b) montáž těsnění dveří; tyto práce se oceňují cenami 767 62-6101 až -6104 Montáž těsnění oken.  
3. Vcenách – 0111 až -0224 jsou započteny i náklady na montáž dveří včetně zárubní nebo ocelových rámů.  
4. V ceně -8351 je započtena i montáž jednostranného spojení ocelovou lištou přivařením nebo oboustranným svařením dvou prvků (dveří, stěn, oken).  
5. V ceně -8353 je započteno i provedení rohového spojení dvou prvků.</t>
  </si>
  <si>
    <t>02P -1000/2100 1=1.000 [A] 
07 - 900/21001=1.000 [B] 
Celkem: 1+1=2.000 [C]</t>
  </si>
  <si>
    <t>Montáž dveří ocelových nebo hliníkových doplňků dveří samozavírače hydraulického</t>
  </si>
  <si>
    <t>767649191</t>
  </si>
  <si>
    <t>Montáž dveří ocelových nebo hliníkových vnitřních dvoukřídlových1. Cenami nelze oceňovat montáž kompletu dveří s rámem charakteru stěny; tyto práce se oceňují cenami souborů cen 767 11- . . Montáž stěn a příček pro zasklení, 767 12- . . Montáž stěn a příček s výplní drátěnou sítí a 767 13- . . Montáž stěn a příček zhliníkového plechu.  
2. V cenách nejsou započteny náklady na:  
a) montáž okopových plechů a hliníkových lišt; tyto práce se oceňují cenami souboru cen 767 89-61 Montáž lišt a okopových plechů,  
b) montáž těsnění dveří; tyto práce se oceňují cenami 767 62-6101 až -6104 Montáž těsnění oken.  
3. Vcenách – 0111 až -0224 jsou započteny i náklady na montáž dveří včetně zárubní nebo ocelových rámů.  
4. V ceně -8351 je započtena i montáž jednostranného spojení ocelovou lištou přivařením nebo oboustranným svařením dvou prvků (dveří, stěn, oken).  
5. V ceně -8353 je započteno i provedení rohového spojení dvou prvků.</t>
  </si>
  <si>
    <t>01 - 800+300/21003+1=4.000 [A] 
03 - 1200+1200/25001=1.000 [B] 
06 - 700+600/21001=1.000 [C] 
Celkem: 4+1+1=6.000 [D]</t>
  </si>
  <si>
    <t>Montáž dveří ocelových nebo hliníkových vnitřních dvoukřídlových</t>
  </si>
  <si>
    <t>767640322</t>
  </si>
  <si>
    <t>Montáž dveří ocelových nebo hliníkových vnitřních jednokřídlových1. Cenami nelze oceňovat montáž kompletu dveří s rámem charakteru stěny; tyto práce se oceňují cenami souborů cen 767 11- . . Montáž stěn a příček pro zasklení, 767 12- . . Montáž stěn a příček s výplní drátěnou sítí a 767 13- . . Montáž stěn a příček zhliníkového plechu.  
2. V cenách nejsou započteny náklady na:  
a) montáž okopových plechů a hliníkových lišt; tyto práce se oceňují cenami souboru cen 767 89-61 Montáž lišt a okopových plechů,  
b) montáž těsnění dveří; tyto práce se oceňují cenami 767 62-6101 až -6104 Montáž těsnění oken.  
3. Vcenách – 0111 až -0224 jsou započteny i náklady na montáž dveří včetně zárubní nebo ocelových rámů.  
4. V ceně -8351 je započtena i montáž jednostranného spojení ocelovou lištou přivařením nebo oboustranným svařením dvou prvků (dveří, stěn, oken).  
5. V ceně -8353 je započteno i provedení rohového spojení dvou prvků.</t>
  </si>
  <si>
    <t>02 -1000/2100 1+1=2.000 [A] 
04 - 800/2100 1+3=4.000 [B] 
05 - 700/2100 1+2=3.000 [C] 
07 - 900/21001=1.000 [D] 
Celkem: 2+4+3+1=10.000 [E]</t>
  </si>
  <si>
    <t>Montáž dveří ocelových nebo hliníkových vnitřních jednokřídlových</t>
  </si>
  <si>
    <t>767640311</t>
  </si>
  <si>
    <t>Montáž dveří ocelových nebo hliníkových vchodových jednokřídlových spevným bočním dílem a nadsvětlíkem1. Cenami nelze oceňovat montáž kompletu dveří s rámem charakteru stěny; tyto práce se oceňují cenami souborů cen 767 11- . . Montáž stěn a příček pro zasklení, 767 12- . . Montáž stěn a příček s výplní drátěnou sítí a 767 13- . . Montáž stěn a příček zhliníkového plechu.  
2. V cenách nejsou započteny náklady na:  
a) montáž okopových plechů a hliníkových lišt; tyto práce se oceňují cenami souboru cen 767 89-61 Montáž lišt a okopových plechů,  
b) montáž těsnění dveří; tyto práce se oceňují cenami 767 62-6101 až -6104 Montáž těsnění oken.  
3. Vcenách – 0111 až -0224 jsou započteny i náklady na montáž dveří včetně zárubní nebo ocelových rámů.  
4. V ceně -8351 je započtena i montáž jednostranného spojení ocelovou lištou přivařením nebo oboustranným svařením dvou prvků (dveří, stěn, oken).  
5. V ceně -8353 je započteno i provedení rohového spojení dvou prvků.</t>
  </si>
  <si>
    <t>O 161=1.000 [A]</t>
  </si>
  <si>
    <t>Montáž dveří ocelových nebo hliníkových vchodových jednokřídlových s pevným bočním dílem a nadsvětlíkem</t>
  </si>
  <si>
    <t>767640114</t>
  </si>
  <si>
    <t>Montáž dveří ocelových nebo hliníkových vchodových jednokřídlových spevným bočním dílem1. Cenami nelze oceňovat montáž kompletu dveří s rámem charakteru stěny; tyto práce se oceňují cenami souborů cen 767 11- . . Montáž stěn a příček pro zasklení, 767 12- . . Montáž stěn a příček s výplní drátěnou sítí a 767 13- . . Montáž stěn a příček zhliníkového plechu.  
2. V cenách nejsou započteny náklady na:  
a) montáž okopových plechů a hliníkových lišt; tyto práce se oceňují cenami souboru cen 767 89-61 Montáž lišt a okopových plechů,  
b) montáž těsnění dveří; tyto práce se oceňují cenami 767 62-6101 až -6104 Montáž těsnění oken.  
3. Vcenách – 0111 až -0224 jsou započteny i náklady na montáž dveří včetně zárubní nebo ocelových rámů.  
4. V ceně -8351 je započtena i montáž jednostranného spojení ocelovou lištou přivařením nebo oboustranným svařením dvou prvků (dveří, stěn, oken).  
5. V ceně -8353 je započteno i provedení rohového spojení dvou prvků.</t>
  </si>
  <si>
    <t>O 15 2=2.000 [A]</t>
  </si>
  <si>
    <t>Montáž dveří ocelových nebo hliníkových vchodových jednokřídlových s pevným bočním dílem</t>
  </si>
  <si>
    <t>767640113</t>
  </si>
  <si>
    <t>Montáž dveří ocelových nebo hliníkových vchodových jednokřídlových beznadsvětlíku1. Cenami nelze oceňovat montáž kompletu dveří s rámem charakteru stěny; tyto práce se oceňují cenami souborů cen 767 11- . . Montáž stěn a příček pro zasklení, 767 12- . . Montáž stěn a příček s výplní drátěnou sítí a 767 13- . . Montáž stěn a příček zhliníkového plechu.  
2. V cenách nejsou započteny náklady na:  
a) montáž okopových plechů a hliníkových lišt; tyto práce se oceňují cenami souboru cen 767 89-61 Montáž lišt a okopových plechů,  
b) montáž těsnění dveří; tyto práce se oceňují cenami 767 62-6101 až -6104 Montáž těsnění oken.  
3. Vcenách – 0111 až -0224 jsou započteny i náklady na montáž dveří včetně zárubní nebo ocelových rámů.  
4. V ceně -8351 je započtena i montáž jednostranného spojení ocelovou lištou přivařením nebo oboustranným svařením dvou prvků (dveří, stěn, oken).  
5. V ceně -8353 je započteno i provedení rohového spojení dvou prvků.</t>
  </si>
  <si>
    <t>O 17 1=1.000 [A]</t>
  </si>
  <si>
    <t>Montáž dveří ocelových nebo hliníkových vchodových jednokřídlových bez nadsvětlíku</t>
  </si>
  <si>
    <t>767640111</t>
  </si>
  <si>
    <t>Montáž oken zdvojených zhliníkových nebo ocelových profilů na polyuretanovou pěnu otevíravých do celostěnových panelů nebo ocelové konstrukce, plochy přes 2,5 m21. V cenách montáže oken jsou započteny i náklady na zaměření, vyklínování, horizontální i vertikální vyrovnání okenního rámu, ukotvení a vyplnění spáry mezi rámem a ostěním polyuretanovou pěnou.  
2. Cenami montáže oken otevíravých lze ocenit i montáž oken kyvných, otočných, výklopných.  
3. V cenách není započtena montáž dokončení okování oken zdvojených pákovým uzávěrem; tyto práce se oceňují cenou 767 62-0718 Montáž okování pákového uzávěru.  
4. Cenami -71 . . lze oceňovat montáž:  
a) oboustranného spojení dvou prvků (oken,stěn, dveří, vrat, zárubní a jiných) krycími lištami ocelovými před osazením prvků nebo dodatečně po jejich osazení,  
b) jednostranného spojení dvou prvků; množství se určí polovinou výměry,  
c) krycích lišt, které se montují jen na jeden prvek; množství se určí čtvrtinou výměry.</t>
  </si>
  <si>
    <t>O 01a 1.47*1.75*6=15.435 [A] 
O 02a 1.48*1.75*7=18.130 [B] 
O 03b 1.58*1.75*1=2.765 [C] 
O 05 2.08*1.75*1=3.640 [D] 
O 08 4.08*1.75*1=7.140 [E] 
O 12 3.09*1.75=5.408 [F] 
Celkem: 15.435+18.13+2.765+3.64+7.14+5.408=52.518 [G]</t>
  </si>
  <si>
    <t>Montáž oken s izolačními skly z hliníkových nebo ocelových profilů na polyuretanovou pěnu s dvojskly otevíravých do celostěnových panelů nebo ocelové konstrukce, plochy přes 2,5 do 6 m2</t>
  </si>
  <si>
    <t>Montáž oken s izolačními skly z hliníkových nebo ocelových profilů na polyuretanovou pěnu s dvojskly otevíravých do celostěnových panelů nebo ocelové konstrukce</t>
  </si>
  <si>
    <t>767620124</t>
  </si>
  <si>
    <t>Montáž oken zdvojených zhliníkových nebo ocelových profilů na polyuretanovou pěnu otevíravých do celostěnových panelů nebo ocelové konstrukce, plochy přes 1,5 do 2,5 m21. V cenách montáže oken jsou započteny i náklady na zaměření, vyklínování, horizontální i vertikální vyrovnání okenního rámu, ukotvení a vyplnění spáry mezi rámem a ostěním polyuretanovou pěnou.  
2. Cenami montáže oken otevíravých lze ocenit i montáž oken kyvných, otočných, výklopných.  
3. V cenách není započtena montáž dokončení okování oken zdvojených pákovým uzávěrem; tyto práce se oceňují cenou 767 62-0718 Montáž okování pákového uzávěru.  
4. Cenami -71 . . lze oceňovat montáž:  
a) oboustranného spojení dvou prvků (oken,stěn, dveří, vrat, zárubní a jiných) krycími lištami ocelovými před osazením prvků nebo dodatečně po jejich osazení,  
b) jednostranného spojení dvou prvků; množství se určí polovinou výměry,  
c) krycích lišt, které se montují jen na jeden prvek; množství se určí čtvrtinou výměry.</t>
  </si>
  <si>
    <t>O 04a 1.28*1.75*1=2.240 [A] 
O 04b 1.28*1.75*2=4.480 [B] 
O 07 1.08*1.75*1=1.890 [C] 
Celkem: 2.24+4.48+1.89=8.610 [D]</t>
  </si>
  <si>
    <t>Montáž oken s izolačními skly z hliníkových nebo ocelových profilů na polyuretanovou pěnu s dvojskly otevíravých do celostěnových panelů nebo ocelové konstrukce, plochy přes 1,5 do 2,5 m2</t>
  </si>
  <si>
    <t>767620123</t>
  </si>
  <si>
    <t>Montáž oken zdvojených zhliníkových nebo ocelových profilů na polyuretanovou pěnu otevíravých do celostěnových panelů nebo ocelové konstrukce, plochy přes 0,6 do 1,5 m21. V cenách montáže oken jsou započteny i náklady na zaměření, vyklínování, horizontální i vertikální vyrovnání okenního rámu, ukotvení a vyplnění spáry mezi rámem a ostěním polyuretanovou pěnou.  
2. Cenami montáže oken otevíravých lze ocenit i montáž oken kyvných, otočných, výklopných.  
3. V cenách není započtena montáž dokončení okování oken zdvojených pákovým uzávěrem; tyto práce se oceňují cenou 767 62-0718 Montáž okování pákového uzávěru.  
4. Cenami -71 . . lze oceňovat montáž:  
a) oboustranného spojení dvou prvků (oken,stěn, dveří, vrat, zárubní a jiných) krycími lištami ocelovými před osazením prvků nebo dodatečně po jejich osazení,  
b) jednostranného spojení dvou prvků; množství se určí polovinou výměry,  
c) krycích lišt, které se montují jen na jeden prvek; množství se určí čtvrtinou výměry.</t>
  </si>
  <si>
    <t>O 060.68*1.14*3=2.326 [A]</t>
  </si>
  <si>
    <t>Montáž oken s izolačními skly z hliníkových nebo ocelových profilů na polyuretanovou pěnu s dvojskly otevíravých do celostěnových panelů nebo ocelové konstrukce, plochy přes 0,6 do 1,5 m2</t>
  </si>
  <si>
    <t>767620122</t>
  </si>
  <si>
    <t>Montáž oken zdvojených zhliníkových nebo ocelových profilů na polyuretanovou pěnu otevíravých do celostěnových panelů nebo ocelové konstrukce, plochy do 0,6 m2</t>
  </si>
  <si>
    <t>Montáž oken s izolačními skly z hliníkových nebo ocelových profilů na polyuretanovou pěnu s dvojskly otevíravých do celostěnových panelů nebo ocelové konstrukce, plochy do 0,6 m2</t>
  </si>
  <si>
    <t>767620121</t>
  </si>
  <si>
    <t>Montáž oken zdvojených zhliníkových nebo ocelových profilů na polyuretanovou pěnu pevných do zdiva, plochy přes 2,5 m21. V cenách montáže oken jsou započteny i náklady na zaměření, vyklínování, horizontální i vertikální vyrovnání okenního rámu, ukotvení a vyplnění spáry mezi rámem a ostěním polyuretanovou pěnou.  
2. Cenami montáže oken otevíravých lze ocenit i montáž oken kyvných, otočných, výklopných.  
3. V cenách není započtena montáž dokončení okování oken zdvojených pákovým uzávěrem; tyto práce se oceňují cenou 767 62-0718 Montáž okování pákového uzávěru.  
4. Cenami -71 . . lze oceňovat montáž:  
a) oboustranného spojení dvou prvků (oken,stěn, dveří, vrat, zárubní a jiných) krycími lištami ocelovými před osazením prvků nebo dodatečně po jejich osazení,  
b) jednostranného spojení dvou prvků; množství se určí polovinou výměry,  
c) krycích lišt, které se montují jen na jeden prvek; množství se určí čtvrtinou výměry.</t>
  </si>
  <si>
    <t>O 14 10.90*(4.58+3.62)/2=44.690 [A]</t>
  </si>
  <si>
    <t>Montáž oken s izolačními skly z hliníkových nebo ocelových profilů na polyuretanovou pěnu s dvojskly pevných do zdiva, plochy přes 2,5 do 6 m2</t>
  </si>
  <si>
    <t>767620118</t>
  </si>
  <si>
    <t>Montáž oken zdvojených zhliníkových nebo ocelových profilů na polyuretanovou pěnu pevných do celostěnových panelů nebo ocelové konstrukce, plochy přes 2,5 m21. V cenách montáže oken jsou započteny i náklady na zaměření, vyklínování, horizontální i vertikální vyrovnání okenního rámu, ukotvení a vyplnění spáry mezi rámem a ostěním polyuretanovou pěnou.  
2. Cenami montáže oken otevíravých lze ocenit i montáž oken kyvných, otočných, výklopných.  
3. V cenách není započtena montáž dokončení okování oken zdvojených pákovým uzávěrem; tyto práce se oceňují cenou 767 62-0718 Montáž okování pákového uzávěru.  
4. Cenami -71 . . lze oceňovat montáž:  
a) oboustranného spojení dvou prvků (oken,stěn, dveří, vrat, zárubní a jiných) krycími lištami ocelovými před osazením prvků nebo dodatečně po jejich osazení,  
b) jednostranného spojení dvou prvků; množství se určí polovinou výměry,  
c) krycích lišt, které se montují jen na jeden prvek; množství se určí čtvrtinou výměry.</t>
  </si>
  <si>
    <t>O 01b 1.47*1.75*10=25.725 [A] 
O 02b 1.48*1.75*11=28.490 [B] 
O 03a 1.58*1.75*1=2.765 [C] 
O 09 1.58*1.75*1=2.765 [D] 
O 11 4.08*1.75*1=7.140 [E] 
O 13 3.08*1.75*1=5.390 [F] 
Celkem: 25.725+28.49+2.765+2.765+7.14+5.39=72.275 [G]</t>
  </si>
  <si>
    <t>Montáž oken s izolačními skly z hliníkových nebo ocelových profilů na polyuretanovou pěnu s dvojskly pevných do celostěnových panelů nebo ocelové konstrukce, plochy přes 2,5 do 6 m2</t>
  </si>
  <si>
    <t>Montáž oken s izolačními skly z hliníkových nebo ocelových profilů na polyuretanovou pěnu s dvojskly pevných do celostěnových panelů nebo ocelové konstrukce, pl</t>
  </si>
  <si>
    <t>767620114</t>
  </si>
  <si>
    <t>Montáž oken zdvojených zhliníkových nebo ocelových profilů na polyuretanovou pěnu pevných do celostěnových panelů nebo ocelové konstrukce, plochy přes 1,5 do 2,5 m21. V cenách montáže oken jsou započteny i náklady na zaměření, vyklínování, horizontální i vertikální vyrovnání okenního rámu, ukotvení a vyplnění spáry mezi rámem a ostěním polyuretanovou pěnou.  
2. Cenami montáže oken otevíravých lze ocenit i montáž oken kyvných, otočných, výklopných.  
3. V cenách není započtena montáž dokončení okování oken zdvojených pákovým uzávěrem; tyto práce se oceňují cenou 767 62-0718 Montáž okování pákového uzávěru.  
4. Cenami -71 . . lze oceňovat montáž:  
a) oboustranného spojení dvou prvků (oken,stěn, dveří, vrat, zárubní a jiných) krycími lištami ocelovými před osazením prvků nebo dodatečně po jejich osazení,  
b) jednostranného spojení dvou prvků; množství se určí polovinou výměry,  
c) krycích lišt, které se montují jen na jeden prvek; množství se určí čtvrtinou výměry.</t>
  </si>
  <si>
    <t>O 01a +b 2.10*0.94*(6+10)=31.584 [A] 
O 02a +35.532 2.10*0.94*(7+11)=35.532 [B] 
Celkem: A+B=67.116 [C]</t>
  </si>
  <si>
    <t>Montáž oken s izolačními skly z hliníkových nebo ocelových profilů na polyuretanovou pěnu s dvojskly pevných do celostěnových panelů nebo ocelové konstrukce, plochy přes 1,5 do 2,5 m2</t>
  </si>
  <si>
    <t>767620113</t>
  </si>
  <si>
    <t>O 10 1.08*1.75=1.890 [A]</t>
  </si>
  <si>
    <t>Montáž vnějšího obkladu pláště z kompozitních panelů typu BOND kazetové provedení s negativní spárou - skryté uchycení podhledů výšky budovy přes 12 do 24 m1. V cenách nejsou započteny náklady na:  
a) dodávku materiálu, tyto se oceňují ve specifikaci.  
b) oplechování prostupů; tyto práce lze oceňovat cenami katalogu 800-764 Konstrukce klempířské.  
2. Množství měrných jednotek se určí v m2 z rozměru plochy stěny nebo podhledu podle projektu.  
3. Ceny jsou určeny pouze pro montáž pravoúhlých panelů.</t>
  </si>
  <si>
    <t>Ozn.S1 - Ral 7015 
''střecha' 
2*7.615*65.475=997.184 [A] 
-8*2*1.85*4.00=- 118.400 [B] 
5.05*11.86=59.893 [C] 
5.05*24.14=121.907 [D] 
Celkem: 997.184+-118.4+59.893+121.907=1 060.584 [E]</t>
  </si>
  <si>
    <t>Montáž vnějšího obkladu pláště z kompozitních panelů typu BOND kazetové provedení s negativní spárou - skryté uchycení podhledů výšky budovy přes 12 do 24 m</t>
  </si>
  <si>
    <t>767415523</t>
  </si>
  <si>
    <t>Montáž vnějšího obkladu pláště z kompozitních panelů typu BOND kazetové provedení s negativní spárou - skryté uchycení stěn výšky budovy přes 12 do 24 m1. V cenách nejsou započteny náklady na:  
a) dodávku materiálu, tyto se oceňují ve specifikaci.  
b) oplechování prostupů; tyto práce lze oceňovat cenami katalogu 800-764 Konstrukce klempířské.  
2. Množství měrných jednotek se určí v m2 z rozměru plochy stěny nebo podhledu podle projektu.  
3. Ceny jsou určeny pouze pro montáž pravoúhlých panelů.</t>
  </si>
  <si>
    <t>ozn.FAS - dle PD odměřeno 
Jih696.28-(13*4.374+6.48*2+1.71*2+0.66*3+3.42+2.565*3+2.052*3)=603.787 [A] 
Západ 171.20-44.69+39.24=165.750 [B] 
Sever 696.28-4.374*21=604.426 [C] 
Východ 39.35+122.22=161.570 [D] 
Celkem: 603.787+165.75+604.426+161.57=1 535.533 [E]</t>
  </si>
  <si>
    <t>Montáž vnějšího obkladu pláště z kompozitních panelů typu BOND kazetové provedení s negativní spárou - skryté uchycení stěn výšky budovy přes 12 do 24 m</t>
  </si>
  <si>
    <t>767415513</t>
  </si>
  <si>
    <t>Montáž světlíků bodových přes 4 m21. V cenách -3110 až -3152 je započtena i montáž krytiny.  
2. V ceně -2737 je započteno i dokončení okování větracích křídel.</t>
  </si>
  <si>
    <t>O 19 8=8.000 [A]</t>
  </si>
  <si>
    <t>Montáž světlíků bodových přes 4 m2</t>
  </si>
  <si>
    <t>767316317</t>
  </si>
  <si>
    <t>Montáž podest z oceli šroubováním1. V cenách nejsou započteny náklady na:  
a) vyřezání a úpravu otvoru; tyto práce se oceňují cenou 767 51-0191 Příplatek za vyřezání a úpravu otvoru,  
b) montáž zábradlí; tyto práce se oceňují cenami souboru cen 767 16- Montáž zábradlí rovného.</t>
  </si>
  <si>
    <t>'Servisní lávka - nosná část viz.OK' 
1P01114.21=114.210 [A] 
1P02114.21=114.210 [B] 
Celkem: 114.21+114.21=228.420 [C]</t>
  </si>
  <si>
    <t>Montáž podest z oceli šroubováním</t>
  </si>
  <si>
    <t>767250111</t>
  </si>
  <si>
    <t>rošt podlahový svařovaný žárově zinkovaný velikost 30/3mm 1000x1000mm</t>
  </si>
  <si>
    <t>55347057</t>
  </si>
  <si>
    <t>pohon garážových sekčních a výklopných vrat o síle 1000N max. 50 cyklů denně</t>
  </si>
  <si>
    <t>55345878</t>
  </si>
  <si>
    <t>vrata průmyslová sekční z ocelových lamel, zateplená PUR tl 67mm</t>
  </si>
  <si>
    <t>O 18 2*5.00*5.00=50.000 [A]</t>
  </si>
  <si>
    <t>55345802</t>
  </si>
  <si>
    <t>okno Al otevíravé/sklopné dvojsklo přes plochu 1m2 přes v 2,5m</t>
  </si>
  <si>
    <t>55341014</t>
  </si>
  <si>
    <t>okno Al otevíravé/sklopné trojsklo přes plochu 1m2 v 1,5-2,5m</t>
  </si>
  <si>
    <t>55341013</t>
  </si>
  <si>
    <t>okno Al otevíravé/sklopné trojsklo do plochy 1m2</t>
  </si>
  <si>
    <t>55341009</t>
  </si>
  <si>
    <t>okno Al s fixním zasklením trojsklo přes plochu 1m2 v 1,5-2,5m</t>
  </si>
  <si>
    <t>55341005</t>
  </si>
  <si>
    <t>okno Al s fixním zasklením trojsklo přes plochu 1m2 do v 1,5m</t>
  </si>
  <si>
    <t>55341003</t>
  </si>
  <si>
    <t>panel sendvičový střešní, izolace PIR, viditelné kotvení, U 0,13W/m2K, modulová/celková š 1000/1083mm tl 210/170mm</t>
  </si>
  <si>
    <t>55324735</t>
  </si>
  <si>
    <t>panel sendvičový stěnový vnější, izolace PIR, viditelné kotvení, U 0,15W/m2K, modulová/celková š 1100/1120mm tl 150mm</t>
  </si>
  <si>
    <t>55324700</t>
  </si>
  <si>
    <t>samozavírač dveří hydraulický K214 č.14 zlatá bronz</t>
  </si>
  <si>
    <t>samozavírač dveří hydraulický</t>
  </si>
  <si>
    <t>54917265</t>
  </si>
  <si>
    <t>žebřík venkovní s přímým výstupem a ochranným košem bez suchovodu z pozinkované oceli celkem dl 8,6-11m</t>
  </si>
  <si>
    <t>44983048</t>
  </si>
  <si>
    <t>žebřík venkovní s přímým výstupem a ochranným košem bez suchovodu z pozinkované oceli celkem dl 6,1-8,5m</t>
  </si>
  <si>
    <t>44983047</t>
  </si>
  <si>
    <t>žebřík venkovní s přímým výstupem a ochranným košem bez suchovodu z pozinkované oceli celkem do dl 6m</t>
  </si>
  <si>
    <t>44983046</t>
  </si>
  <si>
    <t>stříška vchodová oblouková, kotvená pomocí konzol nerezový rám s hliníkovým okapem, výplň akrylové sklo 1500x1000mm  -  DLE SPECIFIKACE PD - ozn.Z 09</t>
  </si>
  <si>
    <t>283Z09</t>
  </si>
  <si>
    <t>práh dveřní dřevěný dubový tl 20mm dl 1000mm š 150mmSpecifikace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</si>
  <si>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práh dveřní dřevěný dubový tl 20mm dl 1000mm š 150mm</t>
  </si>
  <si>
    <t>R.pol.01-611</t>
  </si>
  <si>
    <t>Přesun hmot pro konstrukce truhlářské stanovený zhmotnosti přesunovaného materiálu vodorovná dopravní vzdálenost do 50 m v objektech výšky přes 12 do 24 m1. Ceny pro přesun hmot stanovený zhmotnosti přesunovaného materiálu se používají tehdy, pokud je možné určit hmotnost za celý stavební díl. Do této hmotnosti se započítává i hmotnost materiálů oceňovaných ve specifikaci.  
2. Pokud nelze jednoznačně stanovit hmotnost přesunovaných materiálů, lze pro výpočet přesunu hmot použít orientačně procentní sazbu. Touto sazbou se vynásobí rozpočtové náklady za celý stavební díl včetně nákladů na materiál ve specifikacích.  
3. Příplatek kcenám -6181 pro přesun prováděný bez použití mechanizace, tj. za ztížených podmínek, lze použít pouze pro hmotnost materiálu, která se tímto způsobem skutečně přemísťuje.</t>
  </si>
  <si>
    <t>Přesun hmot pro konstrukce truhlářské stanovený z hmotnosti přesunovaného materiálu vodorovná dopravní vzdálenost do 50 m v objektech výšky přes 12 do 24 m</t>
  </si>
  <si>
    <t>998766103</t>
  </si>
  <si>
    <t>Montáž ostatních truhlářských konstrukcí prahů dveří dvoukřídlových, šířky přes 100 mm1. Vcenách 766 69 - 3421 a 3422 jsou započteny i náklady na zaměření zřizovaných otvorů.  
2. V cenách 766 69 - 4111 až 4125 jsou započteny i náklady na zaměření, vyklínování, horizontální i vertikální vyrovnání, ukotvení a vyplnění spáry mezi parapetem a ostěním polyuretanovou pěnou, včetně zednického začištění.  
3. Cenami -97 . . nelze oceňovat venkovní krycí lišty balkónových dveří; tato montáž se oceňuje cenou -1610.</t>
  </si>
  <si>
    <t>5+1=6.000 [A]</t>
  </si>
  <si>
    <t>Montáž ostatních truhlářských konstrukcí prahů dveří dvoukřídlových, šířky přes 100 mm</t>
  </si>
  <si>
    <t>766695233</t>
  </si>
  <si>
    <t>Montáž ostatních truhlářských konstrukcí prahů dveří jednokřídlových, šířky přes 100 mm1. Vcenách 766 69 - 3421 a 3422 jsou započteny i náklady na zaměření zřizovaných otvorů.  
2. V cenách 766 69 - 4111 až 4125 jsou započteny i náklady na zaměření, vyklínování, horizontální i vertikální vyrovnání, ukotvení a vyplnění spáry mezi parapetem a ostěním polyuretanovou pěnou, včetně zednického začištění.  
3. Cenami -97 . . nelze oceňovat venkovní krycí lišty balkónových dveří; tato montáž se oceňuje cenou -1610.</t>
  </si>
  <si>
    <t>2+4+3+1=10.000 [A]</t>
  </si>
  <si>
    <t>Montáž ostatních truhlářských konstrukcí prahů dveří jednokřídlových, šířky přes 100 mm</t>
  </si>
  <si>
    <t>766695213</t>
  </si>
  <si>
    <t>práh dveřní dřevěný dubový tl 20mm dl 1470mm š 150mm</t>
  </si>
  <si>
    <t>61187261</t>
  </si>
  <si>
    <t>práh dveřní dřevěný dubový tl 20mm dl 920mm š 150mm</t>
  </si>
  <si>
    <t>61187181</t>
  </si>
  <si>
    <t>práh dveřní dřevěný dubový tl 20mm dl 820mm š 150mm</t>
  </si>
  <si>
    <t>61187161</t>
  </si>
  <si>
    <t>práh dveřní dřevěný dubový tl 20mm dl 720mm š 150mm</t>
  </si>
  <si>
    <t>61187141</t>
  </si>
  <si>
    <t>Konstrukce truhlářské</t>
  </si>
  <si>
    <t>766</t>
  </si>
  <si>
    <t>Oplechování ostění a nadpraží dveří v interiéru TiZn rš 200 mmSpecifikace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</si>
  <si>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ozn.K 1430.99=30.990 [A]</t>
  </si>
  <si>
    <t>Oplechování ostění a nadpraží dveří v interiéru TiZn rš 200 mm</t>
  </si>
  <si>
    <t>R764-K14</t>
  </si>
  <si>
    <t>Oplechování soklu podlahy v interiéru TiZn rš 100 mmSpecifikace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</si>
  <si>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ozn.K 13 21.33=21.330 [A]</t>
  </si>
  <si>
    <t>Oplechování soklu podlahy v interiéru TiZn rš 100 mm</t>
  </si>
  <si>
    <t>R764-K13</t>
  </si>
  <si>
    <t>Lemování trub, konzol, držáků a ostatních prvků z titanzinkového lesklého válcovaného plechu střech s krytinou prejzovou nebo vlnitou, průměr přes 200 do 300 mmSpecifikace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</si>
  <si>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0.5465=5.000 [A]</t>
  </si>
  <si>
    <t>Lemování trub, konzol, držáků a ostatních prvků z titanzinkového lesklého válcovaného plechu střech s krytinou prejzovou nebo vlnitou, průměr přes 200 do 300 mm</t>
  </si>
  <si>
    <t>R764-K12</t>
  </si>
  <si>
    <t>Oplechování soklu TiZn rš 460 mmSpecifikace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</si>
  <si>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ozn.K 11 152.63=152.630 [A]</t>
  </si>
  <si>
    <t>Oplechování soklu TiZn rš 460 mm</t>
  </si>
  <si>
    <t>R764-K11</t>
  </si>
  <si>
    <t>Prostřihávací lišta ukončení střešních panelů TiZn rš 234 mmSpecifikace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</si>
  <si>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ozn.K 10 130.00=130.000 [A]</t>
  </si>
  <si>
    <t>Prostřihávací lišta ukončení střešních panelů TiZn rš 234 mm</t>
  </si>
  <si>
    <t>R764-K10</t>
  </si>
  <si>
    <t>Oplechování styku horizontálních a vertikálních panelů TiZn rš 210 mmSpecifikace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</si>
  <si>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ozn.K 0958.40=58.400 [A]</t>
  </si>
  <si>
    <t>Oplechování styku horizontálních a vertikálních panelů TiZn rš 210 mm</t>
  </si>
  <si>
    <t>R764-K09</t>
  </si>
  <si>
    <t>Oplechování obvodu prosklené stěny O 14 TiZn rš 175 mmSpecifikace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</si>
  <si>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K0829.94=29.940 [A]</t>
  </si>
  <si>
    <t>Oplechování obvodu prosklené stěny O 14 TiZn rš 175 mm</t>
  </si>
  <si>
    <t>R764-K08</t>
  </si>
  <si>
    <t>Oplechování světlíků TiZn rš 340 mmSpecifikace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</si>
  <si>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ozn.K 07 123.84=123.840 [A]</t>
  </si>
  <si>
    <t>Oplechování světlíků TiZn rš 340 mm</t>
  </si>
  <si>
    <t>R764-K07</t>
  </si>
  <si>
    <t>Oplechování ostění vrat TiZn rš 150+620 mmSpecifikace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</si>
  <si>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ozn.K 06b20.00=20.000 [A]</t>
  </si>
  <si>
    <t>Oplechování ostění vrat TiZn rš 150+620 mm</t>
  </si>
  <si>
    <t>R764-K06b</t>
  </si>
  <si>
    <t>Oplechování nadpraží vrat TiZn rš 150+620 mmSpecifikace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</si>
  <si>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ozn.K 06a10.50=10.500 [A]</t>
  </si>
  <si>
    <t>Oplechování nadpraží vrat TiZn rš 150+620 mm</t>
  </si>
  <si>
    <t>R764-K06a</t>
  </si>
  <si>
    <t>Oplechování ostění a nadpraží dveří TiZn rš 310 mmSpecifikace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</si>
  <si>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ozn.K 0518.50=18.500 [A]</t>
  </si>
  <si>
    <t>Oplechování ostění a nadpraží dveří TiZn rš 310 mm</t>
  </si>
  <si>
    <t>R764-K05</t>
  </si>
  <si>
    <t>Oplechování ukončení střechy TiZn rš 570 mmSpecifikace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</si>
  <si>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ozn.K 04d15.15=15.150 [A]</t>
  </si>
  <si>
    <t>Oplechování ukončení střechy TiZn rš 570 mm</t>
  </si>
  <si>
    <t>R764-K04d</t>
  </si>
  <si>
    <t>Oplechování styku střechy a fasády TiZn rš 200 mmSpecifikace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</si>
  <si>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ozn.K04c 41.05=41.050 [A]</t>
  </si>
  <si>
    <t>Oplechování styku střechy a fasády TiZn rš 200 mm</t>
  </si>
  <si>
    <t>R764-K04c</t>
  </si>
  <si>
    <t>Oplechování atiky haly TiZn rš 740 mmSpecifikace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</si>
  <si>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ozn.K 04b130.40=130.400 [A]</t>
  </si>
  <si>
    <t>Oplechování atiky haly TiZn rš 740 mm</t>
  </si>
  <si>
    <t>R764-K04b</t>
  </si>
  <si>
    <t>Oplechování atiky přístavku TiZn rš 760 mmSpecifikace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</si>
  <si>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ozn.K 04a36.00=36.000 [A]</t>
  </si>
  <si>
    <t>Oplechování atiky přístavku TiZn rš 760 mm</t>
  </si>
  <si>
    <t>R764-K04a</t>
  </si>
  <si>
    <t>Lemování koutů fasády TiZn rš 220 mmSpecifikace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</si>
  <si>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ozn.K 03d 8.23=8.230 [A]</t>
  </si>
  <si>
    <t>Lemování koutů fasády TiZn rš 220 mm</t>
  </si>
  <si>
    <t>R764-K03d</t>
  </si>
  <si>
    <t>Plechové lemování rohů fasády TiZn rš 445 mmSpecifikace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</si>
  <si>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ozn.K 03c 15.05=15.050 [A]</t>
  </si>
  <si>
    <t>Plechové lemování rohů fasády TiZn rš 445 mm</t>
  </si>
  <si>
    <t>R764-K03c</t>
  </si>
  <si>
    <t>Oplechování lemování štítových stěn TiZn rš 1010 mmSpecifikace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</si>
  <si>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ozn.K 03b 30.48=30.480 [A]</t>
  </si>
  <si>
    <t>Oplechování lemování štítových stěn TiZn rš 1010 mm</t>
  </si>
  <si>
    <t>R764-K03b</t>
  </si>
  <si>
    <t>ozn.K 03a 44.00=44.000 [A]</t>
  </si>
  <si>
    <t>R764-K03a</t>
  </si>
  <si>
    <t>Oplechování nadpraží oken TiZn rš 210+180mmSpecifikace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</si>
  <si>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ozn.K 02d 73.60=73.600 [A]</t>
  </si>
  <si>
    <t>Oplechování nadpraží oken TiZn rš 210+180mm</t>
  </si>
  <si>
    <t>R764-K02d</t>
  </si>
  <si>
    <t>Oplechování nadpraží oken TiZn rš 140+180mmSpecifikace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</si>
  <si>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ozn.K 02c82.13=82.130 [A]</t>
  </si>
  <si>
    <t>Oplechování nadpraží oken TiZn rš 140+180mm</t>
  </si>
  <si>
    <t>R764-K02c</t>
  </si>
  <si>
    <t>Oplechování parapetů oken TiZn rš 325mmSpecifikace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</si>
  <si>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ozn.K 02b154.30=154.300 [A]</t>
  </si>
  <si>
    <t>Oplechování parapetů oken TiZn rš 325mm</t>
  </si>
  <si>
    <t>R764-K02b</t>
  </si>
  <si>
    <t>Oplechování ostění oken TiZn rš 275+180mmSpecifikace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</si>
  <si>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ozn.K 02a178.80=178.800 [A]</t>
  </si>
  <si>
    <t>Oplechování ostění oken TiZn rš 275+180mm</t>
  </si>
  <si>
    <t>R764-K02a</t>
  </si>
  <si>
    <t>Žlab okapový - izolace PIR tl.70mm, krytá plechem rš.740mmSpecifikace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</si>
  <si>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ozn.K 01b 35.80=35.800 [A]</t>
  </si>
  <si>
    <t>Žlab okapový - izolace PIR tl.70mm, krytá plechem rš.740mm</t>
  </si>
  <si>
    <t>R764-K01b</t>
  </si>
  <si>
    <t>Žlab okapový - izolace PIR tl.70mm, krytá plechem rš.750mmSpecifikace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</si>
  <si>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ozn.K 01a 130.00=130.000 [A]</t>
  </si>
  <si>
    <t>Žlab okapový - izolace PIR tl.70mm, krytá plechem rš.750mm</t>
  </si>
  <si>
    <t>R764-K01a</t>
  </si>
  <si>
    <t>Přesun hmot pro konstrukce klempířské stanovený zhmotnosti přesunovaného materiálu vodorovná dopravní vzdálenost do 50 m v objektech výšky přes 12 do 24 m1. Ceny pro přesun hmot stanovený zhmotnosti přesunovaného materiálu se používají tehdy, pokud je možné určit hmotnost za celý stavební díl. Do této hmotnosti se započítává i hmotnost materiálů oceňovaných ve specifikaci.  
2. Pokud nelze jednoznačně stanovit hmotnost přesunovaných materiálů, lze pro výpočet přesunu hmot použít orientačně procentní sazbu. Touto sazbou se vynásobí rozpočtové náklady za celý stavební díl včetně nákladů na materiál ve specifikacích.  
3. Příplatek kcenám -4181 pro přesun prováděný bez použití mechanizace, tj. za ztížených podmínek, lze použít pouze pro hmotnost materiálu, která se tímto způsobem skutečně přemísťuje.</t>
  </si>
  <si>
    <t>Přesun hmot pro konstrukce klempířské stanovený z hmotnosti přesunovaného materiálu vodorovná dopravní vzdálenost do 50 m v objektech výšky přes 12 do 24 m</t>
  </si>
  <si>
    <t>998764103</t>
  </si>
  <si>
    <t>Konstrukce klempířské</t>
  </si>
  <si>
    <t>764</t>
  </si>
  <si>
    <t>SDK příčka tl 175 mm opláštění OK (samostaně vykázané) desky 1xDF 12,5 s izolací EI 45 Rw do 51 dBSpecifikace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</si>
  <si>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4.175*(3.45+4.05)/2=15.656 [A]</t>
  </si>
  <si>
    <t>SDK příčka tl 175 mm opláštění OK (samostaně vykázané) desky 1xDF 12,5 s izolací EI 45 Rw do 51 dB</t>
  </si>
  <si>
    <t>R.pol.01-763</t>
  </si>
  <si>
    <t>Přesun hmot pro konstrukce montované z desek sádrokartonových, sádrovláknitých, cementovláknitých nebo cementových stanovený zhmotnosti přesunovaného materiálu vodorovná dopravní vzdálenost do 50 m vobjektech výšky přes 12 do 24 m1. Ceny pro přesun hmot stanovený zhmotnosti přesunovaného materiálu se použijí tehdy, pokud je možné určit hmotnost za celý stavební díl. Do této hmotnosti se započítává i hmotnost materiálů oceňovaných ve specifikaci.  
2. Pokud nelze jednoznačně stanovit hmotnost přesunovaných materiálů, lze pro výpočet přesunu hmot použít orientačně procentní sazbu. Touto sazbou se vynásobí rozpočtové náklady za celý stavební díl včetně nákladů na materiál ve specifikacích.  
3. Příplatek kcenám -3381 pro přesun prováděný bez použití mechanizace, tj. za ztížených podmínek, lze použít pouze pro hmotnost materiálu, která se tímto způsobem skutečně přemísťuje. U přesunu stanoveného procentní sazbou se ztížení přesunu ocení individuálně.</t>
  </si>
  <si>
    <t>Přesun hmot pro konstrukce montované z desek sádrokartonových, sádrovláknitých, cementovláknitých nebo cementových stanovený z hmotnosti přesunovaného materiálu vodorovná dopravní vzdálenost do 50 m v objektech výšky přes 12 do 24 m</t>
  </si>
  <si>
    <t>Přesun hmot pro konstrukce montované z desek sádrokartonových, sádrovláknitých, cementovláknitých nebo cementových stanovený z hmotnosti přesunovaného materiálu</t>
  </si>
  <si>
    <t>998763303</t>
  </si>
  <si>
    <t>Montáž podhledu minerálního včetně zavěšeného roštu skrytého spanely vyjímatelnými jakékoliv velikosti panelů1. Vcenách montáže podhledu -1001 až -1201 jsou započteny náklady na montáž a dodávku nosné konstrukce.  
2. Vcenách nejsou započteny náklady na dodávku panelů; jejich dodávka se oceňuje ve specifikaci.  
3. Ostatní práce a konstrukce na minerálních podhledech lze ocenit cenami 763 13-17. . .</t>
  </si>
  <si>
    <t>60.98=60.980 [A]</t>
  </si>
  <si>
    <t>Montáž podhledu minerálního včetně zavěšeného roštu skrytého s panely vyjímatelnými jakékoliv velikosti panelů</t>
  </si>
  <si>
    <t>763431031</t>
  </si>
  <si>
    <t>Podhled ze sádrokartonových desek – samostatný požární předěl dvouvrstvá nosná konstrukce zocelových profilů CD, UD s požární odolností zdola bez izolace jednoduše opláštěná deskou protipožární DF tl. 12,5 mm, EI 151. Vcenách jsou započteny i náklady na tmelení a výztužnou pásku.  
2. Vcenách nejsou započteny náklady na základní penetrační nátěr; tato práce se ocení cenou 763 13-1714.  
3. Ceny -2612 a -2613 Montáž nosné konstrukce je stanoveny pro m2 plochy samostatného požárního předělu.  
4. Vcenách -2612 a -2613 nejsou započteny náklady na profily; tyto se oceňují ve specifikaci.  
5. Vcenách -2622 a -2626 Montáž desek nejsou započteny náklady na desky; tato dodávka se oceňuje ve specifikaci.  
6. Ostatní konstrukce a práce a příplatky u samostatných požárních předělů se oceňují cenami 763 13-17.. pro podhled ze sádrokartonových desek.</t>
  </si>
  <si>
    <t>26.6=26.600 [A]</t>
  </si>
  <si>
    <t>Podhled ze sádrokartonových desek – samostatný požární předěl dvouvrstvá nosná konstrukce z ocelových profilů CD, UD s požární odolností zdola bez izolace jednoduše opláštěná deskou protipožární DF tl. 12,5 mm, EI 15</t>
  </si>
  <si>
    <t>Podhled ze sádrokartonových desek – samostatný požární předěl dvouvrstvá nosná konstrukce z ocelových profilů CD, UD s požární odolností zdola bez izolace jedno</t>
  </si>
  <si>
    <t>763132241</t>
  </si>
  <si>
    <t>Podhled ze sádrokartonových desek Příplatek kcenám za rovinnost kvality speciální tmelení kvality Q31. Vcenách jsou započteny i náklady na tmelení a výztužnou pásku.  
2. Vcenách nejsou započteny náklady na základní penetrační nátěr; tyto se oceňují cenou -1714.  
3. Ceny -1612 až -1613 Montáž nosné konstrukce je stanoveny pro m2 plochy podhledu.  
4. V cenách -1612 a -1613 nejsou započteny náklady na profily; tyto se oceňují ve specifikaci.  
5. Vcenách -1621 až -1624 Montáž desek nejsou započteny náklady na desky; tato dodávka se oceňuje ve specifikaci.  
6. Vceně -1763 Příplatek za průhyb nosného stropu přes 20 mm je započtena pouze montáž, atypický profil se oceňuje individuálně ve specifikaci.  
7. Uváděná hodnota REI u cen -1431 až-1443 a -1471 až -1495 vyjadřuje požární odolnost konstrukce chráněné podhledem; hodnota REI závisí na druhu nosného stropu.</t>
  </si>
  <si>
    <t>Podhled ze sádrokartonových desek Příplatek k cenám za rovinnost kvality speciální tmelení kvality Q3</t>
  </si>
  <si>
    <t>763131771</t>
  </si>
  <si>
    <t>Stěna předsazená ze sádrokartonových desek Příplatek kcenám za rovinnost kvality speciální tmelení kvality Q31. Vcenách jsou započteny i náklady na tmelení a výztužnou pásku.  
2. Vcenách nejsou započteny náklady na základní penetrační nátěr; tyto se oceňují cenou 763 12-1714.  
3. Ceny pro předsazené stěny lepené celoplošně jsou určeny pro lepení na rovný podklad, lepené na bochánky jsou určeny pro podklad o nerovnosti do 20 mm.  
4. Ceny -1611 a -1612 Montáž nosné konstrukce je stanoveny pro m2 plochy předsazené stěny.  
5. Vceně -1611 a -1612 nejsou započteny náklady na profily; tyto se oceňují ve specifikaci.  
6. Vcenách -1621 až -1641 Montáž desek nejsou započteny náklady na desky; tato dodávka se oceňuje ve specifikaci.  
7. Cena -1590 je určena pro typ nosiče WC na nožičkách na zem pro standardní výšku do 1,3m. Konstrukce nosiče WC není v ceně - oceňuje se souborem cen 726 13 1- části A 06 katalogu 800 - 721 Zdravotně technické instalace budov. Při výšce stěny na celou výšku místnosti se přidá UA profil =2xKV příčky a patka UA profilu= 4ks - oceňují se cenami 76318-1421 - 1424.  
8. Ostatní konstrukce a práce a příplatky, neuvedené vtomto souboru cen, se oceňují cenami 763 11-17.. pro příčky ze sádrokartonových desek.</t>
  </si>
  <si>
    <t>58.404+4.238+5.734=68.376 [A]</t>
  </si>
  <si>
    <t>Stěna předsazená ze sádrokartonových desek Příplatek k cenám za rovinnost kvality speciální tmelení kvality Q3</t>
  </si>
  <si>
    <t>763121761</t>
  </si>
  <si>
    <t>Stěna předsazená ze sádrokartonových desek pro osazení závěsného WC snosnoukonstrukcí zocelovýchprofilů CW, UW dvojitě opláštěná deskami impregnovanými H2 tl. 2x12,5 mm bez izolace, stěna tl. 150 - 250 mm, profil 501. Vcenách jsou započteny i náklady na tmelení a výztužnou pásku.  
2. Vcenách nejsou započteny náklady na základní penetrační nátěr; tyto se oceňují cenou 763 12-1714.  
3. Ceny pro předsazené stěny lepené celoplošně jsou určeny pro lepení na rovný podklad, lepené na bochánky jsou určeny pro podklad o nerovnosti do 20 mm.  
4. Ceny -1611 a -1612 Montáž nosné konstrukce je stanoveny pro m2 plochy předsazené stěny.  
5. Vceně -1611 a -1612 nejsou započteny náklady na profily; tyto se oceňují ve specifikaci.  
6. Vcenách -1621 až -1641 Montáž desek nejsou započteny náklady na desky; tato dodávka se oceňuje ve specifikaci.  
7. Cena -1590 je určena pro typ nosiče WC na nožičkách na zem pro standardní výšku do 1,3m. Konstrukce nosiče WC není v ceně - oceňuje se souborem cen 726 13 1- části A 06 katalogu 800 - 721 Zdravotně technické instalace budov. Při výšce stěny na celou výšku místnosti se přidá UA profil =2xKV příčky a patka UA profilu= 4ks - oceňují se cenami 76318-1421 - 1424.  
8. Ostatní konstrukce a práce a příplatky, neuvedené vtomto souboru cen, se oceňují cenami 763 11-17.. pro příčky ze sádrokartonových desek.</t>
  </si>
  <si>
    <t>'m.č. OP 09, OP 10, OP 13' 
(0.68+0.81+0.90)*1.10=2.629 [A] 
OP 07 0.90*3.45=3.105 [B] 
Celkem: 2.629+3.105=5.734 [C]</t>
  </si>
  <si>
    <t>Stěna předsazená ze sádrokartonových desek pro osazení závěsného WC s nosnou konstrukcí z ocelových profilů CW, UW dvojitě opláštěná deskami impregnovanými H2 tl. 2x12,5 mm bez izolace, stěna tl. 150 - 250 mm, profil 50</t>
  </si>
  <si>
    <t>Stěna předsazená ze sádrokartonových desek pro osazení závěsného WC s nosnou konstrukcí z ocelových profilů CW, UW dvojitě opláštěná deskami impregnovanými H2 t</t>
  </si>
  <si>
    <t>763121590</t>
  </si>
  <si>
    <t>Stěna předsazená ze sádrokartonových desek snosnou konstrukcí zocelových profilů CW, UW jednoduše opláštěná deskou impregnovanou H2 tl. 12,5 mm bez izolace, EI 15, stěna tl. 112,5 mm, profil 1001. Vcenách jsou započteny i náklady na tmelení a výztužnou pásku.  
2. Vcenách nejsou započteny náklady na základní penetrační nátěr; tyto se oceňují cenou 763 12-1714.  
3. Ceny pro předsazené stěny lepené celoplošně jsou určeny pro lepení na rovný podklad, lepené na bochánky jsou určeny pro podklad o nerovnosti do 20 mm.  
4. Ceny -1611 a -1612 Montáž nosné konstrukce je stanoveny pro m2 plochy předsazené stěny.  
5. Vceně -1611 a -1612 nejsou započteny náklady na profily; tyto se oceňují ve specifikaci.  
6. Vcenách -1621 až -1641 Montáž desek nejsou započteny náklady na desky; tato dodávka se oceňuje ve specifikaci.  
7. Cena -1590 je určena pro typ nosiče WC na nožičkách na zem pro standardní výšku do 1,3m. Konstrukce nosiče WC není v ceně - oceňuje se souborem cen 726 13 1- části A 06 katalogu 800 - 721 Zdravotně technické instalace budov. Při výšce stěny na celou výšku místnosti se přidá UA profil =2xKV příčky a patka UA profilu= 4ks - oceňují se cenami 76318-1421 - 1424.  
8. Ostatní konstrukce a práce a příplatky, neuvedené vtomto souboru cen, se oceňují cenami 763 11-17.. pro příčky ze sádrokartonových desek.</t>
  </si>
  <si>
    <t>OP 09(1.05+0.19)*3.45=4.278 [A] 
-0.68*(1.355+1.68)=-2.064 [B] 
OP 10(1.05+0.135)*3.45=4.088 [C] 
-0.68*(1.355+1.68)=-2.064 [D] 
Celkem: 4.278+-2.064+4.088+-2.064=4.238 [E]</t>
  </si>
  <si>
    <t>Stěna předsazená ze sádrokartonových desek s nosnou konstrukcí z ocelových profilů CW, UW jednoduše opláštěná deskou impregnovanou H2 tl. 12,5 mm bez izolace, EI 15, stěna tl. 112,5 mm, profil 100</t>
  </si>
  <si>
    <t>Stěna předsazená ze sádrokartonových desek s nosnou konstrukcí z ocelových profilů CW, UW jednoduše opláštěná deskou impregnovanou H2 tl. 12,5 mm bez izolace, E</t>
  </si>
  <si>
    <t>763121426</t>
  </si>
  <si>
    <t>Stěna předsazená ze sádrokartonových desek snosnou konstrukcí zocelových profilů CW, UW jednoduše opláštěná deskou standardní A tl. 12,5 mm bez izolace, EI 15, stěna tl. 112,5 mm, profil 1001. Vcenách jsou započteny i náklady na tmelení a výztužnou pásku.  
2. Vcenách nejsou započteny náklady na základní penetrační nátěr; tyto se oceňují cenou 763 12-1714.  
3. Ceny pro předsazené stěny lepené celoplošně jsou určeny pro lepení na rovný podklad, lepené na bochánky jsou určeny pro podklad o nerovnosti do 20 mm.  
4. Ceny -1611 a -1612 Montáž nosné konstrukce je stanoveny pro m2 plochy předsazené stěny.  
5. Vceně -1611 a -1612 nejsou započteny náklady na profily; tyto se oceňují ve specifikaci.  
6. Vcenách -1621 až -1641 Montáž desek nejsou započteny náklady na desky; tato dodávka se oceňuje ve specifikaci.  
7. Cena -1590 je určena pro typ nosiče WC na nožičkách na zem pro standardní výšku do 1,3m. Konstrukce nosiče WC není v ceně - oceňuje se souborem cen 726 13 1- části A 06 katalogu 800 - 721 Zdravotně technické instalace budov. Při výšce stěny na celou výšku místnosti se přidá UA profil =2xKV příčky a patka UA profilu= 4ks - oceňují se cenami 76318-1421 - 1424.  
8. Ostatní konstrukce a práce a příplatky, neuvedené vtomto souboru cen, se oceňují cenami 763 11-17.. pro příčky ze sádrokartonových desek.</t>
  </si>
  <si>
    <t>OP 02 (3.35+0.10)*3.45=11.903 [A] 
-1.58*1.95=-3.081 [B] 
OP 03 2.50*3.45=8.625 [C] 
-1.28*1.955=-2.502 [D] 
OP 04 (0.40+0.22)*3.45=2.139 [E] 
OP 05 3.00*3.45=10.350 [F] 
-2.08*1.955=-4.066 [G] 
OP 06 (3.175+0.215)*3.45=11.696 [H] 
-1.28*1.955=-2.502 [I] 
OP 11 1.50*3.45=5.175 [J] 
-1.43*2.83=-4.047 [K] 
''OP 14' (4,50*3,45 
-1.58*1.955=-3.089 [L] 
OP 15 7.735*3.45=26.686 [M] 
-1.08*1.955=-2.111 [N] 
-4.08*1.955=-7.976 [O] 
4.715*(3.45+3.85)/2=17.210 [P] 
-3.08*1.95=-6.006 [Q] 
Celkem: 11.903+-3.081+8.625+-2.502+2.139+10.35+-4.066+11.696+-2.502+5.175+-4.047+-3.089+26.686+-2.111+-7.976+17.21+-6.006=58.404 [R]</t>
  </si>
  <si>
    <t>Stěna předsazená ze sádrokartonových desek s nosnou konstrukcí z ocelových profilů CW, UW jednoduše opláštěná deskou standardní A tl. 12,5 mm bez izolace, EI 15, stěna tl. 112,5 mm, profil 100</t>
  </si>
  <si>
    <t>Stěna předsazená ze sádrokartonových desek s nosnou konstrukcí z ocelových profilů CW, UW jednoduše opláštěná deskou standardní A tl. 12,5 mm bez izolace, EI 15</t>
  </si>
  <si>
    <t>763121415</t>
  </si>
  <si>
    <t>Příčka ze sádrokartonových desek Příplatek kcenám za rovinnost speciální tmelení kvality Q31. Vcenách jsou započteny i náklady na tmelení a výztužnou pásku.  
2. Vcenách nejsou započteny náklady na základní penetrační nátěr; tyto se oceňují cenou cenou -1717.  
3. Cena -1611 Montáž nosné konstrukce je stanovena pro m2 plochy příčky.  
4. Ceny -1621 až -1627 Montáž desek, -1717 Penetrační nátěr, -1718 Úprava spar separační páskou a -1771, -1772 Příplatek za rovinnost jsou stanoveny pro obě strany příčky. Tyto úpravy prováděné pouze na jedné straně příčky se oceňují cenami souboru cen 763 12-17 pro předsazené stěny.  
5. Vceně -1611 nejsou započteny náklady na profily; tyto se oceňují ve specifikaci.  
6. V cenách -1621 až -1627 nejsou započteny náklady na desky; tato dodávka se oceňuje ve specifikaci.</t>
  </si>
  <si>
    <t>104.889+15.656+5.22+6.579+44.231=176.575 [A]</t>
  </si>
  <si>
    <t>Příčka ze sádrokartonových desek Příplatek k cenám za rovinnost speciální tmelení kvality Q3</t>
  </si>
  <si>
    <t>763111771</t>
  </si>
  <si>
    <t>Příčka ze sádrokartonových desek s nosnou konstrukcí zjednoduchých ocelových profilů UW, CW jednoduše opláštěná deskou impregnovanou H2 tl. 12,5 mm, příčka tl. 125 mm, profil 100, s izolací, EI 30, Rw do 48 dB1. Vcenách jsou započteny i náklady na tmelení a výztužnou pásku.  
2. Vcenách nejsou započteny náklady na základní penetrační nátěr; tyto se oceňují cenou cenou -1717.  
3. Cena -1611 Montáž nosné konstrukce je stanovena pro m2 plochy příčky.  
4. Ceny -1621 až -1627 Montáž desek, -1717 Penetrační nátěr, -1718 Úprava spar separační páskou a -1771, -1772 Příplatek za rovinnost jsou stanoveny pro obě strany příčky. Tyto úpravy prováděné pouze na jedné straně příčky se oceňují cenami souboru cen 763 12-17 pro předsazené stěny.  
5. Vceně -1611 nejsou započteny náklady na profily; tyto se oceňují ve specifikaci.  
6. V cenách -1621 až -1627 nejsou započteny náklady na desky; tato dodávka se oceňuje ve specifikaci.</t>
  </si>
  <si>
    <t>'ozn.PŘ3' 
(3.095*4+0.90+2.175)*(3.45+3.85)/2=56.411 [A] 
-(0.70+0.60)*2.10=-2.730 [B] 
-0.80*2.10*3=-5.040 [C] 
-0.70*2.10*3=-4.410 [D] 
Celkem: 56.411+-2.73+-5.04+-4.41=44.231 [E]</t>
  </si>
  <si>
    <t>Příčka ze sádrokartonových desek s nosnou konstrukcí z jednoduchých ocelových profilů UW, CW jednoduše opláštěná deskou impregnovanou H2 tl. 12,5 mm, příčka tl. 125 mm, profil 100, s izolací, EI 30, Rw do 48 dB</t>
  </si>
  <si>
    <t>Příčka ze sádrokartonových desek s nosnou konstrukcí z jednoduchých ocelových profilů UW, CW jednoduše opláštěná deskou impregnovanou H2 tl. 12,5 mm, příčka tl.</t>
  </si>
  <si>
    <t>763111336</t>
  </si>
  <si>
    <t>Příčka ze sádrokartonových desek s nosnou konstrukcí zjednoduchých ocelových profilů UW, CW jednoduše opláštěná deskou impregnovanou H2 tl. 12,5 mm, příčka tl. 100 mm, profil 75, s izolací, EI 30, Rw do 45 dB1. Vcenách jsou započteny i náklady na tmelení a výztužnou pásku.  
2. Vcenách nejsou započteny náklady na základní penetrační nátěr; tyto se oceňují cenou cenou -1717.  
3. Cena -1611 Montáž nosné konstrukce je stanovena pro m2 plochy příčky.  
4. Ceny -1621 až -1627 Montáž desek, -1717 Penetrační nátěr, -1718 Úprava spar separační páskou a -1771, -1772 Příplatek za rovinnost jsou stanoveny pro obě strany příčky. Tyto úpravy prováděné pouze na jedné straně příčky se oceňují cenami souboru cen 763 12-17 pro předsazené stěny.  
5. Vceně -1611 nejsou započteny náklady na profily; tyto se oceňují ve specifikaci.  
6. V cenách -1621 až -1627 nejsou započteny náklady na desky; tato dodávka se oceňuje ve specifikaci.</t>
  </si>
  <si>
    <t>'PŘ2' 
(0.90+0.20+1.130)*2.95=6.579 [A]</t>
  </si>
  <si>
    <t>Příčka ze sádrokartonových desek s nosnou konstrukcí z jednoduchých ocelových profilů UW, CW jednoduše opláštěná deskou impregnovanou H2 tl. 12,5 mm, příčka tl. 100 mm, profil 75, s izolací, EI 30, Rw do 45 dB</t>
  </si>
  <si>
    <t>763111333</t>
  </si>
  <si>
    <t>Příčka ze sádrokartonových desek s nosnou konstrukcí zjednoduchých ocelových profilů UW, CW jednoduše opláštěná deskou impregnovanou H2 tl. 12,5 mm, příčka tl. 75 mm, profil 50, s izolací, EI 30, Rw do 45 dB1. Vcenách jsou započteny i náklady na tmelení a výztužnou pásku.  
2. Vcenách nejsou započteny náklady na základní penetrační nátěr; tyto se oceňují cenou cenou -1717.  
3. Cena -1611 Montáž nosné konstrukce je stanovena pro m2 plochy příčky.  
4. Ceny -1621 až -1627 Montáž desek, -1717 Penetrační nátěr, -1718 Úprava spar separační páskou a -1771, -1772 Příplatek za rovinnost jsou stanoveny pro obě strany příčky. Tyto úpravy prováděné pouze na jedné straně příčky se oceňují cenami souboru cen 763 12-17 pro předsazené stěny.  
5. Vceně -1611 nejsou započteny náklady na profily; tyto se oceňují ve specifikaci.  
6. V cenách -1621 až -1627 nejsou započteny náklady na desky; tato dodávka se oceňuje ve specifikaci.</t>
  </si>
  <si>
    <t>'PŘ1'  
1.77*2.95=5.222 [A]</t>
  </si>
  <si>
    <t>Příčka ze sádrokartonových desek s nosnou konstrukcí z jednoduchých ocelových profilů UW, CW jednoduše opláštěná deskou impregnovanou H2 tl. 12,5 mm, příčka tl. 75 mm, profil 50, s izolací, EI 30, Rw do 45 dB</t>
  </si>
  <si>
    <t>763111331</t>
  </si>
  <si>
    <t>Příčka ze sádrokartonových desek s nosnou konstrukcí zjednoduchých ocelových profilů UW, CW jednoduše opláštěná deskou standardní A tl. 12,5 mm, příčka tl. 125 mm, profil 100, s izolací, EI 30, Rw do 48 dB1. Vcenách jsou započteny i náklady na tmelení a výztužnou pásku.  
2. Vcenách nejsou započteny náklady na základní penetrační nátěr; tyto se oceňují cenou cenou -1717.  
3. Cena -1611 Montáž nosné konstrukce je stanovena pro m2 plochy příčky.  
4. Ceny -1621 až -1627 Montáž desek, -1717 Penetrační nátěr, -1718 Úprava spar separační páskou a -1771, -1772 Příplatek za rovinnost jsou stanoveny pro obě strany příčky. Tyto úpravy prováděné pouze na jedné straně příčky se oceňují cenami souboru cen 763 12-17 pro předsazené stěny.  
5. Vceně -1611 nejsou započteny náklady na profily; tyto se oceňují ve specifikaci.  
6. V cenách -1621 až -1627 nejsou započteny náklady na desky; tato dodávka se oceňuje ve specifikaci.</t>
  </si>
  <si>
    <t>'ozn.PŘ4' 
4.72*5*(3.45+4.05)/2=88.500 [A] 
(2.50+3.175)*3.85=21.849 [B] 
-1.00*2.10=-2.100 [C] 
-0.80*2.10*2=-3.360 [D] 
Celkem: 88.5+21.849+-2.1+-3.36=104.889 [E]</t>
  </si>
  <si>
    <t>Příčka ze sádrokartonových desek s nosnou konstrukcí z jednoduchých ocelových profilů UW, CW jednoduše opláštěná deskou standardní A tl. 12,5 mm, příčka tl. 125 mm, profil 100, s izolací, EI 30, Rw do 48 dB</t>
  </si>
  <si>
    <t>Příčka ze sádrokartonových desek s nosnou konstrukcí z jednoduchých ocelových profilů UW, CW jednoduše opláštěná deskou standardní A tl. 12,5 mm, příčka tl. 125</t>
  </si>
  <si>
    <t>763111316</t>
  </si>
  <si>
    <t>panel akustický skrytý nosný rastr bílá tl 20mm</t>
  </si>
  <si>
    <t>panel akustický povrch velice porézní skelná tkanina hrana zatřená skrytá ?w=0,90 skrytý rastr bílý tl 20mm</t>
  </si>
  <si>
    <t>59036035</t>
  </si>
  <si>
    <t>Konstrukce suché výstavby</t>
  </si>
  <si>
    <t>763</t>
  </si>
  <si>
    <t>Přesun hmot pro izolace tepelné stanovený zhmotnosti přesunovaného materiálu vodorovná dopravní vzdálenost do 50 m v objektech výšky přes 12 m do 24 m1. Ceny pro přesun hmot stanovený zhmotnosti přesunovaného materiálu se používají tehdy, pokud je možné určit hmotnost za celý stavební díl. Do této hmotnosti se započítává i hmotnost materiálů oceňovaných ve specifikaci.  
2. Pokud nelze jednoznačně stanovit hmotnost přesunovaných materiálů, lze pro výpočet přesunu hmot použít orientačně procentní sazbu. Touto sazbou se vynásobí rozpočtové náklady za celý stavební díl včetně nákladů na materiál ve specifikacích.  
3. Příplatek kcenám -3181 pro přesun prováděný bez použití mechanizace, tj. za ztížených podmínek, lze použít pouze pro hmotnost materiálu, která se tímto způsobem skutečně přemísťuje.</t>
  </si>
  <si>
    <t>Přesun hmot pro izolace tepelné stanovený z hmotnosti přesunovaného materiálu vodorovná dopravní vzdálenost do 50 m v objektech výšky přes 12 m do 24 m</t>
  </si>
  <si>
    <t>998713103</t>
  </si>
  <si>
    <t>Montáž tepelné izolace podlah rohožemi, pásy, deskami, dílci, bloky (izolační materiál ve specifikaci) kladenými volně jednovrstvá1. Množství tepelné izolace podlah okrajovými pásky k ceně -1211 se určuje v m projektované délky obložení (bez přesahů) na obvodu podlahy.</t>
  </si>
  <si>
    <t>1054.03+7.66+54.88=1 116.570 [A]</t>
  </si>
  <si>
    <t>Montáž tepelné izolace podlah rohožemi, pásy, deskami, dílci, bloky (izolační materiál ve specifikaci) kladenými volně jednovrstvá</t>
  </si>
  <si>
    <t>713121111</t>
  </si>
  <si>
    <t>deska XPS hrana polodrážková a hladký povrch 300kPA tl 80mm</t>
  </si>
  <si>
    <t>deska XPS hrana polodrážková a hladký povrch 300kPA ?=0,035 tl 80mm</t>
  </si>
  <si>
    <t>28376381</t>
  </si>
  <si>
    <t>Izolace tepelné</t>
  </si>
  <si>
    <t>713</t>
  </si>
  <si>
    <t>Přesun hmot pro izolace proti vodě, vlhkosti a plynům stanovený zhmotnosti přesunovaného materiálu vodorovná dopravní vzdálenost do 50 m v objektech výšky přes 12 do 60 m1. Ceny pro přesun hmot stanovený zhmotnosti přesunovaného materiálu se používají tehdy, pokud je možné určit hmotnost za celý stavební díl. Do této hmotnosti se započítává i hmotnost materiálů oceňovaných ve specifikaci.  
2. Pokud nelze jednoznačně stanovit hmotnost přesunovaných materiálů, lze pro výpočet přesunu hmot použít orientačně procentní sazbu. Touto sazbou se vynásobí rozpočtové náklady za celý stavební díl včetně nákladů na materiál ve specifikacích.  
3. Příplatek kcenám -1181 pro přesun prováděný bez použití mechanizace, tj. za ztížených podmínek, lze použít pouze pro hmotnost materiálu, která se tímto způsobem skutečně přemísťuje.</t>
  </si>
  <si>
    <t>Přesun hmot pro izolace proti vodě, vlhkosti a plynům stanovený z hmotnosti přesunovaného materiálu vodorovná dopravní vzdálenost do 50 m v objektech výšky přes 12 do 60 m</t>
  </si>
  <si>
    <t>Přesun hmot pro izolace proti vodě, vlhkosti a plynům stanovený z hmotnosti přesunovaného materiálu vodorovná dopravní vzdálenost do 50 m v objektech výšky přes</t>
  </si>
  <si>
    <t>998711103</t>
  </si>
  <si>
    <t>Provedení izolace proti zemní vlhkosti pásy přitavením NAIP na ploše svislé S1. Izolace plochy jednotlivě do 10 m2 se oceňují skladebně cenou příslušné izolace a cenou 711 19-9097 Příplatek za plochu do 10 m2.</t>
  </si>
  <si>
    <t>2*(64.90+2.00)*2*1.40=374.640 [A]</t>
  </si>
  <si>
    <t>Provedení izolace proti zemní vlhkosti pásy přitavením NAIP na ploše svislé S</t>
  </si>
  <si>
    <t>711142559</t>
  </si>
  <si>
    <t>Provedení izolace proti zemní vlhkosti pásy přitavením NAIP na ploše vodorovné V1. Izolace plochy jednotlivě do 10 m2 se oceňují skladebně cenou příslušné izolace a cenou 711 19-9097 Příplatek za plochu do 10 m2.</t>
  </si>
  <si>
    <t>Provedení izolace proti zemní vlhkosti pásy přitavením NAIP na ploše vodorovné V</t>
  </si>
  <si>
    <t>711141559</t>
  </si>
  <si>
    <t>Provedení izolace proti zemní vlhkosti natěradly a tmely za studena na ploše svislé S nátěrem penetračním1. Izolace plochy jednotlivě do 10 m2 se oceňují skladebně cenou příslušné izolace a cenou 711 19-9095 Příplatek za plochu do 10 m2.</t>
  </si>
  <si>
    <t>Provedení izolace proti zemní vlhkosti natěradly a tmely za studena na ploše svislé S nátěrem penetračním</t>
  </si>
  <si>
    <t>711112001</t>
  </si>
  <si>
    <t>Provedení izolace proti zemní vlhkosti natěradly a tmely za studena na ploše vodorovné V nátěrem penetračním1. Izolace plochy jednotlivě do 10 m2 se oceňují skladebně cenou příslušné izolace a cenou 711 19-9095 Příplatek za plochu do 10 m2.</t>
  </si>
  <si>
    <t>Provedení izolace proti zemní vlhkosti natěradly a tmely za studena na ploše vodorovné V nátěrem penetračním</t>
  </si>
  <si>
    <t>711111001</t>
  </si>
  <si>
    <t>pás asfaltový natavitelný modifikovaný SBS tl 4,0mm s vložkou ze skleněné tkaniny a spalitelnou PE fólií nebo jemnozrnným minerálním posypem na horním povrchu</t>
  </si>
  <si>
    <t>pás asfaltový natavitelný modifikovaný SBS s vložkou ze skleněné tkaniny a spalitelnou PE fólií nebo jemnozrnným minerálním posypem na horním povrchu tl 4,0mm</t>
  </si>
  <si>
    <t>62853004</t>
  </si>
  <si>
    <t>lak penetrační asfaltový</t>
  </si>
  <si>
    <t>11163150</t>
  </si>
  <si>
    <t>Izolace proti vodě, vlhkosti a plynům</t>
  </si>
  <si>
    <t>711</t>
  </si>
  <si>
    <t>Separační vrstva koddělení podlahových vrstev zpolyetylénové fólie</t>
  </si>
  <si>
    <t>Separační vrstva k oddělení podlahových vrstev z polyetylénové fólie</t>
  </si>
  <si>
    <t>632481213</t>
  </si>
  <si>
    <t>Potěr cementový samonivelační litý Příplatek k cenám za každých dalších i započatých 5 mm tloušťky přes 50 mm tř. C 30</t>
  </si>
  <si>
    <t>7.66+54.88=62.540 [A] 
1054.03*4=4 216.120 [B] 
Celkem: 62.54+4216.12=4 278.660 [C]</t>
  </si>
  <si>
    <t>632451293</t>
  </si>
  <si>
    <t>Potěr cementový samonivelační litý tř. C 30, tl. přes 45 do 50 mm</t>
  </si>
  <si>
    <t>632451254</t>
  </si>
  <si>
    <t>Podlahy a podlahové konstrukce</t>
  </si>
  <si>
    <t>žlab kabelový betonový vnitřní rozměr 24x24cmSpecifikace daná touto položkou představuje souhrn technických charakteristik stavebních prací, dodávek a služeb obsažených v projektové dokumentaci stavby nezbytných k úplné realizaci stavebního díla. Zahrnuje veškeré náklady spojené s objednatelem požadovanými pracemi, dodávkami a službami.</t>
  </si>
  <si>
    <t>žlab kabelový betonový vnitřní rozměr 24x24cm</t>
  </si>
  <si>
    <t>R.pol.01-592</t>
  </si>
  <si>
    <t>poklop kabelového žlabu betonový 500x310x55mm</t>
  </si>
  <si>
    <t>59213355</t>
  </si>
  <si>
    <t>Osazení kabelových kanálů včetně utěsnění, vyspárování a zakrytí víkem zprefabrikovaných betonových žlabů do rýhy, bez výkopových prací vnější šířky přes 25 do 35 cm1. Vcenách nejsou započteny náklady na dodávku žlabů a vík. Tato dodávka se oceňuje ve specifikaci.</t>
  </si>
  <si>
    <t>2*48.40+2.30+2.00=101.100 [A]</t>
  </si>
  <si>
    <t>Osazení kabelových kanálů včetně utěsnění, vyspárování a zakrytí víkem z prefabrikovaných betonových žlabů do rýhy, bez výkopových prací vnější šířky přes 25 do 35 cm</t>
  </si>
  <si>
    <t>Osazení kabelových kanálů včetně utěsnění, vyspárování a zakrytí víkem z prefabrikovaných betonových žlabů do rýhy, bez výkopových prací vnější šířky přes 25 do</t>
  </si>
  <si>
    <t>460751113</t>
  </si>
  <si>
    <t>Bednění stupňů betonovaných na podstupňové desce nebo na terénu půdorysně přímočarých odstranění1. Množství měrných jednotek bednění stupňů se určuje v m2 plochy stupnic a podstupnic.</t>
  </si>
  <si>
    <t>Bednění stupňů betonovaných na podstupňové desce nebo na terénu půdorysně přímočarých odstranění</t>
  </si>
  <si>
    <t>434351142</t>
  </si>
  <si>
    <t>Bednění stupňů betonovaných na podstupňové desce nebo na terénu půdorysně přímočarých zřízení1. Množství měrných jednotek bednění stupňů se určuje v m2 plochy stupnic a podstupnic.</t>
  </si>
  <si>
    <t>'schodiště v jámě plně vybetonované' 
''2x schodiště ' 
2*5*0.90*0.186=1.674 [A] 
2*0.90*0.170=0.306 [B] 
Mezisoučet: 1.674+0.306=1.980 [C] 
''2x schodiště u zarážedla' 
2*5*0.90*0.186=1.674 [D] 
2*0.90*0.170=0.306 [E] 
Mezisoučet: 1.674+0.306=1.980 [F] 
Celkem: 1.674+0.306+1.674+0.306=3.960 [G]</t>
  </si>
  <si>
    <t>Bednění stupňů betonovaných na podstupňové desce nebo na terénu půdorysně přímočarých zřízení</t>
  </si>
  <si>
    <t>434351141</t>
  </si>
  <si>
    <t>Schodišťové konstrukce a rampy z betonu železového (bez výztuže) stupně, schodnice, ramena, podesty snosníky tř. C 25/30</t>
  </si>
  <si>
    <t>'schodiště v jámě plně vybetonované' 
''2x schodiště ' 
2*1.56*0.90*0.186=0.522 [A] 
2*1.30*0.90*0.186=0.435 [B] 
2*1.04*0.90*0.186=0.348 [C] 
2*0.78*0.90*0.186=0.261 [D] 
2*0.52*0.90*0.186=0.174 [E] 
2*0.25*0.90*0.170=0.077 [F] 
Mezisoučet: 0.522+0.435+0.348+0.261+0.174+0.077=1.817 [G] 
''2x schodiště u zarážedla' 
2*2.41*0.90*0.186=0.807 [H] 
2*2.15*0.90*0.186=0.720 [I] 
2*1.89*0.90*0.186=0.633 [J] 
2*1.63*0.90*0.186=0.546 [K] 
2*1.370*0.90*0.186=0.459 [L] 
2*1.11*0.90*0.17=0.340 [M] 
Mezisoučet: 0.807+0.72+0.633+0.546+0.459+0.34=3.505 [N] 
Celkem: 0.522+0.435+0.348+0.261+0.174+0.077+0.807+0.72+0.633+0.546+0.459+0.34=5.322 [O]</t>
  </si>
  <si>
    <t>Schodišťové konstrukce a rampy z betonu železového (bez výztuže) stupně, schodnice, ramena, podesty s nosníky tř. C 25/30</t>
  </si>
  <si>
    <t>430321414</t>
  </si>
  <si>
    <t>'základové patky pod  Z 08' 
2*4*0.40*4*1.00=12.800 [A]</t>
  </si>
  <si>
    <t>'základové patky pod  Z 08' 
2*4*0.40*0.40*1.00=1.280 [A]</t>
  </si>
  <si>
    <t>Základy z betonu prostého desky z betonu kamenem neprokládaného tř. C 12/151. V ceně příplatku -5911 jsou započteny náklady na technologické opatření a na ztíženou betonáž pod hladinou pažící bentonitové suspenze a na průběžné odčerpání suspenze s přepouštěním na určené místo do 20 m, popř. do vany nebo do kalové cisterny k odvozu. Odvoz se oceňuje cenami katalogu 800-2 Zvláštní zakládání objektů.  
2. Hloubení s použitím bentonitové suspenze se oceňuje katalogem 800-1 Zemní práce. Bednění se neoceňuje.</t>
  </si>
  <si>
    <t>'Podkladní beton' 
1132.00*0.05=56.600 [A] 
Celkem: 56.6=56.600 [B]</t>
  </si>
  <si>
    <t>Základy z betonu prostého desky z betonu kamenem neprokládaného tř. C 12/15</t>
  </si>
  <si>
    <t>273313511</t>
  </si>
  <si>
    <t>Polštáře zhutněné pod základy z kameniva hrubého drceného, frakce 16 - 63 mm1. Ceny jsou určeny pro jakoukoliv míru zhutnění.  
2. V cenách jsou započteny i náklady na urovnání povrchu polštáře.</t>
  </si>
  <si>
    <t>'skl.P1 až P3' 
1172.30*0.30=351.690 [A]</t>
  </si>
  <si>
    <t>Polštáře zhutněné pod základy z kameniva hrubého drceného, frakce 16 - 63 mm</t>
  </si>
  <si>
    <t>213311113</t>
  </si>
  <si>
    <t>ZÁSYP JAM A RÝH Z NAKUPOVANÝCH MATERIÁLŮ, včetně dodávky vhodného materiálu, veškeré dopravy, hutnění, uložení - komletní dodávka a práce</t>
  </si>
  <si>
    <t>'ZÁSYP JAM A RÝH Z NAKUPOVANÝCH MATERIÁLŮ, včetně dodávky vhodného materiálu, veškeré dopravy, hutnění, uložení - komletní dodávka a práce 
7.96*58.55=466.058 [A] 
(36.00+3.00+2*5.00)*1.50/0.40/2=91.875 [B] 
(65.20+3.00+2*15.00+29.20)*1.50*0.20/2=19.110 [C] 
Celkem: 466.058+91.875+19.11=577.043 [D]</t>
  </si>
  <si>
    <t>R17481</t>
  </si>
  <si>
    <t>Zhutnění podloží pod násypy z rostlé horniny třídy těžitelnosti I a II, skupiny 1 až 4 zhornin soudružných a nesoudržných1. Cena je určena pro zhutnění ploch vodorovných nebo ve sklonu do 1 : 5, je-li předepsáno zhutnění do hloubky 0,7 m od pláně.  
2. Cenu nelze použít pro zhutnění podloží z hornin konzistence kašovité až tekoucí.  
3. Množství jednotek se určí v m2 půdorysné plochy zhutněného podloží.</t>
  </si>
  <si>
    <t>'skl.P1 až P3' 
1132.00=1 132.000 [A]</t>
  </si>
  <si>
    <t>Zhutnění podloží pod násypy z rostlé horniny třídy těžitelnosti I a II, skupiny 1 až 4 z hornin soudružných a nesoudržných</t>
  </si>
  <si>
    <t>171152501</t>
  </si>
  <si>
    <t>2459.858+16.864+70.725=2 547.447 [A]</t>
  </si>
  <si>
    <t>Hloubení nezapažených šachet strojně v hornině třídy těžitelnosti I skupiny 3 přes 50 do 100 m3</t>
  </si>
  <si>
    <t>-0.705/-1.405=0.502 [A] 
7*1.25*1.25*0.70=7.656 [B] 
-2.150/-2.350=0.915 [C] 
2*10*2.50*0.90*0.20=9.000 [D] 
'' hl.650' 
2*12*1.10*1.50*0.65=25.740 [E] 
''hl.700mm' 
2*1.60*1.10*0.70=2.464 [F] 
2*1.25*1.25*0.70=2.188 [G] 
6*1.60*1.60*0.70=10.752 [H] 
''hl.250' 
2*10*2.35*1.10*0.25=12.925 [I] 
Celkem: 7.656+9+25.74+2.464+2.188+10.752+12.925=70.725 [J]</t>
  </si>
  <si>
    <t>133251103</t>
  </si>
  <si>
    <t>Hloubení nezapažených rýh šířky do 800 mm strojně s urovnáním dna do předepsaného profilu a spádu v hornině třídy těžitelnosti I skupiny 3 přes 20 do 50 m3</t>
  </si>
  <si>
    <t>-0.705/-1.105   =0.638 [A] 
(4.375*2+4.20+1.05*2+2.25*2+4.90*6+1.65*2+3.70)*0.40*0.40=8.952 [B] 
(4.20+1.05*2+2.25*2+4.90*6+1.65*2+3.70+2*1.125)*0.40*0.40=7.912 [C] 
Celkem: 8.952+7.912=16.864 [D]</t>
  </si>
  <si>
    <t>132251102</t>
  </si>
  <si>
    <t>Hloubení nezapažených jam a zářezů strojně s urovnáním dna do předepsaného profilu a spádu v hornině třídy těžitelnosti I skupiny 3 přes 1 000 do 5 000 m3</t>
  </si>
  <si>
    <t>'Figura 1 +0,045 až  +0,190 až  +0,550 / -0,705' 
1403.30*0.967=1 356.991 [A] 
124.85*0.967/2=60.365 [B] 
'' Figura 2 -0,705/-2,150' 
10.205*61.15*1.445=901.732 [C] 
2*62.30*1.445*1.445/2=130.084 [D] 
10.20*1.45*1.445/2=10.686 [E] 
Celkem: 1356.991+60.365+901.732+130.084+10.686=2 459.858 [F]</t>
  </si>
  <si>
    <t>131251106</t>
  </si>
  <si>
    <t>Stavební část</t>
  </si>
  <si>
    <t>01.1</t>
  </si>
  <si>
    <t>Novostavba haly diagnostiky vozidel</t>
  </si>
  <si>
    <t>SO 11-61-01</t>
  </si>
  <si>
    <t>O1</t>
  </si>
  <si>
    <t>Počet položek s nulovou cenou</t>
  </si>
  <si>
    <t>Celkem</t>
  </si>
  <si>
    <t>Jednotková</t>
  </si>
  <si>
    <t>Dodávka</t>
  </si>
  <si>
    <t>21,00</t>
  </si>
  <si>
    <t>Cenové soustavy</t>
  </si>
  <si>
    <t>Jednotková cena</t>
  </si>
  <si>
    <t>Celková hmotnost</t>
  </si>
  <si>
    <t>Jednotková hmotnost</t>
  </si>
  <si>
    <t>Množství</t>
  </si>
  <si>
    <t>Název položky</t>
  </si>
  <si>
    <t>Varianta</t>
  </si>
  <si>
    <t>Kód položky</t>
  </si>
  <si>
    <t>Poř. číslo</t>
  </si>
  <si>
    <t>Typ</t>
  </si>
  <si>
    <t>15,00</t>
  </si>
  <si>
    <t>Pozemní objekty budov</t>
  </si>
  <si>
    <t>E.2.1</t>
  </si>
  <si>
    <t>Objekt:</t>
  </si>
  <si>
    <t>O</t>
  </si>
  <si>
    <t>0,00</t>
  </si>
  <si>
    <t>Aspe</t>
  </si>
  <si>
    <t>VÝSTAVBA HALY PRO MĚŘÍCÍ VOZY PEVNÝCH TRAKČNÍCH ZAŘÍZENÍ - BOHUMÍN</t>
  </si>
  <si>
    <t>5813520029-zm00</t>
  </si>
  <si>
    <t xml:space="preserve">Stavba: </t>
  </si>
  <si>
    <t>S</t>
  </si>
  <si>
    <t>Soupis prací objektu</t>
  </si>
  <si>
    <t>SŽDC05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</si>
</sst>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6" x14ac:knownFonts="1">
    <font>
      <sz val="10"/>
      <name val="Arial"/>
      <family val="2"/>
      <charset val="238"/>
    </font>
    <font>
      <sz val="10"/>
      <name val="Arial"/>
      <family val="2"/>
      <charset val="238"/>
    </font>
    <font>
      <i/>
      <sz val="10"/>
      <name val="Arial"/>
      <family val="2"/>
      <charset val="238"/>
    </font>
    <font>
      <b/>
      <sz val="10"/>
      <name val="Arial"/>
      <family val="2"/>
      <charset val="238"/>
    </font>
    <font>
      <b/>
      <sz val="11"/>
      <name val="Arial"/>
      <family val="2"/>
      <charset val="238"/>
    </font>
    <font>
      <b/>
      <sz val="16"/>
      <color rgb="FFFFFFFF"/>
      <name val="Arial"/>
      <family val="2"/>
      <charset val="238"/>
    </font>
  </fonts>
  <fills count="6">
    <fill>
      <patternFill patternType="none"/>
    </fill>
    <fill>
      <patternFill patternType="gray125"/>
    </fill>
    <fill>
      <patternFill patternType="solid">
        <fgColor rgb="FFADD8E6"/>
        <bgColor indexed="64"/>
      </patternFill>
    </fill>
    <fill>
      <patternFill patternType="solid">
        <fgColor rgb="FFD3D3D3"/>
        <bgColor indexed="64"/>
      </patternFill>
    </fill>
    <fill>
      <patternFill patternType="solid">
        <fgColor rgb="FFFFA500"/>
        <bgColor indexed="64"/>
      </patternFill>
    </fill>
    <fill>
      <patternFill patternType="solid">
        <fgColor rgb="FFFF5200"/>
        <bgColor indexed="64"/>
      </patternFill>
    </fill>
  </fills>
  <borders count="5">
    <border>
      <left/>
      <right/>
      <top/>
      <bottom/>
      <diagonal/>
    </border>
    <border>
      <left/>
      <right/>
      <top style="thin">
        <color auto="1"/>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bottom/>
      <diagonal/>
    </border>
  </borders>
  <cellStyleXfs count="2">
    <xf numFmtId="0" fontId="0" fillId="0" borderId="0"/>
    <xf numFmtId="0" fontId="1" fillId="0" borderId="0"/>
  </cellStyleXfs>
  <cellXfs count="33">
    <xf numFmtId="0" fontId="0" fillId="0" borderId="0" xfId="0"/>
    <xf numFmtId="0" fontId="0" fillId="0" borderId="0" xfId="1" applyFont="1" applyAlignment="1">
      <alignment horizontal="left" vertical="center" wrapText="1"/>
    </xf>
    <xf numFmtId="0" fontId="2" fillId="0" borderId="0" xfId="1" applyFont="1" applyAlignment="1">
      <alignment horizontal="left" vertical="center" wrapText="1"/>
    </xf>
    <xf numFmtId="0" fontId="0" fillId="0" borderId="0" xfId="1" applyFont="1" applyAlignment="1">
      <alignment vertical="top"/>
    </xf>
    <xf numFmtId="0" fontId="0" fillId="0" borderId="0" xfId="1" applyFont="1" applyAlignment="1">
      <alignment horizontal="center" vertical="top"/>
    </xf>
    <xf numFmtId="4" fontId="0" fillId="0" borderId="0" xfId="1" applyNumberFormat="1" applyFont="1" applyAlignment="1">
      <alignment horizontal="center" vertical="top"/>
    </xf>
    <xf numFmtId="4" fontId="0" fillId="2" borderId="0" xfId="1" applyNumberFormat="1" applyFont="1" applyFill="1" applyAlignment="1" applyProtection="1">
      <alignment horizontal="center" vertical="top"/>
      <protection locked="0"/>
    </xf>
    <xf numFmtId="164" fontId="0" fillId="0" borderId="0" xfId="1" applyNumberFormat="1" applyFont="1" applyAlignment="1">
      <alignment horizontal="center" vertical="top"/>
    </xf>
    <xf numFmtId="0" fontId="0" fillId="0" borderId="0" xfId="1" applyFont="1" applyAlignment="1">
      <alignment vertical="center" wrapText="1"/>
    </xf>
    <xf numFmtId="0" fontId="0" fillId="0" borderId="0" xfId="1" applyFont="1" applyAlignment="1">
      <alignment horizontal="right" vertical="top"/>
    </xf>
    <xf numFmtId="0" fontId="3" fillId="0" borderId="0" xfId="1" applyFont="1" applyAlignment="1">
      <alignment wrapText="1"/>
    </xf>
    <xf numFmtId="0" fontId="3" fillId="0" borderId="0" xfId="1" applyFont="1" applyAlignment="1">
      <alignment horizontal="right" vertical="top"/>
    </xf>
    <xf numFmtId="0" fontId="2" fillId="0" borderId="0" xfId="1" quotePrefix="1" applyFont="1" applyAlignment="1">
      <alignment horizontal="left" vertical="center" wrapText="1"/>
    </xf>
    <xf numFmtId="4" fontId="0" fillId="0" borderId="1" xfId="1" applyNumberFormat="1" applyFont="1" applyBorder="1" applyAlignment="1">
      <alignment horizontal="center" vertical="top"/>
    </xf>
    <xf numFmtId="0" fontId="3" fillId="0" borderId="1" xfId="1" applyFont="1" applyBorder="1" applyAlignment="1">
      <alignment wrapText="1"/>
    </xf>
    <xf numFmtId="0" fontId="3" fillId="0" borderId="1" xfId="1" applyFont="1" applyBorder="1" applyAlignment="1">
      <alignment horizontal="right" vertical="top"/>
    </xf>
    <xf numFmtId="0" fontId="0" fillId="3" borderId="2" xfId="1" applyFont="1" applyFill="1" applyBorder="1" applyAlignment="1">
      <alignment horizontal="center" vertical="center" wrapText="1"/>
    </xf>
    <xf numFmtId="0" fontId="0" fillId="3" borderId="2" xfId="1" applyFont="1" applyFill="1" applyBorder="1" applyAlignment="1">
      <alignment horizontal="center" vertical="center" wrapText="1"/>
    </xf>
    <xf numFmtId="0" fontId="0" fillId="0" borderId="0" xfId="0"/>
    <xf numFmtId="0" fontId="4" fillId="0" borderId="3" xfId="1" applyFont="1" applyBorder="1" applyAlignment="1">
      <alignment vertical="center" wrapText="1"/>
    </xf>
    <xf numFmtId="0" fontId="4" fillId="0" borderId="0" xfId="1" applyFont="1" applyAlignment="1">
      <alignment horizontal="right" vertical="center"/>
    </xf>
    <xf numFmtId="0" fontId="4" fillId="0" borderId="3" xfId="1" applyFont="1" applyBorder="1" applyAlignment="1">
      <alignment vertical="center"/>
    </xf>
    <xf numFmtId="0" fontId="0" fillId="4" borderId="3" xfId="1" applyFont="1" applyFill="1" applyBorder="1"/>
    <xf numFmtId="0" fontId="3" fillId="0" borderId="4" xfId="1" applyFont="1" applyBorder="1" applyAlignment="1">
      <alignment horizontal="center" vertical="center"/>
    </xf>
    <xf numFmtId="4" fontId="0" fillId="0" borderId="2" xfId="1" applyNumberFormat="1" applyFont="1" applyBorder="1" applyAlignment="1">
      <alignment horizontal="center" vertical="center"/>
    </xf>
    <xf numFmtId="0" fontId="0" fillId="0" borderId="2" xfId="1" applyFont="1" applyBorder="1" applyAlignment="1">
      <alignment horizontal="center" vertical="center"/>
    </xf>
    <xf numFmtId="0" fontId="4" fillId="0" borderId="0" xfId="1" applyFont="1" applyAlignment="1">
      <alignment vertical="center" wrapText="1"/>
    </xf>
    <xf numFmtId="0" fontId="4" fillId="0" borderId="0" xfId="1" applyFont="1" applyAlignment="1">
      <alignment vertical="center"/>
    </xf>
    <xf numFmtId="0" fontId="0" fillId="4" borderId="0" xfId="1" applyFont="1" applyFill="1"/>
    <xf numFmtId="0" fontId="0" fillId="5" borderId="0" xfId="1" applyFont="1" applyFill="1"/>
    <xf numFmtId="0" fontId="0" fillId="5" borderId="3" xfId="1" applyFont="1" applyFill="1" applyBorder="1"/>
    <xf numFmtId="0" fontId="0" fillId="5" borderId="0" xfId="1" applyFont="1" applyFill="1"/>
    <xf numFmtId="0" fontId="5" fillId="5" borderId="0" xfId="1" applyFont="1" applyFill="1" applyAlignment="1">
      <alignment horizontal="center" vertical="center"/>
    </xf>
  </cellXfs>
  <cellStyles count="2">
    <cellStyle name="Normal" xfId="1" xr:uid="{BA71E311-3A55-49D7-96D8-3E5A5AC7DD45}"/>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13</xdr:col>
      <xdr:colOff>228600</xdr:colOff>
      <xdr:row>2</xdr:row>
      <xdr:rowOff>123825</xdr:rowOff>
    </xdr:from>
    <xdr:to>
      <xdr:col>13</xdr:col>
      <xdr:colOff>381000</xdr:colOff>
      <xdr:row>2</xdr:row>
      <xdr:rowOff>266700</xdr:rowOff>
    </xdr:to>
    <xdr:pic>
      <xdr:nvPicPr>
        <xdr:cNvPr id="2" name="Picture 1">
          <a:extLst>
            <a:ext uri="{FF2B5EF4-FFF2-40B4-BE49-F238E27FC236}">
              <a16:creationId xmlns:a16="http://schemas.microsoft.com/office/drawing/2014/main" id="{E6C53255-D5A7-48BE-9F6D-AA2135E81C14}"/>
            </a:ext>
          </a:extLst>
        </xdr:cNvPr>
        <xdr:cNvPicPr>
          <a:picLocks noChangeAspect="1"/>
        </xdr:cNvPicPr>
      </xdr:nvPicPr>
      <xdr:blipFill>
        <a:blip xmlns:r="http://schemas.openxmlformats.org/officeDocument/2006/relationships" r:embed="rId1"/>
        <a:stretch>
          <a:fillRect/>
        </a:stretch>
      </xdr:blipFill>
      <xdr:spPr>
        <a:xfrm>
          <a:off x="8401050" y="468630"/>
          <a:ext cx="152400" cy="45720"/>
        </a:xfrm>
        <a:prstGeom prst="rect">
          <a:avLst/>
        </a:prstGeom>
        <a:noFill/>
        <a:ln w="9525" cmpd="sng">
          <a:noFill/>
        </a:ln>
      </xdr:spPr>
    </xdr:pic>
    <xdr:clientData/>
  </xdr:twoCellAnchor>
  <xdr:twoCellAnchor>
    <xdr:from>
      <xdr:col>2</xdr:col>
      <xdr:colOff>0</xdr:colOff>
      <xdr:row>0</xdr:row>
      <xdr:rowOff>0</xdr:rowOff>
    </xdr:from>
    <xdr:to>
      <xdr:col>3</xdr:col>
      <xdr:colOff>0</xdr:colOff>
      <xdr:row>2</xdr:row>
      <xdr:rowOff>0</xdr:rowOff>
    </xdr:to>
    <xdr:pic>
      <xdr:nvPicPr>
        <xdr:cNvPr id="3" name="Picture 2">
          <a:extLst>
            <a:ext uri="{FF2B5EF4-FFF2-40B4-BE49-F238E27FC236}">
              <a16:creationId xmlns:a16="http://schemas.microsoft.com/office/drawing/2014/main" id="{C967448E-3F0A-433B-AC3E-E1C963C8AE3D}"/>
            </a:ext>
          </a:extLst>
        </xdr:cNvPr>
        <xdr:cNvPicPr>
          <a:picLocks noChangeAspect="1"/>
        </xdr:cNvPicPr>
      </xdr:nvPicPr>
      <xdr:blipFill>
        <a:blip xmlns:r="http://schemas.openxmlformats.org/officeDocument/2006/relationships" r:embed="rId2"/>
        <a:stretch>
          <a:fillRect/>
        </a:stretch>
      </xdr:blipFill>
      <xdr:spPr>
        <a:xfrm>
          <a:off x="1257300" y="0"/>
          <a:ext cx="628650" cy="342900"/>
        </a:xfrm>
        <a:prstGeom prst="rect">
          <a:avLst/>
        </a:prstGeom>
        <a:noFill/>
        <a:ln w="9525" cmpd="sng">
          <a:noFill/>
        </a:ln>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ZD%20bez%20&#269;&#225;sti%203-PDPS/4_SOUPIS%20PRAC&#205;%20S%20V&#221;KAZEM%20V&#221;M&#282;R/XLS_hala_Bohumin_zm00_20231204.xlsx" TargetMode="External"/><Relationship Id="rId2" Type="http://schemas.openxmlformats.org/officeDocument/2006/relationships/externalLinkPath" Target="file:///C:\Users\prokopovo\Downloads\ZD%20bez%20&#269;&#225;sti%203-PDPS\4_SOUPIS%20PRAC&#205;%20S%20V&#221;KAZEM%20V&#221;M&#282;R\XLS_hala_Bohumin_zm00_20231204.xlsx" TargetMode="External"/><Relationship Id="rId1" Type="http://schemas.openxmlformats.org/officeDocument/2006/relationships/externalLinkPath" Target="/Users/prokopovo/Downloads/ZD%20bez%20&#269;&#225;sti%203-PDPS/4_SOUPIS%20PRAC&#205;%20S%20V&#221;KAZEM%20V&#221;M&#282;R/XLS_hala_Bohumin_zm00_20231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kapitulace"/>
      <sheetName val="PS 11-02-11"/>
      <sheetName val="PS 11-02-91"/>
      <sheetName val="PS 11-03-51"/>
      <sheetName val="PS 11-03-52"/>
      <sheetName val="PS 11-04-31"/>
      <sheetName val="PS 11-04-32"/>
      <sheetName val="SO 11-10-01"/>
      <sheetName val="SO 11-11-01"/>
      <sheetName val="SO 11-23-01.1"/>
      <sheetName val="SO 11-23-01.2"/>
      <sheetName val="SO 11-50-01"/>
      <sheetName val="SO 11-51-01"/>
      <sheetName val="SO 11-52-01"/>
      <sheetName val="SO 11-52-02"/>
      <sheetName val="SO 11-55-01"/>
      <sheetName val="SO 11-31-01"/>
      <sheetName val="SO 11-72-01"/>
      <sheetName val="SO 11-66-01"/>
      <sheetName val="SO 11-66-02"/>
      <sheetName val="SO 11-83-01"/>
      <sheetName val="SO 11-75-01"/>
      <sheetName val="SO 11-76-01"/>
      <sheetName val="SO 11-76-02"/>
      <sheetName val="SO 11-76-03"/>
      <sheetName val="SO 90-90"/>
      <sheetName val="SO 98-98"/>
    </sheetNames>
    <sheetDataSet>
      <sheetData sheetId="0">
        <row r="34">
          <cell r="C34">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 ??"/>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 ??"/>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E20C2-0A0E-42C3-975B-962E5DF69DC0}">
  <dimension ref="A1:T2611"/>
  <sheetViews>
    <sheetView tabSelected="1" workbookViewId="0">
      <pane ySplit="7" topLeftCell="A8" activePane="bottomLeft" state="frozen"/>
      <selection pane="bottomLeft" activeCell="A8" sqref="A8"/>
    </sheetView>
  </sheetViews>
  <sheetFormatPr defaultColWidth="9.109375" defaultRowHeight="12.75" customHeight="1" x14ac:dyDescent="0.25"/>
  <cols>
    <col min="1" max="1" width="9.109375" hidden="1" customWidth="1"/>
    <col min="2" max="2" width="11.6640625" customWidth="1"/>
    <col min="3" max="3" width="14.6640625" customWidth="1"/>
    <col min="4" max="4" width="9.6640625" customWidth="1"/>
    <col min="5" max="5" width="70.6640625" customWidth="1"/>
    <col min="6" max="6" width="11.6640625" customWidth="1"/>
    <col min="7" max="9" width="16.6640625" customWidth="1"/>
    <col min="10" max="11" width="9.109375" hidden="1" customWidth="1"/>
    <col min="12" max="14" width="16.6640625" customWidth="1"/>
    <col min="15" max="17" width="9.109375" hidden="1" customWidth="1"/>
    <col min="19" max="19" width="30.6640625" customWidth="1"/>
  </cols>
  <sheetData>
    <row r="1" spans="1:20" ht="34.950000000000003" customHeight="1" x14ac:dyDescent="0.25">
      <c r="A1" s="28" t="s">
        <v>1969</v>
      </c>
      <c r="B1" s="29"/>
      <c r="C1" s="18"/>
      <c r="D1" s="29"/>
      <c r="E1" s="32" t="s">
        <v>1968</v>
      </c>
      <c r="F1" s="29"/>
      <c r="G1" s="29"/>
      <c r="H1" s="29"/>
      <c r="I1" s="29"/>
      <c r="J1" s="29"/>
      <c r="K1" s="29"/>
      <c r="L1" s="29"/>
      <c r="M1" s="29"/>
      <c r="N1" s="29"/>
      <c r="P1" t="s">
        <v>43</v>
      </c>
    </row>
    <row r="2" spans="1:20" ht="19.95" customHeight="1" x14ac:dyDescent="0.25">
      <c r="A2" s="28"/>
      <c r="B2" s="29"/>
      <c r="C2" s="18"/>
      <c r="D2" s="29"/>
      <c r="E2" s="31"/>
      <c r="F2" s="29"/>
      <c r="G2" s="29"/>
      <c r="H2" s="29"/>
      <c r="I2" s="29"/>
      <c r="J2" s="29"/>
      <c r="K2" s="29"/>
      <c r="L2" s="30"/>
      <c r="M2" s="30"/>
      <c r="N2" s="29"/>
      <c r="P2" t="s">
        <v>33</v>
      </c>
    </row>
    <row r="3" spans="1:20" ht="31.95" customHeight="1" x14ac:dyDescent="0.25">
      <c r="A3" s="28" t="s">
        <v>1967</v>
      </c>
      <c r="B3" s="27" t="s">
        <v>1966</v>
      </c>
      <c r="C3" s="20" t="s">
        <v>1965</v>
      </c>
      <c r="D3" s="18"/>
      <c r="E3" s="26" t="s">
        <v>1964</v>
      </c>
      <c r="F3" s="18"/>
      <c r="G3" s="18"/>
      <c r="H3" s="18"/>
      <c r="L3" s="25" t="s">
        <v>1959</v>
      </c>
      <c r="M3" s="24">
        <f>[1]Rekapitulace!C34</f>
        <v>0</v>
      </c>
      <c r="N3" s="23" t="s">
        <v>1963</v>
      </c>
      <c r="O3" t="s">
        <v>1962</v>
      </c>
      <c r="P3" t="s">
        <v>6</v>
      </c>
    </row>
    <row r="4" spans="1:20" ht="31.95" customHeight="1" x14ac:dyDescent="0.25">
      <c r="A4" s="22" t="s">
        <v>1961</v>
      </c>
      <c r="B4" s="21" t="s">
        <v>1960</v>
      </c>
      <c r="C4" s="20" t="s">
        <v>1959</v>
      </c>
      <c r="D4" s="18"/>
      <c r="E4" s="19" t="s">
        <v>1958</v>
      </c>
      <c r="F4" s="18"/>
      <c r="G4" s="18"/>
      <c r="H4" s="18"/>
      <c r="O4" t="s">
        <v>1957</v>
      </c>
      <c r="P4" t="s">
        <v>6</v>
      </c>
    </row>
    <row r="5" spans="1:20" ht="12.75" customHeight="1" x14ac:dyDescent="0.25">
      <c r="A5" s="16" t="s">
        <v>1956</v>
      </c>
      <c r="B5" s="16" t="s">
        <v>1955</v>
      </c>
      <c r="C5" s="16" t="s">
        <v>1954</v>
      </c>
      <c r="D5" s="16" t="s">
        <v>1953</v>
      </c>
      <c r="E5" s="16" t="s">
        <v>1952</v>
      </c>
      <c r="F5" s="16" t="s">
        <v>89</v>
      </c>
      <c r="G5" s="16" t="s">
        <v>1951</v>
      </c>
      <c r="H5" s="16" t="s">
        <v>1950</v>
      </c>
      <c r="I5" s="16" t="s">
        <v>1949</v>
      </c>
      <c r="J5" s="17"/>
      <c r="K5" s="17"/>
      <c r="L5" s="16" t="s">
        <v>1948</v>
      </c>
      <c r="M5" s="16"/>
      <c r="N5" s="16" t="s">
        <v>1947</v>
      </c>
      <c r="O5" t="s">
        <v>1946</v>
      </c>
      <c r="P5" t="s">
        <v>6</v>
      </c>
    </row>
    <row r="6" spans="1:20" ht="12.75" customHeight="1" x14ac:dyDescent="0.25">
      <c r="A6" s="16"/>
      <c r="B6" s="16"/>
      <c r="C6" s="16"/>
      <c r="D6" s="16"/>
      <c r="E6" s="16"/>
      <c r="F6" s="16"/>
      <c r="G6" s="16"/>
      <c r="H6" s="16"/>
      <c r="I6" s="16"/>
      <c r="J6" s="16" t="s">
        <v>1945</v>
      </c>
      <c r="K6" s="16"/>
      <c r="L6" s="16"/>
      <c r="M6" s="16"/>
      <c r="N6" s="16"/>
    </row>
    <row r="7" spans="1:20" ht="12.75" customHeight="1" x14ac:dyDescent="0.25">
      <c r="A7" s="16"/>
      <c r="B7" s="16"/>
      <c r="C7" s="16"/>
      <c r="D7" s="16"/>
      <c r="E7" s="16"/>
      <c r="F7" s="16"/>
      <c r="G7" s="16"/>
      <c r="H7" s="16"/>
      <c r="I7" s="16"/>
      <c r="J7" s="17" t="s">
        <v>1944</v>
      </c>
      <c r="K7" s="17" t="s">
        <v>1943</v>
      </c>
      <c r="L7" s="17" t="s">
        <v>1944</v>
      </c>
      <c r="M7" s="17" t="s">
        <v>1943</v>
      </c>
      <c r="N7" s="16"/>
      <c r="S7" t="s">
        <v>1942</v>
      </c>
      <c r="T7">
        <f>COUNTIFS(L8:L2608,"=0",A8:A2608,"P")+COUNTIFS(L8:L2608,"",A8:A2608,"P")+SUM(Q8:Q2608)</f>
        <v>634</v>
      </c>
    </row>
    <row r="8" spans="1:20" ht="13.2" x14ac:dyDescent="0.25">
      <c r="A8" t="s">
        <v>1941</v>
      </c>
      <c r="C8" s="15" t="s">
        <v>1940</v>
      </c>
      <c r="E8" s="14" t="s">
        <v>1939</v>
      </c>
      <c r="J8" s="13">
        <f>0+J9</f>
        <v>0</v>
      </c>
      <c r="K8" s="13">
        <f>0+K9</f>
        <v>0</v>
      </c>
      <c r="L8" s="13">
        <f>0+L9</f>
        <v>0</v>
      </c>
      <c r="M8" s="13">
        <f>0+M9</f>
        <v>0</v>
      </c>
    </row>
    <row r="9" spans="1:20" ht="13.2" x14ac:dyDescent="0.25">
      <c r="A9" t="s">
        <v>53</v>
      </c>
      <c r="C9" s="11" t="s">
        <v>1938</v>
      </c>
      <c r="E9" s="10" t="s">
        <v>1937</v>
      </c>
      <c r="J9" s="5">
        <f>0+J10+J35+J56+J69+J82+J95+J132+J145+J206+J311+J344+J613+J654+J675+J704+J729+J758+J779+J784</f>
        <v>0</v>
      </c>
      <c r="K9" s="5">
        <f>0+K10+K35+K56+K69+K82+K95+K132+K145+K206+K311+K344+K613+K654+K675+K704+K729+K758+K779+K784</f>
        <v>0</v>
      </c>
      <c r="L9" s="5">
        <f>0+L10+L35+L56+L69+L82+L95+L132+L145+L206+L311+L344+L613+L654+L675+L704+L729+L758+L779+L784</f>
        <v>0</v>
      </c>
      <c r="M9" s="5">
        <f>0+M10+M35+M56+M69+M82+M95+M132+M145+M206+M311+M344+M613+M654+M675+M704+M729+M758+M779+M784</f>
        <v>0</v>
      </c>
    </row>
    <row r="10" spans="1:20" ht="13.2" x14ac:dyDescent="0.25">
      <c r="A10" t="s">
        <v>50</v>
      </c>
      <c r="C10" s="11" t="s">
        <v>48</v>
      </c>
      <c r="E10" s="10" t="s">
        <v>49</v>
      </c>
      <c r="J10" s="5">
        <f>0</f>
        <v>0</v>
      </c>
      <c r="K10" s="5">
        <f>0</f>
        <v>0</v>
      </c>
      <c r="L10" s="5">
        <f>0+L11+L15+L19+L23+L27+L31</f>
        <v>0</v>
      </c>
      <c r="M10" s="5">
        <f>0+M11+M15+M19+M23+M27+M31</f>
        <v>0</v>
      </c>
    </row>
    <row r="11" spans="1:20" ht="26.4" x14ac:dyDescent="0.25">
      <c r="A11" t="s">
        <v>11</v>
      </c>
      <c r="B11" s="9" t="s">
        <v>48</v>
      </c>
      <c r="C11" s="9" t="s">
        <v>1936</v>
      </c>
      <c r="D11" s="3" t="s">
        <v>2</v>
      </c>
      <c r="E11" s="8" t="s">
        <v>1934</v>
      </c>
      <c r="F11" s="4" t="s">
        <v>1032</v>
      </c>
      <c r="G11" s="7">
        <v>2459.8580000000002</v>
      </c>
      <c r="H11" s="4">
        <v>0</v>
      </c>
      <c r="I11" s="4">
        <f>ROUND(G11*H11,6)</f>
        <v>0</v>
      </c>
      <c r="L11" s="6">
        <v>0</v>
      </c>
      <c r="M11" s="5">
        <f>ROUND(ROUND(L11,2)*ROUND(G11,3),2)</f>
        <v>0</v>
      </c>
      <c r="N11" s="4" t="s">
        <v>501</v>
      </c>
      <c r="O11">
        <f>(M11*21)/100</f>
        <v>0</v>
      </c>
      <c r="P11" t="s">
        <v>6</v>
      </c>
    </row>
    <row r="12" spans="1:20" ht="26.4" x14ac:dyDescent="0.25">
      <c r="A12" s="3" t="s">
        <v>5</v>
      </c>
      <c r="E12" s="1" t="s">
        <v>1934</v>
      </c>
    </row>
    <row r="13" spans="1:20" ht="105.6" x14ac:dyDescent="0.25">
      <c r="A13" s="3" t="s">
        <v>3</v>
      </c>
      <c r="E13" s="12" t="s">
        <v>1935</v>
      </c>
    </row>
    <row r="14" spans="1:20" ht="26.4" x14ac:dyDescent="0.25">
      <c r="A14" t="s">
        <v>1</v>
      </c>
      <c r="E14" s="1" t="s">
        <v>1934</v>
      </c>
    </row>
    <row r="15" spans="1:20" ht="39.6" x14ac:dyDescent="0.25">
      <c r="A15" t="s">
        <v>11</v>
      </c>
      <c r="B15" s="9" t="s">
        <v>6</v>
      </c>
      <c r="C15" s="9" t="s">
        <v>1933</v>
      </c>
      <c r="D15" s="3" t="s">
        <v>2</v>
      </c>
      <c r="E15" s="8" t="s">
        <v>1931</v>
      </c>
      <c r="F15" s="4" t="s">
        <v>1032</v>
      </c>
      <c r="G15" s="7">
        <v>16.864000000000001</v>
      </c>
      <c r="H15" s="4">
        <v>0</v>
      </c>
      <c r="I15" s="4">
        <f>ROUND(G15*H15,6)</f>
        <v>0</v>
      </c>
      <c r="L15" s="6">
        <v>0</v>
      </c>
      <c r="M15" s="5">
        <f>ROUND(ROUND(L15,2)*ROUND(G15,3),2)</f>
        <v>0</v>
      </c>
      <c r="N15" s="4" t="s">
        <v>501</v>
      </c>
      <c r="O15">
        <f>(M15*21)/100</f>
        <v>0</v>
      </c>
      <c r="P15" t="s">
        <v>6</v>
      </c>
    </row>
    <row r="16" spans="1:20" ht="39.6" x14ac:dyDescent="0.25">
      <c r="A16" s="3" t="s">
        <v>5</v>
      </c>
      <c r="E16" s="1" t="s">
        <v>1931</v>
      </c>
    </row>
    <row r="17" spans="1:16" ht="52.8" x14ac:dyDescent="0.25">
      <c r="A17" s="3" t="s">
        <v>3</v>
      </c>
      <c r="E17" s="2" t="s">
        <v>1932</v>
      </c>
    </row>
    <row r="18" spans="1:16" ht="39.6" x14ac:dyDescent="0.25">
      <c r="A18" t="s">
        <v>1</v>
      </c>
      <c r="E18" s="1" t="s">
        <v>1931</v>
      </c>
    </row>
    <row r="19" spans="1:16" ht="26.4" x14ac:dyDescent="0.25">
      <c r="A19" t="s">
        <v>11</v>
      </c>
      <c r="B19" s="9" t="s">
        <v>43</v>
      </c>
      <c r="C19" s="9" t="s">
        <v>1930</v>
      </c>
      <c r="D19" s="3" t="s">
        <v>2</v>
      </c>
      <c r="E19" s="8" t="s">
        <v>1928</v>
      </c>
      <c r="F19" s="4" t="s">
        <v>1032</v>
      </c>
      <c r="G19" s="7">
        <v>70.724999999999994</v>
      </c>
      <c r="H19" s="4">
        <v>0</v>
      </c>
      <c r="I19" s="4">
        <f>ROUND(G19*H19,6)</f>
        <v>0</v>
      </c>
      <c r="L19" s="6">
        <v>0</v>
      </c>
      <c r="M19" s="5">
        <f>ROUND(ROUND(L19,2)*ROUND(G19,3),2)</f>
        <v>0</v>
      </c>
      <c r="N19" s="4" t="s">
        <v>501</v>
      </c>
      <c r="O19">
        <f>(M19*21)/100</f>
        <v>0</v>
      </c>
      <c r="P19" t="s">
        <v>6</v>
      </c>
    </row>
    <row r="20" spans="1:16" ht="26.4" x14ac:dyDescent="0.25">
      <c r="A20" s="3" t="s">
        <v>5</v>
      </c>
      <c r="E20" s="1" t="s">
        <v>1928</v>
      </c>
    </row>
    <row r="21" spans="1:16" ht="171.6" x14ac:dyDescent="0.25">
      <c r="A21" s="3" t="s">
        <v>3</v>
      </c>
      <c r="E21" s="2" t="s">
        <v>1929</v>
      </c>
    </row>
    <row r="22" spans="1:16" ht="26.4" x14ac:dyDescent="0.25">
      <c r="A22" t="s">
        <v>1</v>
      </c>
      <c r="E22" s="1" t="s">
        <v>1928</v>
      </c>
    </row>
    <row r="23" spans="1:16" ht="39.6" x14ac:dyDescent="0.25">
      <c r="A23" t="s">
        <v>11</v>
      </c>
      <c r="B23" s="9" t="s">
        <v>39</v>
      </c>
      <c r="C23" s="9" t="s">
        <v>1264</v>
      </c>
      <c r="D23" s="3" t="s">
        <v>2</v>
      </c>
      <c r="E23" s="8" t="s">
        <v>1263</v>
      </c>
      <c r="F23" s="4" t="s">
        <v>1032</v>
      </c>
      <c r="G23" s="7">
        <v>2547.4470000000001</v>
      </c>
      <c r="H23" s="4">
        <v>0</v>
      </c>
      <c r="I23" s="4">
        <f>ROUND(G23*H23,6)</f>
        <v>0</v>
      </c>
      <c r="L23" s="6">
        <v>0</v>
      </c>
      <c r="M23" s="5">
        <f>ROUND(ROUND(L23,2)*ROUND(G23,3),2)</f>
        <v>0</v>
      </c>
      <c r="N23" s="4" t="s">
        <v>501</v>
      </c>
      <c r="O23">
        <f>(M23*21)/100</f>
        <v>0</v>
      </c>
      <c r="P23" t="s">
        <v>6</v>
      </c>
    </row>
    <row r="24" spans="1:16" ht="39.6" x14ac:dyDescent="0.25">
      <c r="A24" s="3" t="s">
        <v>5</v>
      </c>
      <c r="E24" s="1" t="s">
        <v>1261</v>
      </c>
    </row>
    <row r="25" spans="1:16" ht="13.2" x14ac:dyDescent="0.25">
      <c r="A25" s="3" t="s">
        <v>3</v>
      </c>
      <c r="E25" s="2" t="s">
        <v>1927</v>
      </c>
    </row>
    <row r="26" spans="1:16" ht="39.6" x14ac:dyDescent="0.25">
      <c r="A26" t="s">
        <v>1</v>
      </c>
      <c r="E26" s="1" t="s">
        <v>1261</v>
      </c>
    </row>
    <row r="27" spans="1:16" ht="26.4" x14ac:dyDescent="0.25">
      <c r="A27" t="s">
        <v>11</v>
      </c>
      <c r="B27" s="9" t="s">
        <v>36</v>
      </c>
      <c r="C27" s="9" t="s">
        <v>1926</v>
      </c>
      <c r="D27" s="3" t="s">
        <v>2</v>
      </c>
      <c r="E27" s="8" t="s">
        <v>1925</v>
      </c>
      <c r="F27" s="4" t="s">
        <v>370</v>
      </c>
      <c r="G27" s="7">
        <v>1132</v>
      </c>
      <c r="H27" s="4">
        <v>0</v>
      </c>
      <c r="I27" s="4">
        <f>ROUND(G27*H27,6)</f>
        <v>0</v>
      </c>
      <c r="L27" s="6">
        <v>0</v>
      </c>
      <c r="M27" s="5">
        <f>ROUND(ROUND(L27,2)*ROUND(G27,3),2)</f>
        <v>0</v>
      </c>
      <c r="N27" s="4" t="s">
        <v>501</v>
      </c>
      <c r="O27">
        <f>(M27*21)/100</f>
        <v>0</v>
      </c>
      <c r="P27" t="s">
        <v>6</v>
      </c>
    </row>
    <row r="28" spans="1:16" ht="26.4" x14ac:dyDescent="0.25">
      <c r="A28" s="3" t="s">
        <v>5</v>
      </c>
      <c r="E28" s="1" t="s">
        <v>1925</v>
      </c>
    </row>
    <row r="29" spans="1:16" ht="26.4" x14ac:dyDescent="0.25">
      <c r="A29" s="3" t="s">
        <v>3</v>
      </c>
      <c r="E29" s="12" t="s">
        <v>1924</v>
      </c>
    </row>
    <row r="30" spans="1:16" ht="79.2" x14ac:dyDescent="0.25">
      <c r="A30" t="s">
        <v>1</v>
      </c>
      <c r="E30" s="1" t="s">
        <v>1923</v>
      </c>
    </row>
    <row r="31" spans="1:16" ht="26.4" x14ac:dyDescent="0.25">
      <c r="A31" t="s">
        <v>11</v>
      </c>
      <c r="B31" s="9" t="s">
        <v>33</v>
      </c>
      <c r="C31" s="9" t="s">
        <v>1922</v>
      </c>
      <c r="D31" s="3" t="s">
        <v>2</v>
      </c>
      <c r="E31" s="8" t="s">
        <v>1920</v>
      </c>
      <c r="F31" s="4" t="s">
        <v>1032</v>
      </c>
      <c r="G31" s="7">
        <v>577.04300000000001</v>
      </c>
      <c r="H31" s="4">
        <v>0</v>
      </c>
      <c r="I31" s="4">
        <f>ROUND(G31*H31,6)</f>
        <v>0</v>
      </c>
      <c r="L31" s="6">
        <v>0</v>
      </c>
      <c r="M31" s="5">
        <f>ROUND(ROUND(L31,2)*ROUND(G31,3),2)</f>
        <v>0</v>
      </c>
      <c r="N31" s="4" t="s">
        <v>7</v>
      </c>
      <c r="O31">
        <f>(M31*21)/100</f>
        <v>0</v>
      </c>
      <c r="P31" t="s">
        <v>6</v>
      </c>
    </row>
    <row r="32" spans="1:16" ht="26.4" x14ac:dyDescent="0.25">
      <c r="A32" s="3" t="s">
        <v>5</v>
      </c>
      <c r="E32" s="1" t="s">
        <v>1920</v>
      </c>
    </row>
    <row r="33" spans="1:16" ht="92.4" x14ac:dyDescent="0.25">
      <c r="A33" s="3" t="s">
        <v>3</v>
      </c>
      <c r="E33" s="12" t="s">
        <v>1921</v>
      </c>
    </row>
    <row r="34" spans="1:16" ht="26.4" x14ac:dyDescent="0.25">
      <c r="A34" t="s">
        <v>1</v>
      </c>
      <c r="E34" s="1" t="s">
        <v>1920</v>
      </c>
    </row>
    <row r="35" spans="1:16" ht="13.2" x14ac:dyDescent="0.25">
      <c r="A35" t="s">
        <v>50</v>
      </c>
      <c r="C35" s="11" t="s">
        <v>6</v>
      </c>
      <c r="E35" s="10" t="s">
        <v>1260</v>
      </c>
      <c r="J35" s="5">
        <f>0</f>
        <v>0</v>
      </c>
      <c r="K35" s="5">
        <f>0</f>
        <v>0</v>
      </c>
      <c r="L35" s="5">
        <f>0+L36+L40+L44+L48+L52</f>
        <v>0</v>
      </c>
      <c r="M35" s="5">
        <f>0+M36+M40+M44+M48+M52</f>
        <v>0</v>
      </c>
    </row>
    <row r="36" spans="1:16" ht="13.2" x14ac:dyDescent="0.25">
      <c r="A36" t="s">
        <v>11</v>
      </c>
      <c r="B36" s="9" t="s">
        <v>30</v>
      </c>
      <c r="C36" s="9" t="s">
        <v>1919</v>
      </c>
      <c r="D36" s="3" t="s">
        <v>2</v>
      </c>
      <c r="E36" s="8" t="s">
        <v>1918</v>
      </c>
      <c r="F36" s="4" t="s">
        <v>1032</v>
      </c>
      <c r="G36" s="7">
        <v>351.69</v>
      </c>
      <c r="H36" s="4">
        <v>2.16</v>
      </c>
      <c r="I36" s="4">
        <f>ROUND(G36*H36,6)</f>
        <v>759.65039999999999</v>
      </c>
      <c r="L36" s="6">
        <v>0</v>
      </c>
      <c r="M36" s="5">
        <f>ROUND(ROUND(L36,2)*ROUND(G36,3),2)</f>
        <v>0</v>
      </c>
      <c r="N36" s="4" t="s">
        <v>501</v>
      </c>
      <c r="O36">
        <f>(M36*21)/100</f>
        <v>0</v>
      </c>
      <c r="P36" t="s">
        <v>6</v>
      </c>
    </row>
    <row r="37" spans="1:16" ht="13.2" x14ac:dyDescent="0.25">
      <c r="A37" s="3" t="s">
        <v>5</v>
      </c>
      <c r="E37" s="1" t="s">
        <v>1918</v>
      </c>
    </row>
    <row r="38" spans="1:16" ht="26.4" x14ac:dyDescent="0.25">
      <c r="A38" s="3" t="s">
        <v>3</v>
      </c>
      <c r="E38" s="12" t="s">
        <v>1917</v>
      </c>
    </row>
    <row r="39" spans="1:16" ht="39.6" x14ac:dyDescent="0.25">
      <c r="A39" t="s">
        <v>1</v>
      </c>
      <c r="E39" s="1" t="s">
        <v>1916</v>
      </c>
    </row>
    <row r="40" spans="1:16" ht="13.2" x14ac:dyDescent="0.25">
      <c r="A40" t="s">
        <v>11</v>
      </c>
      <c r="B40" s="9" t="s">
        <v>27</v>
      </c>
      <c r="C40" s="9" t="s">
        <v>1915</v>
      </c>
      <c r="D40" s="3" t="s">
        <v>2</v>
      </c>
      <c r="E40" s="8" t="s">
        <v>1914</v>
      </c>
      <c r="F40" s="4" t="s">
        <v>1032</v>
      </c>
      <c r="G40" s="7">
        <v>56.6</v>
      </c>
      <c r="H40" s="4">
        <v>2.3010199999999998</v>
      </c>
      <c r="I40" s="4">
        <f>ROUND(G40*H40,6)</f>
        <v>130.23773199999999</v>
      </c>
      <c r="L40" s="6">
        <v>0</v>
      </c>
      <c r="M40" s="5">
        <f>ROUND(ROUND(L40,2)*ROUND(G40,3),2)</f>
        <v>0</v>
      </c>
      <c r="N40" s="4" t="s">
        <v>501</v>
      </c>
      <c r="O40">
        <f>(M40*21)/100</f>
        <v>0</v>
      </c>
      <c r="P40" t="s">
        <v>6</v>
      </c>
    </row>
    <row r="41" spans="1:16" ht="13.2" x14ac:dyDescent="0.25">
      <c r="A41" s="3" t="s">
        <v>5</v>
      </c>
      <c r="E41" s="1" t="s">
        <v>1914</v>
      </c>
    </row>
    <row r="42" spans="1:16" ht="39.6" x14ac:dyDescent="0.25">
      <c r="A42" s="3" t="s">
        <v>3</v>
      </c>
      <c r="E42" s="12" t="s">
        <v>1913</v>
      </c>
    </row>
    <row r="43" spans="1:16" ht="105.6" x14ac:dyDescent="0.25">
      <c r="A43" t="s">
        <v>1</v>
      </c>
      <c r="E43" s="1" t="s">
        <v>1912</v>
      </c>
    </row>
    <row r="44" spans="1:16" ht="26.4" x14ac:dyDescent="0.25">
      <c r="A44" t="s">
        <v>11</v>
      </c>
      <c r="B44" s="9" t="s">
        <v>24</v>
      </c>
      <c r="C44" s="9" t="s">
        <v>1205</v>
      </c>
      <c r="D44" s="3" t="s">
        <v>2</v>
      </c>
      <c r="E44" s="8" t="s">
        <v>1204</v>
      </c>
      <c r="F44" s="4" t="s">
        <v>1032</v>
      </c>
      <c r="G44" s="7">
        <v>1.28</v>
      </c>
      <c r="H44" s="4">
        <v>2.3010199999999998</v>
      </c>
      <c r="I44" s="4">
        <f>ROUND(G44*H44,6)</f>
        <v>2.945306</v>
      </c>
      <c r="L44" s="6">
        <v>0</v>
      </c>
      <c r="M44" s="5">
        <f>ROUND(ROUND(L44,2)*ROUND(G44,3),2)</f>
        <v>0</v>
      </c>
      <c r="N44" s="4" t="s">
        <v>501</v>
      </c>
      <c r="O44">
        <f>(M44*21)/100</f>
        <v>0</v>
      </c>
      <c r="P44" t="s">
        <v>6</v>
      </c>
    </row>
    <row r="45" spans="1:16" ht="26.4" x14ac:dyDescent="0.25">
      <c r="A45" s="3" t="s">
        <v>5</v>
      </c>
      <c r="E45" s="1" t="s">
        <v>1204</v>
      </c>
    </row>
    <row r="46" spans="1:16" ht="26.4" x14ac:dyDescent="0.25">
      <c r="A46" s="3" t="s">
        <v>3</v>
      </c>
      <c r="E46" s="12" t="s">
        <v>1911</v>
      </c>
    </row>
    <row r="47" spans="1:16" ht="26.4" x14ac:dyDescent="0.25">
      <c r="A47" t="s">
        <v>1</v>
      </c>
      <c r="E47" s="1" t="s">
        <v>1204</v>
      </c>
    </row>
    <row r="48" spans="1:16" ht="13.2" x14ac:dyDescent="0.25">
      <c r="A48" t="s">
        <v>11</v>
      </c>
      <c r="B48" s="9" t="s">
        <v>21</v>
      </c>
      <c r="C48" s="9" t="s">
        <v>1196</v>
      </c>
      <c r="D48" s="3" t="s">
        <v>2</v>
      </c>
      <c r="E48" s="8" t="s">
        <v>1195</v>
      </c>
      <c r="F48" s="4" t="s">
        <v>370</v>
      </c>
      <c r="G48" s="7">
        <v>12.8</v>
      </c>
      <c r="H48" s="4">
        <v>2.64E-3</v>
      </c>
      <c r="I48" s="4">
        <f>ROUND(G48*H48,6)</f>
        <v>3.3792000000000003E-2</v>
      </c>
      <c r="L48" s="6">
        <v>0</v>
      </c>
      <c r="M48" s="5">
        <f>ROUND(ROUND(L48,2)*ROUND(G48,3),2)</f>
        <v>0</v>
      </c>
      <c r="N48" s="4" t="s">
        <v>501</v>
      </c>
      <c r="O48">
        <f>(M48*21)/100</f>
        <v>0</v>
      </c>
      <c r="P48" t="s">
        <v>6</v>
      </c>
    </row>
    <row r="49" spans="1:16" ht="13.2" x14ac:dyDescent="0.25">
      <c r="A49" s="3" t="s">
        <v>5</v>
      </c>
      <c r="E49" s="1" t="s">
        <v>1195</v>
      </c>
    </row>
    <row r="50" spans="1:16" ht="26.4" x14ac:dyDescent="0.25">
      <c r="A50" s="3" t="s">
        <v>3</v>
      </c>
      <c r="E50" s="12" t="s">
        <v>1910</v>
      </c>
    </row>
    <row r="51" spans="1:16" ht="13.2" x14ac:dyDescent="0.25">
      <c r="A51" t="s">
        <v>1</v>
      </c>
      <c r="E51" s="1" t="s">
        <v>1195</v>
      </c>
    </row>
    <row r="52" spans="1:16" ht="13.2" x14ac:dyDescent="0.25">
      <c r="A52" t="s">
        <v>11</v>
      </c>
      <c r="B52" s="9" t="s">
        <v>18</v>
      </c>
      <c r="C52" s="9" t="s">
        <v>1192</v>
      </c>
      <c r="D52" s="3" t="s">
        <v>2</v>
      </c>
      <c r="E52" s="8" t="s">
        <v>1191</v>
      </c>
      <c r="F52" s="4" t="s">
        <v>370</v>
      </c>
      <c r="G52" s="7">
        <v>12.8</v>
      </c>
      <c r="H52" s="4">
        <v>0</v>
      </c>
      <c r="I52" s="4">
        <f>ROUND(G52*H52,6)</f>
        <v>0</v>
      </c>
      <c r="L52" s="6">
        <v>0</v>
      </c>
      <c r="M52" s="5">
        <f>ROUND(ROUND(L52,2)*ROUND(G52,3),2)</f>
        <v>0</v>
      </c>
      <c r="N52" s="4" t="s">
        <v>501</v>
      </c>
      <c r="O52">
        <f>(M52*21)/100</f>
        <v>0</v>
      </c>
      <c r="P52" t="s">
        <v>6</v>
      </c>
    </row>
    <row r="53" spans="1:16" ht="13.2" x14ac:dyDescent="0.25">
      <c r="A53" s="3" t="s">
        <v>5</v>
      </c>
      <c r="E53" s="1" t="s">
        <v>1191</v>
      </c>
    </row>
    <row r="54" spans="1:16" ht="13.2" x14ac:dyDescent="0.25">
      <c r="A54" s="3" t="s">
        <v>3</v>
      </c>
      <c r="E54" s="2" t="s">
        <v>2</v>
      </c>
    </row>
    <row r="55" spans="1:16" ht="13.2" x14ac:dyDescent="0.25">
      <c r="A55" t="s">
        <v>1</v>
      </c>
      <c r="E55" s="1" t="s">
        <v>1191</v>
      </c>
    </row>
    <row r="56" spans="1:16" ht="13.2" x14ac:dyDescent="0.25">
      <c r="A56" t="s">
        <v>50</v>
      </c>
      <c r="C56" s="11" t="s">
        <v>39</v>
      </c>
      <c r="E56" s="10" t="s">
        <v>1034</v>
      </c>
      <c r="J56" s="5">
        <f>0</f>
        <v>0</v>
      </c>
      <c r="K56" s="5">
        <f>0</f>
        <v>0</v>
      </c>
      <c r="L56" s="5">
        <f>0+L57+L61+L65</f>
        <v>0</v>
      </c>
      <c r="M56" s="5">
        <f>0+M57+M61+M65</f>
        <v>0</v>
      </c>
    </row>
    <row r="57" spans="1:16" ht="26.4" x14ac:dyDescent="0.25">
      <c r="A57" t="s">
        <v>11</v>
      </c>
      <c r="B57" s="9" t="s">
        <v>15</v>
      </c>
      <c r="C57" s="9" t="s">
        <v>1909</v>
      </c>
      <c r="D57" s="3" t="s">
        <v>2</v>
      </c>
      <c r="E57" s="8" t="s">
        <v>1908</v>
      </c>
      <c r="F57" s="4" t="s">
        <v>1032</v>
      </c>
      <c r="G57" s="7">
        <v>5.3220000000000001</v>
      </c>
      <c r="H57" s="4">
        <v>2.5019499999999999</v>
      </c>
      <c r="I57" s="4">
        <f>ROUND(G57*H57,6)</f>
        <v>13.315378000000001</v>
      </c>
      <c r="L57" s="6">
        <v>0</v>
      </c>
      <c r="M57" s="5">
        <f>ROUND(ROUND(L57,2)*ROUND(G57,3),2)</f>
        <v>0</v>
      </c>
      <c r="N57" s="4" t="s">
        <v>501</v>
      </c>
      <c r="O57">
        <f>(M57*21)/100</f>
        <v>0</v>
      </c>
      <c r="P57" t="s">
        <v>6</v>
      </c>
    </row>
    <row r="58" spans="1:16" ht="26.4" x14ac:dyDescent="0.25">
      <c r="A58" s="3" t="s">
        <v>5</v>
      </c>
      <c r="E58" s="1" t="s">
        <v>1908</v>
      </c>
    </row>
    <row r="59" spans="1:16" ht="264" x14ac:dyDescent="0.25">
      <c r="A59" s="3" t="s">
        <v>3</v>
      </c>
      <c r="E59" s="12" t="s">
        <v>1907</v>
      </c>
    </row>
    <row r="60" spans="1:16" ht="26.4" x14ac:dyDescent="0.25">
      <c r="A60" t="s">
        <v>1</v>
      </c>
      <c r="E60" s="1" t="s">
        <v>1906</v>
      </c>
    </row>
    <row r="61" spans="1:16" ht="26.4" x14ac:dyDescent="0.25">
      <c r="A61" t="s">
        <v>11</v>
      </c>
      <c r="B61" s="9" t="s">
        <v>10</v>
      </c>
      <c r="C61" s="9" t="s">
        <v>1905</v>
      </c>
      <c r="D61" s="3" t="s">
        <v>2</v>
      </c>
      <c r="E61" s="8" t="s">
        <v>1904</v>
      </c>
      <c r="F61" s="4" t="s">
        <v>370</v>
      </c>
      <c r="G61" s="7">
        <v>3.96</v>
      </c>
      <c r="H61" s="4">
        <v>7.92E-3</v>
      </c>
      <c r="I61" s="4">
        <f>ROUND(G61*H61,6)</f>
        <v>3.1363000000000002E-2</v>
      </c>
      <c r="L61" s="6">
        <v>0</v>
      </c>
      <c r="M61" s="5">
        <f>ROUND(ROUND(L61,2)*ROUND(G61,3),2)</f>
        <v>0</v>
      </c>
      <c r="N61" s="4" t="s">
        <v>501</v>
      </c>
      <c r="O61">
        <f>(M61*21)/100</f>
        <v>0</v>
      </c>
      <c r="P61" t="s">
        <v>6</v>
      </c>
    </row>
    <row r="62" spans="1:16" ht="26.4" x14ac:dyDescent="0.25">
      <c r="A62" s="3" t="s">
        <v>5</v>
      </c>
      <c r="E62" s="1" t="s">
        <v>1904</v>
      </c>
    </row>
    <row r="63" spans="1:16" ht="132" x14ac:dyDescent="0.25">
      <c r="A63" s="3" t="s">
        <v>3</v>
      </c>
      <c r="E63" s="12" t="s">
        <v>1903</v>
      </c>
    </row>
    <row r="64" spans="1:16" ht="39.6" x14ac:dyDescent="0.25">
      <c r="A64" t="s">
        <v>1</v>
      </c>
      <c r="E64" s="1" t="s">
        <v>1902</v>
      </c>
    </row>
    <row r="65" spans="1:16" ht="26.4" x14ac:dyDescent="0.25">
      <c r="A65" t="s">
        <v>11</v>
      </c>
      <c r="B65" s="9" t="s">
        <v>280</v>
      </c>
      <c r="C65" s="9" t="s">
        <v>1901</v>
      </c>
      <c r="D65" s="3" t="s">
        <v>2</v>
      </c>
      <c r="E65" s="8" t="s">
        <v>1900</v>
      </c>
      <c r="F65" s="4" t="s">
        <v>370</v>
      </c>
      <c r="G65" s="7">
        <v>3.96</v>
      </c>
      <c r="H65" s="4">
        <v>0</v>
      </c>
      <c r="I65" s="4">
        <f>ROUND(G65*H65,6)</f>
        <v>0</v>
      </c>
      <c r="L65" s="6">
        <v>0</v>
      </c>
      <c r="M65" s="5">
        <f>ROUND(ROUND(L65,2)*ROUND(G65,3),2)</f>
        <v>0</v>
      </c>
      <c r="N65" s="4" t="s">
        <v>501</v>
      </c>
      <c r="O65">
        <f>(M65*21)/100</f>
        <v>0</v>
      </c>
      <c r="P65" t="s">
        <v>6</v>
      </c>
    </row>
    <row r="66" spans="1:16" ht="26.4" x14ac:dyDescent="0.25">
      <c r="A66" s="3" t="s">
        <v>5</v>
      </c>
      <c r="E66" s="1" t="s">
        <v>1900</v>
      </c>
    </row>
    <row r="67" spans="1:16" ht="13.2" x14ac:dyDescent="0.25">
      <c r="A67" s="3" t="s">
        <v>3</v>
      </c>
      <c r="E67" s="2" t="s">
        <v>2</v>
      </c>
    </row>
    <row r="68" spans="1:16" ht="39.6" x14ac:dyDescent="0.25">
      <c r="A68" t="s">
        <v>1</v>
      </c>
      <c r="E68" s="1" t="s">
        <v>1899</v>
      </c>
    </row>
    <row r="69" spans="1:16" ht="13.2" x14ac:dyDescent="0.25">
      <c r="A69" t="s">
        <v>50</v>
      </c>
      <c r="C69" s="11" t="s">
        <v>310</v>
      </c>
      <c r="E69" s="10" t="s">
        <v>309</v>
      </c>
      <c r="J69" s="5">
        <f>0</f>
        <v>0</v>
      </c>
      <c r="K69" s="5">
        <f>0</f>
        <v>0</v>
      </c>
      <c r="L69" s="5">
        <f>0+L70+L74+L78</f>
        <v>0</v>
      </c>
      <c r="M69" s="5">
        <f>0+M70+M74+M78</f>
        <v>0</v>
      </c>
    </row>
    <row r="70" spans="1:16" ht="39.6" x14ac:dyDescent="0.25">
      <c r="A70" t="s">
        <v>11</v>
      </c>
      <c r="B70" s="9" t="s">
        <v>277</v>
      </c>
      <c r="C70" s="9" t="s">
        <v>1898</v>
      </c>
      <c r="D70" s="3" t="s">
        <v>2</v>
      </c>
      <c r="E70" s="8" t="s">
        <v>1897</v>
      </c>
      <c r="F70" s="4" t="s">
        <v>8</v>
      </c>
      <c r="G70" s="7">
        <v>101.1</v>
      </c>
      <c r="H70" s="4">
        <v>0</v>
      </c>
      <c r="I70" s="4">
        <f>ROUND(G70*H70,6)</f>
        <v>0</v>
      </c>
      <c r="L70" s="6">
        <v>0</v>
      </c>
      <c r="M70" s="5">
        <f>ROUND(ROUND(L70,2)*ROUND(G70,3),2)</f>
        <v>0</v>
      </c>
      <c r="N70" s="4" t="s">
        <v>501</v>
      </c>
      <c r="O70">
        <f>(M70*21)/100</f>
        <v>0</v>
      </c>
      <c r="P70" t="s">
        <v>6</v>
      </c>
    </row>
    <row r="71" spans="1:16" ht="39.6" x14ac:dyDescent="0.25">
      <c r="A71" s="3" t="s">
        <v>5</v>
      </c>
      <c r="E71" s="1" t="s">
        <v>1896</v>
      </c>
    </row>
    <row r="72" spans="1:16" ht="13.2" x14ac:dyDescent="0.25">
      <c r="A72" s="3" t="s">
        <v>3</v>
      </c>
      <c r="E72" s="2" t="s">
        <v>1895</v>
      </c>
    </row>
    <row r="73" spans="1:16" ht="52.8" x14ac:dyDescent="0.25">
      <c r="A73" t="s">
        <v>1</v>
      </c>
      <c r="E73" s="1" t="s">
        <v>1894</v>
      </c>
    </row>
    <row r="74" spans="1:16" ht="13.2" x14ac:dyDescent="0.25">
      <c r="A74" t="s">
        <v>11</v>
      </c>
      <c r="B74" s="9" t="s">
        <v>274</v>
      </c>
      <c r="C74" s="9" t="s">
        <v>1893</v>
      </c>
      <c r="D74" s="3" t="s">
        <v>2</v>
      </c>
      <c r="E74" s="8" t="s">
        <v>1892</v>
      </c>
      <c r="F74" s="4" t="s">
        <v>13</v>
      </c>
      <c r="G74" s="7">
        <v>202.2</v>
      </c>
      <c r="H74" s="4">
        <v>1.6E-2</v>
      </c>
      <c r="I74" s="4">
        <f>ROUND(G74*H74,6)</f>
        <v>3.2351999999999999</v>
      </c>
      <c r="L74" s="6">
        <v>0</v>
      </c>
      <c r="M74" s="5">
        <f>ROUND(ROUND(L74,2)*ROUND(G74,3),2)</f>
        <v>0</v>
      </c>
      <c r="N74" s="4" t="s">
        <v>501</v>
      </c>
      <c r="O74">
        <f>(M74*21)/100</f>
        <v>0</v>
      </c>
      <c r="P74" t="s">
        <v>6</v>
      </c>
    </row>
    <row r="75" spans="1:16" ht="13.2" x14ac:dyDescent="0.25">
      <c r="A75" s="3" t="s">
        <v>5</v>
      </c>
      <c r="E75" s="1" t="s">
        <v>1892</v>
      </c>
    </row>
    <row r="76" spans="1:16" ht="13.2" x14ac:dyDescent="0.25">
      <c r="A76" s="3" t="s">
        <v>3</v>
      </c>
      <c r="E76" s="2" t="s">
        <v>2</v>
      </c>
    </row>
    <row r="77" spans="1:16" ht="13.2" x14ac:dyDescent="0.25">
      <c r="A77" t="s">
        <v>1</v>
      </c>
      <c r="E77" s="1" t="s">
        <v>1892</v>
      </c>
    </row>
    <row r="78" spans="1:16" ht="13.2" x14ac:dyDescent="0.25">
      <c r="A78" t="s">
        <v>11</v>
      </c>
      <c r="B78" s="9" t="s">
        <v>271</v>
      </c>
      <c r="C78" s="9" t="s">
        <v>1891</v>
      </c>
      <c r="D78" s="3" t="s">
        <v>2</v>
      </c>
      <c r="E78" s="8" t="s">
        <v>1890</v>
      </c>
      <c r="F78" s="4" t="s">
        <v>8</v>
      </c>
      <c r="G78" s="7">
        <v>101.1</v>
      </c>
      <c r="H78" s="4">
        <v>9.4E-2</v>
      </c>
      <c r="I78" s="4">
        <f>ROUND(G78*H78,6)</f>
        <v>9.5033999999999992</v>
      </c>
      <c r="L78" s="6">
        <v>0</v>
      </c>
      <c r="M78" s="5">
        <f>ROUND(ROUND(L78,2)*ROUND(G78,3),2)</f>
        <v>0</v>
      </c>
      <c r="N78" s="4" t="s">
        <v>7</v>
      </c>
      <c r="O78">
        <f>(M78*21)/100</f>
        <v>0</v>
      </c>
      <c r="P78" t="s">
        <v>6</v>
      </c>
    </row>
    <row r="79" spans="1:16" ht="13.2" x14ac:dyDescent="0.25">
      <c r="A79" s="3" t="s">
        <v>5</v>
      </c>
      <c r="E79" s="1" t="s">
        <v>1890</v>
      </c>
    </row>
    <row r="80" spans="1:16" ht="13.2" x14ac:dyDescent="0.25">
      <c r="A80" s="3" t="s">
        <v>3</v>
      </c>
      <c r="E80" s="2" t="s">
        <v>2</v>
      </c>
    </row>
    <row r="81" spans="1:16" ht="66" x14ac:dyDescent="0.25">
      <c r="A81" t="s">
        <v>1</v>
      </c>
      <c r="E81" s="1" t="s">
        <v>1889</v>
      </c>
    </row>
    <row r="82" spans="1:16" ht="13.2" x14ac:dyDescent="0.25">
      <c r="A82" t="s">
        <v>50</v>
      </c>
      <c r="C82" s="11" t="s">
        <v>132</v>
      </c>
      <c r="E82" s="10" t="s">
        <v>1888</v>
      </c>
      <c r="J82" s="5">
        <f>0</f>
        <v>0</v>
      </c>
      <c r="K82" s="5">
        <f>0</f>
        <v>0</v>
      </c>
      <c r="L82" s="5">
        <f>0+L83+L87+L91</f>
        <v>0</v>
      </c>
      <c r="M82" s="5">
        <f>0+M83+M87+M91</f>
        <v>0</v>
      </c>
    </row>
    <row r="83" spans="1:16" ht="13.2" x14ac:dyDescent="0.25">
      <c r="A83" t="s">
        <v>11</v>
      </c>
      <c r="B83" s="9" t="s">
        <v>268</v>
      </c>
      <c r="C83" s="9" t="s">
        <v>1887</v>
      </c>
      <c r="D83" s="3" t="s">
        <v>2</v>
      </c>
      <c r="E83" s="8" t="s">
        <v>1886</v>
      </c>
      <c r="F83" s="4" t="s">
        <v>370</v>
      </c>
      <c r="G83" s="7">
        <v>1116.57</v>
      </c>
      <c r="H83" s="4">
        <v>0.11</v>
      </c>
      <c r="I83" s="4">
        <f>ROUND(G83*H83,6)</f>
        <v>122.8227</v>
      </c>
      <c r="L83" s="6">
        <v>0</v>
      </c>
      <c r="M83" s="5">
        <f>ROUND(ROUND(L83,2)*ROUND(G83,3),2)</f>
        <v>0</v>
      </c>
      <c r="N83" s="4" t="s">
        <v>501</v>
      </c>
      <c r="O83">
        <f>(M83*21)/100</f>
        <v>0</v>
      </c>
      <c r="P83" t="s">
        <v>6</v>
      </c>
    </row>
    <row r="84" spans="1:16" ht="13.2" x14ac:dyDescent="0.25">
      <c r="A84" s="3" t="s">
        <v>5</v>
      </c>
      <c r="E84" s="1" t="s">
        <v>1886</v>
      </c>
    </row>
    <row r="85" spans="1:16" ht="13.2" x14ac:dyDescent="0.25">
      <c r="A85" s="3" t="s">
        <v>3</v>
      </c>
      <c r="E85" s="2" t="s">
        <v>1848</v>
      </c>
    </row>
    <row r="86" spans="1:16" ht="13.2" x14ac:dyDescent="0.25">
      <c r="A86" t="s">
        <v>1</v>
      </c>
      <c r="E86" s="1" t="s">
        <v>1886</v>
      </c>
    </row>
    <row r="87" spans="1:16" ht="26.4" x14ac:dyDescent="0.25">
      <c r="A87" t="s">
        <v>11</v>
      </c>
      <c r="B87" s="9" t="s">
        <v>265</v>
      </c>
      <c r="C87" s="9" t="s">
        <v>1885</v>
      </c>
      <c r="D87" s="3" t="s">
        <v>2</v>
      </c>
      <c r="E87" s="8" t="s">
        <v>1883</v>
      </c>
      <c r="F87" s="4" t="s">
        <v>370</v>
      </c>
      <c r="G87" s="7">
        <v>4278.66</v>
      </c>
      <c r="H87" s="4">
        <v>1.0999999999999999E-2</v>
      </c>
      <c r="I87" s="4">
        <f>ROUND(G87*H87,6)</f>
        <v>47.065260000000002</v>
      </c>
      <c r="L87" s="6">
        <v>0</v>
      </c>
      <c r="M87" s="5">
        <f>ROUND(ROUND(L87,2)*ROUND(G87,3),2)</f>
        <v>0</v>
      </c>
      <c r="N87" s="4" t="s">
        <v>501</v>
      </c>
      <c r="O87">
        <f>(M87*21)/100</f>
        <v>0</v>
      </c>
      <c r="P87" t="s">
        <v>6</v>
      </c>
    </row>
    <row r="88" spans="1:16" ht="26.4" x14ac:dyDescent="0.25">
      <c r="A88" s="3" t="s">
        <v>5</v>
      </c>
      <c r="E88" s="1" t="s">
        <v>1883</v>
      </c>
    </row>
    <row r="89" spans="1:16" ht="39.6" x14ac:dyDescent="0.25">
      <c r="A89" s="3" t="s">
        <v>3</v>
      </c>
      <c r="E89" s="2" t="s">
        <v>1884</v>
      </c>
    </row>
    <row r="90" spans="1:16" ht="26.4" x14ac:dyDescent="0.25">
      <c r="A90" t="s">
        <v>1</v>
      </c>
      <c r="E90" s="1" t="s">
        <v>1883</v>
      </c>
    </row>
    <row r="91" spans="1:16" ht="13.2" x14ac:dyDescent="0.25">
      <c r="A91" t="s">
        <v>11</v>
      </c>
      <c r="B91" s="9" t="s">
        <v>262</v>
      </c>
      <c r="C91" s="9" t="s">
        <v>1882</v>
      </c>
      <c r="D91" s="3" t="s">
        <v>2</v>
      </c>
      <c r="E91" s="8" t="s">
        <v>1881</v>
      </c>
      <c r="F91" s="4" t="s">
        <v>370</v>
      </c>
      <c r="G91" s="7">
        <v>1116.57</v>
      </c>
      <c r="H91" s="4">
        <v>1.2999999999999999E-4</v>
      </c>
      <c r="I91" s="4">
        <f>ROUND(G91*H91,6)</f>
        <v>0.14515400000000001</v>
      </c>
      <c r="L91" s="6">
        <v>0</v>
      </c>
      <c r="M91" s="5">
        <f>ROUND(ROUND(L91,2)*ROUND(G91,3),2)</f>
        <v>0</v>
      </c>
      <c r="N91" s="4" t="s">
        <v>501</v>
      </c>
      <c r="O91">
        <f>(M91*21)/100</f>
        <v>0</v>
      </c>
      <c r="P91" t="s">
        <v>6</v>
      </c>
    </row>
    <row r="92" spans="1:16" ht="13.2" x14ac:dyDescent="0.25">
      <c r="A92" s="3" t="s">
        <v>5</v>
      </c>
      <c r="E92" s="1" t="s">
        <v>1881</v>
      </c>
    </row>
    <row r="93" spans="1:16" ht="13.2" x14ac:dyDescent="0.25">
      <c r="A93" s="3" t="s">
        <v>3</v>
      </c>
      <c r="E93" s="2" t="s">
        <v>1848</v>
      </c>
    </row>
    <row r="94" spans="1:16" ht="13.2" x14ac:dyDescent="0.25">
      <c r="A94" t="s">
        <v>1</v>
      </c>
      <c r="E94" s="1" t="s">
        <v>1880</v>
      </c>
    </row>
    <row r="95" spans="1:16" ht="13.2" x14ac:dyDescent="0.25">
      <c r="A95" t="s">
        <v>50</v>
      </c>
      <c r="C95" s="11" t="s">
        <v>1879</v>
      </c>
      <c r="E95" s="10" t="s">
        <v>1878</v>
      </c>
      <c r="J95" s="5">
        <f>0</f>
        <v>0</v>
      </c>
      <c r="K95" s="5">
        <f>0</f>
        <v>0</v>
      </c>
      <c r="L95" s="5">
        <f>0+L96+L100+L104+L108+L112+L116+L120+L124+L128</f>
        <v>0</v>
      </c>
      <c r="M95" s="5">
        <f>0+M96+M100+M104+M108+M112+M116+M120+M124+M128</f>
        <v>0</v>
      </c>
    </row>
    <row r="96" spans="1:16" ht="13.2" x14ac:dyDescent="0.25">
      <c r="A96" t="s">
        <v>11</v>
      </c>
      <c r="B96" s="9" t="s">
        <v>259</v>
      </c>
      <c r="C96" s="9" t="s">
        <v>1877</v>
      </c>
      <c r="D96" s="3" t="s">
        <v>2</v>
      </c>
      <c r="E96" s="8" t="s">
        <v>1876</v>
      </c>
      <c r="F96" s="4" t="s">
        <v>542</v>
      </c>
      <c r="G96" s="7">
        <v>0.36799999999999999</v>
      </c>
      <c r="H96" s="4">
        <v>1</v>
      </c>
      <c r="I96" s="4">
        <f>ROUND(G96*H96,6)</f>
        <v>0.36799999999999999</v>
      </c>
      <c r="L96" s="6">
        <v>0</v>
      </c>
      <c r="M96" s="5">
        <f>ROUND(ROUND(L96,2)*ROUND(G96,3),2)</f>
        <v>0</v>
      </c>
      <c r="N96" s="4" t="s">
        <v>501</v>
      </c>
      <c r="O96">
        <f>(M96*21)/100</f>
        <v>0</v>
      </c>
      <c r="P96" t="s">
        <v>6</v>
      </c>
    </row>
    <row r="97" spans="1:16" ht="13.2" x14ac:dyDescent="0.25">
      <c r="A97" s="3" t="s">
        <v>5</v>
      </c>
      <c r="E97" s="1" t="s">
        <v>1876</v>
      </c>
    </row>
    <row r="98" spans="1:16" ht="13.2" x14ac:dyDescent="0.25">
      <c r="A98" s="3" t="s">
        <v>3</v>
      </c>
      <c r="E98" s="2" t="s">
        <v>2</v>
      </c>
    </row>
    <row r="99" spans="1:16" ht="13.2" x14ac:dyDescent="0.25">
      <c r="A99" t="s">
        <v>1</v>
      </c>
      <c r="E99" s="1" t="s">
        <v>1876</v>
      </c>
    </row>
    <row r="100" spans="1:16" ht="13.2" x14ac:dyDescent="0.25">
      <c r="A100" t="s">
        <v>11</v>
      </c>
      <c r="B100" s="9" t="s">
        <v>255</v>
      </c>
      <c r="C100" s="9" t="s">
        <v>1877</v>
      </c>
      <c r="D100" s="3" t="s">
        <v>48</v>
      </c>
      <c r="E100" s="8" t="s">
        <v>1876</v>
      </c>
      <c r="F100" s="4" t="s">
        <v>542</v>
      </c>
      <c r="G100" s="7">
        <v>0.127</v>
      </c>
      <c r="H100" s="4">
        <v>1</v>
      </c>
      <c r="I100" s="4">
        <f>ROUND(G100*H100,6)</f>
        <v>0.127</v>
      </c>
      <c r="L100" s="6">
        <v>0</v>
      </c>
      <c r="M100" s="5">
        <f>ROUND(ROUND(L100,2)*ROUND(G100,3),2)</f>
        <v>0</v>
      </c>
      <c r="N100" s="4" t="s">
        <v>501</v>
      </c>
      <c r="O100">
        <f>(M100*21)/100</f>
        <v>0</v>
      </c>
      <c r="P100" t="s">
        <v>6</v>
      </c>
    </row>
    <row r="101" spans="1:16" ht="13.2" x14ac:dyDescent="0.25">
      <c r="A101" s="3" t="s">
        <v>5</v>
      </c>
      <c r="E101" s="1" t="s">
        <v>1876</v>
      </c>
    </row>
    <row r="102" spans="1:16" ht="13.2" x14ac:dyDescent="0.25">
      <c r="A102" s="3" t="s">
        <v>3</v>
      </c>
      <c r="E102" s="2" t="s">
        <v>2</v>
      </c>
    </row>
    <row r="103" spans="1:16" ht="13.2" x14ac:dyDescent="0.25">
      <c r="A103" t="s">
        <v>1</v>
      </c>
      <c r="E103" s="1" t="s">
        <v>1876</v>
      </c>
    </row>
    <row r="104" spans="1:16" ht="39.6" x14ac:dyDescent="0.25">
      <c r="A104" t="s">
        <v>11</v>
      </c>
      <c r="B104" s="9" t="s">
        <v>252</v>
      </c>
      <c r="C104" s="9" t="s">
        <v>1875</v>
      </c>
      <c r="D104" s="3" t="s">
        <v>2</v>
      </c>
      <c r="E104" s="8" t="s">
        <v>1874</v>
      </c>
      <c r="F104" s="4" t="s">
        <v>370</v>
      </c>
      <c r="G104" s="7">
        <v>1301.3620000000001</v>
      </c>
      <c r="H104" s="4">
        <v>5.4000000000000003E-3</v>
      </c>
      <c r="I104" s="4">
        <f>ROUND(G104*H104,6)</f>
        <v>7.027355</v>
      </c>
      <c r="L104" s="6">
        <v>0</v>
      </c>
      <c r="M104" s="5">
        <f>ROUND(ROUND(L104,2)*ROUND(G104,3),2)</f>
        <v>0</v>
      </c>
      <c r="N104" s="4" t="s">
        <v>501</v>
      </c>
      <c r="O104">
        <f>(M104*21)/100</f>
        <v>0</v>
      </c>
      <c r="P104" t="s">
        <v>6</v>
      </c>
    </row>
    <row r="105" spans="1:16" ht="39.6" x14ac:dyDescent="0.25">
      <c r="A105" s="3" t="s">
        <v>5</v>
      </c>
      <c r="E105" s="1" t="s">
        <v>1874</v>
      </c>
    </row>
    <row r="106" spans="1:16" ht="13.2" x14ac:dyDescent="0.25">
      <c r="A106" s="3" t="s">
        <v>3</v>
      </c>
      <c r="E106" s="2" t="s">
        <v>2</v>
      </c>
    </row>
    <row r="107" spans="1:16" ht="26.4" x14ac:dyDescent="0.25">
      <c r="A107" t="s">
        <v>1</v>
      </c>
      <c r="E107" s="1" t="s">
        <v>1873</v>
      </c>
    </row>
    <row r="108" spans="1:16" ht="39.6" x14ac:dyDescent="0.25">
      <c r="A108" t="s">
        <v>11</v>
      </c>
      <c r="B108" s="9" t="s">
        <v>249</v>
      </c>
      <c r="C108" s="9" t="s">
        <v>1875</v>
      </c>
      <c r="D108" s="3" t="s">
        <v>48</v>
      </c>
      <c r="E108" s="8" t="s">
        <v>1874</v>
      </c>
      <c r="F108" s="4" t="s">
        <v>370</v>
      </c>
      <c r="G108" s="7">
        <v>457.435</v>
      </c>
      <c r="H108" s="4">
        <v>5.4000000000000003E-3</v>
      </c>
      <c r="I108" s="4">
        <f>ROUND(G108*H108,6)</f>
        <v>2.4701490000000002</v>
      </c>
      <c r="L108" s="6">
        <v>0</v>
      </c>
      <c r="M108" s="5">
        <f>ROUND(ROUND(L108,2)*ROUND(G108,3),2)</f>
        <v>0</v>
      </c>
      <c r="N108" s="4" t="s">
        <v>501</v>
      </c>
      <c r="O108">
        <f>(M108*21)/100</f>
        <v>0</v>
      </c>
      <c r="P108" t="s">
        <v>6</v>
      </c>
    </row>
    <row r="109" spans="1:16" ht="39.6" x14ac:dyDescent="0.25">
      <c r="A109" s="3" t="s">
        <v>5</v>
      </c>
      <c r="E109" s="1" t="s">
        <v>1874</v>
      </c>
    </row>
    <row r="110" spans="1:16" ht="13.2" x14ac:dyDescent="0.25">
      <c r="A110" s="3" t="s">
        <v>3</v>
      </c>
      <c r="E110" s="2" t="s">
        <v>2</v>
      </c>
    </row>
    <row r="111" spans="1:16" ht="26.4" x14ac:dyDescent="0.25">
      <c r="A111" t="s">
        <v>1</v>
      </c>
      <c r="E111" s="1" t="s">
        <v>1873</v>
      </c>
    </row>
    <row r="112" spans="1:16" ht="26.4" x14ac:dyDescent="0.25">
      <c r="A112" t="s">
        <v>11</v>
      </c>
      <c r="B112" s="9" t="s">
        <v>246</v>
      </c>
      <c r="C112" s="9" t="s">
        <v>1872</v>
      </c>
      <c r="D112" s="3" t="s">
        <v>2</v>
      </c>
      <c r="E112" s="8" t="s">
        <v>1871</v>
      </c>
      <c r="F112" s="4" t="s">
        <v>370</v>
      </c>
      <c r="G112" s="7">
        <v>1116.57</v>
      </c>
      <c r="H112" s="4">
        <v>0</v>
      </c>
      <c r="I112" s="4">
        <f>ROUND(G112*H112,6)</f>
        <v>0</v>
      </c>
      <c r="L112" s="6">
        <v>0</v>
      </c>
      <c r="M112" s="5">
        <f>ROUND(ROUND(L112,2)*ROUND(G112,3),2)</f>
        <v>0</v>
      </c>
      <c r="N112" s="4" t="s">
        <v>501</v>
      </c>
      <c r="O112">
        <f>(M112*21)/100</f>
        <v>0</v>
      </c>
      <c r="P112" t="s">
        <v>6</v>
      </c>
    </row>
    <row r="113" spans="1:16" ht="26.4" x14ac:dyDescent="0.25">
      <c r="A113" s="3" t="s">
        <v>5</v>
      </c>
      <c r="E113" s="1" t="s">
        <v>1871</v>
      </c>
    </row>
    <row r="114" spans="1:16" ht="13.2" x14ac:dyDescent="0.25">
      <c r="A114" s="3" t="s">
        <v>3</v>
      </c>
      <c r="E114" s="2" t="s">
        <v>1848</v>
      </c>
    </row>
    <row r="115" spans="1:16" ht="52.8" x14ac:dyDescent="0.25">
      <c r="A115" t="s">
        <v>1</v>
      </c>
      <c r="E115" s="1" t="s">
        <v>1870</v>
      </c>
    </row>
    <row r="116" spans="1:16" ht="26.4" x14ac:dyDescent="0.25">
      <c r="A116" t="s">
        <v>11</v>
      </c>
      <c r="B116" s="9" t="s">
        <v>243</v>
      </c>
      <c r="C116" s="9" t="s">
        <v>1869</v>
      </c>
      <c r="D116" s="3" t="s">
        <v>2</v>
      </c>
      <c r="E116" s="8" t="s">
        <v>1868</v>
      </c>
      <c r="F116" s="4" t="s">
        <v>370</v>
      </c>
      <c r="G116" s="7">
        <v>374.64</v>
      </c>
      <c r="H116" s="4">
        <v>0</v>
      </c>
      <c r="I116" s="4">
        <f>ROUND(G116*H116,6)</f>
        <v>0</v>
      </c>
      <c r="L116" s="6">
        <v>0</v>
      </c>
      <c r="M116" s="5">
        <f>ROUND(ROUND(L116,2)*ROUND(G116,3),2)</f>
        <v>0</v>
      </c>
      <c r="N116" s="4" t="s">
        <v>501</v>
      </c>
      <c r="O116">
        <f>(M116*21)/100</f>
        <v>0</v>
      </c>
      <c r="P116" t="s">
        <v>6</v>
      </c>
    </row>
    <row r="117" spans="1:16" ht="26.4" x14ac:dyDescent="0.25">
      <c r="A117" s="3" t="s">
        <v>5</v>
      </c>
      <c r="E117" s="1" t="s">
        <v>1868</v>
      </c>
    </row>
    <row r="118" spans="1:16" ht="13.2" x14ac:dyDescent="0.25">
      <c r="A118" s="3" t="s">
        <v>3</v>
      </c>
      <c r="E118" s="2" t="s">
        <v>1861</v>
      </c>
    </row>
    <row r="119" spans="1:16" ht="39.6" x14ac:dyDescent="0.25">
      <c r="A119" t="s">
        <v>1</v>
      </c>
      <c r="E119" s="1" t="s">
        <v>1867</v>
      </c>
    </row>
    <row r="120" spans="1:16" ht="13.2" x14ac:dyDescent="0.25">
      <c r="A120" t="s">
        <v>11</v>
      </c>
      <c r="B120" s="9" t="s">
        <v>240</v>
      </c>
      <c r="C120" s="9" t="s">
        <v>1866</v>
      </c>
      <c r="D120" s="3" t="s">
        <v>2</v>
      </c>
      <c r="E120" s="8" t="s">
        <v>1865</v>
      </c>
      <c r="F120" s="4" t="s">
        <v>370</v>
      </c>
      <c r="G120" s="7">
        <v>1116.57</v>
      </c>
      <c r="H120" s="4">
        <v>4.0000000000000002E-4</v>
      </c>
      <c r="I120" s="4">
        <f>ROUND(G120*H120,6)</f>
        <v>0.44662800000000002</v>
      </c>
      <c r="L120" s="6">
        <v>0</v>
      </c>
      <c r="M120" s="5">
        <f>ROUND(ROUND(L120,2)*ROUND(G120,3),2)</f>
        <v>0</v>
      </c>
      <c r="N120" s="4" t="s">
        <v>501</v>
      </c>
      <c r="O120">
        <f>(M120*21)/100</f>
        <v>0</v>
      </c>
      <c r="P120" t="s">
        <v>6</v>
      </c>
    </row>
    <row r="121" spans="1:16" ht="13.2" x14ac:dyDescent="0.25">
      <c r="A121" s="3" t="s">
        <v>5</v>
      </c>
      <c r="E121" s="1" t="s">
        <v>1865</v>
      </c>
    </row>
    <row r="122" spans="1:16" ht="13.2" x14ac:dyDescent="0.25">
      <c r="A122" s="3" t="s">
        <v>3</v>
      </c>
      <c r="E122" s="2" t="s">
        <v>1848</v>
      </c>
    </row>
    <row r="123" spans="1:16" ht="39.6" x14ac:dyDescent="0.25">
      <c r="A123" t="s">
        <v>1</v>
      </c>
      <c r="E123" s="1" t="s">
        <v>1864</v>
      </c>
    </row>
    <row r="124" spans="1:16" ht="13.2" x14ac:dyDescent="0.25">
      <c r="A124" t="s">
        <v>11</v>
      </c>
      <c r="B124" s="9" t="s">
        <v>237</v>
      </c>
      <c r="C124" s="9" t="s">
        <v>1863</v>
      </c>
      <c r="D124" s="3" t="s">
        <v>2</v>
      </c>
      <c r="E124" s="8" t="s">
        <v>1862</v>
      </c>
      <c r="F124" s="4" t="s">
        <v>370</v>
      </c>
      <c r="G124" s="7">
        <v>374.64</v>
      </c>
      <c r="H124" s="4">
        <v>4.0000000000000002E-4</v>
      </c>
      <c r="I124" s="4">
        <f>ROUND(G124*H124,6)</f>
        <v>0.14985599999999999</v>
      </c>
      <c r="L124" s="6">
        <v>0</v>
      </c>
      <c r="M124" s="5">
        <f>ROUND(ROUND(L124,2)*ROUND(G124,3),2)</f>
        <v>0</v>
      </c>
      <c r="N124" s="4" t="s">
        <v>501</v>
      </c>
      <c r="O124">
        <f>(M124*21)/100</f>
        <v>0</v>
      </c>
      <c r="P124" t="s">
        <v>6</v>
      </c>
    </row>
    <row r="125" spans="1:16" ht="13.2" x14ac:dyDescent="0.25">
      <c r="A125" s="3" t="s">
        <v>5</v>
      </c>
      <c r="E125" s="1" t="s">
        <v>1862</v>
      </c>
    </row>
    <row r="126" spans="1:16" ht="13.2" x14ac:dyDescent="0.25">
      <c r="A126" s="3" t="s">
        <v>3</v>
      </c>
      <c r="E126" s="2" t="s">
        <v>1861</v>
      </c>
    </row>
    <row r="127" spans="1:16" ht="39.6" x14ac:dyDescent="0.25">
      <c r="A127" t="s">
        <v>1</v>
      </c>
      <c r="E127" s="1" t="s">
        <v>1860</v>
      </c>
    </row>
    <row r="128" spans="1:16" ht="39.6" x14ac:dyDescent="0.25">
      <c r="A128" t="s">
        <v>11</v>
      </c>
      <c r="B128" s="9" t="s">
        <v>234</v>
      </c>
      <c r="C128" s="9" t="s">
        <v>1859</v>
      </c>
      <c r="D128" s="3" t="s">
        <v>2</v>
      </c>
      <c r="E128" s="8" t="s">
        <v>1858</v>
      </c>
      <c r="F128" s="4" t="s">
        <v>542</v>
      </c>
      <c r="G128" s="7">
        <v>10.589</v>
      </c>
      <c r="H128" s="4">
        <v>0</v>
      </c>
      <c r="I128" s="4">
        <f>ROUND(G128*H128,6)</f>
        <v>0</v>
      </c>
      <c r="L128" s="6">
        <v>0</v>
      </c>
      <c r="M128" s="5">
        <f>ROUND(ROUND(L128,2)*ROUND(G128,3),2)</f>
        <v>0</v>
      </c>
      <c r="N128" s="4" t="s">
        <v>501</v>
      </c>
      <c r="O128">
        <f>(M128*21)/100</f>
        <v>0</v>
      </c>
      <c r="P128" t="s">
        <v>6</v>
      </c>
    </row>
    <row r="129" spans="1:16" ht="39.6" x14ac:dyDescent="0.25">
      <c r="A129" s="3" t="s">
        <v>5</v>
      </c>
      <c r="E129" s="1" t="s">
        <v>1857</v>
      </c>
    </row>
    <row r="130" spans="1:16" ht="13.2" x14ac:dyDescent="0.25">
      <c r="A130" s="3" t="s">
        <v>3</v>
      </c>
      <c r="E130" s="2" t="s">
        <v>2</v>
      </c>
    </row>
    <row r="131" spans="1:16" ht="145.19999999999999" x14ac:dyDescent="0.25">
      <c r="A131" t="s">
        <v>1</v>
      </c>
      <c r="E131" s="1" t="s">
        <v>1856</v>
      </c>
    </row>
    <row r="132" spans="1:16" ht="13.2" x14ac:dyDescent="0.25">
      <c r="A132" t="s">
        <v>50</v>
      </c>
      <c r="C132" s="11" t="s">
        <v>1855</v>
      </c>
      <c r="E132" s="10" t="s">
        <v>1854</v>
      </c>
      <c r="J132" s="5">
        <f>0</f>
        <v>0</v>
      </c>
      <c r="K132" s="5">
        <f>0</f>
        <v>0</v>
      </c>
      <c r="L132" s="5">
        <f>0+L133+L137+L141</f>
        <v>0</v>
      </c>
      <c r="M132" s="5">
        <f>0+M133+M137+M141</f>
        <v>0</v>
      </c>
    </row>
    <row r="133" spans="1:16" ht="13.2" x14ac:dyDescent="0.25">
      <c r="A133" t="s">
        <v>11</v>
      </c>
      <c r="B133" s="9" t="s">
        <v>231</v>
      </c>
      <c r="C133" s="9" t="s">
        <v>1853</v>
      </c>
      <c r="D133" s="3" t="s">
        <v>2</v>
      </c>
      <c r="E133" s="8" t="s">
        <v>1852</v>
      </c>
      <c r="F133" s="4" t="s">
        <v>370</v>
      </c>
      <c r="G133" s="7">
        <v>1138.9010000000001</v>
      </c>
      <c r="H133" s="4">
        <v>2.3999999999999998E-3</v>
      </c>
      <c r="I133" s="4">
        <f>ROUND(G133*H133,6)</f>
        <v>2.7333620000000001</v>
      </c>
      <c r="L133" s="6">
        <v>0</v>
      </c>
      <c r="M133" s="5">
        <f>ROUND(ROUND(L133,2)*ROUND(G133,3),2)</f>
        <v>0</v>
      </c>
      <c r="N133" s="4" t="s">
        <v>501</v>
      </c>
      <c r="O133">
        <f>(M133*21)/100</f>
        <v>0</v>
      </c>
      <c r="P133" t="s">
        <v>6</v>
      </c>
    </row>
    <row r="134" spans="1:16" ht="13.2" x14ac:dyDescent="0.25">
      <c r="A134" s="3" t="s">
        <v>5</v>
      </c>
      <c r="E134" s="1" t="s">
        <v>1852</v>
      </c>
    </row>
    <row r="135" spans="1:16" ht="13.2" x14ac:dyDescent="0.25">
      <c r="A135" s="3" t="s">
        <v>3</v>
      </c>
      <c r="E135" s="2" t="s">
        <v>2</v>
      </c>
    </row>
    <row r="136" spans="1:16" ht="13.2" x14ac:dyDescent="0.25">
      <c r="A136" t="s">
        <v>1</v>
      </c>
      <c r="E136" s="1" t="s">
        <v>1851</v>
      </c>
    </row>
    <row r="137" spans="1:16" ht="26.4" x14ac:dyDescent="0.25">
      <c r="A137" t="s">
        <v>11</v>
      </c>
      <c r="B137" s="9" t="s">
        <v>228</v>
      </c>
      <c r="C137" s="9" t="s">
        <v>1850</v>
      </c>
      <c r="D137" s="3" t="s">
        <v>2</v>
      </c>
      <c r="E137" s="8" t="s">
        <v>1849</v>
      </c>
      <c r="F137" s="4" t="s">
        <v>370</v>
      </c>
      <c r="G137" s="7">
        <v>1116.57</v>
      </c>
      <c r="H137" s="4">
        <v>0</v>
      </c>
      <c r="I137" s="4">
        <f>ROUND(G137*H137,6)</f>
        <v>0</v>
      </c>
      <c r="L137" s="6">
        <v>0</v>
      </c>
      <c r="M137" s="5">
        <f>ROUND(ROUND(L137,2)*ROUND(G137,3),2)</f>
        <v>0</v>
      </c>
      <c r="N137" s="4" t="s">
        <v>501</v>
      </c>
      <c r="O137">
        <f>(M137*21)/100</f>
        <v>0</v>
      </c>
      <c r="P137" t="s">
        <v>6</v>
      </c>
    </row>
    <row r="138" spans="1:16" ht="26.4" x14ac:dyDescent="0.25">
      <c r="A138" s="3" t="s">
        <v>5</v>
      </c>
      <c r="E138" s="1" t="s">
        <v>1849</v>
      </c>
    </row>
    <row r="139" spans="1:16" ht="13.2" x14ac:dyDescent="0.25">
      <c r="A139" s="3" t="s">
        <v>3</v>
      </c>
      <c r="E139" s="2" t="s">
        <v>1848</v>
      </c>
    </row>
    <row r="140" spans="1:16" ht="52.8" x14ac:dyDescent="0.25">
      <c r="A140" t="s">
        <v>1</v>
      </c>
      <c r="E140" s="1" t="s">
        <v>1847</v>
      </c>
    </row>
    <row r="141" spans="1:16" ht="26.4" x14ac:dyDescent="0.25">
      <c r="A141" t="s">
        <v>11</v>
      </c>
      <c r="B141" s="9" t="s">
        <v>225</v>
      </c>
      <c r="C141" s="9" t="s">
        <v>1846</v>
      </c>
      <c r="D141" s="3" t="s">
        <v>2</v>
      </c>
      <c r="E141" s="8" t="s">
        <v>1845</v>
      </c>
      <c r="F141" s="4" t="s">
        <v>542</v>
      </c>
      <c r="G141" s="7">
        <v>2.7330000000000001</v>
      </c>
      <c r="H141" s="4">
        <v>0</v>
      </c>
      <c r="I141" s="4">
        <f>ROUND(G141*H141,6)</f>
        <v>0</v>
      </c>
      <c r="L141" s="6">
        <v>0</v>
      </c>
      <c r="M141" s="5">
        <f>ROUND(ROUND(L141,2)*ROUND(G141,3),2)</f>
        <v>0</v>
      </c>
      <c r="N141" s="4" t="s">
        <v>501</v>
      </c>
      <c r="O141">
        <f>(M141*21)/100</f>
        <v>0</v>
      </c>
      <c r="P141" t="s">
        <v>6</v>
      </c>
    </row>
    <row r="142" spans="1:16" ht="26.4" x14ac:dyDescent="0.25">
      <c r="A142" s="3" t="s">
        <v>5</v>
      </c>
      <c r="E142" s="1" t="s">
        <v>1845</v>
      </c>
    </row>
    <row r="143" spans="1:16" ht="13.2" x14ac:dyDescent="0.25">
      <c r="A143" s="3" t="s">
        <v>3</v>
      </c>
      <c r="E143" s="2" t="s">
        <v>2</v>
      </c>
    </row>
    <row r="144" spans="1:16" ht="145.19999999999999" x14ac:dyDescent="0.25">
      <c r="A144" t="s">
        <v>1</v>
      </c>
      <c r="E144" s="1" t="s">
        <v>1844</v>
      </c>
    </row>
    <row r="145" spans="1:16" ht="13.2" x14ac:dyDescent="0.25">
      <c r="A145" t="s">
        <v>50</v>
      </c>
      <c r="C145" s="11" t="s">
        <v>1843</v>
      </c>
      <c r="E145" s="10" t="s">
        <v>1842</v>
      </c>
      <c r="J145" s="5">
        <f>0</f>
        <v>0</v>
      </c>
      <c r="K145" s="5">
        <f>0</f>
        <v>0</v>
      </c>
      <c r="L145" s="5">
        <f>0+L146+L150+L154+L158+L162+L166+L170+L174+L178+L182+L186+L190+L194+L198+L202</f>
        <v>0</v>
      </c>
      <c r="M145" s="5">
        <f>0+M146+M150+M154+M158+M162+M166+M170+M174+M178+M182+M186+M190+M194+M198+M202</f>
        <v>0</v>
      </c>
    </row>
    <row r="146" spans="1:16" ht="26.4" x14ac:dyDescent="0.25">
      <c r="A146" t="s">
        <v>11</v>
      </c>
      <c r="B146" s="9" t="s">
        <v>222</v>
      </c>
      <c r="C146" s="9" t="s">
        <v>1841</v>
      </c>
      <c r="D146" s="3" t="s">
        <v>2</v>
      </c>
      <c r="E146" s="8" t="s">
        <v>1840</v>
      </c>
      <c r="F146" s="4" t="s">
        <v>370</v>
      </c>
      <c r="G146" s="7">
        <v>64.028999999999996</v>
      </c>
      <c r="H146" s="4">
        <v>3.0000000000000001E-3</v>
      </c>
      <c r="I146" s="4">
        <f>ROUND(G146*H146,6)</f>
        <v>0.19208700000000001</v>
      </c>
      <c r="L146" s="6">
        <v>0</v>
      </c>
      <c r="M146" s="5">
        <f>ROUND(ROUND(L146,2)*ROUND(G146,3),2)</f>
        <v>0</v>
      </c>
      <c r="N146" s="4" t="s">
        <v>501</v>
      </c>
      <c r="O146">
        <f>(M146*21)/100</f>
        <v>0</v>
      </c>
      <c r="P146" t="s">
        <v>6</v>
      </c>
    </row>
    <row r="147" spans="1:16" ht="26.4" x14ac:dyDescent="0.25">
      <c r="A147" s="3" t="s">
        <v>5</v>
      </c>
      <c r="E147" s="1" t="s">
        <v>1840</v>
      </c>
    </row>
    <row r="148" spans="1:16" ht="13.2" x14ac:dyDescent="0.25">
      <c r="A148" s="3" t="s">
        <v>3</v>
      </c>
      <c r="E148" s="2" t="s">
        <v>2</v>
      </c>
    </row>
    <row r="149" spans="1:16" ht="13.2" x14ac:dyDescent="0.25">
      <c r="A149" t="s">
        <v>1</v>
      </c>
      <c r="E149" s="1" t="s">
        <v>1839</v>
      </c>
    </row>
    <row r="150" spans="1:16" ht="39.6" x14ac:dyDescent="0.25">
      <c r="A150" t="s">
        <v>11</v>
      </c>
      <c r="B150" s="9" t="s">
        <v>219</v>
      </c>
      <c r="C150" s="9" t="s">
        <v>1838</v>
      </c>
      <c r="D150" s="3" t="s">
        <v>2</v>
      </c>
      <c r="E150" s="8" t="s">
        <v>1837</v>
      </c>
      <c r="F150" s="4" t="s">
        <v>370</v>
      </c>
      <c r="G150" s="7">
        <v>104.889</v>
      </c>
      <c r="H150" s="4">
        <v>2.6179999999999998E-2</v>
      </c>
      <c r="I150" s="4">
        <f>ROUND(G150*H150,6)</f>
        <v>2.745994</v>
      </c>
      <c r="L150" s="6">
        <v>0</v>
      </c>
      <c r="M150" s="5">
        <f>ROUND(ROUND(L150,2)*ROUND(G150,3),2)</f>
        <v>0</v>
      </c>
      <c r="N150" s="4" t="s">
        <v>501</v>
      </c>
      <c r="O150">
        <f>(M150*21)/100</f>
        <v>0</v>
      </c>
      <c r="P150" t="s">
        <v>6</v>
      </c>
    </row>
    <row r="151" spans="1:16" ht="39.6" x14ac:dyDescent="0.25">
      <c r="A151" s="3" t="s">
        <v>5</v>
      </c>
      <c r="E151" s="1" t="s">
        <v>1836</v>
      </c>
    </row>
    <row r="152" spans="1:16" ht="79.2" x14ac:dyDescent="0.25">
      <c r="A152" s="3" t="s">
        <v>3</v>
      </c>
      <c r="E152" s="12" t="s">
        <v>1835</v>
      </c>
    </row>
    <row r="153" spans="1:16" ht="184.8" x14ac:dyDescent="0.25">
      <c r="A153" t="s">
        <v>1</v>
      </c>
      <c r="E153" s="1" t="s">
        <v>1834</v>
      </c>
    </row>
    <row r="154" spans="1:16" ht="39.6" x14ac:dyDescent="0.25">
      <c r="A154" t="s">
        <v>11</v>
      </c>
      <c r="B154" s="9" t="s">
        <v>216</v>
      </c>
      <c r="C154" s="9" t="s">
        <v>1833</v>
      </c>
      <c r="D154" s="3" t="s">
        <v>2</v>
      </c>
      <c r="E154" s="8" t="s">
        <v>1824</v>
      </c>
      <c r="F154" s="4" t="s">
        <v>370</v>
      </c>
      <c r="G154" s="7">
        <v>5.2220000000000004</v>
      </c>
      <c r="H154" s="4">
        <v>2.5389999999999999E-2</v>
      </c>
      <c r="I154" s="4">
        <f>ROUND(G154*H154,6)</f>
        <v>0.13258700000000001</v>
      </c>
      <c r="L154" s="6">
        <v>0</v>
      </c>
      <c r="M154" s="5">
        <f>ROUND(ROUND(L154,2)*ROUND(G154,3),2)</f>
        <v>0</v>
      </c>
      <c r="N154" s="4" t="s">
        <v>501</v>
      </c>
      <c r="O154">
        <f>(M154*21)/100</f>
        <v>0</v>
      </c>
      <c r="P154" t="s">
        <v>6</v>
      </c>
    </row>
    <row r="155" spans="1:16" ht="39.6" x14ac:dyDescent="0.25">
      <c r="A155" s="3" t="s">
        <v>5</v>
      </c>
      <c r="E155" s="1" t="s">
        <v>1832</v>
      </c>
    </row>
    <row r="156" spans="1:16" ht="26.4" x14ac:dyDescent="0.25">
      <c r="A156" s="3" t="s">
        <v>3</v>
      </c>
      <c r="E156" s="12" t="s">
        <v>1831</v>
      </c>
    </row>
    <row r="157" spans="1:16" ht="184.8" x14ac:dyDescent="0.25">
      <c r="A157" t="s">
        <v>1</v>
      </c>
      <c r="E157" s="1" t="s">
        <v>1830</v>
      </c>
    </row>
    <row r="158" spans="1:16" ht="39.6" x14ac:dyDescent="0.25">
      <c r="A158" t="s">
        <v>11</v>
      </c>
      <c r="B158" s="9" t="s">
        <v>213</v>
      </c>
      <c r="C158" s="9" t="s">
        <v>1829</v>
      </c>
      <c r="D158" s="3" t="s">
        <v>2</v>
      </c>
      <c r="E158" s="8" t="s">
        <v>1824</v>
      </c>
      <c r="F158" s="4" t="s">
        <v>370</v>
      </c>
      <c r="G158" s="7">
        <v>6.5789999999999997</v>
      </c>
      <c r="H158" s="4">
        <v>2.614E-2</v>
      </c>
      <c r="I158" s="4">
        <f>ROUND(G158*H158,6)</f>
        <v>0.17197499999999999</v>
      </c>
      <c r="L158" s="6">
        <v>0</v>
      </c>
      <c r="M158" s="5">
        <f>ROUND(ROUND(L158,2)*ROUND(G158,3),2)</f>
        <v>0</v>
      </c>
      <c r="N158" s="4" t="s">
        <v>501</v>
      </c>
      <c r="O158">
        <f>(M158*21)/100</f>
        <v>0</v>
      </c>
      <c r="P158" t="s">
        <v>6</v>
      </c>
    </row>
    <row r="159" spans="1:16" ht="39.6" x14ac:dyDescent="0.25">
      <c r="A159" s="3" t="s">
        <v>5</v>
      </c>
      <c r="E159" s="1" t="s">
        <v>1828</v>
      </c>
    </row>
    <row r="160" spans="1:16" ht="26.4" x14ac:dyDescent="0.25">
      <c r="A160" s="3" t="s">
        <v>3</v>
      </c>
      <c r="E160" s="12" t="s">
        <v>1827</v>
      </c>
    </row>
    <row r="161" spans="1:16" ht="184.8" x14ac:dyDescent="0.25">
      <c r="A161" t="s">
        <v>1</v>
      </c>
      <c r="E161" s="1" t="s">
        <v>1826</v>
      </c>
    </row>
    <row r="162" spans="1:16" ht="39.6" x14ac:dyDescent="0.25">
      <c r="A162" t="s">
        <v>11</v>
      </c>
      <c r="B162" s="9" t="s">
        <v>210</v>
      </c>
      <c r="C162" s="9" t="s">
        <v>1825</v>
      </c>
      <c r="D162" s="3" t="s">
        <v>2</v>
      </c>
      <c r="E162" s="8" t="s">
        <v>1824</v>
      </c>
      <c r="F162" s="4" t="s">
        <v>370</v>
      </c>
      <c r="G162" s="7">
        <v>44.231000000000002</v>
      </c>
      <c r="H162" s="4">
        <v>2.681E-2</v>
      </c>
      <c r="I162" s="4">
        <f>ROUND(G162*H162,6)</f>
        <v>1.1858329999999999</v>
      </c>
      <c r="L162" s="6">
        <v>0</v>
      </c>
      <c r="M162" s="5">
        <f>ROUND(ROUND(L162,2)*ROUND(G162,3),2)</f>
        <v>0</v>
      </c>
      <c r="N162" s="4" t="s">
        <v>501</v>
      </c>
      <c r="O162">
        <f>(M162*21)/100</f>
        <v>0</v>
      </c>
      <c r="P162" t="s">
        <v>6</v>
      </c>
    </row>
    <row r="163" spans="1:16" ht="39.6" x14ac:dyDescent="0.25">
      <c r="A163" s="3" t="s">
        <v>5</v>
      </c>
      <c r="E163" s="1" t="s">
        <v>1823</v>
      </c>
    </row>
    <row r="164" spans="1:16" ht="79.2" x14ac:dyDescent="0.25">
      <c r="A164" s="3" t="s">
        <v>3</v>
      </c>
      <c r="E164" s="12" t="s">
        <v>1822</v>
      </c>
    </row>
    <row r="165" spans="1:16" ht="184.8" x14ac:dyDescent="0.25">
      <c r="A165" t="s">
        <v>1</v>
      </c>
      <c r="E165" s="1" t="s">
        <v>1821</v>
      </c>
    </row>
    <row r="166" spans="1:16" ht="26.4" x14ac:dyDescent="0.25">
      <c r="A166" t="s">
        <v>11</v>
      </c>
      <c r="B166" s="9" t="s">
        <v>207</v>
      </c>
      <c r="C166" s="9" t="s">
        <v>1820</v>
      </c>
      <c r="D166" s="3" t="s">
        <v>2</v>
      </c>
      <c r="E166" s="8" t="s">
        <v>1819</v>
      </c>
      <c r="F166" s="4" t="s">
        <v>370</v>
      </c>
      <c r="G166" s="7">
        <v>176.57499999999999</v>
      </c>
      <c r="H166" s="4">
        <v>1.4E-3</v>
      </c>
      <c r="I166" s="4">
        <f>ROUND(G166*H166,6)</f>
        <v>0.24720500000000001</v>
      </c>
      <c r="L166" s="6">
        <v>0</v>
      </c>
      <c r="M166" s="5">
        <f>ROUND(ROUND(L166,2)*ROUND(G166,3),2)</f>
        <v>0</v>
      </c>
      <c r="N166" s="4" t="s">
        <v>501</v>
      </c>
      <c r="O166">
        <f>(M166*21)/100</f>
        <v>0</v>
      </c>
      <c r="P166" t="s">
        <v>6</v>
      </c>
    </row>
    <row r="167" spans="1:16" ht="26.4" x14ac:dyDescent="0.25">
      <c r="A167" s="3" t="s">
        <v>5</v>
      </c>
      <c r="E167" s="1" t="s">
        <v>1819</v>
      </c>
    </row>
    <row r="168" spans="1:16" ht="13.2" x14ac:dyDescent="0.25">
      <c r="A168" s="3" t="s">
        <v>3</v>
      </c>
      <c r="E168" s="2" t="s">
        <v>1818</v>
      </c>
    </row>
    <row r="169" spans="1:16" ht="158.4" x14ac:dyDescent="0.25">
      <c r="A169" t="s">
        <v>1</v>
      </c>
      <c r="E169" s="1" t="s">
        <v>1817</v>
      </c>
    </row>
    <row r="170" spans="1:16" ht="39.6" x14ac:dyDescent="0.25">
      <c r="A170" t="s">
        <v>11</v>
      </c>
      <c r="B170" s="9" t="s">
        <v>204</v>
      </c>
      <c r="C170" s="9" t="s">
        <v>1816</v>
      </c>
      <c r="D170" s="3" t="s">
        <v>2</v>
      </c>
      <c r="E170" s="8" t="s">
        <v>1815</v>
      </c>
      <c r="F170" s="4" t="s">
        <v>370</v>
      </c>
      <c r="G170" s="7">
        <v>58.404000000000003</v>
      </c>
      <c r="H170" s="4">
        <v>1.324E-2</v>
      </c>
      <c r="I170" s="4">
        <f>ROUND(G170*H170,6)</f>
        <v>0.77326899999999998</v>
      </c>
      <c r="L170" s="6">
        <v>0</v>
      </c>
      <c r="M170" s="5">
        <f>ROUND(ROUND(L170,2)*ROUND(G170,3),2)</f>
        <v>0</v>
      </c>
      <c r="N170" s="4" t="s">
        <v>501</v>
      </c>
      <c r="O170">
        <f>(M170*21)/100</f>
        <v>0</v>
      </c>
      <c r="P170" t="s">
        <v>6</v>
      </c>
    </row>
    <row r="171" spans="1:16" ht="39.6" x14ac:dyDescent="0.25">
      <c r="A171" s="3" t="s">
        <v>5</v>
      </c>
      <c r="E171" s="1" t="s">
        <v>1814</v>
      </c>
    </row>
    <row r="172" spans="1:16" ht="264" x14ac:dyDescent="0.25">
      <c r="A172" s="3" t="s">
        <v>3</v>
      </c>
      <c r="E172" s="2" t="s">
        <v>1813</v>
      </c>
    </row>
    <row r="173" spans="1:16" ht="277.2" x14ac:dyDescent="0.25">
      <c r="A173" t="s">
        <v>1</v>
      </c>
      <c r="E173" s="1" t="s">
        <v>1812</v>
      </c>
    </row>
    <row r="174" spans="1:16" ht="39.6" x14ac:dyDescent="0.25">
      <c r="A174" t="s">
        <v>11</v>
      </c>
      <c r="B174" s="9" t="s">
        <v>201</v>
      </c>
      <c r="C174" s="9" t="s">
        <v>1811</v>
      </c>
      <c r="D174" s="3" t="s">
        <v>2</v>
      </c>
      <c r="E174" s="8" t="s">
        <v>1810</v>
      </c>
      <c r="F174" s="4" t="s">
        <v>370</v>
      </c>
      <c r="G174" s="7">
        <v>4.2380000000000004</v>
      </c>
      <c r="H174" s="4">
        <v>1.355E-2</v>
      </c>
      <c r="I174" s="4">
        <f>ROUND(G174*H174,6)</f>
        <v>5.7424999999999997E-2</v>
      </c>
      <c r="L174" s="6">
        <v>0</v>
      </c>
      <c r="M174" s="5">
        <f>ROUND(ROUND(L174,2)*ROUND(G174,3),2)</f>
        <v>0</v>
      </c>
      <c r="N174" s="4" t="s">
        <v>501</v>
      </c>
      <c r="O174">
        <f>(M174*21)/100</f>
        <v>0</v>
      </c>
      <c r="P174" t="s">
        <v>6</v>
      </c>
    </row>
    <row r="175" spans="1:16" ht="39.6" x14ac:dyDescent="0.25">
      <c r="A175" s="3" t="s">
        <v>5</v>
      </c>
      <c r="E175" s="1" t="s">
        <v>1809</v>
      </c>
    </row>
    <row r="176" spans="1:16" ht="66" x14ac:dyDescent="0.25">
      <c r="A176" s="3" t="s">
        <v>3</v>
      </c>
      <c r="E176" s="2" t="s">
        <v>1808</v>
      </c>
    </row>
    <row r="177" spans="1:16" ht="277.2" x14ac:dyDescent="0.25">
      <c r="A177" t="s">
        <v>1</v>
      </c>
      <c r="E177" s="1" t="s">
        <v>1807</v>
      </c>
    </row>
    <row r="178" spans="1:16" ht="39.6" x14ac:dyDescent="0.25">
      <c r="A178" t="s">
        <v>11</v>
      </c>
      <c r="B178" s="9" t="s">
        <v>198</v>
      </c>
      <c r="C178" s="9" t="s">
        <v>1806</v>
      </c>
      <c r="D178" s="3" t="s">
        <v>2</v>
      </c>
      <c r="E178" s="8" t="s">
        <v>1805</v>
      </c>
      <c r="F178" s="4" t="s">
        <v>370</v>
      </c>
      <c r="G178" s="7">
        <v>5.734</v>
      </c>
      <c r="H178" s="4">
        <v>2.963E-2</v>
      </c>
      <c r="I178" s="4">
        <f>ROUND(G178*H178,6)</f>
        <v>0.16989799999999999</v>
      </c>
      <c r="L178" s="6">
        <v>0</v>
      </c>
      <c r="M178" s="5">
        <f>ROUND(ROUND(L178,2)*ROUND(G178,3),2)</f>
        <v>0</v>
      </c>
      <c r="N178" s="4" t="s">
        <v>501</v>
      </c>
      <c r="O178">
        <f>(M178*21)/100</f>
        <v>0</v>
      </c>
      <c r="P178" t="s">
        <v>6</v>
      </c>
    </row>
    <row r="179" spans="1:16" ht="39.6" x14ac:dyDescent="0.25">
      <c r="A179" s="3" t="s">
        <v>5</v>
      </c>
      <c r="E179" s="1" t="s">
        <v>1804</v>
      </c>
    </row>
    <row r="180" spans="1:16" ht="52.8" x14ac:dyDescent="0.25">
      <c r="A180" s="3" t="s">
        <v>3</v>
      </c>
      <c r="E180" s="12" t="s">
        <v>1803</v>
      </c>
    </row>
    <row r="181" spans="1:16" ht="277.2" x14ac:dyDescent="0.25">
      <c r="A181" t="s">
        <v>1</v>
      </c>
      <c r="E181" s="1" t="s">
        <v>1802</v>
      </c>
    </row>
    <row r="182" spans="1:16" ht="26.4" x14ac:dyDescent="0.25">
      <c r="A182" t="s">
        <v>11</v>
      </c>
      <c r="B182" s="9" t="s">
        <v>195</v>
      </c>
      <c r="C182" s="9" t="s">
        <v>1801</v>
      </c>
      <c r="D182" s="3" t="s">
        <v>2</v>
      </c>
      <c r="E182" s="8" t="s">
        <v>1800</v>
      </c>
      <c r="F182" s="4" t="s">
        <v>370</v>
      </c>
      <c r="G182" s="7">
        <v>68.376000000000005</v>
      </c>
      <c r="H182" s="4">
        <v>6.9999999999999999E-4</v>
      </c>
      <c r="I182" s="4">
        <f>ROUND(G182*H182,6)</f>
        <v>4.7863000000000003E-2</v>
      </c>
      <c r="L182" s="6">
        <v>0</v>
      </c>
      <c r="M182" s="5">
        <f>ROUND(ROUND(L182,2)*ROUND(G182,3),2)</f>
        <v>0</v>
      </c>
      <c r="N182" s="4" t="s">
        <v>501</v>
      </c>
      <c r="O182">
        <f>(M182*21)/100</f>
        <v>0</v>
      </c>
      <c r="P182" t="s">
        <v>6</v>
      </c>
    </row>
    <row r="183" spans="1:16" ht="26.4" x14ac:dyDescent="0.25">
      <c r="A183" s="3" t="s">
        <v>5</v>
      </c>
      <c r="E183" s="1" t="s">
        <v>1800</v>
      </c>
    </row>
    <row r="184" spans="1:16" ht="13.2" x14ac:dyDescent="0.25">
      <c r="A184" s="3" t="s">
        <v>3</v>
      </c>
      <c r="E184" s="2" t="s">
        <v>1799</v>
      </c>
    </row>
    <row r="185" spans="1:16" ht="264" x14ac:dyDescent="0.25">
      <c r="A185" t="s">
        <v>1</v>
      </c>
      <c r="E185" s="1" t="s">
        <v>1798</v>
      </c>
    </row>
    <row r="186" spans="1:16" ht="26.4" x14ac:dyDescent="0.25">
      <c r="A186" t="s">
        <v>11</v>
      </c>
      <c r="B186" s="9" t="s">
        <v>192</v>
      </c>
      <c r="C186" s="9" t="s">
        <v>1797</v>
      </c>
      <c r="D186" s="3" t="s">
        <v>2</v>
      </c>
      <c r="E186" s="8" t="s">
        <v>1796</v>
      </c>
      <c r="F186" s="4" t="s">
        <v>370</v>
      </c>
      <c r="G186" s="7">
        <v>14.81</v>
      </c>
      <c r="H186" s="4">
        <v>6.9999999999999999E-4</v>
      </c>
      <c r="I186" s="4">
        <f>ROUND(G186*H186,6)</f>
        <v>1.0366999999999999E-2</v>
      </c>
      <c r="L186" s="6">
        <v>0</v>
      </c>
      <c r="M186" s="5">
        <f>ROUND(ROUND(L186,2)*ROUND(G186,3),2)</f>
        <v>0</v>
      </c>
      <c r="N186" s="4" t="s">
        <v>501</v>
      </c>
      <c r="O186">
        <f>(M186*21)/100</f>
        <v>0</v>
      </c>
      <c r="P186" t="s">
        <v>6</v>
      </c>
    </row>
    <row r="187" spans="1:16" ht="26.4" x14ac:dyDescent="0.25">
      <c r="A187" s="3" t="s">
        <v>5</v>
      </c>
      <c r="E187" s="1" t="s">
        <v>1796</v>
      </c>
    </row>
    <row r="188" spans="1:16" ht="13.2" x14ac:dyDescent="0.25">
      <c r="A188" s="3" t="s">
        <v>3</v>
      </c>
      <c r="E188" s="2" t="s">
        <v>2</v>
      </c>
    </row>
    <row r="189" spans="1:16" ht="211.2" x14ac:dyDescent="0.25">
      <c r="A189" t="s">
        <v>1</v>
      </c>
      <c r="E189" s="1" t="s">
        <v>1795</v>
      </c>
    </row>
    <row r="190" spans="1:16" ht="26.4" x14ac:dyDescent="0.25">
      <c r="A190" t="s">
        <v>11</v>
      </c>
      <c r="B190" s="9" t="s">
        <v>189</v>
      </c>
      <c r="C190" s="9" t="s">
        <v>1794</v>
      </c>
      <c r="D190" s="3" t="s">
        <v>2</v>
      </c>
      <c r="E190" s="8" t="s">
        <v>1793</v>
      </c>
      <c r="F190" s="4" t="s">
        <v>370</v>
      </c>
      <c r="G190" s="7">
        <v>26.6</v>
      </c>
      <c r="H190" s="4">
        <v>1.423E-2</v>
      </c>
      <c r="I190" s="4">
        <f>ROUND(G190*H190,6)</f>
        <v>0.37851800000000002</v>
      </c>
      <c r="L190" s="6">
        <v>0</v>
      </c>
      <c r="M190" s="5">
        <f>ROUND(ROUND(L190,2)*ROUND(G190,3),2)</f>
        <v>0</v>
      </c>
      <c r="N190" s="4" t="s">
        <v>501</v>
      </c>
      <c r="O190">
        <f>(M190*21)/100</f>
        <v>0</v>
      </c>
      <c r="P190" t="s">
        <v>6</v>
      </c>
    </row>
    <row r="191" spans="1:16" ht="39.6" x14ac:dyDescent="0.25">
      <c r="A191" s="3" t="s">
        <v>5</v>
      </c>
      <c r="E191" s="1" t="s">
        <v>1792</v>
      </c>
    </row>
    <row r="192" spans="1:16" ht="13.2" x14ac:dyDescent="0.25">
      <c r="A192" s="3" t="s">
        <v>3</v>
      </c>
      <c r="E192" s="2" t="s">
        <v>1791</v>
      </c>
    </row>
    <row r="193" spans="1:16" ht="184.8" x14ac:dyDescent="0.25">
      <c r="A193" t="s">
        <v>1</v>
      </c>
      <c r="E193" s="1" t="s">
        <v>1790</v>
      </c>
    </row>
    <row r="194" spans="1:16" ht="26.4" x14ac:dyDescent="0.25">
      <c r="A194" t="s">
        <v>11</v>
      </c>
      <c r="B194" s="9" t="s">
        <v>186</v>
      </c>
      <c r="C194" s="9" t="s">
        <v>1789</v>
      </c>
      <c r="D194" s="3" t="s">
        <v>2</v>
      </c>
      <c r="E194" s="8" t="s">
        <v>1788</v>
      </c>
      <c r="F194" s="4" t="s">
        <v>370</v>
      </c>
      <c r="G194" s="7">
        <v>60.98</v>
      </c>
      <c r="H194" s="4">
        <v>1.32E-3</v>
      </c>
      <c r="I194" s="4">
        <f>ROUND(G194*H194,6)</f>
        <v>8.0493999999999996E-2</v>
      </c>
      <c r="L194" s="6">
        <v>0</v>
      </c>
      <c r="M194" s="5">
        <f>ROUND(ROUND(L194,2)*ROUND(G194,3),2)</f>
        <v>0</v>
      </c>
      <c r="N194" s="4" t="s">
        <v>501</v>
      </c>
      <c r="O194">
        <f>(M194*21)/100</f>
        <v>0</v>
      </c>
      <c r="P194" t="s">
        <v>6</v>
      </c>
    </row>
    <row r="195" spans="1:16" ht="26.4" x14ac:dyDescent="0.25">
      <c r="A195" s="3" t="s">
        <v>5</v>
      </c>
      <c r="E195" s="1" t="s">
        <v>1788</v>
      </c>
    </row>
    <row r="196" spans="1:16" ht="13.2" x14ac:dyDescent="0.25">
      <c r="A196" s="3" t="s">
        <v>3</v>
      </c>
      <c r="E196" s="2" t="s">
        <v>1787</v>
      </c>
    </row>
    <row r="197" spans="1:16" ht="92.4" x14ac:dyDescent="0.25">
      <c r="A197" t="s">
        <v>1</v>
      </c>
      <c r="E197" s="1" t="s">
        <v>1786</v>
      </c>
    </row>
    <row r="198" spans="1:16" ht="39.6" x14ac:dyDescent="0.25">
      <c r="A198" t="s">
        <v>11</v>
      </c>
      <c r="B198" s="9" t="s">
        <v>183</v>
      </c>
      <c r="C198" s="9" t="s">
        <v>1785</v>
      </c>
      <c r="D198" s="3" t="s">
        <v>2</v>
      </c>
      <c r="E198" s="8" t="s">
        <v>1784</v>
      </c>
      <c r="F198" s="4" t="s">
        <v>542</v>
      </c>
      <c r="G198" s="7">
        <v>6.6130000000000004</v>
      </c>
      <c r="H198" s="4">
        <v>0</v>
      </c>
      <c r="I198" s="4">
        <f>ROUND(G198*H198,6)</f>
        <v>0</v>
      </c>
      <c r="L198" s="6">
        <v>0</v>
      </c>
      <c r="M198" s="5">
        <f>ROUND(ROUND(L198,2)*ROUND(G198,3),2)</f>
        <v>0</v>
      </c>
      <c r="N198" s="4" t="s">
        <v>501</v>
      </c>
      <c r="O198">
        <f>(M198*21)/100</f>
        <v>0</v>
      </c>
      <c r="P198" t="s">
        <v>6</v>
      </c>
    </row>
    <row r="199" spans="1:16" ht="52.8" x14ac:dyDescent="0.25">
      <c r="A199" s="3" t="s">
        <v>5</v>
      </c>
      <c r="E199" s="1" t="s">
        <v>1783</v>
      </c>
    </row>
    <row r="200" spans="1:16" ht="13.2" x14ac:dyDescent="0.25">
      <c r="A200" s="3" t="s">
        <v>3</v>
      </c>
      <c r="E200" s="2" t="s">
        <v>2</v>
      </c>
    </row>
    <row r="201" spans="1:16" ht="171.6" x14ac:dyDescent="0.25">
      <c r="A201" t="s">
        <v>1</v>
      </c>
      <c r="E201" s="1" t="s">
        <v>1782</v>
      </c>
    </row>
    <row r="202" spans="1:16" ht="26.4" x14ac:dyDescent="0.25">
      <c r="A202" t="s">
        <v>11</v>
      </c>
      <c r="B202" s="9" t="s">
        <v>180</v>
      </c>
      <c r="C202" s="9" t="s">
        <v>1781</v>
      </c>
      <c r="D202" s="3" t="s">
        <v>2</v>
      </c>
      <c r="E202" s="8" t="s">
        <v>1780</v>
      </c>
      <c r="F202" s="4" t="s">
        <v>370</v>
      </c>
      <c r="G202" s="7">
        <v>15.656000000000001</v>
      </c>
      <c r="H202" s="4">
        <v>3.0079999999999999E-2</v>
      </c>
      <c r="I202" s="4">
        <f>ROUND(G202*H202,6)</f>
        <v>0.47093200000000002</v>
      </c>
      <c r="L202" s="6">
        <v>0</v>
      </c>
      <c r="M202" s="5">
        <f>ROUND(ROUND(L202,2)*ROUND(G202,3),2)</f>
        <v>0</v>
      </c>
      <c r="N202" s="4" t="s">
        <v>7</v>
      </c>
      <c r="O202">
        <f>(M202*21)/100</f>
        <v>0</v>
      </c>
      <c r="P202" t="s">
        <v>6</v>
      </c>
    </row>
    <row r="203" spans="1:16" ht="26.4" x14ac:dyDescent="0.25">
      <c r="A203" s="3" t="s">
        <v>5</v>
      </c>
      <c r="E203" s="1" t="s">
        <v>1780</v>
      </c>
    </row>
    <row r="204" spans="1:16" ht="13.2" x14ac:dyDescent="0.25">
      <c r="A204" s="3" t="s">
        <v>3</v>
      </c>
      <c r="E204" s="2" t="s">
        <v>1779</v>
      </c>
    </row>
    <row r="205" spans="1:16" ht="79.2" x14ac:dyDescent="0.25">
      <c r="A205" t="s">
        <v>1</v>
      </c>
      <c r="E205" s="1" t="s">
        <v>1778</v>
      </c>
    </row>
    <row r="206" spans="1:16" ht="13.2" x14ac:dyDescent="0.25">
      <c r="A206" t="s">
        <v>50</v>
      </c>
      <c r="C206" s="11" t="s">
        <v>1777</v>
      </c>
      <c r="E206" s="10" t="s">
        <v>1776</v>
      </c>
      <c r="J206" s="5">
        <f>0</f>
        <v>0</v>
      </c>
      <c r="K206" s="5">
        <f>0</f>
        <v>0</v>
      </c>
      <c r="L206" s="5">
        <f>0+L207+L211+L215+L219+L223+L227+L231+L235+L239+L243+L247+L251+L255+L259+L263+L267+L271+L275+L279+L283+L287+L291+L295+L299+L303+L307</f>
        <v>0</v>
      </c>
      <c r="M206" s="5">
        <f>0+M207+M211+M215+M219+M223+M227+M231+M235+M239+M243+M247+M251+M255+M259+M263+M267+M271+M275+M279+M283+M287+M291+M295+M299+M303+M307</f>
        <v>0</v>
      </c>
    </row>
    <row r="207" spans="1:16" ht="39.6" x14ac:dyDescent="0.25">
      <c r="A207" t="s">
        <v>11</v>
      </c>
      <c r="B207" s="9" t="s">
        <v>177</v>
      </c>
      <c r="C207" s="9" t="s">
        <v>1775</v>
      </c>
      <c r="D207" s="3" t="s">
        <v>2</v>
      </c>
      <c r="E207" s="8" t="s">
        <v>1774</v>
      </c>
      <c r="F207" s="4" t="s">
        <v>542</v>
      </c>
      <c r="G207" s="7">
        <v>5.3049999999999997</v>
      </c>
      <c r="H207" s="4">
        <v>0</v>
      </c>
      <c r="I207" s="4">
        <f>ROUND(G207*H207,6)</f>
        <v>0</v>
      </c>
      <c r="L207" s="6">
        <v>0</v>
      </c>
      <c r="M207" s="5">
        <f>ROUND(ROUND(L207,2)*ROUND(G207,3),2)</f>
        <v>0</v>
      </c>
      <c r="N207" s="4" t="s">
        <v>501</v>
      </c>
      <c r="O207">
        <f>(M207*21)/100</f>
        <v>0</v>
      </c>
      <c r="P207" t="s">
        <v>6</v>
      </c>
    </row>
    <row r="208" spans="1:16" ht="39.6" x14ac:dyDescent="0.25">
      <c r="A208" s="3" t="s">
        <v>5</v>
      </c>
      <c r="E208" s="1" t="s">
        <v>1774</v>
      </c>
    </row>
    <row r="209" spans="1:16" ht="13.2" x14ac:dyDescent="0.25">
      <c r="A209" s="3" t="s">
        <v>3</v>
      </c>
      <c r="E209" s="2" t="s">
        <v>2</v>
      </c>
    </row>
    <row r="210" spans="1:16" ht="145.19999999999999" x14ac:dyDescent="0.25">
      <c r="A210" t="s">
        <v>1</v>
      </c>
      <c r="E210" s="1" t="s">
        <v>1773</v>
      </c>
    </row>
    <row r="211" spans="1:16" ht="13.2" x14ac:dyDescent="0.25">
      <c r="A211" t="s">
        <v>11</v>
      </c>
      <c r="B211" s="9" t="s">
        <v>174</v>
      </c>
      <c r="C211" s="9" t="s">
        <v>1772</v>
      </c>
      <c r="D211" s="3" t="s">
        <v>2</v>
      </c>
      <c r="E211" s="8" t="s">
        <v>1771</v>
      </c>
      <c r="F211" s="4" t="s">
        <v>8</v>
      </c>
      <c r="G211" s="7">
        <v>130</v>
      </c>
      <c r="H211" s="4">
        <v>6.5199999999999998E-3</v>
      </c>
      <c r="I211" s="4">
        <f>ROUND(G211*H211,6)</f>
        <v>0.84760000000000002</v>
      </c>
      <c r="L211" s="6">
        <v>0</v>
      </c>
      <c r="M211" s="5">
        <f>ROUND(ROUND(L211,2)*ROUND(G211,3),2)</f>
        <v>0</v>
      </c>
      <c r="N211" s="4" t="s">
        <v>7</v>
      </c>
      <c r="O211">
        <f>(M211*21)/100</f>
        <v>0</v>
      </c>
      <c r="P211" t="s">
        <v>6</v>
      </c>
    </row>
    <row r="212" spans="1:16" ht="13.2" x14ac:dyDescent="0.25">
      <c r="A212" s="3" t="s">
        <v>5</v>
      </c>
      <c r="E212" s="1" t="s">
        <v>1771</v>
      </c>
    </row>
    <row r="213" spans="1:16" ht="13.2" x14ac:dyDescent="0.25">
      <c r="A213" s="3" t="s">
        <v>3</v>
      </c>
      <c r="E213" s="2" t="s">
        <v>1770</v>
      </c>
    </row>
    <row r="214" spans="1:16" ht="66" x14ac:dyDescent="0.25">
      <c r="A214" t="s">
        <v>1</v>
      </c>
      <c r="E214" s="1" t="s">
        <v>1769</v>
      </c>
    </row>
    <row r="215" spans="1:16" ht="13.2" x14ac:dyDescent="0.25">
      <c r="A215" t="s">
        <v>11</v>
      </c>
      <c r="B215" s="9" t="s">
        <v>171</v>
      </c>
      <c r="C215" s="9" t="s">
        <v>1768</v>
      </c>
      <c r="D215" s="3" t="s">
        <v>2</v>
      </c>
      <c r="E215" s="8" t="s">
        <v>1767</v>
      </c>
      <c r="F215" s="4" t="s">
        <v>8</v>
      </c>
      <c r="G215" s="7">
        <v>35.799999999999997</v>
      </c>
      <c r="H215" s="4">
        <v>6.5199999999999998E-3</v>
      </c>
      <c r="I215" s="4">
        <f>ROUND(G215*H215,6)</f>
        <v>0.23341600000000001</v>
      </c>
      <c r="L215" s="6">
        <v>0</v>
      </c>
      <c r="M215" s="5">
        <f>ROUND(ROUND(L215,2)*ROUND(G215,3),2)</f>
        <v>0</v>
      </c>
      <c r="N215" s="4" t="s">
        <v>7</v>
      </c>
      <c r="O215">
        <f>(M215*21)/100</f>
        <v>0</v>
      </c>
      <c r="P215" t="s">
        <v>6</v>
      </c>
    </row>
    <row r="216" spans="1:16" ht="13.2" x14ac:dyDescent="0.25">
      <c r="A216" s="3" t="s">
        <v>5</v>
      </c>
      <c r="E216" s="1" t="s">
        <v>1767</v>
      </c>
    </row>
    <row r="217" spans="1:16" ht="13.2" x14ac:dyDescent="0.25">
      <c r="A217" s="3" t="s">
        <v>3</v>
      </c>
      <c r="E217" s="2" t="s">
        <v>1766</v>
      </c>
    </row>
    <row r="218" spans="1:16" ht="66" x14ac:dyDescent="0.25">
      <c r="A218" t="s">
        <v>1</v>
      </c>
      <c r="E218" s="1" t="s">
        <v>1765</v>
      </c>
    </row>
    <row r="219" spans="1:16" ht="13.2" x14ac:dyDescent="0.25">
      <c r="A219" t="s">
        <v>11</v>
      </c>
      <c r="B219" s="9" t="s">
        <v>168</v>
      </c>
      <c r="C219" s="9" t="s">
        <v>1764</v>
      </c>
      <c r="D219" s="3" t="s">
        <v>2</v>
      </c>
      <c r="E219" s="8" t="s">
        <v>1763</v>
      </c>
      <c r="F219" s="4" t="s">
        <v>8</v>
      </c>
      <c r="G219" s="7">
        <v>178.8</v>
      </c>
      <c r="H219" s="4">
        <v>3.0100000000000001E-3</v>
      </c>
      <c r="I219" s="4">
        <f>ROUND(G219*H219,6)</f>
        <v>0.538188</v>
      </c>
      <c r="L219" s="6">
        <v>0</v>
      </c>
      <c r="M219" s="5">
        <f>ROUND(ROUND(L219,2)*ROUND(G219,3),2)</f>
        <v>0</v>
      </c>
      <c r="N219" s="4" t="s">
        <v>7</v>
      </c>
      <c r="O219">
        <f>(M219*21)/100</f>
        <v>0</v>
      </c>
      <c r="P219" t="s">
        <v>6</v>
      </c>
    </row>
    <row r="220" spans="1:16" ht="13.2" x14ac:dyDescent="0.25">
      <c r="A220" s="3" t="s">
        <v>5</v>
      </c>
      <c r="E220" s="1" t="s">
        <v>1763</v>
      </c>
    </row>
    <row r="221" spans="1:16" ht="13.2" x14ac:dyDescent="0.25">
      <c r="A221" s="3" t="s">
        <v>3</v>
      </c>
      <c r="E221" s="2" t="s">
        <v>1762</v>
      </c>
    </row>
    <row r="222" spans="1:16" ht="66" x14ac:dyDescent="0.25">
      <c r="A222" t="s">
        <v>1</v>
      </c>
      <c r="E222" s="1" t="s">
        <v>1761</v>
      </c>
    </row>
    <row r="223" spans="1:16" ht="13.2" x14ac:dyDescent="0.25">
      <c r="A223" t="s">
        <v>11</v>
      </c>
      <c r="B223" s="9" t="s">
        <v>165</v>
      </c>
      <c r="C223" s="9" t="s">
        <v>1760</v>
      </c>
      <c r="D223" s="3" t="s">
        <v>2</v>
      </c>
      <c r="E223" s="8" t="s">
        <v>1759</v>
      </c>
      <c r="F223" s="4" t="s">
        <v>8</v>
      </c>
      <c r="G223" s="7">
        <v>154.30000000000001</v>
      </c>
      <c r="H223" s="4">
        <v>3.0100000000000001E-3</v>
      </c>
      <c r="I223" s="4">
        <f>ROUND(G223*H223,6)</f>
        <v>0.46444299999999999</v>
      </c>
      <c r="L223" s="6">
        <v>0</v>
      </c>
      <c r="M223" s="5">
        <f>ROUND(ROUND(L223,2)*ROUND(G223,3),2)</f>
        <v>0</v>
      </c>
      <c r="N223" s="4" t="s">
        <v>7</v>
      </c>
      <c r="O223">
        <f>(M223*21)/100</f>
        <v>0</v>
      </c>
      <c r="P223" t="s">
        <v>6</v>
      </c>
    </row>
    <row r="224" spans="1:16" ht="13.2" x14ac:dyDescent="0.25">
      <c r="A224" s="3" t="s">
        <v>5</v>
      </c>
      <c r="E224" s="1" t="s">
        <v>1759</v>
      </c>
    </row>
    <row r="225" spans="1:16" ht="13.2" x14ac:dyDescent="0.25">
      <c r="A225" s="3" t="s">
        <v>3</v>
      </c>
      <c r="E225" s="2" t="s">
        <v>1758</v>
      </c>
    </row>
    <row r="226" spans="1:16" ht="66" x14ac:dyDescent="0.25">
      <c r="A226" t="s">
        <v>1</v>
      </c>
      <c r="E226" s="1" t="s">
        <v>1757</v>
      </c>
    </row>
    <row r="227" spans="1:16" ht="13.2" x14ac:dyDescent="0.25">
      <c r="A227" t="s">
        <v>11</v>
      </c>
      <c r="B227" s="9" t="s">
        <v>162</v>
      </c>
      <c r="C227" s="9" t="s">
        <v>1756</v>
      </c>
      <c r="D227" s="3" t="s">
        <v>2</v>
      </c>
      <c r="E227" s="8" t="s">
        <v>1755</v>
      </c>
      <c r="F227" s="4" t="s">
        <v>8</v>
      </c>
      <c r="G227" s="7">
        <v>82.13</v>
      </c>
      <c r="H227" s="4">
        <v>3.0100000000000001E-3</v>
      </c>
      <c r="I227" s="4">
        <f>ROUND(G227*H227,6)</f>
        <v>0.24721099999999999</v>
      </c>
      <c r="L227" s="6">
        <v>0</v>
      </c>
      <c r="M227" s="5">
        <f>ROUND(ROUND(L227,2)*ROUND(G227,3),2)</f>
        <v>0</v>
      </c>
      <c r="N227" s="4" t="s">
        <v>7</v>
      </c>
      <c r="O227">
        <f>(M227*21)/100</f>
        <v>0</v>
      </c>
      <c r="P227" t="s">
        <v>6</v>
      </c>
    </row>
    <row r="228" spans="1:16" ht="13.2" x14ac:dyDescent="0.25">
      <c r="A228" s="3" t="s">
        <v>5</v>
      </c>
      <c r="E228" s="1" t="s">
        <v>1755</v>
      </c>
    </row>
    <row r="229" spans="1:16" ht="13.2" x14ac:dyDescent="0.25">
      <c r="A229" s="3" t="s">
        <v>3</v>
      </c>
      <c r="E229" s="2" t="s">
        <v>1754</v>
      </c>
    </row>
    <row r="230" spans="1:16" ht="66" x14ac:dyDescent="0.25">
      <c r="A230" t="s">
        <v>1</v>
      </c>
      <c r="E230" s="1" t="s">
        <v>1753</v>
      </c>
    </row>
    <row r="231" spans="1:16" ht="13.2" x14ac:dyDescent="0.25">
      <c r="A231" t="s">
        <v>11</v>
      </c>
      <c r="B231" s="9" t="s">
        <v>159</v>
      </c>
      <c r="C231" s="9" t="s">
        <v>1752</v>
      </c>
      <c r="D231" s="3" t="s">
        <v>2</v>
      </c>
      <c r="E231" s="8" t="s">
        <v>1751</v>
      </c>
      <c r="F231" s="4" t="s">
        <v>8</v>
      </c>
      <c r="G231" s="7">
        <v>73.599999999999994</v>
      </c>
      <c r="H231" s="4">
        <v>5.8999999999999999E-3</v>
      </c>
      <c r="I231" s="4">
        <f>ROUND(G231*H231,6)</f>
        <v>0.43424000000000001</v>
      </c>
      <c r="L231" s="6">
        <v>0</v>
      </c>
      <c r="M231" s="5">
        <f>ROUND(ROUND(L231,2)*ROUND(G231,3),2)</f>
        <v>0</v>
      </c>
      <c r="N231" s="4" t="s">
        <v>7</v>
      </c>
      <c r="O231">
        <f>(M231*21)/100</f>
        <v>0</v>
      </c>
      <c r="P231" t="s">
        <v>6</v>
      </c>
    </row>
    <row r="232" spans="1:16" ht="13.2" x14ac:dyDescent="0.25">
      <c r="A232" s="3" t="s">
        <v>5</v>
      </c>
      <c r="E232" s="1" t="s">
        <v>1751</v>
      </c>
    </row>
    <row r="233" spans="1:16" ht="13.2" x14ac:dyDescent="0.25">
      <c r="A233" s="3" t="s">
        <v>3</v>
      </c>
      <c r="E233" s="2" t="s">
        <v>1750</v>
      </c>
    </row>
    <row r="234" spans="1:16" ht="66" x14ac:dyDescent="0.25">
      <c r="A234" t="s">
        <v>1</v>
      </c>
      <c r="E234" s="1" t="s">
        <v>1749</v>
      </c>
    </row>
    <row r="235" spans="1:16" ht="13.2" x14ac:dyDescent="0.25">
      <c r="A235" t="s">
        <v>11</v>
      </c>
      <c r="B235" s="9" t="s">
        <v>156</v>
      </c>
      <c r="C235" s="9" t="s">
        <v>1748</v>
      </c>
      <c r="D235" s="3" t="s">
        <v>2</v>
      </c>
      <c r="E235" s="8" t="s">
        <v>1745</v>
      </c>
      <c r="F235" s="4" t="s">
        <v>8</v>
      </c>
      <c r="G235" s="7">
        <v>44</v>
      </c>
      <c r="H235" s="4">
        <v>5.8999999999999999E-3</v>
      </c>
      <c r="I235" s="4">
        <f>ROUND(G235*H235,6)</f>
        <v>0.2596</v>
      </c>
      <c r="L235" s="6">
        <v>0</v>
      </c>
      <c r="M235" s="5">
        <f>ROUND(ROUND(L235,2)*ROUND(G235,3),2)</f>
        <v>0</v>
      </c>
      <c r="N235" s="4" t="s">
        <v>7</v>
      </c>
      <c r="O235">
        <f>(M235*21)/100</f>
        <v>0</v>
      </c>
      <c r="P235" t="s">
        <v>6</v>
      </c>
    </row>
    <row r="236" spans="1:16" ht="13.2" x14ac:dyDescent="0.25">
      <c r="A236" s="3" t="s">
        <v>5</v>
      </c>
      <c r="E236" s="1" t="s">
        <v>1745</v>
      </c>
    </row>
    <row r="237" spans="1:16" ht="13.2" x14ac:dyDescent="0.25">
      <c r="A237" s="3" t="s">
        <v>3</v>
      </c>
      <c r="E237" s="2" t="s">
        <v>1747</v>
      </c>
    </row>
    <row r="238" spans="1:16" ht="66" x14ac:dyDescent="0.25">
      <c r="A238" t="s">
        <v>1</v>
      </c>
      <c r="E238" s="1" t="s">
        <v>1743</v>
      </c>
    </row>
    <row r="239" spans="1:16" ht="13.2" x14ac:dyDescent="0.25">
      <c r="A239" t="s">
        <v>11</v>
      </c>
      <c r="B239" s="9" t="s">
        <v>153</v>
      </c>
      <c r="C239" s="9" t="s">
        <v>1746</v>
      </c>
      <c r="D239" s="3" t="s">
        <v>2</v>
      </c>
      <c r="E239" s="8" t="s">
        <v>1745</v>
      </c>
      <c r="F239" s="4" t="s">
        <v>8</v>
      </c>
      <c r="G239" s="7">
        <v>30.48</v>
      </c>
      <c r="H239" s="4">
        <v>2.9399999999999999E-3</v>
      </c>
      <c r="I239" s="4">
        <f>ROUND(G239*H239,6)</f>
        <v>8.9610999999999996E-2</v>
      </c>
      <c r="L239" s="6">
        <v>0</v>
      </c>
      <c r="M239" s="5">
        <f>ROUND(ROUND(L239,2)*ROUND(G239,3),2)</f>
        <v>0</v>
      </c>
      <c r="N239" s="4" t="s">
        <v>7</v>
      </c>
      <c r="O239">
        <f>(M239*21)/100</f>
        <v>0</v>
      </c>
      <c r="P239" t="s">
        <v>6</v>
      </c>
    </row>
    <row r="240" spans="1:16" ht="13.2" x14ac:dyDescent="0.25">
      <c r="A240" s="3" t="s">
        <v>5</v>
      </c>
      <c r="E240" s="1" t="s">
        <v>1745</v>
      </c>
    </row>
    <row r="241" spans="1:16" ht="13.2" x14ac:dyDescent="0.25">
      <c r="A241" s="3" t="s">
        <v>3</v>
      </c>
      <c r="E241" s="2" t="s">
        <v>1744</v>
      </c>
    </row>
    <row r="242" spans="1:16" ht="66" x14ac:dyDescent="0.25">
      <c r="A242" t="s">
        <v>1</v>
      </c>
      <c r="E242" s="1" t="s">
        <v>1743</v>
      </c>
    </row>
    <row r="243" spans="1:16" ht="13.2" x14ac:dyDescent="0.25">
      <c r="A243" t="s">
        <v>11</v>
      </c>
      <c r="B243" s="9" t="s">
        <v>150</v>
      </c>
      <c r="C243" s="9" t="s">
        <v>1742</v>
      </c>
      <c r="D243" s="3" t="s">
        <v>2</v>
      </c>
      <c r="E243" s="8" t="s">
        <v>1741</v>
      </c>
      <c r="F243" s="4" t="s">
        <v>8</v>
      </c>
      <c r="G243" s="7">
        <v>15.05</v>
      </c>
      <c r="H243" s="4">
        <v>2.9399999999999999E-3</v>
      </c>
      <c r="I243" s="4">
        <f>ROUND(G243*H243,6)</f>
        <v>4.4247000000000002E-2</v>
      </c>
      <c r="L243" s="6">
        <v>0</v>
      </c>
      <c r="M243" s="5">
        <f>ROUND(ROUND(L243,2)*ROUND(G243,3),2)</f>
        <v>0</v>
      </c>
      <c r="N243" s="4" t="s">
        <v>7</v>
      </c>
      <c r="O243">
        <f>(M243*21)/100</f>
        <v>0</v>
      </c>
      <c r="P243" t="s">
        <v>6</v>
      </c>
    </row>
    <row r="244" spans="1:16" ht="13.2" x14ac:dyDescent="0.25">
      <c r="A244" s="3" t="s">
        <v>5</v>
      </c>
      <c r="E244" s="1" t="s">
        <v>1741</v>
      </c>
    </row>
    <row r="245" spans="1:16" ht="13.2" x14ac:dyDescent="0.25">
      <c r="A245" s="3" t="s">
        <v>3</v>
      </c>
      <c r="E245" s="2" t="s">
        <v>1740</v>
      </c>
    </row>
    <row r="246" spans="1:16" ht="66" x14ac:dyDescent="0.25">
      <c r="A246" t="s">
        <v>1</v>
      </c>
      <c r="E246" s="1" t="s">
        <v>1739</v>
      </c>
    </row>
    <row r="247" spans="1:16" ht="13.2" x14ac:dyDescent="0.25">
      <c r="A247" t="s">
        <v>11</v>
      </c>
      <c r="B247" s="9" t="s">
        <v>147</v>
      </c>
      <c r="C247" s="9" t="s">
        <v>1738</v>
      </c>
      <c r="D247" s="3" t="s">
        <v>2</v>
      </c>
      <c r="E247" s="8" t="s">
        <v>1737</v>
      </c>
      <c r="F247" s="4" t="s">
        <v>8</v>
      </c>
      <c r="G247" s="7">
        <v>8.23</v>
      </c>
      <c r="H247" s="4">
        <v>1.49E-3</v>
      </c>
      <c r="I247" s="4">
        <f>ROUND(G247*H247,6)</f>
        <v>1.2263E-2</v>
      </c>
      <c r="L247" s="6">
        <v>0</v>
      </c>
      <c r="M247" s="5">
        <f>ROUND(ROUND(L247,2)*ROUND(G247,3),2)</f>
        <v>0</v>
      </c>
      <c r="N247" s="4" t="s">
        <v>7</v>
      </c>
      <c r="O247">
        <f>(M247*21)/100</f>
        <v>0</v>
      </c>
      <c r="P247" t="s">
        <v>6</v>
      </c>
    </row>
    <row r="248" spans="1:16" ht="13.2" x14ac:dyDescent="0.25">
      <c r="A248" s="3" t="s">
        <v>5</v>
      </c>
      <c r="E248" s="1" t="s">
        <v>1737</v>
      </c>
    </row>
    <row r="249" spans="1:16" ht="13.2" x14ac:dyDescent="0.25">
      <c r="A249" s="3" t="s">
        <v>3</v>
      </c>
      <c r="E249" s="2" t="s">
        <v>1736</v>
      </c>
    </row>
    <row r="250" spans="1:16" ht="66" x14ac:dyDescent="0.25">
      <c r="A250" t="s">
        <v>1</v>
      </c>
      <c r="E250" s="1" t="s">
        <v>1735</v>
      </c>
    </row>
    <row r="251" spans="1:16" ht="13.2" x14ac:dyDescent="0.25">
      <c r="A251" t="s">
        <v>11</v>
      </c>
      <c r="B251" s="9" t="s">
        <v>144</v>
      </c>
      <c r="C251" s="9" t="s">
        <v>1734</v>
      </c>
      <c r="D251" s="3" t="s">
        <v>2</v>
      </c>
      <c r="E251" s="8" t="s">
        <v>1733</v>
      </c>
      <c r="F251" s="4" t="s">
        <v>8</v>
      </c>
      <c r="G251" s="7">
        <v>36</v>
      </c>
      <c r="H251" s="4">
        <v>2.9299999999999999E-3</v>
      </c>
      <c r="I251" s="4">
        <f>ROUND(G251*H251,6)</f>
        <v>0.10548</v>
      </c>
      <c r="L251" s="6">
        <v>0</v>
      </c>
      <c r="M251" s="5">
        <f>ROUND(ROUND(L251,2)*ROUND(G251,3),2)</f>
        <v>0</v>
      </c>
      <c r="N251" s="4" t="s">
        <v>7</v>
      </c>
      <c r="O251">
        <f>(M251*21)/100</f>
        <v>0</v>
      </c>
      <c r="P251" t="s">
        <v>6</v>
      </c>
    </row>
    <row r="252" spans="1:16" ht="13.2" x14ac:dyDescent="0.25">
      <c r="A252" s="3" t="s">
        <v>5</v>
      </c>
      <c r="E252" s="1" t="s">
        <v>1733</v>
      </c>
    </row>
    <row r="253" spans="1:16" ht="13.2" x14ac:dyDescent="0.25">
      <c r="A253" s="3" t="s">
        <v>3</v>
      </c>
      <c r="E253" s="2" t="s">
        <v>1732</v>
      </c>
    </row>
    <row r="254" spans="1:16" ht="66" x14ac:dyDescent="0.25">
      <c r="A254" t="s">
        <v>1</v>
      </c>
      <c r="E254" s="1" t="s">
        <v>1731</v>
      </c>
    </row>
    <row r="255" spans="1:16" ht="13.2" x14ac:dyDescent="0.25">
      <c r="A255" t="s">
        <v>11</v>
      </c>
      <c r="B255" s="9" t="s">
        <v>141</v>
      </c>
      <c r="C255" s="9" t="s">
        <v>1730</v>
      </c>
      <c r="D255" s="3" t="s">
        <v>2</v>
      </c>
      <c r="E255" s="8" t="s">
        <v>1729</v>
      </c>
      <c r="F255" s="4" t="s">
        <v>8</v>
      </c>
      <c r="G255" s="7">
        <v>130.4</v>
      </c>
      <c r="H255" s="4">
        <v>2.9299999999999999E-3</v>
      </c>
      <c r="I255" s="4">
        <f>ROUND(G255*H255,6)</f>
        <v>0.38207200000000002</v>
      </c>
      <c r="L255" s="6">
        <v>0</v>
      </c>
      <c r="M255" s="5">
        <f>ROUND(ROUND(L255,2)*ROUND(G255,3),2)</f>
        <v>0</v>
      </c>
      <c r="N255" s="4" t="s">
        <v>7</v>
      </c>
      <c r="O255">
        <f>(M255*21)/100</f>
        <v>0</v>
      </c>
      <c r="P255" t="s">
        <v>6</v>
      </c>
    </row>
    <row r="256" spans="1:16" ht="13.2" x14ac:dyDescent="0.25">
      <c r="A256" s="3" t="s">
        <v>5</v>
      </c>
      <c r="E256" s="1" t="s">
        <v>1729</v>
      </c>
    </row>
    <row r="257" spans="1:16" ht="13.2" x14ac:dyDescent="0.25">
      <c r="A257" s="3" t="s">
        <v>3</v>
      </c>
      <c r="E257" s="2" t="s">
        <v>1728</v>
      </c>
    </row>
    <row r="258" spans="1:16" ht="66" x14ac:dyDescent="0.25">
      <c r="A258" t="s">
        <v>1</v>
      </c>
      <c r="E258" s="1" t="s">
        <v>1727</v>
      </c>
    </row>
    <row r="259" spans="1:16" ht="13.2" x14ac:dyDescent="0.25">
      <c r="A259" t="s">
        <v>11</v>
      </c>
      <c r="B259" s="9" t="s">
        <v>138</v>
      </c>
      <c r="C259" s="9" t="s">
        <v>1726</v>
      </c>
      <c r="D259" s="3" t="s">
        <v>2</v>
      </c>
      <c r="E259" s="8" t="s">
        <v>1725</v>
      </c>
      <c r="F259" s="4" t="s">
        <v>8</v>
      </c>
      <c r="G259" s="7">
        <v>41.05</v>
      </c>
      <c r="H259" s="4">
        <v>1.34E-3</v>
      </c>
      <c r="I259" s="4">
        <f>ROUND(G259*H259,6)</f>
        <v>5.5007E-2</v>
      </c>
      <c r="L259" s="6">
        <v>0</v>
      </c>
      <c r="M259" s="5">
        <f>ROUND(ROUND(L259,2)*ROUND(G259,3),2)</f>
        <v>0</v>
      </c>
      <c r="N259" s="4" t="s">
        <v>7</v>
      </c>
      <c r="O259">
        <f>(M259*21)/100</f>
        <v>0</v>
      </c>
      <c r="P259" t="s">
        <v>6</v>
      </c>
    </row>
    <row r="260" spans="1:16" ht="13.2" x14ac:dyDescent="0.25">
      <c r="A260" s="3" t="s">
        <v>5</v>
      </c>
      <c r="E260" s="1" t="s">
        <v>1725</v>
      </c>
    </row>
    <row r="261" spans="1:16" ht="13.2" x14ac:dyDescent="0.25">
      <c r="A261" s="3" t="s">
        <v>3</v>
      </c>
      <c r="E261" s="2" t="s">
        <v>1724</v>
      </c>
    </row>
    <row r="262" spans="1:16" ht="66" x14ac:dyDescent="0.25">
      <c r="A262" t="s">
        <v>1</v>
      </c>
      <c r="E262" s="1" t="s">
        <v>1723</v>
      </c>
    </row>
    <row r="263" spans="1:16" ht="13.2" x14ac:dyDescent="0.25">
      <c r="A263" t="s">
        <v>11</v>
      </c>
      <c r="B263" s="9" t="s">
        <v>135</v>
      </c>
      <c r="C263" s="9" t="s">
        <v>1722</v>
      </c>
      <c r="D263" s="3" t="s">
        <v>2</v>
      </c>
      <c r="E263" s="8" t="s">
        <v>1721</v>
      </c>
      <c r="F263" s="4" t="s">
        <v>8</v>
      </c>
      <c r="G263" s="7">
        <v>15.15</v>
      </c>
      <c r="H263" s="4">
        <v>2.9299999999999999E-3</v>
      </c>
      <c r="I263" s="4">
        <f>ROUND(G263*H263,6)</f>
        <v>4.4389999999999999E-2</v>
      </c>
      <c r="L263" s="6">
        <v>0</v>
      </c>
      <c r="M263" s="5">
        <f>ROUND(ROUND(L263,2)*ROUND(G263,3),2)</f>
        <v>0</v>
      </c>
      <c r="N263" s="4" t="s">
        <v>7</v>
      </c>
      <c r="O263">
        <f>(M263*21)/100</f>
        <v>0</v>
      </c>
      <c r="P263" t="s">
        <v>6</v>
      </c>
    </row>
    <row r="264" spans="1:16" ht="13.2" x14ac:dyDescent="0.25">
      <c r="A264" s="3" t="s">
        <v>5</v>
      </c>
      <c r="E264" s="1" t="s">
        <v>1721</v>
      </c>
    </row>
    <row r="265" spans="1:16" ht="13.2" x14ac:dyDescent="0.25">
      <c r="A265" s="3" t="s">
        <v>3</v>
      </c>
      <c r="E265" s="2" t="s">
        <v>1720</v>
      </c>
    </row>
    <row r="266" spans="1:16" ht="66" x14ac:dyDescent="0.25">
      <c r="A266" t="s">
        <v>1</v>
      </c>
      <c r="E266" s="1" t="s">
        <v>1719</v>
      </c>
    </row>
    <row r="267" spans="1:16" ht="13.2" x14ac:dyDescent="0.25">
      <c r="A267" t="s">
        <v>11</v>
      </c>
      <c r="B267" s="9" t="s">
        <v>132</v>
      </c>
      <c r="C267" s="9" t="s">
        <v>1718</v>
      </c>
      <c r="D267" s="3" t="s">
        <v>2</v>
      </c>
      <c r="E267" s="8" t="s">
        <v>1717</v>
      </c>
      <c r="F267" s="4" t="s">
        <v>8</v>
      </c>
      <c r="G267" s="7">
        <v>18.5</v>
      </c>
      <c r="H267" s="4">
        <v>2.5899999999999999E-3</v>
      </c>
      <c r="I267" s="4">
        <f>ROUND(G267*H267,6)</f>
        <v>4.7914999999999999E-2</v>
      </c>
      <c r="L267" s="6">
        <v>0</v>
      </c>
      <c r="M267" s="5">
        <f>ROUND(ROUND(L267,2)*ROUND(G267,3),2)</f>
        <v>0</v>
      </c>
      <c r="N267" s="4" t="s">
        <v>7</v>
      </c>
      <c r="O267">
        <f>(M267*21)/100</f>
        <v>0</v>
      </c>
      <c r="P267" t="s">
        <v>6</v>
      </c>
    </row>
    <row r="268" spans="1:16" ht="13.2" x14ac:dyDescent="0.25">
      <c r="A268" s="3" t="s">
        <v>5</v>
      </c>
      <c r="E268" s="1" t="s">
        <v>1717</v>
      </c>
    </row>
    <row r="269" spans="1:16" ht="13.2" x14ac:dyDescent="0.25">
      <c r="A269" s="3" t="s">
        <v>3</v>
      </c>
      <c r="E269" s="2" t="s">
        <v>1716</v>
      </c>
    </row>
    <row r="270" spans="1:16" ht="66" x14ac:dyDescent="0.25">
      <c r="A270" t="s">
        <v>1</v>
      </c>
      <c r="E270" s="1" t="s">
        <v>1715</v>
      </c>
    </row>
    <row r="271" spans="1:16" ht="13.2" x14ac:dyDescent="0.25">
      <c r="A271" t="s">
        <v>11</v>
      </c>
      <c r="B271" s="9" t="s">
        <v>129</v>
      </c>
      <c r="C271" s="9" t="s">
        <v>1714</v>
      </c>
      <c r="D271" s="3" t="s">
        <v>2</v>
      </c>
      <c r="E271" s="8" t="s">
        <v>1713</v>
      </c>
      <c r="F271" s="4" t="s">
        <v>8</v>
      </c>
      <c r="G271" s="7">
        <v>10.5</v>
      </c>
      <c r="H271" s="4">
        <v>5.2199999999999998E-3</v>
      </c>
      <c r="I271" s="4">
        <f>ROUND(G271*H271,6)</f>
        <v>5.4809999999999998E-2</v>
      </c>
      <c r="L271" s="6">
        <v>0</v>
      </c>
      <c r="M271" s="5">
        <f>ROUND(ROUND(L271,2)*ROUND(G271,3),2)</f>
        <v>0</v>
      </c>
      <c r="N271" s="4" t="s">
        <v>7</v>
      </c>
      <c r="O271">
        <f>(M271*21)/100</f>
        <v>0</v>
      </c>
      <c r="P271" t="s">
        <v>6</v>
      </c>
    </row>
    <row r="272" spans="1:16" ht="13.2" x14ac:dyDescent="0.25">
      <c r="A272" s="3" t="s">
        <v>5</v>
      </c>
      <c r="E272" s="1" t="s">
        <v>1713</v>
      </c>
    </row>
    <row r="273" spans="1:16" ht="13.2" x14ac:dyDescent="0.25">
      <c r="A273" s="3" t="s">
        <v>3</v>
      </c>
      <c r="E273" s="2" t="s">
        <v>1712</v>
      </c>
    </row>
    <row r="274" spans="1:16" ht="66" x14ac:dyDescent="0.25">
      <c r="A274" t="s">
        <v>1</v>
      </c>
      <c r="E274" s="1" t="s">
        <v>1711</v>
      </c>
    </row>
    <row r="275" spans="1:16" ht="13.2" x14ac:dyDescent="0.25">
      <c r="A275" t="s">
        <v>11</v>
      </c>
      <c r="B275" s="9" t="s">
        <v>126</v>
      </c>
      <c r="C275" s="9" t="s">
        <v>1710</v>
      </c>
      <c r="D275" s="3" t="s">
        <v>2</v>
      </c>
      <c r="E275" s="8" t="s">
        <v>1709</v>
      </c>
      <c r="F275" s="4" t="s">
        <v>8</v>
      </c>
      <c r="G275" s="7">
        <v>20</v>
      </c>
      <c r="H275" s="4">
        <v>5.2199999999999998E-3</v>
      </c>
      <c r="I275" s="4">
        <f>ROUND(G275*H275,6)</f>
        <v>0.10440000000000001</v>
      </c>
      <c r="L275" s="6">
        <v>0</v>
      </c>
      <c r="M275" s="5">
        <f>ROUND(ROUND(L275,2)*ROUND(G275,3),2)</f>
        <v>0</v>
      </c>
      <c r="N275" s="4" t="s">
        <v>7</v>
      </c>
      <c r="O275">
        <f>(M275*21)/100</f>
        <v>0</v>
      </c>
      <c r="P275" t="s">
        <v>6</v>
      </c>
    </row>
    <row r="276" spans="1:16" ht="13.2" x14ac:dyDescent="0.25">
      <c r="A276" s="3" t="s">
        <v>5</v>
      </c>
      <c r="E276" s="1" t="s">
        <v>1709</v>
      </c>
    </row>
    <row r="277" spans="1:16" ht="13.2" x14ac:dyDescent="0.25">
      <c r="A277" s="3" t="s">
        <v>3</v>
      </c>
      <c r="E277" s="2" t="s">
        <v>1708</v>
      </c>
    </row>
    <row r="278" spans="1:16" ht="66" x14ac:dyDescent="0.25">
      <c r="A278" t="s">
        <v>1</v>
      </c>
      <c r="E278" s="1" t="s">
        <v>1707</v>
      </c>
    </row>
    <row r="279" spans="1:16" ht="13.2" x14ac:dyDescent="0.25">
      <c r="A279" t="s">
        <v>11</v>
      </c>
      <c r="B279" s="9" t="s">
        <v>123</v>
      </c>
      <c r="C279" s="9" t="s">
        <v>1706</v>
      </c>
      <c r="D279" s="3" t="s">
        <v>2</v>
      </c>
      <c r="E279" s="8" t="s">
        <v>1705</v>
      </c>
      <c r="F279" s="4" t="s">
        <v>8</v>
      </c>
      <c r="G279" s="7">
        <v>123.84</v>
      </c>
      <c r="H279" s="4">
        <v>3.2000000000000002E-3</v>
      </c>
      <c r="I279" s="4">
        <f>ROUND(G279*H279,6)</f>
        <v>0.39628799999999997</v>
      </c>
      <c r="L279" s="6">
        <v>0</v>
      </c>
      <c r="M279" s="5">
        <f>ROUND(ROUND(L279,2)*ROUND(G279,3),2)</f>
        <v>0</v>
      </c>
      <c r="N279" s="4" t="s">
        <v>7</v>
      </c>
      <c r="O279">
        <f>(M279*21)/100</f>
        <v>0</v>
      </c>
      <c r="P279" t="s">
        <v>6</v>
      </c>
    </row>
    <row r="280" spans="1:16" ht="13.2" x14ac:dyDescent="0.25">
      <c r="A280" s="3" t="s">
        <v>5</v>
      </c>
      <c r="E280" s="1" t="s">
        <v>1705</v>
      </c>
    </row>
    <row r="281" spans="1:16" ht="13.2" x14ac:dyDescent="0.25">
      <c r="A281" s="3" t="s">
        <v>3</v>
      </c>
      <c r="E281" s="2" t="s">
        <v>1704</v>
      </c>
    </row>
    <row r="282" spans="1:16" ht="66" x14ac:dyDescent="0.25">
      <c r="A282" t="s">
        <v>1</v>
      </c>
      <c r="E282" s="1" t="s">
        <v>1703</v>
      </c>
    </row>
    <row r="283" spans="1:16" ht="13.2" x14ac:dyDescent="0.25">
      <c r="A283" t="s">
        <v>11</v>
      </c>
      <c r="B283" s="9" t="s">
        <v>120</v>
      </c>
      <c r="C283" s="9" t="s">
        <v>1702</v>
      </c>
      <c r="D283" s="3" t="s">
        <v>2</v>
      </c>
      <c r="E283" s="8" t="s">
        <v>1701</v>
      </c>
      <c r="F283" s="4" t="s">
        <v>8</v>
      </c>
      <c r="G283" s="7">
        <v>29.94</v>
      </c>
      <c r="H283" s="4">
        <v>1.5200000000000001E-3</v>
      </c>
      <c r="I283" s="4">
        <f>ROUND(G283*H283,6)</f>
        <v>4.5509000000000001E-2</v>
      </c>
      <c r="L283" s="6">
        <v>0</v>
      </c>
      <c r="M283" s="5">
        <f>ROUND(ROUND(L283,2)*ROUND(G283,3),2)</f>
        <v>0</v>
      </c>
      <c r="N283" s="4" t="s">
        <v>7</v>
      </c>
      <c r="O283">
        <f>(M283*21)/100</f>
        <v>0</v>
      </c>
      <c r="P283" t="s">
        <v>6</v>
      </c>
    </row>
    <row r="284" spans="1:16" ht="13.2" x14ac:dyDescent="0.25">
      <c r="A284" s="3" t="s">
        <v>5</v>
      </c>
      <c r="E284" s="1" t="s">
        <v>1701</v>
      </c>
    </row>
    <row r="285" spans="1:16" ht="13.2" x14ac:dyDescent="0.25">
      <c r="A285" s="3" t="s">
        <v>3</v>
      </c>
      <c r="E285" s="2" t="s">
        <v>1700</v>
      </c>
    </row>
    <row r="286" spans="1:16" ht="66" x14ac:dyDescent="0.25">
      <c r="A286" t="s">
        <v>1</v>
      </c>
      <c r="E286" s="1" t="s">
        <v>1699</v>
      </c>
    </row>
    <row r="287" spans="1:16" ht="13.2" x14ac:dyDescent="0.25">
      <c r="A287" t="s">
        <v>11</v>
      </c>
      <c r="B287" s="9" t="s">
        <v>117</v>
      </c>
      <c r="C287" s="9" t="s">
        <v>1698</v>
      </c>
      <c r="D287" s="3" t="s">
        <v>2</v>
      </c>
      <c r="E287" s="8" t="s">
        <v>1697</v>
      </c>
      <c r="F287" s="4" t="s">
        <v>8</v>
      </c>
      <c r="G287" s="7">
        <v>58.4</v>
      </c>
      <c r="H287" s="4">
        <v>3.5000000000000001E-3</v>
      </c>
      <c r="I287" s="4">
        <f>ROUND(G287*H287,6)</f>
        <v>0.2044</v>
      </c>
      <c r="L287" s="6">
        <v>0</v>
      </c>
      <c r="M287" s="5">
        <f>ROUND(ROUND(L287,2)*ROUND(G287,3),2)</f>
        <v>0</v>
      </c>
      <c r="N287" s="4" t="s">
        <v>7</v>
      </c>
      <c r="O287">
        <f>(M287*21)/100</f>
        <v>0</v>
      </c>
      <c r="P287" t="s">
        <v>6</v>
      </c>
    </row>
    <row r="288" spans="1:16" ht="13.2" x14ac:dyDescent="0.25">
      <c r="A288" s="3" t="s">
        <v>5</v>
      </c>
      <c r="E288" s="1" t="s">
        <v>1697</v>
      </c>
    </row>
    <row r="289" spans="1:16" ht="13.2" x14ac:dyDescent="0.25">
      <c r="A289" s="3" t="s">
        <v>3</v>
      </c>
      <c r="E289" s="2" t="s">
        <v>1696</v>
      </c>
    </row>
    <row r="290" spans="1:16" ht="66" x14ac:dyDescent="0.25">
      <c r="A290" t="s">
        <v>1</v>
      </c>
      <c r="E290" s="1" t="s">
        <v>1695</v>
      </c>
    </row>
    <row r="291" spans="1:16" ht="13.2" x14ac:dyDescent="0.25">
      <c r="A291" t="s">
        <v>11</v>
      </c>
      <c r="B291" s="9" t="s">
        <v>114</v>
      </c>
      <c r="C291" s="9" t="s">
        <v>1694</v>
      </c>
      <c r="D291" s="3" t="s">
        <v>2</v>
      </c>
      <c r="E291" s="8" t="s">
        <v>1693</v>
      </c>
      <c r="F291" s="4" t="s">
        <v>8</v>
      </c>
      <c r="G291" s="7">
        <v>130</v>
      </c>
      <c r="H291" s="4">
        <v>1.3699999999999999E-3</v>
      </c>
      <c r="I291" s="4">
        <f>ROUND(G291*H291,6)</f>
        <v>0.17810000000000001</v>
      </c>
      <c r="L291" s="6">
        <v>0</v>
      </c>
      <c r="M291" s="5">
        <f>ROUND(ROUND(L291,2)*ROUND(G291,3),2)</f>
        <v>0</v>
      </c>
      <c r="N291" s="4" t="s">
        <v>7</v>
      </c>
      <c r="O291">
        <f>(M291*21)/100</f>
        <v>0</v>
      </c>
      <c r="P291" t="s">
        <v>6</v>
      </c>
    </row>
    <row r="292" spans="1:16" ht="13.2" x14ac:dyDescent="0.25">
      <c r="A292" s="3" t="s">
        <v>5</v>
      </c>
      <c r="E292" s="1" t="s">
        <v>1693</v>
      </c>
    </row>
    <row r="293" spans="1:16" ht="13.2" x14ac:dyDescent="0.25">
      <c r="A293" s="3" t="s">
        <v>3</v>
      </c>
      <c r="E293" s="2" t="s">
        <v>1692</v>
      </c>
    </row>
    <row r="294" spans="1:16" ht="66" x14ac:dyDescent="0.25">
      <c r="A294" t="s">
        <v>1</v>
      </c>
      <c r="E294" s="1" t="s">
        <v>1691</v>
      </c>
    </row>
    <row r="295" spans="1:16" ht="13.2" x14ac:dyDescent="0.25">
      <c r="A295" t="s">
        <v>11</v>
      </c>
      <c r="B295" s="9" t="s">
        <v>109</v>
      </c>
      <c r="C295" s="9" t="s">
        <v>1690</v>
      </c>
      <c r="D295" s="3" t="s">
        <v>2</v>
      </c>
      <c r="E295" s="8" t="s">
        <v>1689</v>
      </c>
      <c r="F295" s="4" t="s">
        <v>8</v>
      </c>
      <c r="G295" s="7">
        <v>152.63</v>
      </c>
      <c r="H295" s="4">
        <v>2.6099999999999999E-3</v>
      </c>
      <c r="I295" s="4">
        <f>ROUND(G295*H295,6)</f>
        <v>0.398364</v>
      </c>
      <c r="L295" s="6">
        <v>0</v>
      </c>
      <c r="M295" s="5">
        <f>ROUND(ROUND(L295,2)*ROUND(G295,3),2)</f>
        <v>0</v>
      </c>
      <c r="N295" s="4" t="s">
        <v>7</v>
      </c>
      <c r="O295">
        <f>(M295*21)/100</f>
        <v>0</v>
      </c>
      <c r="P295" t="s">
        <v>6</v>
      </c>
    </row>
    <row r="296" spans="1:16" ht="13.2" x14ac:dyDescent="0.25">
      <c r="A296" s="3" t="s">
        <v>5</v>
      </c>
      <c r="E296" s="1" t="s">
        <v>1689</v>
      </c>
    </row>
    <row r="297" spans="1:16" ht="13.2" x14ac:dyDescent="0.25">
      <c r="A297" s="3" t="s">
        <v>3</v>
      </c>
      <c r="E297" s="2" t="s">
        <v>1688</v>
      </c>
    </row>
    <row r="298" spans="1:16" ht="66" x14ac:dyDescent="0.25">
      <c r="A298" t="s">
        <v>1</v>
      </c>
      <c r="E298" s="1" t="s">
        <v>1687</v>
      </c>
    </row>
    <row r="299" spans="1:16" ht="39.6" x14ac:dyDescent="0.25">
      <c r="A299" t="s">
        <v>11</v>
      </c>
      <c r="B299" s="9" t="s">
        <v>106</v>
      </c>
      <c r="C299" s="9" t="s">
        <v>1686</v>
      </c>
      <c r="D299" s="3" t="s">
        <v>2</v>
      </c>
      <c r="E299" s="8" t="s">
        <v>1685</v>
      </c>
      <c r="F299" s="4" t="s">
        <v>13</v>
      </c>
      <c r="G299" s="7">
        <v>5</v>
      </c>
      <c r="H299" s="4">
        <v>4.62E-3</v>
      </c>
      <c r="I299" s="4">
        <f>ROUND(G299*H299,6)</f>
        <v>2.3099999999999999E-2</v>
      </c>
      <c r="L299" s="6">
        <v>0</v>
      </c>
      <c r="M299" s="5">
        <f>ROUND(ROUND(L299,2)*ROUND(G299,3),2)</f>
        <v>0</v>
      </c>
      <c r="N299" s="4" t="s">
        <v>7</v>
      </c>
      <c r="O299">
        <f>(M299*21)/100</f>
        <v>0</v>
      </c>
      <c r="P299" t="s">
        <v>6</v>
      </c>
    </row>
    <row r="300" spans="1:16" ht="39.6" x14ac:dyDescent="0.25">
      <c r="A300" s="3" t="s">
        <v>5</v>
      </c>
      <c r="E300" s="1" t="s">
        <v>1685</v>
      </c>
    </row>
    <row r="301" spans="1:16" ht="13.2" x14ac:dyDescent="0.25">
      <c r="A301" s="3" t="s">
        <v>3</v>
      </c>
      <c r="E301" s="2" t="s">
        <v>1684</v>
      </c>
    </row>
    <row r="302" spans="1:16" ht="79.2" x14ac:dyDescent="0.25">
      <c r="A302" t="s">
        <v>1</v>
      </c>
      <c r="E302" s="1" t="s">
        <v>1683</v>
      </c>
    </row>
    <row r="303" spans="1:16" ht="13.2" x14ac:dyDescent="0.25">
      <c r="A303" t="s">
        <v>11</v>
      </c>
      <c r="B303" s="9" t="s">
        <v>103</v>
      </c>
      <c r="C303" s="9" t="s">
        <v>1682</v>
      </c>
      <c r="D303" s="3" t="s">
        <v>2</v>
      </c>
      <c r="E303" s="8" t="s">
        <v>1681</v>
      </c>
      <c r="F303" s="4" t="s">
        <v>8</v>
      </c>
      <c r="G303" s="7">
        <v>21.33</v>
      </c>
      <c r="H303" s="4">
        <v>6.7000000000000002E-4</v>
      </c>
      <c r="I303" s="4">
        <f>ROUND(G303*H303,6)</f>
        <v>1.4291E-2</v>
      </c>
      <c r="L303" s="6">
        <v>0</v>
      </c>
      <c r="M303" s="5">
        <f>ROUND(ROUND(L303,2)*ROUND(G303,3),2)</f>
        <v>0</v>
      </c>
      <c r="N303" s="4" t="s">
        <v>7</v>
      </c>
      <c r="O303">
        <f>(M303*21)/100</f>
        <v>0</v>
      </c>
      <c r="P303" t="s">
        <v>6</v>
      </c>
    </row>
    <row r="304" spans="1:16" ht="13.2" x14ac:dyDescent="0.25">
      <c r="A304" s="3" t="s">
        <v>5</v>
      </c>
      <c r="E304" s="1" t="s">
        <v>1681</v>
      </c>
    </row>
    <row r="305" spans="1:16" ht="13.2" x14ac:dyDescent="0.25">
      <c r="A305" s="3" t="s">
        <v>3</v>
      </c>
      <c r="E305" s="2" t="s">
        <v>1680</v>
      </c>
    </row>
    <row r="306" spans="1:16" ht="66" x14ac:dyDescent="0.25">
      <c r="A306" t="s">
        <v>1</v>
      </c>
      <c r="E306" s="1" t="s">
        <v>1679</v>
      </c>
    </row>
    <row r="307" spans="1:16" ht="13.2" x14ac:dyDescent="0.25">
      <c r="A307" t="s">
        <v>11</v>
      </c>
      <c r="B307" s="9" t="s">
        <v>100</v>
      </c>
      <c r="C307" s="9" t="s">
        <v>1678</v>
      </c>
      <c r="D307" s="3" t="s">
        <v>2</v>
      </c>
      <c r="E307" s="8" t="s">
        <v>1677</v>
      </c>
      <c r="F307" s="4" t="s">
        <v>8</v>
      </c>
      <c r="G307" s="7">
        <v>30.99</v>
      </c>
      <c r="H307" s="4">
        <v>2.5899999999999999E-3</v>
      </c>
      <c r="I307" s="4">
        <f>ROUND(G307*H307,6)</f>
        <v>8.0264000000000002E-2</v>
      </c>
      <c r="L307" s="6">
        <v>0</v>
      </c>
      <c r="M307" s="5">
        <f>ROUND(ROUND(L307,2)*ROUND(G307,3),2)</f>
        <v>0</v>
      </c>
      <c r="N307" s="4" t="s">
        <v>7</v>
      </c>
      <c r="O307">
        <f>(M307*21)/100</f>
        <v>0</v>
      </c>
      <c r="P307" t="s">
        <v>6</v>
      </c>
    </row>
    <row r="308" spans="1:16" ht="13.2" x14ac:dyDescent="0.25">
      <c r="A308" s="3" t="s">
        <v>5</v>
      </c>
      <c r="E308" s="1" t="s">
        <v>1677</v>
      </c>
    </row>
    <row r="309" spans="1:16" ht="13.2" x14ac:dyDescent="0.25">
      <c r="A309" s="3" t="s">
        <v>3</v>
      </c>
      <c r="E309" s="2" t="s">
        <v>1676</v>
      </c>
    </row>
    <row r="310" spans="1:16" ht="66" x14ac:dyDescent="0.25">
      <c r="A310" t="s">
        <v>1</v>
      </c>
      <c r="E310" s="1" t="s">
        <v>1675</v>
      </c>
    </row>
    <row r="311" spans="1:16" ht="13.2" x14ac:dyDescent="0.25">
      <c r="A311" t="s">
        <v>50</v>
      </c>
      <c r="C311" s="11" t="s">
        <v>1674</v>
      </c>
      <c r="E311" s="10" t="s">
        <v>1673</v>
      </c>
      <c r="J311" s="5">
        <f>0</f>
        <v>0</v>
      </c>
      <c r="K311" s="5">
        <f>0</f>
        <v>0</v>
      </c>
      <c r="L311" s="5">
        <f>0+L312+L316+L320+L324+L328+L332+L336+L340</f>
        <v>0</v>
      </c>
      <c r="M311" s="5">
        <f>0+M312+M316+M320+M324+M328+M332+M336+M340</f>
        <v>0</v>
      </c>
    </row>
    <row r="312" spans="1:16" ht="13.2" x14ac:dyDescent="0.25">
      <c r="A312" t="s">
        <v>11</v>
      </c>
      <c r="B312" s="9" t="s">
        <v>97</v>
      </c>
      <c r="C312" s="9" t="s">
        <v>1672</v>
      </c>
      <c r="D312" s="3" t="s">
        <v>2</v>
      </c>
      <c r="E312" s="8" t="s">
        <v>1671</v>
      </c>
      <c r="F312" s="4" t="s">
        <v>13</v>
      </c>
      <c r="G312" s="7">
        <v>3</v>
      </c>
      <c r="H312" s="4">
        <v>1.6199999999999999E-3</v>
      </c>
      <c r="I312" s="4">
        <f>ROUND(G312*H312,6)</f>
        <v>4.8599999999999997E-3</v>
      </c>
      <c r="L312" s="6">
        <v>0</v>
      </c>
      <c r="M312" s="5">
        <f>ROUND(ROUND(L312,2)*ROUND(G312,3),2)</f>
        <v>0</v>
      </c>
      <c r="N312" s="4" t="s">
        <v>501</v>
      </c>
      <c r="O312">
        <f>(M312*21)/100</f>
        <v>0</v>
      </c>
      <c r="P312" t="s">
        <v>6</v>
      </c>
    </row>
    <row r="313" spans="1:16" ht="13.2" x14ac:dyDescent="0.25">
      <c r="A313" s="3" t="s">
        <v>5</v>
      </c>
      <c r="E313" s="1" t="s">
        <v>1671</v>
      </c>
    </row>
    <row r="314" spans="1:16" ht="13.2" x14ac:dyDescent="0.25">
      <c r="A314" s="3" t="s">
        <v>3</v>
      </c>
      <c r="E314" s="2" t="s">
        <v>2</v>
      </c>
    </row>
    <row r="315" spans="1:16" ht="13.2" x14ac:dyDescent="0.25">
      <c r="A315" t="s">
        <v>1</v>
      </c>
      <c r="E315" s="1" t="s">
        <v>1671</v>
      </c>
    </row>
    <row r="316" spans="1:16" ht="13.2" x14ac:dyDescent="0.25">
      <c r="A316" t="s">
        <v>11</v>
      </c>
      <c r="B316" s="9" t="s">
        <v>94</v>
      </c>
      <c r="C316" s="9" t="s">
        <v>1670</v>
      </c>
      <c r="D316" s="3" t="s">
        <v>2</v>
      </c>
      <c r="E316" s="8" t="s">
        <v>1669</v>
      </c>
      <c r="F316" s="4" t="s">
        <v>13</v>
      </c>
      <c r="G316" s="7">
        <v>4</v>
      </c>
      <c r="H316" s="4">
        <v>1.8500000000000001E-3</v>
      </c>
      <c r="I316" s="4">
        <f>ROUND(G316*H316,6)</f>
        <v>7.4000000000000003E-3</v>
      </c>
      <c r="L316" s="6">
        <v>0</v>
      </c>
      <c r="M316" s="5">
        <f>ROUND(ROUND(L316,2)*ROUND(G316,3),2)</f>
        <v>0</v>
      </c>
      <c r="N316" s="4" t="s">
        <v>501</v>
      </c>
      <c r="O316">
        <f>(M316*21)/100</f>
        <v>0</v>
      </c>
      <c r="P316" t="s">
        <v>6</v>
      </c>
    </row>
    <row r="317" spans="1:16" ht="13.2" x14ac:dyDescent="0.25">
      <c r="A317" s="3" t="s">
        <v>5</v>
      </c>
      <c r="E317" s="1" t="s">
        <v>1669</v>
      </c>
    </row>
    <row r="318" spans="1:16" ht="13.2" x14ac:dyDescent="0.25">
      <c r="A318" s="3" t="s">
        <v>3</v>
      </c>
      <c r="E318" s="2" t="s">
        <v>2</v>
      </c>
    </row>
    <row r="319" spans="1:16" ht="13.2" x14ac:dyDescent="0.25">
      <c r="A319" t="s">
        <v>1</v>
      </c>
      <c r="E319" s="1" t="s">
        <v>1669</v>
      </c>
    </row>
    <row r="320" spans="1:16" ht="13.2" x14ac:dyDescent="0.25">
      <c r="A320" t="s">
        <v>11</v>
      </c>
      <c r="B320" s="9" t="s">
        <v>91</v>
      </c>
      <c r="C320" s="9" t="s">
        <v>1668</v>
      </c>
      <c r="D320" s="3" t="s">
        <v>2</v>
      </c>
      <c r="E320" s="8" t="s">
        <v>1667</v>
      </c>
      <c r="F320" s="4" t="s">
        <v>13</v>
      </c>
      <c r="G320" s="7">
        <v>1</v>
      </c>
      <c r="H320" s="4">
        <v>2.0799999999999998E-3</v>
      </c>
      <c r="I320" s="4">
        <f>ROUND(G320*H320,6)</f>
        <v>2.0799999999999998E-3</v>
      </c>
      <c r="L320" s="6">
        <v>0</v>
      </c>
      <c r="M320" s="5">
        <f>ROUND(ROUND(L320,2)*ROUND(G320,3),2)</f>
        <v>0</v>
      </c>
      <c r="N320" s="4" t="s">
        <v>501</v>
      </c>
      <c r="O320">
        <f>(M320*21)/100</f>
        <v>0</v>
      </c>
      <c r="P320" t="s">
        <v>6</v>
      </c>
    </row>
    <row r="321" spans="1:16" ht="13.2" x14ac:dyDescent="0.25">
      <c r="A321" s="3" t="s">
        <v>5</v>
      </c>
      <c r="E321" s="1" t="s">
        <v>1667</v>
      </c>
    </row>
    <row r="322" spans="1:16" ht="13.2" x14ac:dyDescent="0.25">
      <c r="A322" s="3" t="s">
        <v>3</v>
      </c>
      <c r="E322" s="2" t="s">
        <v>2</v>
      </c>
    </row>
    <row r="323" spans="1:16" ht="13.2" x14ac:dyDescent="0.25">
      <c r="A323" t="s">
        <v>1</v>
      </c>
      <c r="E323" s="1" t="s">
        <v>1667</v>
      </c>
    </row>
    <row r="324" spans="1:16" ht="13.2" x14ac:dyDescent="0.25">
      <c r="A324" t="s">
        <v>11</v>
      </c>
      <c r="B324" s="9" t="s">
        <v>87</v>
      </c>
      <c r="C324" s="9" t="s">
        <v>1666</v>
      </c>
      <c r="D324" s="3" t="s">
        <v>2</v>
      </c>
      <c r="E324" s="8" t="s">
        <v>1665</v>
      </c>
      <c r="F324" s="4" t="s">
        <v>13</v>
      </c>
      <c r="G324" s="7">
        <v>5</v>
      </c>
      <c r="H324" s="4">
        <v>3.3500000000000001E-3</v>
      </c>
      <c r="I324" s="4">
        <f>ROUND(G324*H324,6)</f>
        <v>1.6750000000000001E-2</v>
      </c>
      <c r="L324" s="6">
        <v>0</v>
      </c>
      <c r="M324" s="5">
        <f>ROUND(ROUND(L324,2)*ROUND(G324,3),2)</f>
        <v>0</v>
      </c>
      <c r="N324" s="4" t="s">
        <v>501</v>
      </c>
      <c r="O324">
        <f>(M324*21)/100</f>
        <v>0</v>
      </c>
      <c r="P324" t="s">
        <v>6</v>
      </c>
    </row>
    <row r="325" spans="1:16" ht="13.2" x14ac:dyDescent="0.25">
      <c r="A325" s="3" t="s">
        <v>5</v>
      </c>
      <c r="E325" s="1" t="s">
        <v>1665</v>
      </c>
    </row>
    <row r="326" spans="1:16" ht="13.2" x14ac:dyDescent="0.25">
      <c r="A326" s="3" t="s">
        <v>3</v>
      </c>
      <c r="E326" s="2" t="s">
        <v>2</v>
      </c>
    </row>
    <row r="327" spans="1:16" ht="13.2" x14ac:dyDescent="0.25">
      <c r="A327" t="s">
        <v>1</v>
      </c>
      <c r="E327" s="1" t="s">
        <v>1665</v>
      </c>
    </row>
    <row r="328" spans="1:16" ht="26.4" x14ac:dyDescent="0.25">
      <c r="A328" t="s">
        <v>11</v>
      </c>
      <c r="B328" s="9" t="s">
        <v>84</v>
      </c>
      <c r="C328" s="9" t="s">
        <v>1664</v>
      </c>
      <c r="D328" s="3" t="s">
        <v>2</v>
      </c>
      <c r="E328" s="8" t="s">
        <v>1663</v>
      </c>
      <c r="F328" s="4" t="s">
        <v>13</v>
      </c>
      <c r="G328" s="7">
        <v>10</v>
      </c>
      <c r="H328" s="4">
        <v>0</v>
      </c>
      <c r="I328" s="4">
        <f>ROUND(G328*H328,6)</f>
        <v>0</v>
      </c>
      <c r="L328" s="6">
        <v>0</v>
      </c>
      <c r="M328" s="5">
        <f>ROUND(ROUND(L328,2)*ROUND(G328,3),2)</f>
        <v>0</v>
      </c>
      <c r="N328" s="4" t="s">
        <v>501</v>
      </c>
      <c r="O328">
        <f>(M328*21)/100</f>
        <v>0</v>
      </c>
      <c r="P328" t="s">
        <v>6</v>
      </c>
    </row>
    <row r="329" spans="1:16" ht="26.4" x14ac:dyDescent="0.25">
      <c r="A329" s="3" t="s">
        <v>5</v>
      </c>
      <c r="E329" s="1" t="s">
        <v>1663</v>
      </c>
    </row>
    <row r="330" spans="1:16" ht="13.2" x14ac:dyDescent="0.25">
      <c r="A330" s="3" t="s">
        <v>3</v>
      </c>
      <c r="E330" s="2" t="s">
        <v>1662</v>
      </c>
    </row>
    <row r="331" spans="1:16" ht="105.6" x14ac:dyDescent="0.25">
      <c r="A331" t="s">
        <v>1</v>
      </c>
      <c r="E331" s="1" t="s">
        <v>1661</v>
      </c>
    </row>
    <row r="332" spans="1:16" ht="26.4" x14ac:dyDescent="0.25">
      <c r="A332" t="s">
        <v>11</v>
      </c>
      <c r="B332" s="9" t="s">
        <v>81</v>
      </c>
      <c r="C332" s="9" t="s">
        <v>1660</v>
      </c>
      <c r="D332" s="3" t="s">
        <v>2</v>
      </c>
      <c r="E332" s="8" t="s">
        <v>1659</v>
      </c>
      <c r="F332" s="4" t="s">
        <v>13</v>
      </c>
      <c r="G332" s="7">
        <v>6</v>
      </c>
      <c r="H332" s="4">
        <v>0</v>
      </c>
      <c r="I332" s="4">
        <f>ROUND(G332*H332,6)</f>
        <v>0</v>
      </c>
      <c r="L332" s="6">
        <v>0</v>
      </c>
      <c r="M332" s="5">
        <f>ROUND(ROUND(L332,2)*ROUND(G332,3),2)</f>
        <v>0</v>
      </c>
      <c r="N332" s="4" t="s">
        <v>501</v>
      </c>
      <c r="O332">
        <f>(M332*21)/100</f>
        <v>0</v>
      </c>
      <c r="P332" t="s">
        <v>6</v>
      </c>
    </row>
    <row r="333" spans="1:16" ht="26.4" x14ac:dyDescent="0.25">
      <c r="A333" s="3" t="s">
        <v>5</v>
      </c>
      <c r="E333" s="1" t="s">
        <v>1659</v>
      </c>
    </row>
    <row r="334" spans="1:16" ht="13.2" x14ac:dyDescent="0.25">
      <c r="A334" s="3" t="s">
        <v>3</v>
      </c>
      <c r="E334" s="2" t="s">
        <v>1658</v>
      </c>
    </row>
    <row r="335" spans="1:16" ht="105.6" x14ac:dyDescent="0.25">
      <c r="A335" t="s">
        <v>1</v>
      </c>
      <c r="E335" s="1" t="s">
        <v>1657</v>
      </c>
    </row>
    <row r="336" spans="1:16" ht="39.6" x14ac:dyDescent="0.25">
      <c r="A336" t="s">
        <v>11</v>
      </c>
      <c r="B336" s="9" t="s">
        <v>874</v>
      </c>
      <c r="C336" s="9" t="s">
        <v>1656</v>
      </c>
      <c r="D336" s="3" t="s">
        <v>2</v>
      </c>
      <c r="E336" s="8" t="s">
        <v>1655</v>
      </c>
      <c r="F336" s="4" t="s">
        <v>542</v>
      </c>
      <c r="G336" s="7">
        <v>3.7999999999999999E-2</v>
      </c>
      <c r="H336" s="4">
        <v>0</v>
      </c>
      <c r="I336" s="4">
        <f>ROUND(G336*H336,6)</f>
        <v>0</v>
      </c>
      <c r="L336" s="6">
        <v>0</v>
      </c>
      <c r="M336" s="5">
        <f>ROUND(ROUND(L336,2)*ROUND(G336,3),2)</f>
        <v>0</v>
      </c>
      <c r="N336" s="4" t="s">
        <v>501</v>
      </c>
      <c r="O336">
        <f>(M336*21)/100</f>
        <v>0</v>
      </c>
      <c r="P336" t="s">
        <v>6</v>
      </c>
    </row>
    <row r="337" spans="1:16" ht="39.6" x14ac:dyDescent="0.25">
      <c r="A337" s="3" t="s">
        <v>5</v>
      </c>
      <c r="E337" s="1" t="s">
        <v>1655</v>
      </c>
    </row>
    <row r="338" spans="1:16" ht="13.2" x14ac:dyDescent="0.25">
      <c r="A338" s="3" t="s">
        <v>3</v>
      </c>
      <c r="E338" s="2" t="s">
        <v>2</v>
      </c>
    </row>
    <row r="339" spans="1:16" ht="145.19999999999999" x14ac:dyDescent="0.25">
      <c r="A339" t="s">
        <v>1</v>
      </c>
      <c r="E339" s="1" t="s">
        <v>1654</v>
      </c>
    </row>
    <row r="340" spans="1:16" ht="13.2" x14ac:dyDescent="0.25">
      <c r="A340" t="s">
        <v>11</v>
      </c>
      <c r="B340" s="9" t="s">
        <v>871</v>
      </c>
      <c r="C340" s="9" t="s">
        <v>1653</v>
      </c>
      <c r="D340" s="3" t="s">
        <v>2</v>
      </c>
      <c r="E340" s="8" t="s">
        <v>1652</v>
      </c>
      <c r="F340" s="4" t="s">
        <v>8</v>
      </c>
      <c r="G340" s="7">
        <v>2.42</v>
      </c>
      <c r="H340" s="4">
        <v>2.8800000000000002E-3</v>
      </c>
      <c r="I340" s="4">
        <f>ROUND(G340*H340,6)</f>
        <v>6.9699999999999996E-3</v>
      </c>
      <c r="L340" s="6">
        <v>0</v>
      </c>
      <c r="M340" s="5">
        <f>ROUND(ROUND(L340,2)*ROUND(G340,3),2)</f>
        <v>0</v>
      </c>
      <c r="N340" s="4" t="s">
        <v>7</v>
      </c>
      <c r="O340">
        <f>(M340*21)/100</f>
        <v>0</v>
      </c>
      <c r="P340" t="s">
        <v>6</v>
      </c>
    </row>
    <row r="341" spans="1:16" ht="13.2" x14ac:dyDescent="0.25">
      <c r="A341" s="3" t="s">
        <v>5</v>
      </c>
      <c r="E341" s="1" t="s">
        <v>1652</v>
      </c>
    </row>
    <row r="342" spans="1:16" ht="13.2" x14ac:dyDescent="0.25">
      <c r="A342" s="3" t="s">
        <v>3</v>
      </c>
      <c r="E342" s="2" t="s">
        <v>2</v>
      </c>
    </row>
    <row r="343" spans="1:16" ht="66" x14ac:dyDescent="0.25">
      <c r="A343" t="s">
        <v>1</v>
      </c>
      <c r="E343" s="1" t="s">
        <v>1651</v>
      </c>
    </row>
    <row r="344" spans="1:16" ht="13.2" x14ac:dyDescent="0.25">
      <c r="A344" t="s">
        <v>50</v>
      </c>
      <c r="C344" s="11" t="s">
        <v>75</v>
      </c>
      <c r="E344" s="10" t="s">
        <v>74</v>
      </c>
      <c r="J344" s="5">
        <f>0</f>
        <v>0</v>
      </c>
      <c r="K344" s="5">
        <f>0</f>
        <v>0</v>
      </c>
      <c r="L344" s="5">
        <f>0+L345+L349+L353+L357+L361+L365+L369+L373+L377+L381+L385+L389+L393+L397+L401+L405+L409+L413+L417+L421+L425+L429+L433+L437+L441+L445+L449+L453+L457+L461+L465+L469+L473+L477+L481+L485+L489+L493+L497+L501+L505+L509+L513+L517+L521+L525+L529+L533+L537+L541+L545+L549+L553+L557+L561+L565+L569+L573+L577+L581+L585+L589+L593+L597+L601+L605+L609</f>
        <v>0</v>
      </c>
      <c r="M344" s="5">
        <f>0+M345+M349+M353+M357+M361+M365+M369+M373+M377+M381+M385+M389+M393+M397+M401+M405+M409+M413+M417+M421+M425+M429+M433+M437+M441+M445+M449+M453+M457+M461+M465+M469+M473+M477+M481+M485+M489+M493+M497+M501+M505+M509+M513+M517+M521+M525+M529+M533+M537+M541+M545+M549+M553+M557+M561+M565+M569+M573+M577+M581+M585+M589+M593+M597+M601+M605+M609</f>
        <v>0</v>
      </c>
    </row>
    <row r="345" spans="1:16" ht="26.4" x14ac:dyDescent="0.25">
      <c r="A345" t="s">
        <v>11</v>
      </c>
      <c r="B345" s="9" t="s">
        <v>868</v>
      </c>
      <c r="C345" s="9" t="s">
        <v>1650</v>
      </c>
      <c r="D345" s="3" t="s">
        <v>2</v>
      </c>
      <c r="E345" s="8" t="s">
        <v>1649</v>
      </c>
      <c r="F345" s="4" t="s">
        <v>13</v>
      </c>
      <c r="G345" s="7">
        <v>1</v>
      </c>
      <c r="H345" s="4">
        <v>1.4999999999999999E-2</v>
      </c>
      <c r="I345" s="4">
        <f>ROUND(G345*H345,6)</f>
        <v>1.4999999999999999E-2</v>
      </c>
      <c r="L345" s="6">
        <v>0</v>
      </c>
      <c r="M345" s="5">
        <f>ROUND(ROUND(L345,2)*ROUND(G345,3),2)</f>
        <v>0</v>
      </c>
      <c r="N345" s="4" t="s">
        <v>7</v>
      </c>
      <c r="O345">
        <f>(M345*21)/100</f>
        <v>0</v>
      </c>
      <c r="P345" t="s">
        <v>6</v>
      </c>
    </row>
    <row r="346" spans="1:16" ht="26.4" x14ac:dyDescent="0.25">
      <c r="A346" s="3" t="s">
        <v>5</v>
      </c>
      <c r="E346" s="1" t="s">
        <v>1649</v>
      </c>
    </row>
    <row r="347" spans="1:16" ht="13.2" x14ac:dyDescent="0.25">
      <c r="A347" s="3" t="s">
        <v>3</v>
      </c>
      <c r="E347" s="2" t="s">
        <v>2</v>
      </c>
    </row>
    <row r="348" spans="1:16" ht="26.4" x14ac:dyDescent="0.25">
      <c r="A348" t="s">
        <v>1</v>
      </c>
      <c r="E348" s="1" t="s">
        <v>1649</v>
      </c>
    </row>
    <row r="349" spans="1:16" ht="26.4" x14ac:dyDescent="0.25">
      <c r="A349" t="s">
        <v>11</v>
      </c>
      <c r="B349" s="9" t="s">
        <v>865</v>
      </c>
      <c r="C349" s="9" t="s">
        <v>1648</v>
      </c>
      <c r="D349" s="3" t="s">
        <v>2</v>
      </c>
      <c r="E349" s="8" t="s">
        <v>1647</v>
      </c>
      <c r="F349" s="4" t="s">
        <v>8</v>
      </c>
      <c r="G349" s="7">
        <v>4.7750000000000004</v>
      </c>
      <c r="H349" s="4">
        <v>5.3100000000000001E-2</v>
      </c>
      <c r="I349" s="4">
        <f>ROUND(G349*H349,6)</f>
        <v>0.25355299999999997</v>
      </c>
      <c r="L349" s="6">
        <v>0</v>
      </c>
      <c r="M349" s="5">
        <f>ROUND(ROUND(L349,2)*ROUND(G349,3),2)</f>
        <v>0</v>
      </c>
      <c r="N349" s="4" t="s">
        <v>501</v>
      </c>
      <c r="O349">
        <f>(M349*21)/100</f>
        <v>0</v>
      </c>
      <c r="P349" t="s">
        <v>6</v>
      </c>
    </row>
    <row r="350" spans="1:16" ht="26.4" x14ac:dyDescent="0.25">
      <c r="A350" s="3" t="s">
        <v>5</v>
      </c>
      <c r="E350" s="1" t="s">
        <v>1647</v>
      </c>
    </row>
    <row r="351" spans="1:16" ht="13.2" x14ac:dyDescent="0.25">
      <c r="A351" s="3" t="s">
        <v>3</v>
      </c>
      <c r="E351" s="2" t="s">
        <v>2</v>
      </c>
    </row>
    <row r="352" spans="1:16" ht="26.4" x14ac:dyDescent="0.25">
      <c r="A352" t="s">
        <v>1</v>
      </c>
      <c r="E352" s="1" t="s">
        <v>1647</v>
      </c>
    </row>
    <row r="353" spans="1:16" ht="26.4" x14ac:dyDescent="0.25">
      <c r="A353" t="s">
        <v>11</v>
      </c>
      <c r="B353" s="9" t="s">
        <v>862</v>
      </c>
      <c r="C353" s="9" t="s">
        <v>1646</v>
      </c>
      <c r="D353" s="3" t="s">
        <v>2</v>
      </c>
      <c r="E353" s="8" t="s">
        <v>1645</v>
      </c>
      <c r="F353" s="4" t="s">
        <v>8</v>
      </c>
      <c r="G353" s="7">
        <v>16.11</v>
      </c>
      <c r="H353" s="4">
        <v>6.0299999999999999E-2</v>
      </c>
      <c r="I353" s="4">
        <f>ROUND(G353*H353,6)</f>
        <v>0.97143299999999999</v>
      </c>
      <c r="L353" s="6">
        <v>0</v>
      </c>
      <c r="M353" s="5">
        <f>ROUND(ROUND(L353,2)*ROUND(G353,3),2)</f>
        <v>0</v>
      </c>
      <c r="N353" s="4" t="s">
        <v>501</v>
      </c>
      <c r="O353">
        <f>(M353*21)/100</f>
        <v>0</v>
      </c>
      <c r="P353" t="s">
        <v>6</v>
      </c>
    </row>
    <row r="354" spans="1:16" ht="26.4" x14ac:dyDescent="0.25">
      <c r="A354" s="3" t="s">
        <v>5</v>
      </c>
      <c r="E354" s="1" t="s">
        <v>1645</v>
      </c>
    </row>
    <row r="355" spans="1:16" ht="13.2" x14ac:dyDescent="0.25">
      <c r="A355" s="3" t="s">
        <v>3</v>
      </c>
      <c r="E355" s="2" t="s">
        <v>2</v>
      </c>
    </row>
    <row r="356" spans="1:16" ht="26.4" x14ac:dyDescent="0.25">
      <c r="A356" t="s">
        <v>1</v>
      </c>
      <c r="E356" s="1" t="s">
        <v>1645</v>
      </c>
    </row>
    <row r="357" spans="1:16" ht="26.4" x14ac:dyDescent="0.25">
      <c r="A357" t="s">
        <v>11</v>
      </c>
      <c r="B357" s="9" t="s">
        <v>859</v>
      </c>
      <c r="C357" s="9" t="s">
        <v>1644</v>
      </c>
      <c r="D357" s="3" t="s">
        <v>2</v>
      </c>
      <c r="E357" s="8" t="s">
        <v>1643</v>
      </c>
      <c r="F357" s="4" t="s">
        <v>8</v>
      </c>
      <c r="G357" s="7">
        <v>12.185</v>
      </c>
      <c r="H357" s="4">
        <v>9.6299999999999997E-2</v>
      </c>
      <c r="I357" s="4">
        <f>ROUND(G357*H357,6)</f>
        <v>1.173416</v>
      </c>
      <c r="L357" s="6">
        <v>0</v>
      </c>
      <c r="M357" s="5">
        <f>ROUND(ROUND(L357,2)*ROUND(G357,3),2)</f>
        <v>0</v>
      </c>
      <c r="N357" s="4" t="s">
        <v>501</v>
      </c>
      <c r="O357">
        <f>(M357*21)/100</f>
        <v>0</v>
      </c>
      <c r="P357" t="s">
        <v>6</v>
      </c>
    </row>
    <row r="358" spans="1:16" ht="26.4" x14ac:dyDescent="0.25">
      <c r="A358" s="3" t="s">
        <v>5</v>
      </c>
      <c r="E358" s="1" t="s">
        <v>1643</v>
      </c>
    </row>
    <row r="359" spans="1:16" ht="13.2" x14ac:dyDescent="0.25">
      <c r="A359" s="3" t="s">
        <v>3</v>
      </c>
      <c r="E359" s="2" t="s">
        <v>2</v>
      </c>
    </row>
    <row r="360" spans="1:16" ht="26.4" x14ac:dyDescent="0.25">
      <c r="A360" t="s">
        <v>1</v>
      </c>
      <c r="E360" s="1" t="s">
        <v>1643</v>
      </c>
    </row>
    <row r="361" spans="1:16" ht="13.2" x14ac:dyDescent="0.25">
      <c r="A361" t="s">
        <v>11</v>
      </c>
      <c r="B361" s="9" t="s">
        <v>855</v>
      </c>
      <c r="C361" s="9" t="s">
        <v>1642</v>
      </c>
      <c r="D361" s="3" t="s">
        <v>2</v>
      </c>
      <c r="E361" s="8" t="s">
        <v>1641</v>
      </c>
      <c r="F361" s="4" t="s">
        <v>13</v>
      </c>
      <c r="G361" s="7">
        <v>2</v>
      </c>
      <c r="H361" s="4">
        <v>2.3999999999999998E-3</v>
      </c>
      <c r="I361" s="4">
        <f>ROUND(G361*H361,6)</f>
        <v>4.7999999999999996E-3</v>
      </c>
      <c r="L361" s="6">
        <v>0</v>
      </c>
      <c r="M361" s="5">
        <f>ROUND(ROUND(L361,2)*ROUND(G361,3),2)</f>
        <v>0</v>
      </c>
      <c r="N361" s="4" t="s">
        <v>501</v>
      </c>
      <c r="O361">
        <f>(M361*21)/100</f>
        <v>0</v>
      </c>
      <c r="P361" t="s">
        <v>6</v>
      </c>
    </row>
    <row r="362" spans="1:16" ht="13.2" x14ac:dyDescent="0.25">
      <c r="A362" s="3" t="s">
        <v>5</v>
      </c>
      <c r="E362" s="1" t="s">
        <v>1641</v>
      </c>
    </row>
    <row r="363" spans="1:16" ht="13.2" x14ac:dyDescent="0.25">
      <c r="A363" s="3" t="s">
        <v>3</v>
      </c>
      <c r="E363" s="2" t="s">
        <v>2</v>
      </c>
    </row>
    <row r="364" spans="1:16" ht="13.2" x14ac:dyDescent="0.25">
      <c r="A364" t="s">
        <v>1</v>
      </c>
      <c r="E364" s="1" t="s">
        <v>1640</v>
      </c>
    </row>
    <row r="365" spans="1:16" ht="26.4" x14ac:dyDescent="0.25">
      <c r="A365" t="s">
        <v>11</v>
      </c>
      <c r="B365" s="9" t="s">
        <v>851</v>
      </c>
      <c r="C365" s="9" t="s">
        <v>1639</v>
      </c>
      <c r="D365" s="3" t="s">
        <v>2</v>
      </c>
      <c r="E365" s="8" t="s">
        <v>1638</v>
      </c>
      <c r="F365" s="4" t="s">
        <v>370</v>
      </c>
      <c r="G365" s="7">
        <v>1612.31</v>
      </c>
      <c r="H365" s="4">
        <v>1.52E-2</v>
      </c>
      <c r="I365" s="4">
        <f>ROUND(G365*H365,6)</f>
        <v>24.507111999999999</v>
      </c>
      <c r="L365" s="6">
        <v>0</v>
      </c>
      <c r="M365" s="5">
        <f>ROUND(ROUND(L365,2)*ROUND(G365,3),2)</f>
        <v>0</v>
      </c>
      <c r="N365" s="4" t="s">
        <v>501</v>
      </c>
      <c r="O365">
        <f>(M365*21)/100</f>
        <v>0</v>
      </c>
      <c r="P365" t="s">
        <v>6</v>
      </c>
    </row>
    <row r="366" spans="1:16" ht="26.4" x14ac:dyDescent="0.25">
      <c r="A366" s="3" t="s">
        <v>5</v>
      </c>
      <c r="E366" s="1" t="s">
        <v>1638</v>
      </c>
    </row>
    <row r="367" spans="1:16" ht="13.2" x14ac:dyDescent="0.25">
      <c r="A367" s="3" t="s">
        <v>3</v>
      </c>
      <c r="E367" s="2" t="s">
        <v>2</v>
      </c>
    </row>
    <row r="368" spans="1:16" ht="26.4" x14ac:dyDescent="0.25">
      <c r="A368" t="s">
        <v>1</v>
      </c>
      <c r="E368" s="1" t="s">
        <v>1638</v>
      </c>
    </row>
    <row r="369" spans="1:16" ht="26.4" x14ac:dyDescent="0.25">
      <c r="A369" t="s">
        <v>11</v>
      </c>
      <c r="B369" s="9" t="s">
        <v>847</v>
      </c>
      <c r="C369" s="9" t="s">
        <v>1637</v>
      </c>
      <c r="D369" s="3" t="s">
        <v>2</v>
      </c>
      <c r="E369" s="8" t="s">
        <v>1636</v>
      </c>
      <c r="F369" s="4" t="s">
        <v>370</v>
      </c>
      <c r="G369" s="7">
        <v>1113.6130000000001</v>
      </c>
      <c r="H369" s="4">
        <v>1.49E-2</v>
      </c>
      <c r="I369" s="4">
        <f>ROUND(G369*H369,6)</f>
        <v>16.592834</v>
      </c>
      <c r="L369" s="6">
        <v>0</v>
      </c>
      <c r="M369" s="5">
        <f>ROUND(ROUND(L369,2)*ROUND(G369,3),2)</f>
        <v>0</v>
      </c>
      <c r="N369" s="4" t="s">
        <v>501</v>
      </c>
      <c r="O369">
        <f>(M369*21)/100</f>
        <v>0</v>
      </c>
      <c r="P369" t="s">
        <v>6</v>
      </c>
    </row>
    <row r="370" spans="1:16" ht="26.4" x14ac:dyDescent="0.25">
      <c r="A370" s="3" t="s">
        <v>5</v>
      </c>
      <c r="E370" s="1" t="s">
        <v>1636</v>
      </c>
    </row>
    <row r="371" spans="1:16" ht="13.2" x14ac:dyDescent="0.25">
      <c r="A371" s="3" t="s">
        <v>3</v>
      </c>
      <c r="E371" s="2" t="s">
        <v>2</v>
      </c>
    </row>
    <row r="372" spans="1:16" ht="26.4" x14ac:dyDescent="0.25">
      <c r="A372" t="s">
        <v>1</v>
      </c>
      <c r="E372" s="1" t="s">
        <v>1636</v>
      </c>
    </row>
    <row r="373" spans="1:16" ht="13.2" x14ac:dyDescent="0.25">
      <c r="A373" t="s">
        <v>11</v>
      </c>
      <c r="B373" s="9" t="s">
        <v>841</v>
      </c>
      <c r="C373" s="9" t="s">
        <v>1635</v>
      </c>
      <c r="D373" s="3" t="s">
        <v>2</v>
      </c>
      <c r="E373" s="8" t="s">
        <v>1634</v>
      </c>
      <c r="F373" s="4" t="s">
        <v>370</v>
      </c>
      <c r="G373" s="7">
        <v>35.531999999999996</v>
      </c>
      <c r="H373" s="4">
        <v>2.5999999999999999E-2</v>
      </c>
      <c r="I373" s="4">
        <f>ROUND(G373*H373,6)</f>
        <v>0.92383199999999999</v>
      </c>
      <c r="L373" s="6">
        <v>0</v>
      </c>
      <c r="M373" s="5">
        <f>ROUND(ROUND(L373,2)*ROUND(G373,3),2)</f>
        <v>0</v>
      </c>
      <c r="N373" s="4" t="s">
        <v>501</v>
      </c>
      <c r="O373">
        <f>(M373*21)/100</f>
        <v>0</v>
      </c>
      <c r="P373" t="s">
        <v>6</v>
      </c>
    </row>
    <row r="374" spans="1:16" ht="13.2" x14ac:dyDescent="0.25">
      <c r="A374" s="3" t="s">
        <v>5</v>
      </c>
      <c r="E374" s="1" t="s">
        <v>1634</v>
      </c>
    </row>
    <row r="375" spans="1:16" ht="13.2" x14ac:dyDescent="0.25">
      <c r="A375" s="3" t="s">
        <v>3</v>
      </c>
      <c r="E375" s="2" t="s">
        <v>2</v>
      </c>
    </row>
    <row r="376" spans="1:16" ht="13.2" x14ac:dyDescent="0.25">
      <c r="A376" t="s">
        <v>1</v>
      </c>
      <c r="E376" s="1" t="s">
        <v>1634</v>
      </c>
    </row>
    <row r="377" spans="1:16" ht="13.2" x14ac:dyDescent="0.25">
      <c r="A377" t="s">
        <v>11</v>
      </c>
      <c r="B377" s="9" t="s">
        <v>838</v>
      </c>
      <c r="C377" s="9" t="s">
        <v>1633</v>
      </c>
      <c r="D377" s="3" t="s">
        <v>2</v>
      </c>
      <c r="E377" s="8" t="s">
        <v>1632</v>
      </c>
      <c r="F377" s="4" t="s">
        <v>370</v>
      </c>
      <c r="G377" s="7">
        <v>1.89</v>
      </c>
      <c r="H377" s="4">
        <v>2.7E-2</v>
      </c>
      <c r="I377" s="4">
        <f>ROUND(G377*H377,6)</f>
        <v>5.1029999999999999E-2</v>
      </c>
      <c r="L377" s="6">
        <v>0</v>
      </c>
      <c r="M377" s="5">
        <f>ROUND(ROUND(L377,2)*ROUND(G377,3),2)</f>
        <v>0</v>
      </c>
      <c r="N377" s="4" t="s">
        <v>501</v>
      </c>
      <c r="O377">
        <f>(M377*21)/100</f>
        <v>0</v>
      </c>
      <c r="P377" t="s">
        <v>6</v>
      </c>
    </row>
    <row r="378" spans="1:16" ht="13.2" x14ac:dyDescent="0.25">
      <c r="A378" s="3" t="s">
        <v>5</v>
      </c>
      <c r="E378" s="1" t="s">
        <v>1632</v>
      </c>
    </row>
    <row r="379" spans="1:16" ht="13.2" x14ac:dyDescent="0.25">
      <c r="A379" s="3" t="s">
        <v>3</v>
      </c>
      <c r="E379" s="2" t="s">
        <v>2</v>
      </c>
    </row>
    <row r="380" spans="1:16" ht="13.2" x14ac:dyDescent="0.25">
      <c r="A380" t="s">
        <v>1</v>
      </c>
      <c r="E380" s="1" t="s">
        <v>1632</v>
      </c>
    </row>
    <row r="381" spans="1:16" ht="13.2" x14ac:dyDescent="0.25">
      <c r="A381" t="s">
        <v>11</v>
      </c>
      <c r="B381" s="9" t="s">
        <v>835</v>
      </c>
      <c r="C381" s="9" t="s">
        <v>1633</v>
      </c>
      <c r="D381" s="3" t="s">
        <v>48</v>
      </c>
      <c r="E381" s="8" t="s">
        <v>1632</v>
      </c>
      <c r="F381" s="4" t="s">
        <v>370</v>
      </c>
      <c r="G381" s="7">
        <v>72.275000000000006</v>
      </c>
      <c r="H381" s="4">
        <v>2.7E-2</v>
      </c>
      <c r="I381" s="4">
        <f>ROUND(G381*H381,6)</f>
        <v>1.951425</v>
      </c>
      <c r="L381" s="6">
        <v>0</v>
      </c>
      <c r="M381" s="5">
        <f>ROUND(ROUND(L381,2)*ROUND(G381,3),2)</f>
        <v>0</v>
      </c>
      <c r="N381" s="4" t="s">
        <v>501</v>
      </c>
      <c r="O381">
        <f>(M381*21)/100</f>
        <v>0</v>
      </c>
      <c r="P381" t="s">
        <v>6</v>
      </c>
    </row>
    <row r="382" spans="1:16" ht="13.2" x14ac:dyDescent="0.25">
      <c r="A382" s="3" t="s">
        <v>5</v>
      </c>
      <c r="E382" s="1" t="s">
        <v>1632</v>
      </c>
    </row>
    <row r="383" spans="1:16" ht="13.2" x14ac:dyDescent="0.25">
      <c r="A383" s="3" t="s">
        <v>3</v>
      </c>
      <c r="E383" s="2" t="s">
        <v>2</v>
      </c>
    </row>
    <row r="384" spans="1:16" ht="13.2" x14ac:dyDescent="0.25">
      <c r="A384" t="s">
        <v>1</v>
      </c>
      <c r="E384" s="1" t="s">
        <v>1632</v>
      </c>
    </row>
    <row r="385" spans="1:16" ht="13.2" x14ac:dyDescent="0.25">
      <c r="A385" t="s">
        <v>11</v>
      </c>
      <c r="B385" s="9" t="s">
        <v>831</v>
      </c>
      <c r="C385" s="9" t="s">
        <v>1631</v>
      </c>
      <c r="D385" s="3" t="s">
        <v>2</v>
      </c>
      <c r="E385" s="8" t="s">
        <v>1630</v>
      </c>
      <c r="F385" s="4" t="s">
        <v>370</v>
      </c>
      <c r="G385" s="7">
        <v>2.3260000000000001</v>
      </c>
      <c r="H385" s="4">
        <v>2.5139999999999999E-2</v>
      </c>
      <c r="I385" s="4">
        <f>ROUND(G385*H385,6)</f>
        <v>5.8476E-2</v>
      </c>
      <c r="L385" s="6">
        <v>0</v>
      </c>
      <c r="M385" s="5">
        <f>ROUND(ROUND(L385,2)*ROUND(G385,3),2)</f>
        <v>0</v>
      </c>
      <c r="N385" s="4" t="s">
        <v>501</v>
      </c>
      <c r="O385">
        <f>(M385*21)/100</f>
        <v>0</v>
      </c>
      <c r="P385" t="s">
        <v>6</v>
      </c>
    </row>
    <row r="386" spans="1:16" ht="13.2" x14ac:dyDescent="0.25">
      <c r="A386" s="3" t="s">
        <v>5</v>
      </c>
      <c r="E386" s="1" t="s">
        <v>1630</v>
      </c>
    </row>
    <row r="387" spans="1:16" ht="13.2" x14ac:dyDescent="0.25">
      <c r="A387" s="3" t="s">
        <v>3</v>
      </c>
      <c r="E387" s="2" t="s">
        <v>2</v>
      </c>
    </row>
    <row r="388" spans="1:16" ht="13.2" x14ac:dyDescent="0.25">
      <c r="A388" t="s">
        <v>1</v>
      </c>
      <c r="E388" s="1" t="s">
        <v>1630</v>
      </c>
    </row>
    <row r="389" spans="1:16" ht="13.2" x14ac:dyDescent="0.25">
      <c r="A389" t="s">
        <v>11</v>
      </c>
      <c r="B389" s="9" t="s">
        <v>825</v>
      </c>
      <c r="C389" s="9" t="s">
        <v>1631</v>
      </c>
      <c r="D389" s="3" t="s">
        <v>48</v>
      </c>
      <c r="E389" s="8" t="s">
        <v>1630</v>
      </c>
      <c r="F389" s="4" t="s">
        <v>370</v>
      </c>
      <c r="G389" s="7">
        <v>2.3260000000000001</v>
      </c>
      <c r="H389" s="4">
        <v>2.5139999999999999E-2</v>
      </c>
      <c r="I389" s="4">
        <f>ROUND(G389*H389,6)</f>
        <v>5.8476E-2</v>
      </c>
      <c r="L389" s="6">
        <v>0</v>
      </c>
      <c r="M389" s="5">
        <f>ROUND(ROUND(L389,2)*ROUND(G389,3),2)</f>
        <v>0</v>
      </c>
      <c r="N389" s="4" t="s">
        <v>501</v>
      </c>
      <c r="O389">
        <f>(M389*21)/100</f>
        <v>0</v>
      </c>
      <c r="P389" t="s">
        <v>6</v>
      </c>
    </row>
    <row r="390" spans="1:16" ht="13.2" x14ac:dyDescent="0.25">
      <c r="A390" s="3" t="s">
        <v>5</v>
      </c>
      <c r="E390" s="1" t="s">
        <v>1630</v>
      </c>
    </row>
    <row r="391" spans="1:16" ht="13.2" x14ac:dyDescent="0.25">
      <c r="A391" s="3" t="s">
        <v>3</v>
      </c>
      <c r="E391" s="2" t="s">
        <v>2</v>
      </c>
    </row>
    <row r="392" spans="1:16" ht="13.2" x14ac:dyDescent="0.25">
      <c r="A392" t="s">
        <v>1</v>
      </c>
      <c r="E392" s="1" t="s">
        <v>1630</v>
      </c>
    </row>
    <row r="393" spans="1:16" ht="13.2" x14ac:dyDescent="0.25">
      <c r="A393" t="s">
        <v>11</v>
      </c>
      <c r="B393" s="9" t="s">
        <v>673</v>
      </c>
      <c r="C393" s="9" t="s">
        <v>1629</v>
      </c>
      <c r="D393" s="3" t="s">
        <v>2</v>
      </c>
      <c r="E393" s="8" t="s">
        <v>1628</v>
      </c>
      <c r="F393" s="4" t="s">
        <v>370</v>
      </c>
      <c r="G393" s="7">
        <v>8.61</v>
      </c>
      <c r="H393" s="4">
        <v>2.741E-2</v>
      </c>
      <c r="I393" s="4">
        <f>ROUND(G393*H393,6)</f>
        <v>0.23599999999999999</v>
      </c>
      <c r="L393" s="6">
        <v>0</v>
      </c>
      <c r="M393" s="5">
        <f>ROUND(ROUND(L393,2)*ROUND(G393,3),2)</f>
        <v>0</v>
      </c>
      <c r="N393" s="4" t="s">
        <v>501</v>
      </c>
      <c r="O393">
        <f>(M393*21)/100</f>
        <v>0</v>
      </c>
      <c r="P393" t="s">
        <v>6</v>
      </c>
    </row>
    <row r="394" spans="1:16" ht="13.2" x14ac:dyDescent="0.25">
      <c r="A394" s="3" t="s">
        <v>5</v>
      </c>
      <c r="E394" s="1" t="s">
        <v>1628</v>
      </c>
    </row>
    <row r="395" spans="1:16" ht="13.2" x14ac:dyDescent="0.25">
      <c r="A395" s="3" t="s">
        <v>3</v>
      </c>
      <c r="E395" s="2" t="s">
        <v>2</v>
      </c>
    </row>
    <row r="396" spans="1:16" ht="13.2" x14ac:dyDescent="0.25">
      <c r="A396" t="s">
        <v>1</v>
      </c>
      <c r="E396" s="1" t="s">
        <v>1628</v>
      </c>
    </row>
    <row r="397" spans="1:16" ht="13.2" x14ac:dyDescent="0.25">
      <c r="A397" t="s">
        <v>11</v>
      </c>
      <c r="B397" s="9" t="s">
        <v>820</v>
      </c>
      <c r="C397" s="9" t="s">
        <v>1627</v>
      </c>
      <c r="D397" s="3" t="s">
        <v>2</v>
      </c>
      <c r="E397" s="8" t="s">
        <v>1626</v>
      </c>
      <c r="F397" s="4" t="s">
        <v>370</v>
      </c>
      <c r="G397" s="7">
        <v>52.518000000000001</v>
      </c>
      <c r="H397" s="4">
        <v>2.019E-2</v>
      </c>
      <c r="I397" s="4">
        <f>ROUND(G397*H397,6)</f>
        <v>1.060338</v>
      </c>
      <c r="L397" s="6">
        <v>0</v>
      </c>
      <c r="M397" s="5">
        <f>ROUND(ROUND(L397,2)*ROUND(G397,3),2)</f>
        <v>0</v>
      </c>
      <c r="N397" s="4" t="s">
        <v>501</v>
      </c>
      <c r="O397">
        <f>(M397*21)/100</f>
        <v>0</v>
      </c>
      <c r="P397" t="s">
        <v>6</v>
      </c>
    </row>
    <row r="398" spans="1:16" ht="13.2" x14ac:dyDescent="0.25">
      <c r="A398" s="3" t="s">
        <v>5</v>
      </c>
      <c r="E398" s="1" t="s">
        <v>1626</v>
      </c>
    </row>
    <row r="399" spans="1:16" ht="13.2" x14ac:dyDescent="0.25">
      <c r="A399" s="3" t="s">
        <v>3</v>
      </c>
      <c r="E399" s="2" t="s">
        <v>2</v>
      </c>
    </row>
    <row r="400" spans="1:16" ht="13.2" x14ac:dyDescent="0.25">
      <c r="A400" t="s">
        <v>1</v>
      </c>
      <c r="E400" s="1" t="s">
        <v>1626</v>
      </c>
    </row>
    <row r="401" spans="1:16" ht="13.2" x14ac:dyDescent="0.25">
      <c r="A401" t="s">
        <v>11</v>
      </c>
      <c r="B401" s="9" t="s">
        <v>817</v>
      </c>
      <c r="C401" s="9" t="s">
        <v>1625</v>
      </c>
      <c r="D401" s="3" t="s">
        <v>2</v>
      </c>
      <c r="E401" s="8" t="s">
        <v>1623</v>
      </c>
      <c r="F401" s="4" t="s">
        <v>370</v>
      </c>
      <c r="G401" s="7">
        <v>50</v>
      </c>
      <c r="H401" s="4">
        <v>1.3509999999999999E-2</v>
      </c>
      <c r="I401" s="4">
        <f>ROUND(G401*H401,6)</f>
        <v>0.67549999999999999</v>
      </c>
      <c r="L401" s="6">
        <v>0</v>
      </c>
      <c r="M401" s="5">
        <f>ROUND(ROUND(L401,2)*ROUND(G401,3),2)</f>
        <v>0</v>
      </c>
      <c r="N401" s="4" t="s">
        <v>501</v>
      </c>
      <c r="O401">
        <f>(M401*21)/100</f>
        <v>0</v>
      </c>
      <c r="P401" t="s">
        <v>6</v>
      </c>
    </row>
    <row r="402" spans="1:16" ht="13.2" x14ac:dyDescent="0.25">
      <c r="A402" s="3" t="s">
        <v>5</v>
      </c>
      <c r="E402" s="1" t="s">
        <v>1623</v>
      </c>
    </row>
    <row r="403" spans="1:16" ht="13.2" x14ac:dyDescent="0.25">
      <c r="A403" s="3" t="s">
        <v>3</v>
      </c>
      <c r="E403" s="2" t="s">
        <v>1624</v>
      </c>
    </row>
    <row r="404" spans="1:16" ht="13.2" x14ac:dyDescent="0.25">
      <c r="A404" t="s">
        <v>1</v>
      </c>
      <c r="E404" s="1" t="s">
        <v>1623</v>
      </c>
    </row>
    <row r="405" spans="1:16" ht="13.2" x14ac:dyDescent="0.25">
      <c r="A405" t="s">
        <v>11</v>
      </c>
      <c r="B405" s="9" t="s">
        <v>814</v>
      </c>
      <c r="C405" s="9" t="s">
        <v>1622</v>
      </c>
      <c r="D405" s="3" t="s">
        <v>2</v>
      </c>
      <c r="E405" s="8" t="s">
        <v>1621</v>
      </c>
      <c r="F405" s="4" t="s">
        <v>13</v>
      </c>
      <c r="G405" s="7">
        <v>2</v>
      </c>
      <c r="H405" s="4">
        <v>1.2E-2</v>
      </c>
      <c r="I405" s="4">
        <f>ROUND(G405*H405,6)</f>
        <v>2.4E-2</v>
      </c>
      <c r="L405" s="6">
        <v>0</v>
      </c>
      <c r="M405" s="5">
        <f>ROUND(ROUND(L405,2)*ROUND(G405,3),2)</f>
        <v>0</v>
      </c>
      <c r="N405" s="4" t="s">
        <v>501</v>
      </c>
      <c r="O405">
        <f>(M405*21)/100</f>
        <v>0</v>
      </c>
      <c r="P405" t="s">
        <v>6</v>
      </c>
    </row>
    <row r="406" spans="1:16" ht="13.2" x14ac:dyDescent="0.25">
      <c r="A406" s="3" t="s">
        <v>5</v>
      </c>
      <c r="E406" s="1" t="s">
        <v>1621</v>
      </c>
    </row>
    <row r="407" spans="1:16" ht="13.2" x14ac:dyDescent="0.25">
      <c r="A407" s="3" t="s">
        <v>3</v>
      </c>
      <c r="E407" s="2" t="s">
        <v>2</v>
      </c>
    </row>
    <row r="408" spans="1:16" ht="13.2" x14ac:dyDescent="0.25">
      <c r="A408" t="s">
        <v>1</v>
      </c>
      <c r="E408" s="1" t="s">
        <v>1621</v>
      </c>
    </row>
    <row r="409" spans="1:16" ht="13.2" x14ac:dyDescent="0.25">
      <c r="A409" t="s">
        <v>11</v>
      </c>
      <c r="B409" s="9" t="s">
        <v>811</v>
      </c>
      <c r="C409" s="9" t="s">
        <v>1620</v>
      </c>
      <c r="D409" s="3" t="s">
        <v>2</v>
      </c>
      <c r="E409" s="8" t="s">
        <v>1619</v>
      </c>
      <c r="F409" s="4" t="s">
        <v>13</v>
      </c>
      <c r="G409" s="7">
        <v>251.262</v>
      </c>
      <c r="H409" s="4">
        <v>3.2000000000000001E-2</v>
      </c>
      <c r="I409" s="4">
        <f>ROUND(G409*H409,6)</f>
        <v>8.0403839999999995</v>
      </c>
      <c r="L409" s="6">
        <v>0</v>
      </c>
      <c r="M409" s="5">
        <f>ROUND(ROUND(L409,2)*ROUND(G409,3),2)</f>
        <v>0</v>
      </c>
      <c r="N409" s="4" t="s">
        <v>501</v>
      </c>
      <c r="O409">
        <f>(M409*21)/100</f>
        <v>0</v>
      </c>
      <c r="P409" t="s">
        <v>6</v>
      </c>
    </row>
    <row r="410" spans="1:16" ht="13.2" x14ac:dyDescent="0.25">
      <c r="A410" s="3" t="s">
        <v>5</v>
      </c>
      <c r="E410" s="1" t="s">
        <v>1619</v>
      </c>
    </row>
    <row r="411" spans="1:16" ht="13.2" x14ac:dyDescent="0.25">
      <c r="A411" s="3" t="s">
        <v>3</v>
      </c>
      <c r="E411" s="2" t="s">
        <v>2</v>
      </c>
    </row>
    <row r="412" spans="1:16" ht="13.2" x14ac:dyDescent="0.25">
      <c r="A412" t="s">
        <v>1</v>
      </c>
      <c r="E412" s="1" t="s">
        <v>1619</v>
      </c>
    </row>
    <row r="413" spans="1:16" ht="13.2" x14ac:dyDescent="0.25">
      <c r="A413" t="s">
        <v>11</v>
      </c>
      <c r="B413" s="9" t="s">
        <v>808</v>
      </c>
      <c r="C413" s="9" t="s">
        <v>1618</v>
      </c>
      <c r="D413" s="3" t="s">
        <v>2</v>
      </c>
      <c r="E413" s="8" t="s">
        <v>1617</v>
      </c>
      <c r="F413" s="4" t="s">
        <v>370</v>
      </c>
      <c r="G413" s="7">
        <v>228.42</v>
      </c>
      <c r="H413" s="4">
        <v>0</v>
      </c>
      <c r="I413" s="4">
        <f>ROUND(G413*H413,6)</f>
        <v>0</v>
      </c>
      <c r="L413" s="6">
        <v>0</v>
      </c>
      <c r="M413" s="5">
        <f>ROUND(ROUND(L413,2)*ROUND(G413,3),2)</f>
        <v>0</v>
      </c>
      <c r="N413" s="4" t="s">
        <v>501</v>
      </c>
      <c r="O413">
        <f>(M413*21)/100</f>
        <v>0</v>
      </c>
      <c r="P413" t="s">
        <v>6</v>
      </c>
    </row>
    <row r="414" spans="1:16" ht="13.2" x14ac:dyDescent="0.25">
      <c r="A414" s="3" t="s">
        <v>5</v>
      </c>
      <c r="E414" s="1" t="s">
        <v>1617</v>
      </c>
    </row>
    <row r="415" spans="1:16" ht="52.8" x14ac:dyDescent="0.25">
      <c r="A415" s="3" t="s">
        <v>3</v>
      </c>
      <c r="E415" s="12" t="s">
        <v>1616</v>
      </c>
    </row>
    <row r="416" spans="1:16" ht="66" x14ac:dyDescent="0.25">
      <c r="A416" t="s">
        <v>1</v>
      </c>
      <c r="E416" s="1" t="s">
        <v>1615</v>
      </c>
    </row>
    <row r="417" spans="1:16" ht="13.2" x14ac:dyDescent="0.25">
      <c r="A417" t="s">
        <v>11</v>
      </c>
      <c r="B417" s="9" t="s">
        <v>805</v>
      </c>
      <c r="C417" s="9" t="s">
        <v>1614</v>
      </c>
      <c r="D417" s="3" t="s">
        <v>2</v>
      </c>
      <c r="E417" s="8" t="s">
        <v>1613</v>
      </c>
      <c r="F417" s="4" t="s">
        <v>13</v>
      </c>
      <c r="G417" s="7">
        <v>8</v>
      </c>
      <c r="H417" s="4">
        <v>0</v>
      </c>
      <c r="I417" s="4">
        <f>ROUND(G417*H417,6)</f>
        <v>0</v>
      </c>
      <c r="L417" s="6">
        <v>0</v>
      </c>
      <c r="M417" s="5">
        <f>ROUND(ROUND(L417,2)*ROUND(G417,3),2)</f>
        <v>0</v>
      </c>
      <c r="N417" s="4" t="s">
        <v>501</v>
      </c>
      <c r="O417">
        <f>(M417*21)/100</f>
        <v>0</v>
      </c>
      <c r="P417" t="s">
        <v>6</v>
      </c>
    </row>
    <row r="418" spans="1:16" ht="13.2" x14ac:dyDescent="0.25">
      <c r="A418" s="3" t="s">
        <v>5</v>
      </c>
      <c r="E418" s="1" t="s">
        <v>1613</v>
      </c>
    </row>
    <row r="419" spans="1:16" ht="13.2" x14ac:dyDescent="0.25">
      <c r="A419" s="3" t="s">
        <v>3</v>
      </c>
      <c r="E419" s="2" t="s">
        <v>1612</v>
      </c>
    </row>
    <row r="420" spans="1:16" ht="39.6" x14ac:dyDescent="0.25">
      <c r="A420" t="s">
        <v>1</v>
      </c>
      <c r="E420" s="1" t="s">
        <v>1611</v>
      </c>
    </row>
    <row r="421" spans="1:16" ht="26.4" x14ac:dyDescent="0.25">
      <c r="A421" t="s">
        <v>11</v>
      </c>
      <c r="B421" s="9" t="s">
        <v>802</v>
      </c>
      <c r="C421" s="9" t="s">
        <v>1610</v>
      </c>
      <c r="D421" s="3" t="s">
        <v>2</v>
      </c>
      <c r="E421" s="8" t="s">
        <v>1609</v>
      </c>
      <c r="F421" s="4" t="s">
        <v>370</v>
      </c>
      <c r="G421" s="7">
        <v>1535.5329999999999</v>
      </c>
      <c r="H421" s="4">
        <v>4.0000000000000003E-5</v>
      </c>
      <c r="I421" s="4">
        <f>ROUND(G421*H421,6)</f>
        <v>6.1421000000000003E-2</v>
      </c>
      <c r="L421" s="6">
        <v>0</v>
      </c>
      <c r="M421" s="5">
        <f>ROUND(ROUND(L421,2)*ROUND(G421,3),2)</f>
        <v>0</v>
      </c>
      <c r="N421" s="4" t="s">
        <v>501</v>
      </c>
      <c r="O421">
        <f>(M421*21)/100</f>
        <v>0</v>
      </c>
      <c r="P421" t="s">
        <v>6</v>
      </c>
    </row>
    <row r="422" spans="1:16" ht="26.4" x14ac:dyDescent="0.25">
      <c r="A422" s="3" t="s">
        <v>5</v>
      </c>
      <c r="E422" s="1" t="s">
        <v>1609</v>
      </c>
    </row>
    <row r="423" spans="1:16" ht="79.2" x14ac:dyDescent="0.25">
      <c r="A423" s="3" t="s">
        <v>3</v>
      </c>
      <c r="E423" s="12" t="s">
        <v>1608</v>
      </c>
    </row>
    <row r="424" spans="1:16" ht="118.8" x14ac:dyDescent="0.25">
      <c r="A424" t="s">
        <v>1</v>
      </c>
      <c r="E424" s="1" t="s">
        <v>1607</v>
      </c>
    </row>
    <row r="425" spans="1:16" ht="39.6" x14ac:dyDescent="0.25">
      <c r="A425" t="s">
        <v>11</v>
      </c>
      <c r="B425" s="9" t="s">
        <v>799</v>
      </c>
      <c r="C425" s="9" t="s">
        <v>1606</v>
      </c>
      <c r="D425" s="3" t="s">
        <v>2</v>
      </c>
      <c r="E425" s="8" t="s">
        <v>1605</v>
      </c>
      <c r="F425" s="4" t="s">
        <v>370</v>
      </c>
      <c r="G425" s="7">
        <v>1060.5840000000001</v>
      </c>
      <c r="H425" s="4">
        <v>6.0000000000000002E-5</v>
      </c>
      <c r="I425" s="4">
        <f>ROUND(G425*H425,6)</f>
        <v>6.3634999999999997E-2</v>
      </c>
      <c r="L425" s="6">
        <v>0</v>
      </c>
      <c r="M425" s="5">
        <f>ROUND(ROUND(L425,2)*ROUND(G425,3),2)</f>
        <v>0</v>
      </c>
      <c r="N425" s="4" t="s">
        <v>501</v>
      </c>
      <c r="O425">
        <f>(M425*21)/100</f>
        <v>0</v>
      </c>
      <c r="P425" t="s">
        <v>6</v>
      </c>
    </row>
    <row r="426" spans="1:16" ht="39.6" x14ac:dyDescent="0.25">
      <c r="A426" s="3" t="s">
        <v>5</v>
      </c>
      <c r="E426" s="1" t="s">
        <v>1605</v>
      </c>
    </row>
    <row r="427" spans="1:16" ht="92.4" x14ac:dyDescent="0.25">
      <c r="A427" s="3" t="s">
        <v>3</v>
      </c>
      <c r="E427" s="12" t="s">
        <v>1604</v>
      </c>
    </row>
    <row r="428" spans="1:16" ht="118.8" x14ac:dyDescent="0.25">
      <c r="A428" t="s">
        <v>1</v>
      </c>
      <c r="E428" s="1" t="s">
        <v>1603</v>
      </c>
    </row>
    <row r="429" spans="1:16" ht="39.6" x14ac:dyDescent="0.25">
      <c r="A429" t="s">
        <v>11</v>
      </c>
      <c r="B429" s="9" t="s">
        <v>796</v>
      </c>
      <c r="C429" s="9" t="s">
        <v>1601</v>
      </c>
      <c r="D429" s="3" t="s">
        <v>2</v>
      </c>
      <c r="E429" s="8" t="s">
        <v>1596</v>
      </c>
      <c r="F429" s="4" t="s">
        <v>370</v>
      </c>
      <c r="G429" s="7">
        <v>1.89</v>
      </c>
      <c r="H429" s="4">
        <v>3.2000000000000003E-4</v>
      </c>
      <c r="I429" s="4">
        <f>ROUND(G429*H429,6)</f>
        <v>6.0499999999999996E-4</v>
      </c>
      <c r="L429" s="6">
        <v>0</v>
      </c>
      <c r="M429" s="5">
        <f>ROUND(ROUND(L429,2)*ROUND(G429,3),2)</f>
        <v>0</v>
      </c>
      <c r="N429" s="4" t="s">
        <v>501</v>
      </c>
      <c r="O429">
        <f>(M429*21)/100</f>
        <v>0</v>
      </c>
      <c r="P429" t="s">
        <v>6</v>
      </c>
    </row>
    <row r="430" spans="1:16" ht="39.6" x14ac:dyDescent="0.25">
      <c r="A430" s="3" t="s">
        <v>5</v>
      </c>
      <c r="E430" s="1" t="s">
        <v>1600</v>
      </c>
    </row>
    <row r="431" spans="1:16" ht="13.2" x14ac:dyDescent="0.25">
      <c r="A431" s="3" t="s">
        <v>3</v>
      </c>
      <c r="E431" s="2" t="s">
        <v>1602</v>
      </c>
    </row>
    <row r="432" spans="1:16" ht="211.2" x14ac:dyDescent="0.25">
      <c r="A432" t="s">
        <v>1</v>
      </c>
      <c r="E432" s="1" t="s">
        <v>1598</v>
      </c>
    </row>
    <row r="433" spans="1:16" ht="39.6" x14ac:dyDescent="0.25">
      <c r="A433" t="s">
        <v>11</v>
      </c>
      <c r="B433" s="9" t="s">
        <v>793</v>
      </c>
      <c r="C433" s="9" t="s">
        <v>1601</v>
      </c>
      <c r="D433" s="3" t="s">
        <v>48</v>
      </c>
      <c r="E433" s="8" t="s">
        <v>1596</v>
      </c>
      <c r="F433" s="4" t="s">
        <v>370</v>
      </c>
      <c r="G433" s="7">
        <v>67.116</v>
      </c>
      <c r="H433" s="4">
        <v>3.2000000000000003E-4</v>
      </c>
      <c r="I433" s="4">
        <f>ROUND(G433*H433,6)</f>
        <v>2.1477E-2</v>
      </c>
      <c r="L433" s="6">
        <v>0</v>
      </c>
      <c r="M433" s="5">
        <f>ROUND(ROUND(L433,2)*ROUND(G433,3),2)</f>
        <v>0</v>
      </c>
      <c r="N433" s="4" t="s">
        <v>501</v>
      </c>
      <c r="O433">
        <f>(M433*21)/100</f>
        <v>0</v>
      </c>
      <c r="P433" t="s">
        <v>6</v>
      </c>
    </row>
    <row r="434" spans="1:16" ht="39.6" x14ac:dyDescent="0.25">
      <c r="A434" s="3" t="s">
        <v>5</v>
      </c>
      <c r="E434" s="1" t="s">
        <v>1600</v>
      </c>
    </row>
    <row r="435" spans="1:16" ht="39.6" x14ac:dyDescent="0.25">
      <c r="A435" s="3" t="s">
        <v>3</v>
      </c>
      <c r="E435" s="2" t="s">
        <v>1599</v>
      </c>
    </row>
    <row r="436" spans="1:16" ht="211.2" x14ac:dyDescent="0.25">
      <c r="A436" t="s">
        <v>1</v>
      </c>
      <c r="E436" s="1" t="s">
        <v>1598</v>
      </c>
    </row>
    <row r="437" spans="1:16" ht="39.6" x14ac:dyDescent="0.25">
      <c r="A437" t="s">
        <v>11</v>
      </c>
      <c r="B437" s="9" t="s">
        <v>789</v>
      </c>
      <c r="C437" s="9" t="s">
        <v>1597</v>
      </c>
      <c r="D437" s="3" t="s">
        <v>2</v>
      </c>
      <c r="E437" s="8" t="s">
        <v>1596</v>
      </c>
      <c r="F437" s="4" t="s">
        <v>370</v>
      </c>
      <c r="G437" s="7">
        <v>72.275000000000006</v>
      </c>
      <c r="H437" s="4">
        <v>1.2999999999999999E-4</v>
      </c>
      <c r="I437" s="4">
        <f>ROUND(G437*H437,6)</f>
        <v>9.3959999999999998E-3</v>
      </c>
      <c r="L437" s="6">
        <v>0</v>
      </c>
      <c r="M437" s="5">
        <f>ROUND(ROUND(L437,2)*ROUND(G437,3),2)</f>
        <v>0</v>
      </c>
      <c r="N437" s="4" t="s">
        <v>501</v>
      </c>
      <c r="O437">
        <f>(M437*21)/100</f>
        <v>0</v>
      </c>
      <c r="P437" t="s">
        <v>6</v>
      </c>
    </row>
    <row r="438" spans="1:16" ht="39.6" x14ac:dyDescent="0.25">
      <c r="A438" s="3" t="s">
        <v>5</v>
      </c>
      <c r="E438" s="1" t="s">
        <v>1595</v>
      </c>
    </row>
    <row r="439" spans="1:16" ht="92.4" x14ac:dyDescent="0.25">
      <c r="A439" s="3" t="s">
        <v>3</v>
      </c>
      <c r="E439" s="2" t="s">
        <v>1594</v>
      </c>
    </row>
    <row r="440" spans="1:16" ht="211.2" x14ac:dyDescent="0.25">
      <c r="A440" t="s">
        <v>1</v>
      </c>
      <c r="E440" s="1" t="s">
        <v>1593</v>
      </c>
    </row>
    <row r="441" spans="1:16" ht="26.4" x14ac:dyDescent="0.25">
      <c r="A441" t="s">
        <v>11</v>
      </c>
      <c r="B441" s="9" t="s">
        <v>786</v>
      </c>
      <c r="C441" s="9" t="s">
        <v>1592</v>
      </c>
      <c r="D441" s="3" t="s">
        <v>2</v>
      </c>
      <c r="E441" s="8" t="s">
        <v>1591</v>
      </c>
      <c r="F441" s="4" t="s">
        <v>370</v>
      </c>
      <c r="G441" s="7">
        <v>44.69</v>
      </c>
      <c r="H441" s="4">
        <v>1.2999999999999999E-4</v>
      </c>
      <c r="I441" s="4">
        <f>ROUND(G441*H441,6)</f>
        <v>5.8100000000000001E-3</v>
      </c>
      <c r="L441" s="6">
        <v>0</v>
      </c>
      <c r="M441" s="5">
        <f>ROUND(ROUND(L441,2)*ROUND(G441,3),2)</f>
        <v>0</v>
      </c>
      <c r="N441" s="4" t="s">
        <v>501</v>
      </c>
      <c r="O441">
        <f>(M441*21)/100</f>
        <v>0</v>
      </c>
      <c r="P441" t="s">
        <v>6</v>
      </c>
    </row>
    <row r="442" spans="1:16" ht="26.4" x14ac:dyDescent="0.25">
      <c r="A442" s="3" t="s">
        <v>5</v>
      </c>
      <c r="E442" s="1" t="s">
        <v>1591</v>
      </c>
    </row>
    <row r="443" spans="1:16" ht="13.2" x14ac:dyDescent="0.25">
      <c r="A443" s="3" t="s">
        <v>3</v>
      </c>
      <c r="E443" s="2" t="s">
        <v>1590</v>
      </c>
    </row>
    <row r="444" spans="1:16" ht="211.2" x14ac:dyDescent="0.25">
      <c r="A444" t="s">
        <v>1</v>
      </c>
      <c r="E444" s="1" t="s">
        <v>1589</v>
      </c>
    </row>
    <row r="445" spans="1:16" ht="39.6" x14ac:dyDescent="0.25">
      <c r="A445" t="s">
        <v>11</v>
      </c>
      <c r="B445" s="9" t="s">
        <v>783</v>
      </c>
      <c r="C445" s="9" t="s">
        <v>1588</v>
      </c>
      <c r="D445" s="3" t="s">
        <v>2</v>
      </c>
      <c r="E445" s="8" t="s">
        <v>1576</v>
      </c>
      <c r="F445" s="4" t="s">
        <v>370</v>
      </c>
      <c r="G445" s="7">
        <v>2.3260000000000001</v>
      </c>
      <c r="H445" s="4">
        <v>7.7999999999999999E-4</v>
      </c>
      <c r="I445" s="4">
        <f>ROUND(G445*H445,6)</f>
        <v>1.8140000000000001E-3</v>
      </c>
      <c r="L445" s="6">
        <v>0</v>
      </c>
      <c r="M445" s="5">
        <f>ROUND(ROUND(L445,2)*ROUND(G445,3),2)</f>
        <v>0</v>
      </c>
      <c r="N445" s="4" t="s">
        <v>501</v>
      </c>
      <c r="O445">
        <f>(M445*21)/100</f>
        <v>0</v>
      </c>
      <c r="P445" t="s">
        <v>6</v>
      </c>
    </row>
    <row r="446" spans="1:16" ht="39.6" x14ac:dyDescent="0.25">
      <c r="A446" s="3" t="s">
        <v>5</v>
      </c>
      <c r="E446" s="1" t="s">
        <v>1587</v>
      </c>
    </row>
    <row r="447" spans="1:16" ht="13.2" x14ac:dyDescent="0.25">
      <c r="A447" s="3" t="s">
        <v>3</v>
      </c>
      <c r="E447" s="2" t="s">
        <v>1583</v>
      </c>
    </row>
    <row r="448" spans="1:16" ht="39.6" x14ac:dyDescent="0.25">
      <c r="A448" t="s">
        <v>1</v>
      </c>
      <c r="E448" s="1" t="s">
        <v>1586</v>
      </c>
    </row>
    <row r="449" spans="1:16" ht="39.6" x14ac:dyDescent="0.25">
      <c r="A449" t="s">
        <v>11</v>
      </c>
      <c r="B449" s="9" t="s">
        <v>780</v>
      </c>
      <c r="C449" s="9" t="s">
        <v>1585</v>
      </c>
      <c r="D449" s="3" t="s">
        <v>2</v>
      </c>
      <c r="E449" s="8" t="s">
        <v>1576</v>
      </c>
      <c r="F449" s="4" t="s">
        <v>370</v>
      </c>
      <c r="G449" s="7">
        <v>2.3260000000000001</v>
      </c>
      <c r="H449" s="4">
        <v>5.5000000000000003E-4</v>
      </c>
      <c r="I449" s="4">
        <f>ROUND(G449*H449,6)</f>
        <v>1.279E-3</v>
      </c>
      <c r="L449" s="6">
        <v>0</v>
      </c>
      <c r="M449" s="5">
        <f>ROUND(ROUND(L449,2)*ROUND(G449,3),2)</f>
        <v>0</v>
      </c>
      <c r="N449" s="4" t="s">
        <v>501</v>
      </c>
      <c r="O449">
        <f>(M449*21)/100</f>
        <v>0</v>
      </c>
      <c r="P449" t="s">
        <v>6</v>
      </c>
    </row>
    <row r="450" spans="1:16" ht="39.6" x14ac:dyDescent="0.25">
      <c r="A450" s="3" t="s">
        <v>5</v>
      </c>
      <c r="E450" s="1" t="s">
        <v>1584</v>
      </c>
    </row>
    <row r="451" spans="1:16" ht="13.2" x14ac:dyDescent="0.25">
      <c r="A451" s="3" t="s">
        <v>3</v>
      </c>
      <c r="E451" s="2" t="s">
        <v>1583</v>
      </c>
    </row>
    <row r="452" spans="1:16" ht="211.2" x14ac:dyDescent="0.25">
      <c r="A452" t="s">
        <v>1</v>
      </c>
      <c r="E452" s="1" t="s">
        <v>1582</v>
      </c>
    </row>
    <row r="453" spans="1:16" ht="39.6" x14ac:dyDescent="0.25">
      <c r="A453" t="s">
        <v>11</v>
      </c>
      <c r="B453" s="9" t="s">
        <v>777</v>
      </c>
      <c r="C453" s="9" t="s">
        <v>1581</v>
      </c>
      <c r="D453" s="3" t="s">
        <v>2</v>
      </c>
      <c r="E453" s="8" t="s">
        <v>1576</v>
      </c>
      <c r="F453" s="4" t="s">
        <v>370</v>
      </c>
      <c r="G453" s="7">
        <v>8.61</v>
      </c>
      <c r="H453" s="4">
        <v>3.5E-4</v>
      </c>
      <c r="I453" s="4">
        <f>ROUND(G453*H453,6)</f>
        <v>3.0140000000000002E-3</v>
      </c>
      <c r="L453" s="6">
        <v>0</v>
      </c>
      <c r="M453" s="5">
        <f>ROUND(ROUND(L453,2)*ROUND(G453,3),2)</f>
        <v>0</v>
      </c>
      <c r="N453" s="4" t="s">
        <v>501</v>
      </c>
      <c r="O453">
        <f>(M453*21)/100</f>
        <v>0</v>
      </c>
      <c r="P453" t="s">
        <v>6</v>
      </c>
    </row>
    <row r="454" spans="1:16" ht="39.6" x14ac:dyDescent="0.25">
      <c r="A454" s="3" t="s">
        <v>5</v>
      </c>
      <c r="E454" s="1" t="s">
        <v>1580</v>
      </c>
    </row>
    <row r="455" spans="1:16" ht="52.8" x14ac:dyDescent="0.25">
      <c r="A455" s="3" t="s">
        <v>3</v>
      </c>
      <c r="E455" s="2" t="s">
        <v>1579</v>
      </c>
    </row>
    <row r="456" spans="1:16" ht="211.2" x14ac:dyDescent="0.25">
      <c r="A456" t="s">
        <v>1</v>
      </c>
      <c r="E456" s="1" t="s">
        <v>1578</v>
      </c>
    </row>
    <row r="457" spans="1:16" ht="39.6" x14ac:dyDescent="0.25">
      <c r="A457" t="s">
        <v>11</v>
      </c>
      <c r="B457" s="9" t="s">
        <v>774</v>
      </c>
      <c r="C457" s="9" t="s">
        <v>1577</v>
      </c>
      <c r="D457" s="3" t="s">
        <v>2</v>
      </c>
      <c r="E457" s="8" t="s">
        <v>1576</v>
      </c>
      <c r="F457" s="4" t="s">
        <v>370</v>
      </c>
      <c r="G457" s="7">
        <v>52.518000000000001</v>
      </c>
      <c r="H457" s="4">
        <v>1.3999999999999999E-4</v>
      </c>
      <c r="I457" s="4">
        <f>ROUND(G457*H457,6)</f>
        <v>7.3530000000000002E-3</v>
      </c>
      <c r="L457" s="6">
        <v>0</v>
      </c>
      <c r="M457" s="5">
        <f>ROUND(ROUND(L457,2)*ROUND(G457,3),2)</f>
        <v>0</v>
      </c>
      <c r="N457" s="4" t="s">
        <v>501</v>
      </c>
      <c r="O457">
        <f>(M457*21)/100</f>
        <v>0</v>
      </c>
      <c r="P457" t="s">
        <v>6</v>
      </c>
    </row>
    <row r="458" spans="1:16" ht="39.6" x14ac:dyDescent="0.25">
      <c r="A458" s="3" t="s">
        <v>5</v>
      </c>
      <c r="E458" s="1" t="s">
        <v>1575</v>
      </c>
    </row>
    <row r="459" spans="1:16" ht="92.4" x14ac:dyDescent="0.25">
      <c r="A459" s="3" t="s">
        <v>3</v>
      </c>
      <c r="E459" s="2" t="s">
        <v>1574</v>
      </c>
    </row>
    <row r="460" spans="1:16" ht="211.2" x14ac:dyDescent="0.25">
      <c r="A460" t="s">
        <v>1</v>
      </c>
      <c r="E460" s="1" t="s">
        <v>1573</v>
      </c>
    </row>
    <row r="461" spans="1:16" ht="26.4" x14ac:dyDescent="0.25">
      <c r="A461" t="s">
        <v>11</v>
      </c>
      <c r="B461" s="9" t="s">
        <v>770</v>
      </c>
      <c r="C461" s="9" t="s">
        <v>1572</v>
      </c>
      <c r="D461" s="3" t="s">
        <v>2</v>
      </c>
      <c r="E461" s="8" t="s">
        <v>1571</v>
      </c>
      <c r="F461" s="4" t="s">
        <v>13</v>
      </c>
      <c r="G461" s="7">
        <v>1</v>
      </c>
      <c r="H461" s="4">
        <v>0</v>
      </c>
      <c r="I461" s="4">
        <f>ROUND(G461*H461,6)</f>
        <v>0</v>
      </c>
      <c r="L461" s="6">
        <v>0</v>
      </c>
      <c r="M461" s="5">
        <f>ROUND(ROUND(L461,2)*ROUND(G461,3),2)</f>
        <v>0</v>
      </c>
      <c r="N461" s="4" t="s">
        <v>501</v>
      </c>
      <c r="O461">
        <f>(M461*21)/100</f>
        <v>0</v>
      </c>
      <c r="P461" t="s">
        <v>6</v>
      </c>
    </row>
    <row r="462" spans="1:16" ht="26.4" x14ac:dyDescent="0.25">
      <c r="A462" s="3" t="s">
        <v>5</v>
      </c>
      <c r="E462" s="1" t="s">
        <v>1571</v>
      </c>
    </row>
    <row r="463" spans="1:16" ht="13.2" x14ac:dyDescent="0.25">
      <c r="A463" s="3" t="s">
        <v>3</v>
      </c>
      <c r="E463" s="2" t="s">
        <v>1570</v>
      </c>
    </row>
    <row r="464" spans="1:16" ht="198" x14ac:dyDescent="0.25">
      <c r="A464" t="s">
        <v>1</v>
      </c>
      <c r="E464" s="1" t="s">
        <v>1569</v>
      </c>
    </row>
    <row r="465" spans="1:16" ht="26.4" x14ac:dyDescent="0.25">
      <c r="A465" t="s">
        <v>11</v>
      </c>
      <c r="B465" s="9" t="s">
        <v>767</v>
      </c>
      <c r="C465" s="9" t="s">
        <v>1568</v>
      </c>
      <c r="D465" s="3" t="s">
        <v>2</v>
      </c>
      <c r="E465" s="8" t="s">
        <v>1567</v>
      </c>
      <c r="F465" s="4" t="s">
        <v>13</v>
      </c>
      <c r="G465" s="7">
        <v>2</v>
      </c>
      <c r="H465" s="4">
        <v>0</v>
      </c>
      <c r="I465" s="4">
        <f>ROUND(G465*H465,6)</f>
        <v>0</v>
      </c>
      <c r="L465" s="6">
        <v>0</v>
      </c>
      <c r="M465" s="5">
        <f>ROUND(ROUND(L465,2)*ROUND(G465,3),2)</f>
        <v>0</v>
      </c>
      <c r="N465" s="4" t="s">
        <v>501</v>
      </c>
      <c r="O465">
        <f>(M465*21)/100</f>
        <v>0</v>
      </c>
      <c r="P465" t="s">
        <v>6</v>
      </c>
    </row>
    <row r="466" spans="1:16" ht="26.4" x14ac:dyDescent="0.25">
      <c r="A466" s="3" t="s">
        <v>5</v>
      </c>
      <c r="E466" s="1" t="s">
        <v>1567</v>
      </c>
    </row>
    <row r="467" spans="1:16" ht="13.2" x14ac:dyDescent="0.25">
      <c r="A467" s="3" t="s">
        <v>3</v>
      </c>
      <c r="E467" s="2" t="s">
        <v>1566</v>
      </c>
    </row>
    <row r="468" spans="1:16" ht="198" x14ac:dyDescent="0.25">
      <c r="A468" t="s">
        <v>1</v>
      </c>
      <c r="E468" s="1" t="s">
        <v>1565</v>
      </c>
    </row>
    <row r="469" spans="1:16" ht="26.4" x14ac:dyDescent="0.25">
      <c r="A469" t="s">
        <v>11</v>
      </c>
      <c r="B469" s="9" t="s">
        <v>761</v>
      </c>
      <c r="C469" s="9" t="s">
        <v>1564</v>
      </c>
      <c r="D469" s="3" t="s">
        <v>2</v>
      </c>
      <c r="E469" s="8" t="s">
        <v>1563</v>
      </c>
      <c r="F469" s="4" t="s">
        <v>13</v>
      </c>
      <c r="G469" s="7">
        <v>1</v>
      </c>
      <c r="H469" s="4">
        <v>0</v>
      </c>
      <c r="I469" s="4">
        <f>ROUND(G469*H469,6)</f>
        <v>0</v>
      </c>
      <c r="L469" s="6">
        <v>0</v>
      </c>
      <c r="M469" s="5">
        <f>ROUND(ROUND(L469,2)*ROUND(G469,3),2)</f>
        <v>0</v>
      </c>
      <c r="N469" s="4" t="s">
        <v>501</v>
      </c>
      <c r="O469">
        <f>(M469*21)/100</f>
        <v>0</v>
      </c>
      <c r="P469" t="s">
        <v>6</v>
      </c>
    </row>
    <row r="470" spans="1:16" ht="26.4" x14ac:dyDescent="0.25">
      <c r="A470" s="3" t="s">
        <v>5</v>
      </c>
      <c r="E470" s="1" t="s">
        <v>1563</v>
      </c>
    </row>
    <row r="471" spans="1:16" ht="13.2" x14ac:dyDescent="0.25">
      <c r="A471" s="3" t="s">
        <v>3</v>
      </c>
      <c r="E471" s="2" t="s">
        <v>1562</v>
      </c>
    </row>
    <row r="472" spans="1:16" ht="198" x14ac:dyDescent="0.25">
      <c r="A472" t="s">
        <v>1</v>
      </c>
      <c r="E472" s="1" t="s">
        <v>1561</v>
      </c>
    </row>
    <row r="473" spans="1:16" ht="13.2" x14ac:dyDescent="0.25">
      <c r="A473" t="s">
        <v>11</v>
      </c>
      <c r="B473" s="9" t="s">
        <v>758</v>
      </c>
      <c r="C473" s="9" t="s">
        <v>1560</v>
      </c>
      <c r="D473" s="3" t="s">
        <v>2</v>
      </c>
      <c r="E473" s="8" t="s">
        <v>1559</v>
      </c>
      <c r="F473" s="4" t="s">
        <v>13</v>
      </c>
      <c r="G473" s="7">
        <v>10</v>
      </c>
      <c r="H473" s="4">
        <v>0</v>
      </c>
      <c r="I473" s="4">
        <f>ROUND(G473*H473,6)</f>
        <v>0</v>
      </c>
      <c r="L473" s="6">
        <v>0</v>
      </c>
      <c r="M473" s="5">
        <f>ROUND(ROUND(L473,2)*ROUND(G473,3),2)</f>
        <v>0</v>
      </c>
      <c r="N473" s="4" t="s">
        <v>501</v>
      </c>
      <c r="O473">
        <f>(M473*21)/100</f>
        <v>0</v>
      </c>
      <c r="P473" t="s">
        <v>6</v>
      </c>
    </row>
    <row r="474" spans="1:16" ht="13.2" x14ac:dyDescent="0.25">
      <c r="A474" s="3" t="s">
        <v>5</v>
      </c>
      <c r="E474" s="1" t="s">
        <v>1559</v>
      </c>
    </row>
    <row r="475" spans="1:16" ht="66" x14ac:dyDescent="0.25">
      <c r="A475" s="3" t="s">
        <v>3</v>
      </c>
      <c r="E475" s="2" t="s">
        <v>1558</v>
      </c>
    </row>
    <row r="476" spans="1:16" ht="198" x14ac:dyDescent="0.25">
      <c r="A476" t="s">
        <v>1</v>
      </c>
      <c r="E476" s="1" t="s">
        <v>1557</v>
      </c>
    </row>
    <row r="477" spans="1:16" ht="13.2" x14ac:dyDescent="0.25">
      <c r="A477" t="s">
        <v>11</v>
      </c>
      <c r="B477" s="9" t="s">
        <v>755</v>
      </c>
      <c r="C477" s="9" t="s">
        <v>1556</v>
      </c>
      <c r="D477" s="3" t="s">
        <v>2</v>
      </c>
      <c r="E477" s="8" t="s">
        <v>1555</v>
      </c>
      <c r="F477" s="4" t="s">
        <v>13</v>
      </c>
      <c r="G477" s="7">
        <v>6</v>
      </c>
      <c r="H477" s="4">
        <v>0</v>
      </c>
      <c r="I477" s="4">
        <f>ROUND(G477*H477,6)</f>
        <v>0</v>
      </c>
      <c r="L477" s="6">
        <v>0</v>
      </c>
      <c r="M477" s="5">
        <f>ROUND(ROUND(L477,2)*ROUND(G477,3),2)</f>
        <v>0</v>
      </c>
      <c r="N477" s="4" t="s">
        <v>501</v>
      </c>
      <c r="O477">
        <f>(M477*21)/100</f>
        <v>0</v>
      </c>
      <c r="P477" t="s">
        <v>6</v>
      </c>
    </row>
    <row r="478" spans="1:16" ht="13.2" x14ac:dyDescent="0.25">
      <c r="A478" s="3" t="s">
        <v>5</v>
      </c>
      <c r="E478" s="1" t="s">
        <v>1555</v>
      </c>
    </row>
    <row r="479" spans="1:16" ht="52.8" x14ac:dyDescent="0.25">
      <c r="A479" s="3" t="s">
        <v>3</v>
      </c>
      <c r="E479" s="2" t="s">
        <v>1554</v>
      </c>
    </row>
    <row r="480" spans="1:16" ht="198" x14ac:dyDescent="0.25">
      <c r="A480" t="s">
        <v>1</v>
      </c>
      <c r="E480" s="1" t="s">
        <v>1553</v>
      </c>
    </row>
    <row r="481" spans="1:16" ht="26.4" x14ac:dyDescent="0.25">
      <c r="A481" t="s">
        <v>11</v>
      </c>
      <c r="B481" s="9" t="s">
        <v>752</v>
      </c>
      <c r="C481" s="9" t="s">
        <v>1552</v>
      </c>
      <c r="D481" s="3" t="s">
        <v>2</v>
      </c>
      <c r="E481" s="8" t="s">
        <v>1551</v>
      </c>
      <c r="F481" s="4" t="s">
        <v>13</v>
      </c>
      <c r="G481" s="7">
        <v>2</v>
      </c>
      <c r="H481" s="4">
        <v>0</v>
      </c>
      <c r="I481" s="4">
        <f>ROUND(G481*H481,6)</f>
        <v>0</v>
      </c>
      <c r="L481" s="6">
        <v>0</v>
      </c>
      <c r="M481" s="5">
        <f>ROUND(ROUND(L481,2)*ROUND(G481,3),2)</f>
        <v>0</v>
      </c>
      <c r="N481" s="4" t="s">
        <v>501</v>
      </c>
      <c r="O481">
        <f>(M481*21)/100</f>
        <v>0</v>
      </c>
      <c r="P481" t="s">
        <v>6</v>
      </c>
    </row>
    <row r="482" spans="1:16" ht="26.4" x14ac:dyDescent="0.25">
      <c r="A482" s="3" t="s">
        <v>5</v>
      </c>
      <c r="E482" s="1" t="s">
        <v>1551</v>
      </c>
    </row>
    <row r="483" spans="1:16" ht="39.6" x14ac:dyDescent="0.25">
      <c r="A483" s="3" t="s">
        <v>3</v>
      </c>
      <c r="E483" s="2" t="s">
        <v>1550</v>
      </c>
    </row>
    <row r="484" spans="1:16" ht="198" x14ac:dyDescent="0.25">
      <c r="A484" t="s">
        <v>1</v>
      </c>
      <c r="E484" s="1" t="s">
        <v>1549</v>
      </c>
    </row>
    <row r="485" spans="1:16" ht="26.4" x14ac:dyDescent="0.25">
      <c r="A485" t="s">
        <v>11</v>
      </c>
      <c r="B485" s="9" t="s">
        <v>749</v>
      </c>
      <c r="C485" s="9" t="s">
        <v>1548</v>
      </c>
      <c r="D485" s="3" t="s">
        <v>2</v>
      </c>
      <c r="E485" s="8" t="s">
        <v>1547</v>
      </c>
      <c r="F485" s="4" t="s">
        <v>13</v>
      </c>
      <c r="G485" s="7">
        <v>2</v>
      </c>
      <c r="H485" s="4">
        <v>0</v>
      </c>
      <c r="I485" s="4">
        <f>ROUND(G485*H485,6)</f>
        <v>0</v>
      </c>
      <c r="L485" s="6">
        <v>0</v>
      </c>
      <c r="M485" s="5">
        <f>ROUND(ROUND(L485,2)*ROUND(G485,3),2)</f>
        <v>0</v>
      </c>
      <c r="N485" s="4" t="s">
        <v>501</v>
      </c>
      <c r="O485">
        <f>(M485*21)/100</f>
        <v>0</v>
      </c>
      <c r="P485" t="s">
        <v>6</v>
      </c>
    </row>
    <row r="486" spans="1:16" ht="26.4" x14ac:dyDescent="0.25">
      <c r="A486" s="3" t="s">
        <v>5</v>
      </c>
      <c r="E486" s="1" t="s">
        <v>1547</v>
      </c>
    </row>
    <row r="487" spans="1:16" ht="13.2" x14ac:dyDescent="0.25">
      <c r="A487" s="3" t="s">
        <v>3</v>
      </c>
      <c r="E487" s="2" t="s">
        <v>1546</v>
      </c>
    </row>
    <row r="488" spans="1:16" ht="132" x14ac:dyDescent="0.25">
      <c r="A488" t="s">
        <v>1</v>
      </c>
      <c r="E488" s="1" t="s">
        <v>1545</v>
      </c>
    </row>
    <row r="489" spans="1:16" ht="26.4" x14ac:dyDescent="0.25">
      <c r="A489" t="s">
        <v>11</v>
      </c>
      <c r="B489" s="9" t="s">
        <v>746</v>
      </c>
      <c r="C489" s="9" t="s">
        <v>1544</v>
      </c>
      <c r="D489" s="3" t="s">
        <v>2</v>
      </c>
      <c r="E489" s="8" t="s">
        <v>1543</v>
      </c>
      <c r="F489" s="4" t="s">
        <v>13</v>
      </c>
      <c r="G489" s="7">
        <v>2</v>
      </c>
      <c r="H489" s="4">
        <v>0</v>
      </c>
      <c r="I489" s="4">
        <f>ROUND(G489*H489,6)</f>
        <v>0</v>
      </c>
      <c r="L489" s="6">
        <v>0</v>
      </c>
      <c r="M489" s="5">
        <f>ROUND(ROUND(L489,2)*ROUND(G489,3),2)</f>
        <v>0</v>
      </c>
      <c r="N489" s="4" t="s">
        <v>501</v>
      </c>
      <c r="O489">
        <f>(M489*21)/100</f>
        <v>0</v>
      </c>
      <c r="P489" t="s">
        <v>6</v>
      </c>
    </row>
    <row r="490" spans="1:16" ht="26.4" x14ac:dyDescent="0.25">
      <c r="A490" s="3" t="s">
        <v>5</v>
      </c>
      <c r="E490" s="1" t="s">
        <v>1543</v>
      </c>
    </row>
    <row r="491" spans="1:16" ht="13.2" x14ac:dyDescent="0.25">
      <c r="A491" s="3" t="s">
        <v>3</v>
      </c>
      <c r="E491" s="2" t="s">
        <v>2</v>
      </c>
    </row>
    <row r="492" spans="1:16" ht="132" x14ac:dyDescent="0.25">
      <c r="A492" t="s">
        <v>1</v>
      </c>
      <c r="E492" s="1" t="s">
        <v>1542</v>
      </c>
    </row>
    <row r="493" spans="1:16" ht="13.2" x14ac:dyDescent="0.25">
      <c r="A493" t="s">
        <v>11</v>
      </c>
      <c r="B493" s="9" t="s">
        <v>743</v>
      </c>
      <c r="C493" s="9" t="s">
        <v>1539</v>
      </c>
      <c r="D493" s="3" t="s">
        <v>2</v>
      </c>
      <c r="E493" s="8" t="s">
        <v>1537</v>
      </c>
      <c r="F493" s="4" t="s">
        <v>8</v>
      </c>
      <c r="G493" s="7">
        <v>4.7750000000000004</v>
      </c>
      <c r="H493" s="4">
        <v>0</v>
      </c>
      <c r="I493" s="4">
        <f>ROUND(G493*H493,6)</f>
        <v>0</v>
      </c>
      <c r="L493" s="6">
        <v>0</v>
      </c>
      <c r="M493" s="5">
        <f>ROUND(ROUND(L493,2)*ROUND(G493,3),2)</f>
        <v>0</v>
      </c>
      <c r="N493" s="4" t="s">
        <v>501</v>
      </c>
      <c r="O493">
        <f>(M493*21)/100</f>
        <v>0</v>
      </c>
      <c r="P493" t="s">
        <v>6</v>
      </c>
    </row>
    <row r="494" spans="1:16" ht="13.2" x14ac:dyDescent="0.25">
      <c r="A494" s="3" t="s">
        <v>5</v>
      </c>
      <c r="E494" s="1" t="s">
        <v>1537</v>
      </c>
    </row>
    <row r="495" spans="1:16" ht="13.2" x14ac:dyDescent="0.25">
      <c r="A495" s="3" t="s">
        <v>3</v>
      </c>
      <c r="E495" s="2" t="s">
        <v>1541</v>
      </c>
    </row>
    <row r="496" spans="1:16" ht="13.2" x14ac:dyDescent="0.25">
      <c r="A496" t="s">
        <v>1</v>
      </c>
      <c r="E496" s="1" t="s">
        <v>1537</v>
      </c>
    </row>
    <row r="497" spans="1:16" ht="13.2" x14ac:dyDescent="0.25">
      <c r="A497" t="s">
        <v>11</v>
      </c>
      <c r="B497" s="9" t="s">
        <v>739</v>
      </c>
      <c r="C497" s="9" t="s">
        <v>1539</v>
      </c>
      <c r="D497" s="3" t="s">
        <v>48</v>
      </c>
      <c r="E497" s="8" t="s">
        <v>1537</v>
      </c>
      <c r="F497" s="4" t="s">
        <v>8</v>
      </c>
      <c r="G497" s="7">
        <v>16.11</v>
      </c>
      <c r="H497" s="4">
        <v>0</v>
      </c>
      <c r="I497" s="4">
        <f>ROUND(G497*H497,6)</f>
        <v>0</v>
      </c>
      <c r="L497" s="6">
        <v>0</v>
      </c>
      <c r="M497" s="5">
        <f>ROUND(ROUND(L497,2)*ROUND(G497,3),2)</f>
        <v>0</v>
      </c>
      <c r="N497" s="4" t="s">
        <v>501</v>
      </c>
      <c r="O497">
        <f>(M497*21)/100</f>
        <v>0</v>
      </c>
      <c r="P497" t="s">
        <v>6</v>
      </c>
    </row>
    <row r="498" spans="1:16" ht="13.2" x14ac:dyDescent="0.25">
      <c r="A498" s="3" t="s">
        <v>5</v>
      </c>
      <c r="E498" s="1" t="s">
        <v>1537</v>
      </c>
    </row>
    <row r="499" spans="1:16" ht="39.6" x14ac:dyDescent="0.25">
      <c r="A499" s="3" t="s">
        <v>3</v>
      </c>
      <c r="E499" s="2" t="s">
        <v>1540</v>
      </c>
    </row>
    <row r="500" spans="1:16" ht="13.2" x14ac:dyDescent="0.25">
      <c r="A500" t="s">
        <v>1</v>
      </c>
      <c r="E500" s="1" t="s">
        <v>1537</v>
      </c>
    </row>
    <row r="501" spans="1:16" ht="13.2" x14ac:dyDescent="0.25">
      <c r="A501" t="s">
        <v>11</v>
      </c>
      <c r="B501" s="9" t="s">
        <v>735</v>
      </c>
      <c r="C501" s="9" t="s">
        <v>1539</v>
      </c>
      <c r="D501" s="3" t="s">
        <v>6</v>
      </c>
      <c r="E501" s="8" t="s">
        <v>1537</v>
      </c>
      <c r="F501" s="4" t="s">
        <v>8</v>
      </c>
      <c r="G501" s="7">
        <v>12.185</v>
      </c>
      <c r="H501" s="4">
        <v>0</v>
      </c>
      <c r="I501" s="4">
        <f>ROUND(G501*H501,6)</f>
        <v>0</v>
      </c>
      <c r="L501" s="6">
        <v>0</v>
      </c>
      <c r="M501" s="5">
        <f>ROUND(ROUND(L501,2)*ROUND(G501,3),2)</f>
        <v>0</v>
      </c>
      <c r="N501" s="4" t="s">
        <v>501</v>
      </c>
      <c r="O501">
        <f>(M501*21)/100</f>
        <v>0</v>
      </c>
      <c r="P501" t="s">
        <v>6</v>
      </c>
    </row>
    <row r="502" spans="1:16" ht="13.2" x14ac:dyDescent="0.25">
      <c r="A502" s="3" t="s">
        <v>5</v>
      </c>
      <c r="E502" s="1" t="s">
        <v>1537</v>
      </c>
    </row>
    <row r="503" spans="1:16" ht="13.2" x14ac:dyDescent="0.25">
      <c r="A503" s="3" t="s">
        <v>3</v>
      </c>
      <c r="E503" s="2" t="s">
        <v>1538</v>
      </c>
    </row>
    <row r="504" spans="1:16" ht="13.2" x14ac:dyDescent="0.25">
      <c r="A504" t="s">
        <v>1</v>
      </c>
      <c r="E504" s="1" t="s">
        <v>1537</v>
      </c>
    </row>
    <row r="505" spans="1:16" ht="26.4" x14ac:dyDescent="0.25">
      <c r="A505" t="s">
        <v>11</v>
      </c>
      <c r="B505" s="9" t="s">
        <v>731</v>
      </c>
      <c r="C505" s="9" t="s">
        <v>1536</v>
      </c>
      <c r="D505" s="3" t="s">
        <v>2</v>
      </c>
      <c r="E505" s="8" t="s">
        <v>1534</v>
      </c>
      <c r="F505" s="4" t="s">
        <v>8</v>
      </c>
      <c r="G505" s="7">
        <v>33.07</v>
      </c>
      <c r="H505" s="4">
        <v>0</v>
      </c>
      <c r="I505" s="4">
        <f>ROUND(G505*H505,6)</f>
        <v>0</v>
      </c>
      <c r="L505" s="6">
        <v>0</v>
      </c>
      <c r="M505" s="5">
        <f>ROUND(ROUND(L505,2)*ROUND(G505,3),2)</f>
        <v>0</v>
      </c>
      <c r="N505" s="4" t="s">
        <v>501</v>
      </c>
      <c r="O505">
        <f>(M505*21)/100</f>
        <v>0</v>
      </c>
      <c r="P505" t="s">
        <v>6</v>
      </c>
    </row>
    <row r="506" spans="1:16" ht="26.4" x14ac:dyDescent="0.25">
      <c r="A506" s="3" t="s">
        <v>5</v>
      </c>
      <c r="E506" s="1" t="s">
        <v>1534</v>
      </c>
    </row>
    <row r="507" spans="1:16" ht="66" x14ac:dyDescent="0.25">
      <c r="A507" s="3" t="s">
        <v>3</v>
      </c>
      <c r="E507" s="2" t="s">
        <v>1535</v>
      </c>
    </row>
    <row r="508" spans="1:16" ht="26.4" x14ac:dyDescent="0.25">
      <c r="A508" t="s">
        <v>1</v>
      </c>
      <c r="E508" s="1" t="s">
        <v>1534</v>
      </c>
    </row>
    <row r="509" spans="1:16" ht="26.4" x14ac:dyDescent="0.25">
      <c r="A509" t="s">
        <v>11</v>
      </c>
      <c r="B509" s="9" t="s">
        <v>728</v>
      </c>
      <c r="C509" s="9" t="s">
        <v>1533</v>
      </c>
      <c r="D509" s="3" t="s">
        <v>2</v>
      </c>
      <c r="E509" s="8" t="s">
        <v>1532</v>
      </c>
      <c r="F509" s="4" t="s">
        <v>13</v>
      </c>
      <c r="G509" s="7">
        <v>1</v>
      </c>
      <c r="H509" s="4">
        <v>5.0000000000000002E-5</v>
      </c>
      <c r="I509" s="4">
        <f>ROUND(G509*H509,6)</f>
        <v>5.0000000000000002E-5</v>
      </c>
      <c r="L509" s="6">
        <v>0</v>
      </c>
      <c r="M509" s="5">
        <f>ROUND(ROUND(L509,2)*ROUND(G509,3),2)</f>
        <v>0</v>
      </c>
      <c r="N509" s="4" t="s">
        <v>501</v>
      </c>
      <c r="O509">
        <f>(M509*21)/100</f>
        <v>0</v>
      </c>
      <c r="P509" t="s">
        <v>6</v>
      </c>
    </row>
    <row r="510" spans="1:16" ht="26.4" x14ac:dyDescent="0.25">
      <c r="A510" s="3" t="s">
        <v>5</v>
      </c>
      <c r="E510" s="1" t="s">
        <v>1532</v>
      </c>
    </row>
    <row r="511" spans="1:16" ht="13.2" x14ac:dyDescent="0.25">
      <c r="A511" s="3" t="s">
        <v>3</v>
      </c>
      <c r="E511" s="2" t="s">
        <v>1531</v>
      </c>
    </row>
    <row r="512" spans="1:16" ht="39.6" x14ac:dyDescent="0.25">
      <c r="A512" t="s">
        <v>1</v>
      </c>
      <c r="E512" s="1" t="s">
        <v>1530</v>
      </c>
    </row>
    <row r="513" spans="1:16" ht="39.6" x14ac:dyDescent="0.25">
      <c r="A513" t="s">
        <v>11</v>
      </c>
      <c r="B513" s="9" t="s">
        <v>725</v>
      </c>
      <c r="C513" s="9" t="s">
        <v>1082</v>
      </c>
      <c r="D513" s="3" t="s">
        <v>2</v>
      </c>
      <c r="E513" s="8" t="s">
        <v>1081</v>
      </c>
      <c r="F513" s="4" t="s">
        <v>542</v>
      </c>
      <c r="G513" s="7">
        <v>129.02600000000001</v>
      </c>
      <c r="H513" s="4">
        <v>0</v>
      </c>
      <c r="I513" s="4">
        <f>ROUND(G513*H513,6)</f>
        <v>0</v>
      </c>
      <c r="L513" s="6">
        <v>0</v>
      </c>
      <c r="M513" s="5">
        <f>ROUND(ROUND(L513,2)*ROUND(G513,3),2)</f>
        <v>0</v>
      </c>
      <c r="N513" s="4" t="s">
        <v>501</v>
      </c>
      <c r="O513">
        <f>(M513*21)/100</f>
        <v>0</v>
      </c>
      <c r="P513" t="s">
        <v>6</v>
      </c>
    </row>
    <row r="514" spans="1:16" ht="39.6" x14ac:dyDescent="0.25">
      <c r="A514" s="3" t="s">
        <v>5</v>
      </c>
      <c r="E514" s="1" t="s">
        <v>1081</v>
      </c>
    </row>
    <row r="515" spans="1:16" ht="13.2" x14ac:dyDescent="0.25">
      <c r="A515" s="3" t="s">
        <v>3</v>
      </c>
      <c r="E515" s="2" t="s">
        <v>2</v>
      </c>
    </row>
    <row r="516" spans="1:16" ht="145.19999999999999" x14ac:dyDescent="0.25">
      <c r="A516" t="s">
        <v>1</v>
      </c>
      <c r="E516" s="1" t="s">
        <v>1080</v>
      </c>
    </row>
    <row r="517" spans="1:16" ht="13.2" x14ac:dyDescent="0.25">
      <c r="A517" t="s">
        <v>11</v>
      </c>
      <c r="B517" s="9" t="s">
        <v>721</v>
      </c>
      <c r="C517" s="9" t="s">
        <v>1529</v>
      </c>
      <c r="D517" s="3" t="s">
        <v>2</v>
      </c>
      <c r="E517" s="8" t="s">
        <v>1528</v>
      </c>
      <c r="F517" s="4" t="s">
        <v>13</v>
      </c>
      <c r="G517" s="7">
        <v>8</v>
      </c>
      <c r="H517" s="4">
        <v>3.27E-2</v>
      </c>
      <c r="I517" s="4">
        <f>ROUND(G517*H517,6)</f>
        <v>0.2616</v>
      </c>
      <c r="L517" s="6">
        <v>0</v>
      </c>
      <c r="M517" s="5">
        <f>ROUND(ROUND(L517,2)*ROUND(G517,3),2)</f>
        <v>0</v>
      </c>
      <c r="N517" s="4" t="s">
        <v>7</v>
      </c>
      <c r="O517">
        <f>(M517*21)/100</f>
        <v>0</v>
      </c>
      <c r="P517" t="s">
        <v>6</v>
      </c>
    </row>
    <row r="518" spans="1:16" ht="13.2" x14ac:dyDescent="0.25">
      <c r="A518" s="3" t="s">
        <v>5</v>
      </c>
      <c r="E518" s="1" t="s">
        <v>1528</v>
      </c>
    </row>
    <row r="519" spans="1:16" ht="13.2" x14ac:dyDescent="0.25">
      <c r="A519" s="3" t="s">
        <v>3</v>
      </c>
      <c r="E519" s="2" t="s">
        <v>2</v>
      </c>
    </row>
    <row r="520" spans="1:16" ht="66" x14ac:dyDescent="0.25">
      <c r="A520" t="s">
        <v>1</v>
      </c>
      <c r="E520" s="1" t="s">
        <v>1527</v>
      </c>
    </row>
    <row r="521" spans="1:16" ht="26.4" x14ac:dyDescent="0.25">
      <c r="A521" t="s">
        <v>11</v>
      </c>
      <c r="B521" s="9" t="s">
        <v>718</v>
      </c>
      <c r="C521" s="9" t="s">
        <v>1526</v>
      </c>
      <c r="D521" s="3" t="s">
        <v>2</v>
      </c>
      <c r="E521" s="8" t="s">
        <v>1525</v>
      </c>
      <c r="F521" s="4" t="s">
        <v>13</v>
      </c>
      <c r="G521" s="7">
        <v>3</v>
      </c>
      <c r="H521" s="4">
        <v>7.5999999999999998E-2</v>
      </c>
      <c r="I521" s="4">
        <f>ROUND(G521*H521,6)</f>
        <v>0.22800000000000001</v>
      </c>
      <c r="L521" s="6">
        <v>0</v>
      </c>
      <c r="M521" s="5">
        <f>ROUND(ROUND(L521,2)*ROUND(G521,3),2)</f>
        <v>0</v>
      </c>
      <c r="N521" s="4" t="s">
        <v>7</v>
      </c>
      <c r="O521">
        <f>(M521*21)/100</f>
        <v>0</v>
      </c>
      <c r="P521" t="s">
        <v>6</v>
      </c>
    </row>
    <row r="522" spans="1:16" ht="26.4" x14ac:dyDescent="0.25">
      <c r="A522" s="3" t="s">
        <v>5</v>
      </c>
      <c r="E522" s="1" t="s">
        <v>1525</v>
      </c>
    </row>
    <row r="523" spans="1:16" ht="39.6" x14ac:dyDescent="0.25">
      <c r="A523" s="3" t="s">
        <v>3</v>
      </c>
      <c r="E523" s="2" t="s">
        <v>1524</v>
      </c>
    </row>
    <row r="524" spans="1:16" ht="79.2" x14ac:dyDescent="0.25">
      <c r="A524" t="s">
        <v>1</v>
      </c>
      <c r="E524" s="1" t="s">
        <v>1523</v>
      </c>
    </row>
    <row r="525" spans="1:16" ht="26.4" x14ac:dyDescent="0.25">
      <c r="A525" t="s">
        <v>11</v>
      </c>
      <c r="B525" s="9" t="s">
        <v>717</v>
      </c>
      <c r="C525" s="9" t="s">
        <v>1522</v>
      </c>
      <c r="D525" s="3" t="s">
        <v>2</v>
      </c>
      <c r="E525" s="8" t="s">
        <v>1521</v>
      </c>
      <c r="F525" s="4" t="s">
        <v>13</v>
      </c>
      <c r="G525" s="7">
        <v>4</v>
      </c>
      <c r="H525" s="4">
        <v>4.8000000000000001E-2</v>
      </c>
      <c r="I525" s="4">
        <f>ROUND(G525*H525,6)</f>
        <v>0.192</v>
      </c>
      <c r="L525" s="6">
        <v>0</v>
      </c>
      <c r="M525" s="5">
        <f>ROUND(ROUND(L525,2)*ROUND(G525,3),2)</f>
        <v>0</v>
      </c>
      <c r="N525" s="4" t="s">
        <v>7</v>
      </c>
      <c r="O525">
        <f>(M525*21)/100</f>
        <v>0</v>
      </c>
      <c r="P525" t="s">
        <v>6</v>
      </c>
    </row>
    <row r="526" spans="1:16" ht="26.4" x14ac:dyDescent="0.25">
      <c r="A526" s="3" t="s">
        <v>5</v>
      </c>
      <c r="E526" s="1" t="s">
        <v>1521</v>
      </c>
    </row>
    <row r="527" spans="1:16" ht="13.2" x14ac:dyDescent="0.25">
      <c r="A527" s="3" t="s">
        <v>3</v>
      </c>
      <c r="E527" s="2" t="s">
        <v>1520</v>
      </c>
    </row>
    <row r="528" spans="1:16" ht="66" x14ac:dyDescent="0.25">
      <c r="A528" t="s">
        <v>1</v>
      </c>
      <c r="E528" s="1" t="s">
        <v>1519</v>
      </c>
    </row>
    <row r="529" spans="1:16" ht="26.4" x14ac:dyDescent="0.25">
      <c r="A529" t="s">
        <v>11</v>
      </c>
      <c r="B529" s="9" t="s">
        <v>713</v>
      </c>
      <c r="C529" s="9" t="s">
        <v>1518</v>
      </c>
      <c r="D529" s="3" t="s">
        <v>2</v>
      </c>
      <c r="E529" s="8" t="s">
        <v>1517</v>
      </c>
      <c r="F529" s="4" t="s">
        <v>13</v>
      </c>
      <c r="G529" s="7">
        <v>3</v>
      </c>
      <c r="H529" s="4">
        <v>4.2000000000000003E-2</v>
      </c>
      <c r="I529" s="4">
        <f>ROUND(G529*H529,6)</f>
        <v>0.126</v>
      </c>
      <c r="L529" s="6">
        <v>0</v>
      </c>
      <c r="M529" s="5">
        <f>ROUND(ROUND(L529,2)*ROUND(G529,3),2)</f>
        <v>0</v>
      </c>
      <c r="N529" s="4" t="s">
        <v>7</v>
      </c>
      <c r="O529">
        <f>(M529*21)/100</f>
        <v>0</v>
      </c>
      <c r="P529" t="s">
        <v>6</v>
      </c>
    </row>
    <row r="530" spans="1:16" ht="26.4" x14ac:dyDescent="0.25">
      <c r="A530" s="3" t="s">
        <v>5</v>
      </c>
      <c r="E530" s="1" t="s">
        <v>1517</v>
      </c>
    </row>
    <row r="531" spans="1:16" ht="13.2" x14ac:dyDescent="0.25">
      <c r="A531" s="3" t="s">
        <v>3</v>
      </c>
      <c r="E531" s="2" t="s">
        <v>1516</v>
      </c>
    </row>
    <row r="532" spans="1:16" ht="66" x14ac:dyDescent="0.25">
      <c r="A532" t="s">
        <v>1</v>
      </c>
      <c r="E532" s="1" t="s">
        <v>1515</v>
      </c>
    </row>
    <row r="533" spans="1:16" ht="26.4" x14ac:dyDescent="0.25">
      <c r="A533" t="s">
        <v>11</v>
      </c>
      <c r="B533" s="9" t="s">
        <v>709</v>
      </c>
      <c r="C533" s="9" t="s">
        <v>1514</v>
      </c>
      <c r="D533" s="3" t="s">
        <v>2</v>
      </c>
      <c r="E533" s="8" t="s">
        <v>1513</v>
      </c>
      <c r="F533" s="4" t="s">
        <v>13</v>
      </c>
      <c r="G533" s="7">
        <v>1</v>
      </c>
      <c r="H533" s="4">
        <v>0.2</v>
      </c>
      <c r="I533" s="4">
        <f>ROUND(G533*H533,6)</f>
        <v>0.2</v>
      </c>
      <c r="L533" s="6">
        <v>0</v>
      </c>
      <c r="M533" s="5">
        <f>ROUND(ROUND(L533,2)*ROUND(G533,3),2)</f>
        <v>0</v>
      </c>
      <c r="N533" s="4" t="s">
        <v>7</v>
      </c>
      <c r="O533">
        <f>(M533*21)/100</f>
        <v>0</v>
      </c>
      <c r="P533" t="s">
        <v>6</v>
      </c>
    </row>
    <row r="534" spans="1:16" ht="26.4" x14ac:dyDescent="0.25">
      <c r="A534" s="3" t="s">
        <v>5</v>
      </c>
      <c r="E534" s="1" t="s">
        <v>1513</v>
      </c>
    </row>
    <row r="535" spans="1:16" ht="13.2" x14ac:dyDescent="0.25">
      <c r="A535" s="3" t="s">
        <v>3</v>
      </c>
      <c r="E535" s="2" t="s">
        <v>1512</v>
      </c>
    </row>
    <row r="536" spans="1:16" ht="79.2" x14ac:dyDescent="0.25">
      <c r="A536" t="s">
        <v>1</v>
      </c>
      <c r="E536" s="1" t="s">
        <v>1511</v>
      </c>
    </row>
    <row r="537" spans="1:16" ht="26.4" x14ac:dyDescent="0.25">
      <c r="A537" t="s">
        <v>11</v>
      </c>
      <c r="B537" s="9" t="s">
        <v>706</v>
      </c>
      <c r="C537" s="9" t="s">
        <v>1510</v>
      </c>
      <c r="D537" s="3" t="s">
        <v>2</v>
      </c>
      <c r="E537" s="8" t="s">
        <v>1509</v>
      </c>
      <c r="F537" s="4" t="s">
        <v>13</v>
      </c>
      <c r="G537" s="7">
        <v>5</v>
      </c>
      <c r="H537" s="4">
        <v>0.16500000000000001</v>
      </c>
      <c r="I537" s="4">
        <f>ROUND(G537*H537,6)</f>
        <v>0.82499999999999996</v>
      </c>
      <c r="L537" s="6">
        <v>0</v>
      </c>
      <c r="M537" s="5">
        <f>ROUND(ROUND(L537,2)*ROUND(G537,3),2)</f>
        <v>0</v>
      </c>
      <c r="N537" s="4" t="s">
        <v>7</v>
      </c>
      <c r="O537">
        <f>(M537*21)/100</f>
        <v>0</v>
      </c>
      <c r="P537" t="s">
        <v>6</v>
      </c>
    </row>
    <row r="538" spans="1:16" ht="26.4" x14ac:dyDescent="0.25">
      <c r="A538" s="3" t="s">
        <v>5</v>
      </c>
      <c r="E538" s="1" t="s">
        <v>1509</v>
      </c>
    </row>
    <row r="539" spans="1:16" ht="39.6" x14ac:dyDescent="0.25">
      <c r="A539" s="3" t="s">
        <v>3</v>
      </c>
      <c r="E539" s="2" t="s">
        <v>1508</v>
      </c>
    </row>
    <row r="540" spans="1:16" ht="79.2" x14ac:dyDescent="0.25">
      <c r="A540" t="s">
        <v>1</v>
      </c>
      <c r="E540" s="1" t="s">
        <v>1507</v>
      </c>
    </row>
    <row r="541" spans="1:16" ht="26.4" x14ac:dyDescent="0.25">
      <c r="A541" t="s">
        <v>11</v>
      </c>
      <c r="B541" s="9" t="s">
        <v>703</v>
      </c>
      <c r="C541" s="9" t="s">
        <v>1506</v>
      </c>
      <c r="D541" s="3" t="s">
        <v>2</v>
      </c>
      <c r="E541" s="8" t="s">
        <v>1505</v>
      </c>
      <c r="F541" s="4" t="s">
        <v>370</v>
      </c>
      <c r="G541" s="7">
        <v>44.69</v>
      </c>
      <c r="H541" s="4">
        <v>2.6790000000000001E-2</v>
      </c>
      <c r="I541" s="4">
        <f>ROUND(G541*H541,6)</f>
        <v>1.1972449999999999</v>
      </c>
      <c r="L541" s="6">
        <v>0</v>
      </c>
      <c r="M541" s="5">
        <f>ROUND(ROUND(L541,2)*ROUND(G541,3),2)</f>
        <v>0</v>
      </c>
      <c r="N541" s="4" t="s">
        <v>7</v>
      </c>
      <c r="O541">
        <f>(M541*21)/100</f>
        <v>0</v>
      </c>
      <c r="P541" t="s">
        <v>6</v>
      </c>
    </row>
    <row r="542" spans="1:16" ht="26.4" x14ac:dyDescent="0.25">
      <c r="A542" s="3" t="s">
        <v>5</v>
      </c>
      <c r="E542" s="1" t="s">
        <v>1505</v>
      </c>
    </row>
    <row r="543" spans="1:16" ht="13.2" x14ac:dyDescent="0.25">
      <c r="A543" s="3" t="s">
        <v>3</v>
      </c>
      <c r="E543" s="2" t="s">
        <v>2</v>
      </c>
    </row>
    <row r="544" spans="1:16" ht="79.2" x14ac:dyDescent="0.25">
      <c r="A544" t="s">
        <v>1</v>
      </c>
      <c r="E544" s="1" t="s">
        <v>1504</v>
      </c>
    </row>
    <row r="545" spans="1:16" ht="26.4" x14ac:dyDescent="0.25">
      <c r="A545" t="s">
        <v>11</v>
      </c>
      <c r="B545" s="9" t="s">
        <v>699</v>
      </c>
      <c r="C545" s="9" t="s">
        <v>1503</v>
      </c>
      <c r="D545" s="3" t="s">
        <v>2</v>
      </c>
      <c r="E545" s="8" t="s">
        <v>1502</v>
      </c>
      <c r="F545" s="4" t="s">
        <v>370</v>
      </c>
      <c r="G545" s="7">
        <v>2.4700000000000002</v>
      </c>
      <c r="H545" s="4">
        <v>2.4230000000000002E-2</v>
      </c>
      <c r="I545" s="4">
        <f>ROUND(G545*H545,6)</f>
        <v>5.9847999999999998E-2</v>
      </c>
      <c r="L545" s="6">
        <v>0</v>
      </c>
      <c r="M545" s="5">
        <f>ROUND(ROUND(L545,2)*ROUND(G545,3),2)</f>
        <v>0</v>
      </c>
      <c r="N545" s="4" t="s">
        <v>7</v>
      </c>
      <c r="O545">
        <f>(M545*21)/100</f>
        <v>0</v>
      </c>
      <c r="P545" t="s">
        <v>6</v>
      </c>
    </row>
    <row r="546" spans="1:16" ht="26.4" x14ac:dyDescent="0.25">
      <c r="A546" s="3" t="s">
        <v>5</v>
      </c>
      <c r="E546" s="1" t="s">
        <v>1502</v>
      </c>
    </row>
    <row r="547" spans="1:16" ht="13.2" x14ac:dyDescent="0.25">
      <c r="A547" s="3" t="s">
        <v>3</v>
      </c>
      <c r="E547" s="2" t="s">
        <v>1501</v>
      </c>
    </row>
    <row r="548" spans="1:16" ht="66" x14ac:dyDescent="0.25">
      <c r="A548" t="s">
        <v>1</v>
      </c>
      <c r="E548" s="1" t="s">
        <v>1500</v>
      </c>
    </row>
    <row r="549" spans="1:16" ht="26.4" x14ac:dyDescent="0.25">
      <c r="A549" t="s">
        <v>11</v>
      </c>
      <c r="B549" s="9" t="s">
        <v>696</v>
      </c>
      <c r="C549" s="9" t="s">
        <v>1499</v>
      </c>
      <c r="D549" s="3" t="s">
        <v>2</v>
      </c>
      <c r="E549" s="8" t="s">
        <v>1496</v>
      </c>
      <c r="F549" s="4" t="s">
        <v>370</v>
      </c>
      <c r="G549" s="7">
        <v>4.0469999999999997</v>
      </c>
      <c r="H549" s="4">
        <v>2.4230000000000002E-2</v>
      </c>
      <c r="I549" s="4">
        <f>ROUND(G549*H549,6)</f>
        <v>9.8058999999999993E-2</v>
      </c>
      <c r="L549" s="6">
        <v>0</v>
      </c>
      <c r="M549" s="5">
        <f>ROUND(ROUND(L549,2)*ROUND(G549,3),2)</f>
        <v>0</v>
      </c>
      <c r="N549" s="4" t="s">
        <v>7</v>
      </c>
      <c r="O549">
        <f>(M549*21)/100</f>
        <v>0</v>
      </c>
      <c r="P549" t="s">
        <v>6</v>
      </c>
    </row>
    <row r="550" spans="1:16" ht="26.4" x14ac:dyDescent="0.25">
      <c r="A550" s="3" t="s">
        <v>5</v>
      </c>
      <c r="E550" s="1" t="s">
        <v>1496</v>
      </c>
    </row>
    <row r="551" spans="1:16" ht="13.2" x14ac:dyDescent="0.25">
      <c r="A551" s="3" t="s">
        <v>3</v>
      </c>
      <c r="E551" s="2" t="s">
        <v>1498</v>
      </c>
    </row>
    <row r="552" spans="1:16" ht="66" x14ac:dyDescent="0.25">
      <c r="A552" t="s">
        <v>1</v>
      </c>
      <c r="E552" s="1" t="s">
        <v>1494</v>
      </c>
    </row>
    <row r="553" spans="1:16" ht="26.4" x14ac:dyDescent="0.25">
      <c r="A553" t="s">
        <v>11</v>
      </c>
      <c r="B553" s="9" t="s">
        <v>692</v>
      </c>
      <c r="C553" s="9" t="s">
        <v>1497</v>
      </c>
      <c r="D553" s="3" t="s">
        <v>2</v>
      </c>
      <c r="E553" s="8" t="s">
        <v>1496</v>
      </c>
      <c r="F553" s="4" t="s">
        <v>370</v>
      </c>
      <c r="G553" s="7">
        <v>6.8970000000000002</v>
      </c>
      <c r="H553" s="4">
        <v>2.4230000000000002E-2</v>
      </c>
      <c r="I553" s="4">
        <f>ROUND(G553*H553,6)</f>
        <v>0.16711400000000001</v>
      </c>
      <c r="L553" s="6">
        <v>0</v>
      </c>
      <c r="M553" s="5">
        <f>ROUND(ROUND(L553,2)*ROUND(G553,3),2)</f>
        <v>0</v>
      </c>
      <c r="N553" s="4" t="s">
        <v>7</v>
      </c>
      <c r="O553">
        <f>(M553*21)/100</f>
        <v>0</v>
      </c>
      <c r="P553" t="s">
        <v>6</v>
      </c>
    </row>
    <row r="554" spans="1:16" ht="26.4" x14ac:dyDescent="0.25">
      <c r="A554" s="3" t="s">
        <v>5</v>
      </c>
      <c r="E554" s="1" t="s">
        <v>1496</v>
      </c>
    </row>
    <row r="555" spans="1:16" ht="13.2" x14ac:dyDescent="0.25">
      <c r="A555" s="3" t="s">
        <v>3</v>
      </c>
      <c r="E555" s="2" t="s">
        <v>1495</v>
      </c>
    </row>
    <row r="556" spans="1:16" ht="66" x14ac:dyDescent="0.25">
      <c r="A556" t="s">
        <v>1</v>
      </c>
      <c r="E556" s="1" t="s">
        <v>1494</v>
      </c>
    </row>
    <row r="557" spans="1:16" ht="13.2" x14ac:dyDescent="0.25">
      <c r="A557" t="s">
        <v>11</v>
      </c>
      <c r="B557" s="9" t="s">
        <v>688</v>
      </c>
      <c r="C557" s="9" t="s">
        <v>1493</v>
      </c>
      <c r="D557" s="3" t="s">
        <v>2</v>
      </c>
      <c r="E557" s="8" t="s">
        <v>1492</v>
      </c>
      <c r="F557" s="4" t="s">
        <v>1086</v>
      </c>
      <c r="G557" s="7">
        <v>58013.01</v>
      </c>
      <c r="H557" s="4">
        <v>1E-3</v>
      </c>
      <c r="I557" s="4">
        <f>ROUND(G557*H557,6)</f>
        <v>58.013010000000001</v>
      </c>
      <c r="L557" s="6">
        <v>0</v>
      </c>
      <c r="M557" s="5">
        <f>ROUND(ROUND(L557,2)*ROUND(G557,3),2)</f>
        <v>0</v>
      </c>
      <c r="N557" s="4" t="s">
        <v>7</v>
      </c>
      <c r="O557">
        <f>(M557*21)/100</f>
        <v>0</v>
      </c>
      <c r="P557" t="s">
        <v>6</v>
      </c>
    </row>
    <row r="558" spans="1:16" ht="13.2" x14ac:dyDescent="0.25">
      <c r="A558" s="3" t="s">
        <v>5</v>
      </c>
      <c r="E558" s="1" t="s">
        <v>1492</v>
      </c>
    </row>
    <row r="559" spans="1:16" ht="52.8" x14ac:dyDescent="0.25">
      <c r="A559" s="3" t="s">
        <v>3</v>
      </c>
      <c r="E559" s="2" t="s">
        <v>1491</v>
      </c>
    </row>
    <row r="560" spans="1:16" ht="66" x14ac:dyDescent="0.25">
      <c r="A560" t="s">
        <v>1</v>
      </c>
      <c r="E560" s="1" t="s">
        <v>1490</v>
      </c>
    </row>
    <row r="561" spans="1:16" ht="13.2" x14ac:dyDescent="0.25">
      <c r="A561" t="s">
        <v>11</v>
      </c>
      <c r="B561" s="9" t="s">
        <v>682</v>
      </c>
      <c r="C561" s="9" t="s">
        <v>1489</v>
      </c>
      <c r="D561" s="3" t="s">
        <v>2</v>
      </c>
      <c r="E561" s="8" t="s">
        <v>1488</v>
      </c>
      <c r="F561" s="4" t="s">
        <v>1086</v>
      </c>
      <c r="G561" s="7">
        <v>761.98</v>
      </c>
      <c r="H561" s="4">
        <v>1E-3</v>
      </c>
      <c r="I561" s="4">
        <f>ROUND(G561*H561,6)</f>
        <v>0.76197999999999999</v>
      </c>
      <c r="L561" s="6">
        <v>0</v>
      </c>
      <c r="M561" s="5">
        <f>ROUND(ROUND(L561,2)*ROUND(G561,3),2)</f>
        <v>0</v>
      </c>
      <c r="N561" s="4" t="s">
        <v>7</v>
      </c>
      <c r="O561">
        <f>(M561*21)/100</f>
        <v>0</v>
      </c>
      <c r="P561" t="s">
        <v>6</v>
      </c>
    </row>
    <row r="562" spans="1:16" ht="13.2" x14ac:dyDescent="0.25">
      <c r="A562" s="3" t="s">
        <v>5</v>
      </c>
      <c r="E562" s="1" t="s">
        <v>1488</v>
      </c>
    </row>
    <row r="563" spans="1:16" ht="13.2" x14ac:dyDescent="0.25">
      <c r="A563" s="3" t="s">
        <v>3</v>
      </c>
      <c r="E563" s="2" t="s">
        <v>1487</v>
      </c>
    </row>
    <row r="564" spans="1:16" ht="66" x14ac:dyDescent="0.25">
      <c r="A564" t="s">
        <v>1</v>
      </c>
      <c r="E564" s="1" t="s">
        <v>1486</v>
      </c>
    </row>
    <row r="565" spans="1:16" ht="13.2" x14ac:dyDescent="0.25">
      <c r="A565" t="s">
        <v>11</v>
      </c>
      <c r="B565" s="9" t="s">
        <v>679</v>
      </c>
      <c r="C565" s="9" t="s">
        <v>1485</v>
      </c>
      <c r="D565" s="3" t="s">
        <v>2</v>
      </c>
      <c r="E565" s="8" t="s">
        <v>1484</v>
      </c>
      <c r="F565" s="4" t="s">
        <v>13</v>
      </c>
      <c r="G565" s="7">
        <v>2</v>
      </c>
      <c r="H565" s="4">
        <v>0</v>
      </c>
      <c r="I565" s="4">
        <f>ROUND(G565*H565,6)</f>
        <v>0</v>
      </c>
      <c r="L565" s="6">
        <v>0</v>
      </c>
      <c r="M565" s="5">
        <f>ROUND(ROUND(L565,2)*ROUND(G565,3),2)</f>
        <v>0</v>
      </c>
      <c r="N565" s="4" t="s">
        <v>7</v>
      </c>
      <c r="O565">
        <f>(M565*21)/100</f>
        <v>0</v>
      </c>
      <c r="P565" t="s">
        <v>6</v>
      </c>
    </row>
    <row r="566" spans="1:16" ht="13.2" x14ac:dyDescent="0.25">
      <c r="A566" s="3" t="s">
        <v>5</v>
      </c>
      <c r="E566" s="1" t="s">
        <v>1484</v>
      </c>
    </row>
    <row r="567" spans="1:16" ht="13.2" x14ac:dyDescent="0.25">
      <c r="A567" s="3" t="s">
        <v>3</v>
      </c>
      <c r="E567" s="2" t="s">
        <v>2</v>
      </c>
    </row>
    <row r="568" spans="1:16" ht="66" x14ac:dyDescent="0.25">
      <c r="A568" t="s">
        <v>1</v>
      </c>
      <c r="E568" s="1" t="s">
        <v>1483</v>
      </c>
    </row>
    <row r="569" spans="1:16" ht="13.2" x14ac:dyDescent="0.25">
      <c r="A569" t="s">
        <v>11</v>
      </c>
      <c r="B569" s="9" t="s">
        <v>676</v>
      </c>
      <c r="C569" s="9" t="s">
        <v>1482</v>
      </c>
      <c r="D569" s="3" t="s">
        <v>2</v>
      </c>
      <c r="E569" s="8" t="s">
        <v>1481</v>
      </c>
      <c r="F569" s="4" t="s">
        <v>1086</v>
      </c>
      <c r="G569" s="7">
        <v>89.7</v>
      </c>
      <c r="H569" s="4">
        <v>1E-3</v>
      </c>
      <c r="I569" s="4">
        <f>ROUND(G569*H569,6)</f>
        <v>8.9700000000000002E-2</v>
      </c>
      <c r="L569" s="6">
        <v>0</v>
      </c>
      <c r="M569" s="5">
        <f>ROUND(ROUND(L569,2)*ROUND(G569,3),2)</f>
        <v>0</v>
      </c>
      <c r="N569" s="4" t="s">
        <v>7</v>
      </c>
      <c r="O569">
        <f>(M569*21)/100</f>
        <v>0</v>
      </c>
      <c r="P569" t="s">
        <v>6</v>
      </c>
    </row>
    <row r="570" spans="1:16" ht="13.2" x14ac:dyDescent="0.25">
      <c r="A570" s="3" t="s">
        <v>5</v>
      </c>
      <c r="E570" s="1" t="s">
        <v>1481</v>
      </c>
    </row>
    <row r="571" spans="1:16" ht="13.2" x14ac:dyDescent="0.25">
      <c r="A571" s="3" t="s">
        <v>3</v>
      </c>
      <c r="E571" s="2" t="s">
        <v>2</v>
      </c>
    </row>
    <row r="572" spans="1:16" ht="66" x14ac:dyDescent="0.25">
      <c r="A572" t="s">
        <v>1</v>
      </c>
      <c r="E572" s="1" t="s">
        <v>1480</v>
      </c>
    </row>
    <row r="573" spans="1:16" ht="13.2" x14ac:dyDescent="0.25">
      <c r="A573" t="s">
        <v>11</v>
      </c>
      <c r="B573" s="9" t="s">
        <v>671</v>
      </c>
      <c r="C573" s="9" t="s">
        <v>1479</v>
      </c>
      <c r="D573" s="3" t="s">
        <v>2</v>
      </c>
      <c r="E573" s="8" t="s">
        <v>1478</v>
      </c>
      <c r="F573" s="4" t="s">
        <v>1086</v>
      </c>
      <c r="G573" s="7">
        <v>2911</v>
      </c>
      <c r="H573" s="4">
        <v>1E-3</v>
      </c>
      <c r="I573" s="4">
        <f>ROUND(G573*H573,6)</f>
        <v>2.911</v>
      </c>
      <c r="L573" s="6">
        <v>0</v>
      </c>
      <c r="M573" s="5">
        <f>ROUND(ROUND(L573,2)*ROUND(G573,3),2)</f>
        <v>0</v>
      </c>
      <c r="N573" s="4" t="s">
        <v>7</v>
      </c>
      <c r="O573">
        <f>(M573*21)/100</f>
        <v>0</v>
      </c>
      <c r="P573" t="s">
        <v>6</v>
      </c>
    </row>
    <row r="574" spans="1:16" ht="13.2" x14ac:dyDescent="0.25">
      <c r="A574" s="3" t="s">
        <v>5</v>
      </c>
      <c r="E574" s="1" t="s">
        <v>1478</v>
      </c>
    </row>
    <row r="575" spans="1:16" ht="13.2" x14ac:dyDescent="0.25">
      <c r="A575" s="3" t="s">
        <v>3</v>
      </c>
      <c r="E575" s="2" t="s">
        <v>2</v>
      </c>
    </row>
    <row r="576" spans="1:16" ht="66" x14ac:dyDescent="0.25">
      <c r="A576" t="s">
        <v>1</v>
      </c>
      <c r="E576" s="1" t="s">
        <v>1477</v>
      </c>
    </row>
    <row r="577" spans="1:16" ht="13.2" x14ac:dyDescent="0.25">
      <c r="A577" t="s">
        <v>11</v>
      </c>
      <c r="B577" s="9" t="s">
        <v>666</v>
      </c>
      <c r="C577" s="9" t="s">
        <v>1476</v>
      </c>
      <c r="D577" s="3" t="s">
        <v>2</v>
      </c>
      <c r="E577" s="8" t="s">
        <v>1475</v>
      </c>
      <c r="F577" s="4" t="s">
        <v>1086</v>
      </c>
      <c r="G577" s="7">
        <v>299.10000000000002</v>
      </c>
      <c r="H577" s="4">
        <v>1E-3</v>
      </c>
      <c r="I577" s="4">
        <f>ROUND(G577*H577,6)</f>
        <v>0.29909999999999998</v>
      </c>
      <c r="L577" s="6">
        <v>0</v>
      </c>
      <c r="M577" s="5">
        <f>ROUND(ROUND(L577,2)*ROUND(G577,3),2)</f>
        <v>0</v>
      </c>
      <c r="N577" s="4" t="s">
        <v>7</v>
      </c>
      <c r="O577">
        <f>(M577*21)/100</f>
        <v>0</v>
      </c>
      <c r="P577" t="s">
        <v>6</v>
      </c>
    </row>
    <row r="578" spans="1:16" ht="13.2" x14ac:dyDescent="0.25">
      <c r="A578" s="3" t="s">
        <v>5</v>
      </c>
      <c r="E578" s="1" t="s">
        <v>1475</v>
      </c>
    </row>
    <row r="579" spans="1:16" ht="13.2" x14ac:dyDescent="0.25">
      <c r="A579" s="3" t="s">
        <v>3</v>
      </c>
      <c r="E579" s="2" t="s">
        <v>2</v>
      </c>
    </row>
    <row r="580" spans="1:16" ht="66" x14ac:dyDescent="0.25">
      <c r="A580" t="s">
        <v>1</v>
      </c>
      <c r="E580" s="1" t="s">
        <v>1474</v>
      </c>
    </row>
    <row r="581" spans="1:16" ht="13.2" x14ac:dyDescent="0.25">
      <c r="A581" t="s">
        <v>11</v>
      </c>
      <c r="B581" s="9" t="s">
        <v>660</v>
      </c>
      <c r="C581" s="9" t="s">
        <v>1473</v>
      </c>
      <c r="D581" s="3" t="s">
        <v>2</v>
      </c>
      <c r="E581" s="8" t="s">
        <v>1472</v>
      </c>
      <c r="F581" s="4" t="s">
        <v>1086</v>
      </c>
      <c r="G581" s="7">
        <v>384</v>
      </c>
      <c r="H581" s="4">
        <v>1E-3</v>
      </c>
      <c r="I581" s="4">
        <f>ROUND(G581*H581,6)</f>
        <v>0.38400000000000001</v>
      </c>
      <c r="L581" s="6">
        <v>0</v>
      </c>
      <c r="M581" s="5">
        <f>ROUND(ROUND(L581,2)*ROUND(G581,3),2)</f>
        <v>0</v>
      </c>
      <c r="N581" s="4" t="s">
        <v>7</v>
      </c>
      <c r="O581">
        <f>(M581*21)/100</f>
        <v>0</v>
      </c>
      <c r="P581" t="s">
        <v>6</v>
      </c>
    </row>
    <row r="582" spans="1:16" ht="13.2" x14ac:dyDescent="0.25">
      <c r="A582" s="3" t="s">
        <v>5</v>
      </c>
      <c r="E582" s="1" t="s">
        <v>1472</v>
      </c>
    </row>
    <row r="583" spans="1:16" ht="13.2" x14ac:dyDescent="0.25">
      <c r="A583" s="3" t="s">
        <v>3</v>
      </c>
      <c r="E583" s="2" t="s">
        <v>2</v>
      </c>
    </row>
    <row r="584" spans="1:16" ht="66" x14ac:dyDescent="0.25">
      <c r="A584" t="s">
        <v>1</v>
      </c>
      <c r="E584" s="1" t="s">
        <v>1471</v>
      </c>
    </row>
    <row r="585" spans="1:16" ht="13.2" x14ac:dyDescent="0.25">
      <c r="A585" t="s">
        <v>11</v>
      </c>
      <c r="B585" s="9" t="s">
        <v>657</v>
      </c>
      <c r="C585" s="9" t="s">
        <v>1470</v>
      </c>
      <c r="D585" s="3" t="s">
        <v>2</v>
      </c>
      <c r="E585" s="8" t="s">
        <v>1469</v>
      </c>
      <c r="F585" s="4" t="s">
        <v>1086</v>
      </c>
      <c r="G585" s="7">
        <v>990.1</v>
      </c>
      <c r="H585" s="4">
        <v>1E-3</v>
      </c>
      <c r="I585" s="4">
        <f>ROUND(G585*H585,6)</f>
        <v>0.99009999999999998</v>
      </c>
      <c r="L585" s="6">
        <v>0</v>
      </c>
      <c r="M585" s="5">
        <f>ROUND(ROUND(L585,2)*ROUND(G585,3),2)</f>
        <v>0</v>
      </c>
      <c r="N585" s="4" t="s">
        <v>7</v>
      </c>
      <c r="O585">
        <f>(M585*21)/100</f>
        <v>0</v>
      </c>
      <c r="P585" t="s">
        <v>6</v>
      </c>
    </row>
    <row r="586" spans="1:16" ht="13.2" x14ac:dyDescent="0.25">
      <c r="A586" s="3" t="s">
        <v>5</v>
      </c>
      <c r="E586" s="1" t="s">
        <v>1469</v>
      </c>
    </row>
    <row r="587" spans="1:16" ht="13.2" x14ac:dyDescent="0.25">
      <c r="A587" s="3" t="s">
        <v>3</v>
      </c>
      <c r="E587" s="2" t="s">
        <v>2</v>
      </c>
    </row>
    <row r="588" spans="1:16" ht="66" x14ac:dyDescent="0.25">
      <c r="A588" t="s">
        <v>1</v>
      </c>
      <c r="E588" s="1" t="s">
        <v>1468</v>
      </c>
    </row>
    <row r="589" spans="1:16" ht="13.2" x14ac:dyDescent="0.25">
      <c r="A589" t="s">
        <v>11</v>
      </c>
      <c r="B589" s="9" t="s">
        <v>1467</v>
      </c>
      <c r="C589" s="9" t="s">
        <v>1466</v>
      </c>
      <c r="D589" s="3" t="s">
        <v>2</v>
      </c>
      <c r="E589" s="8" t="s">
        <v>1465</v>
      </c>
      <c r="F589" s="4" t="s">
        <v>1086</v>
      </c>
      <c r="G589" s="7">
        <v>381</v>
      </c>
      <c r="H589" s="4">
        <v>1E-3</v>
      </c>
      <c r="I589" s="4">
        <f>ROUND(G589*H589,6)</f>
        <v>0.38100000000000001</v>
      </c>
      <c r="L589" s="6">
        <v>0</v>
      </c>
      <c r="M589" s="5">
        <f>ROUND(ROUND(L589,2)*ROUND(G589,3),2)</f>
        <v>0</v>
      </c>
      <c r="N589" s="4" t="s">
        <v>7</v>
      </c>
      <c r="O589">
        <f>(M589*21)/100</f>
        <v>0</v>
      </c>
      <c r="P589" t="s">
        <v>6</v>
      </c>
    </row>
    <row r="590" spans="1:16" ht="13.2" x14ac:dyDescent="0.25">
      <c r="A590" s="3" t="s">
        <v>5</v>
      </c>
      <c r="E590" s="1" t="s">
        <v>1465</v>
      </c>
    </row>
    <row r="591" spans="1:16" ht="13.2" x14ac:dyDescent="0.25">
      <c r="A591" s="3" t="s">
        <v>3</v>
      </c>
      <c r="E591" s="2" t="s">
        <v>2</v>
      </c>
    </row>
    <row r="592" spans="1:16" ht="66" x14ac:dyDescent="0.25">
      <c r="A592" t="s">
        <v>1</v>
      </c>
      <c r="E592" s="1" t="s">
        <v>1464</v>
      </c>
    </row>
    <row r="593" spans="1:16" ht="13.2" x14ac:dyDescent="0.25">
      <c r="A593" t="s">
        <v>11</v>
      </c>
      <c r="B593" s="9" t="s">
        <v>1463</v>
      </c>
      <c r="C593" s="9" t="s">
        <v>1462</v>
      </c>
      <c r="D593" s="3" t="s">
        <v>2</v>
      </c>
      <c r="E593" s="8" t="s">
        <v>1461</v>
      </c>
      <c r="F593" s="4" t="s">
        <v>1086</v>
      </c>
      <c r="G593" s="7">
        <v>964.4</v>
      </c>
      <c r="H593" s="4">
        <v>1E-3</v>
      </c>
      <c r="I593" s="4">
        <f>ROUND(G593*H593,6)</f>
        <v>0.96440000000000003</v>
      </c>
      <c r="L593" s="6">
        <v>0</v>
      </c>
      <c r="M593" s="5">
        <f>ROUND(ROUND(L593,2)*ROUND(G593,3),2)</f>
        <v>0</v>
      </c>
      <c r="N593" s="4" t="s">
        <v>7</v>
      </c>
      <c r="O593">
        <f>(M593*21)/100</f>
        <v>0</v>
      </c>
      <c r="P593" t="s">
        <v>6</v>
      </c>
    </row>
    <row r="594" spans="1:16" ht="13.2" x14ac:dyDescent="0.25">
      <c r="A594" s="3" t="s">
        <v>5</v>
      </c>
      <c r="E594" s="1" t="s">
        <v>1461</v>
      </c>
    </row>
    <row r="595" spans="1:16" ht="13.2" x14ac:dyDescent="0.25">
      <c r="A595" s="3" t="s">
        <v>3</v>
      </c>
      <c r="E595" s="2" t="s">
        <v>2</v>
      </c>
    </row>
    <row r="596" spans="1:16" ht="66" x14ac:dyDescent="0.25">
      <c r="A596" t="s">
        <v>1</v>
      </c>
      <c r="E596" s="1" t="s">
        <v>1460</v>
      </c>
    </row>
    <row r="597" spans="1:16" ht="13.2" x14ac:dyDescent="0.25">
      <c r="A597" t="s">
        <v>11</v>
      </c>
      <c r="B597" s="9" t="s">
        <v>1459</v>
      </c>
      <c r="C597" s="9" t="s">
        <v>1458</v>
      </c>
      <c r="D597" s="3" t="s">
        <v>2</v>
      </c>
      <c r="E597" s="8" t="s">
        <v>1457</v>
      </c>
      <c r="F597" s="4" t="s">
        <v>1086</v>
      </c>
      <c r="G597" s="7">
        <v>938.5</v>
      </c>
      <c r="H597" s="4">
        <v>1E-3</v>
      </c>
      <c r="I597" s="4">
        <f>ROUND(G597*H597,6)</f>
        <v>0.9385</v>
      </c>
      <c r="L597" s="6">
        <v>0</v>
      </c>
      <c r="M597" s="5">
        <f>ROUND(ROUND(L597,2)*ROUND(G597,3),2)</f>
        <v>0</v>
      </c>
      <c r="N597" s="4" t="s">
        <v>7</v>
      </c>
      <c r="O597">
        <f>(M597*21)/100</f>
        <v>0</v>
      </c>
      <c r="P597" t="s">
        <v>6</v>
      </c>
    </row>
    <row r="598" spans="1:16" ht="13.2" x14ac:dyDescent="0.25">
      <c r="A598" s="3" t="s">
        <v>5</v>
      </c>
      <c r="E598" s="1" t="s">
        <v>1457</v>
      </c>
    </row>
    <row r="599" spans="1:16" ht="13.2" x14ac:dyDescent="0.25">
      <c r="A599" s="3" t="s">
        <v>3</v>
      </c>
      <c r="E599" s="2" t="s">
        <v>2</v>
      </c>
    </row>
    <row r="600" spans="1:16" ht="66" x14ac:dyDescent="0.25">
      <c r="A600" t="s">
        <v>1</v>
      </c>
      <c r="E600" s="1" t="s">
        <v>1456</v>
      </c>
    </row>
    <row r="601" spans="1:16" ht="13.2" x14ac:dyDescent="0.25">
      <c r="A601" t="s">
        <v>11</v>
      </c>
      <c r="B601" s="9" t="s">
        <v>1455</v>
      </c>
      <c r="C601" s="9" t="s">
        <v>1454</v>
      </c>
      <c r="D601" s="3" t="s">
        <v>2</v>
      </c>
      <c r="E601" s="8" t="s">
        <v>1453</v>
      </c>
      <c r="F601" s="4" t="s">
        <v>1086</v>
      </c>
      <c r="G601" s="7">
        <v>102.7</v>
      </c>
      <c r="H601" s="4">
        <v>1E-3</v>
      </c>
      <c r="I601" s="4">
        <f>ROUND(G601*H601,6)</f>
        <v>0.1027</v>
      </c>
      <c r="L601" s="6">
        <v>0</v>
      </c>
      <c r="M601" s="5">
        <f>ROUND(ROUND(L601,2)*ROUND(G601,3),2)</f>
        <v>0</v>
      </c>
      <c r="N601" s="4" t="s">
        <v>7</v>
      </c>
      <c r="O601">
        <f>(M601*21)/100</f>
        <v>0</v>
      </c>
      <c r="P601" t="s">
        <v>6</v>
      </c>
    </row>
    <row r="602" spans="1:16" ht="13.2" x14ac:dyDescent="0.25">
      <c r="A602" s="3" t="s">
        <v>5</v>
      </c>
      <c r="E602" s="1" t="s">
        <v>1453</v>
      </c>
    </row>
    <row r="603" spans="1:16" ht="13.2" x14ac:dyDescent="0.25">
      <c r="A603" s="3" t="s">
        <v>3</v>
      </c>
      <c r="E603" s="2" t="s">
        <v>2</v>
      </c>
    </row>
    <row r="604" spans="1:16" ht="66" x14ac:dyDescent="0.25">
      <c r="A604" t="s">
        <v>1</v>
      </c>
      <c r="E604" s="1" t="s">
        <v>1452</v>
      </c>
    </row>
    <row r="605" spans="1:16" ht="13.2" x14ac:dyDescent="0.25">
      <c r="A605" t="s">
        <v>11</v>
      </c>
      <c r="B605" s="9" t="s">
        <v>1451</v>
      </c>
      <c r="C605" s="9" t="s">
        <v>1450</v>
      </c>
      <c r="D605" s="3" t="s">
        <v>2</v>
      </c>
      <c r="E605" s="8" t="s">
        <v>1449</v>
      </c>
      <c r="F605" s="4" t="s">
        <v>1086</v>
      </c>
      <c r="G605" s="7">
        <v>2925.9</v>
      </c>
      <c r="H605" s="4">
        <v>1E-3</v>
      </c>
      <c r="I605" s="4">
        <f>ROUND(G605*H605,6)</f>
        <v>2.9258999999999999</v>
      </c>
      <c r="L605" s="6">
        <v>0</v>
      </c>
      <c r="M605" s="5">
        <f>ROUND(ROUND(L605,2)*ROUND(G605,3),2)</f>
        <v>0</v>
      </c>
      <c r="N605" s="4" t="s">
        <v>7</v>
      </c>
      <c r="O605">
        <f>(M605*21)/100</f>
        <v>0</v>
      </c>
      <c r="P605" t="s">
        <v>6</v>
      </c>
    </row>
    <row r="606" spans="1:16" ht="13.2" x14ac:dyDescent="0.25">
      <c r="A606" s="3" t="s">
        <v>5</v>
      </c>
      <c r="E606" s="1" t="s">
        <v>1449</v>
      </c>
    </row>
    <row r="607" spans="1:16" ht="13.2" x14ac:dyDescent="0.25">
      <c r="A607" s="3" t="s">
        <v>3</v>
      </c>
      <c r="E607" s="2" t="s">
        <v>2</v>
      </c>
    </row>
    <row r="608" spans="1:16" ht="66" x14ac:dyDescent="0.25">
      <c r="A608" t="s">
        <v>1</v>
      </c>
      <c r="E608" s="1" t="s">
        <v>1448</v>
      </c>
    </row>
    <row r="609" spans="1:16" ht="13.2" x14ac:dyDescent="0.25">
      <c r="A609" t="s">
        <v>11</v>
      </c>
      <c r="B609" s="9" t="s">
        <v>1447</v>
      </c>
      <c r="C609" s="9" t="s">
        <v>1446</v>
      </c>
      <c r="D609" s="3" t="s">
        <v>2</v>
      </c>
      <c r="E609" s="8" t="s">
        <v>1445</v>
      </c>
      <c r="F609" s="4" t="s">
        <v>1086</v>
      </c>
      <c r="G609" s="7">
        <v>120</v>
      </c>
      <c r="H609" s="4">
        <v>1E-3</v>
      </c>
      <c r="I609" s="4">
        <f>ROUND(G609*H609,6)</f>
        <v>0.12</v>
      </c>
      <c r="L609" s="6">
        <v>0</v>
      </c>
      <c r="M609" s="5">
        <f>ROUND(ROUND(L609,2)*ROUND(G609,3),2)</f>
        <v>0</v>
      </c>
      <c r="N609" s="4" t="s">
        <v>7</v>
      </c>
      <c r="O609">
        <f>(M609*21)/100</f>
        <v>0</v>
      </c>
      <c r="P609" t="s">
        <v>6</v>
      </c>
    </row>
    <row r="610" spans="1:16" ht="13.2" x14ac:dyDescent="0.25">
      <c r="A610" s="3" t="s">
        <v>5</v>
      </c>
      <c r="E610" s="1" t="s">
        <v>1445</v>
      </c>
    </row>
    <row r="611" spans="1:16" ht="13.2" x14ac:dyDescent="0.25">
      <c r="A611" s="3" t="s">
        <v>3</v>
      </c>
      <c r="E611" s="2" t="s">
        <v>2</v>
      </c>
    </row>
    <row r="612" spans="1:16" ht="66" x14ac:dyDescent="0.25">
      <c r="A612" t="s">
        <v>1</v>
      </c>
      <c r="E612" s="1" t="s">
        <v>1444</v>
      </c>
    </row>
    <row r="613" spans="1:16" ht="13.2" x14ac:dyDescent="0.25">
      <c r="A613" t="s">
        <v>50</v>
      </c>
      <c r="C613" s="11" t="s">
        <v>1443</v>
      </c>
      <c r="E613" s="10" t="s">
        <v>1442</v>
      </c>
      <c r="J613" s="5">
        <f>0</f>
        <v>0</v>
      </c>
      <c r="K613" s="5">
        <f>0</f>
        <v>0</v>
      </c>
      <c r="L613" s="5">
        <f>0+L614+L618+L622+L626+L630+L634+L638+L642+L646+L650</f>
        <v>0</v>
      </c>
      <c r="M613" s="5">
        <f>0+M614+M618+M622+M626+M630+M634+M638+M642+M646+M650</f>
        <v>0</v>
      </c>
    </row>
    <row r="614" spans="1:16" ht="26.4" x14ac:dyDescent="0.25">
      <c r="A614" t="s">
        <v>11</v>
      </c>
      <c r="B614" s="9" t="s">
        <v>1441</v>
      </c>
      <c r="C614" s="9" t="s">
        <v>1440</v>
      </c>
      <c r="D614" s="3" t="s">
        <v>2</v>
      </c>
      <c r="E614" s="8" t="s">
        <v>1439</v>
      </c>
      <c r="F614" s="4" t="s">
        <v>370</v>
      </c>
      <c r="G614" s="7">
        <v>68.793999999999997</v>
      </c>
      <c r="H614" s="4">
        <v>2.1999999999999999E-2</v>
      </c>
      <c r="I614" s="4">
        <f>ROUND(G614*H614,6)</f>
        <v>1.513468</v>
      </c>
      <c r="L614" s="6">
        <v>0</v>
      </c>
      <c r="M614" s="5">
        <f>ROUND(ROUND(L614,2)*ROUND(G614,3),2)</f>
        <v>0</v>
      </c>
      <c r="N614" s="4" t="s">
        <v>501</v>
      </c>
      <c r="O614">
        <f>(M614*21)/100</f>
        <v>0</v>
      </c>
      <c r="P614" t="s">
        <v>6</v>
      </c>
    </row>
    <row r="615" spans="1:16" ht="26.4" x14ac:dyDescent="0.25">
      <c r="A615" s="3" t="s">
        <v>5</v>
      </c>
      <c r="E615" s="1" t="s">
        <v>1439</v>
      </c>
    </row>
    <row r="616" spans="1:16" ht="13.2" x14ac:dyDescent="0.25">
      <c r="A616" s="3" t="s">
        <v>3</v>
      </c>
      <c r="E616" s="2" t="s">
        <v>2</v>
      </c>
    </row>
    <row r="617" spans="1:16" ht="26.4" x14ac:dyDescent="0.25">
      <c r="A617" t="s">
        <v>1</v>
      </c>
      <c r="E617" s="1" t="s">
        <v>1438</v>
      </c>
    </row>
    <row r="618" spans="1:16" ht="13.2" x14ac:dyDescent="0.25">
      <c r="A618" t="s">
        <v>11</v>
      </c>
      <c r="B618" s="9" t="s">
        <v>1437</v>
      </c>
      <c r="C618" s="9" t="s">
        <v>1436</v>
      </c>
      <c r="D618" s="3" t="s">
        <v>2</v>
      </c>
      <c r="E618" s="8" t="s">
        <v>1435</v>
      </c>
      <c r="F618" s="4" t="s">
        <v>370</v>
      </c>
      <c r="G618" s="7">
        <v>62.54</v>
      </c>
      <c r="H618" s="4">
        <v>0</v>
      </c>
      <c r="I618" s="4">
        <f>ROUND(G618*H618,6)</f>
        <v>0</v>
      </c>
      <c r="L618" s="6">
        <v>0</v>
      </c>
      <c r="M618" s="5">
        <f>ROUND(ROUND(L618,2)*ROUND(G618,3),2)</f>
        <v>0</v>
      </c>
      <c r="N618" s="4" t="s">
        <v>501</v>
      </c>
      <c r="O618">
        <f>(M618*21)/100</f>
        <v>0</v>
      </c>
      <c r="P618" t="s">
        <v>6</v>
      </c>
    </row>
    <row r="619" spans="1:16" ht="13.2" x14ac:dyDescent="0.25">
      <c r="A619" s="3" t="s">
        <v>5</v>
      </c>
      <c r="E619" s="1" t="s">
        <v>1435</v>
      </c>
    </row>
    <row r="620" spans="1:16" ht="13.2" x14ac:dyDescent="0.25">
      <c r="A620" s="3" t="s">
        <v>3</v>
      </c>
      <c r="E620" s="2" t="s">
        <v>1426</v>
      </c>
    </row>
    <row r="621" spans="1:16" ht="79.2" x14ac:dyDescent="0.25">
      <c r="A621" t="s">
        <v>1</v>
      </c>
      <c r="E621" s="1" t="s">
        <v>1434</v>
      </c>
    </row>
    <row r="622" spans="1:16" ht="13.2" x14ac:dyDescent="0.25">
      <c r="A622" t="s">
        <v>11</v>
      </c>
      <c r="B622" s="9" t="s">
        <v>1433</v>
      </c>
      <c r="C622" s="9" t="s">
        <v>1432</v>
      </c>
      <c r="D622" s="3" t="s">
        <v>2</v>
      </c>
      <c r="E622" s="8" t="s">
        <v>1431</v>
      </c>
      <c r="F622" s="4" t="s">
        <v>370</v>
      </c>
      <c r="G622" s="7">
        <v>62.54</v>
      </c>
      <c r="H622" s="4">
        <v>2.9999999999999997E-4</v>
      </c>
      <c r="I622" s="4">
        <f>ROUND(G622*H622,6)</f>
        <v>1.8762000000000001E-2</v>
      </c>
      <c r="L622" s="6">
        <v>0</v>
      </c>
      <c r="M622" s="5">
        <f>ROUND(ROUND(L622,2)*ROUND(G622,3),2)</f>
        <v>0</v>
      </c>
      <c r="N622" s="4" t="s">
        <v>501</v>
      </c>
      <c r="O622">
        <f>(M622*21)/100</f>
        <v>0</v>
      </c>
      <c r="P622" t="s">
        <v>6</v>
      </c>
    </row>
    <row r="623" spans="1:16" ht="13.2" x14ac:dyDescent="0.25">
      <c r="A623" s="3" t="s">
        <v>5</v>
      </c>
      <c r="E623" s="1" t="s">
        <v>1431</v>
      </c>
    </row>
    <row r="624" spans="1:16" ht="13.2" x14ac:dyDescent="0.25">
      <c r="A624" s="3" t="s">
        <v>3</v>
      </c>
      <c r="E624" s="2" t="s">
        <v>2</v>
      </c>
    </row>
    <row r="625" spans="1:16" ht="79.2" x14ac:dyDescent="0.25">
      <c r="A625" t="s">
        <v>1</v>
      </c>
      <c r="E625" s="1" t="s">
        <v>1430</v>
      </c>
    </row>
    <row r="626" spans="1:16" ht="26.4" x14ac:dyDescent="0.25">
      <c r="A626" t="s">
        <v>11</v>
      </c>
      <c r="B626" s="9" t="s">
        <v>1429</v>
      </c>
      <c r="C626" s="9" t="s">
        <v>1428</v>
      </c>
      <c r="D626" s="3" t="s">
        <v>2</v>
      </c>
      <c r="E626" s="8" t="s">
        <v>1427</v>
      </c>
      <c r="F626" s="4" t="s">
        <v>370</v>
      </c>
      <c r="G626" s="7">
        <v>62.54</v>
      </c>
      <c r="H626" s="4">
        <v>5.1999999999999998E-3</v>
      </c>
      <c r="I626" s="4">
        <f>ROUND(G626*H626,6)</f>
        <v>0.325208</v>
      </c>
      <c r="L626" s="6">
        <v>0</v>
      </c>
      <c r="M626" s="5">
        <f>ROUND(ROUND(L626,2)*ROUND(G626,3),2)</f>
        <v>0</v>
      </c>
      <c r="N626" s="4" t="s">
        <v>501</v>
      </c>
      <c r="O626">
        <f>(M626*21)/100</f>
        <v>0</v>
      </c>
      <c r="P626" t="s">
        <v>6</v>
      </c>
    </row>
    <row r="627" spans="1:16" ht="26.4" x14ac:dyDescent="0.25">
      <c r="A627" s="3" t="s">
        <v>5</v>
      </c>
      <c r="E627" s="1" t="s">
        <v>1427</v>
      </c>
    </row>
    <row r="628" spans="1:16" ht="13.2" x14ac:dyDescent="0.25">
      <c r="A628" s="3" t="s">
        <v>3</v>
      </c>
      <c r="E628" s="2" t="s">
        <v>1426</v>
      </c>
    </row>
    <row r="629" spans="1:16" ht="39.6" x14ac:dyDescent="0.25">
      <c r="A629" t="s">
        <v>1</v>
      </c>
      <c r="E629" s="1" t="s">
        <v>1425</v>
      </c>
    </row>
    <row r="630" spans="1:16" ht="13.2" x14ac:dyDescent="0.25">
      <c r="A630" t="s">
        <v>11</v>
      </c>
      <c r="B630" s="9" t="s">
        <v>1424</v>
      </c>
      <c r="C630" s="9" t="s">
        <v>1423</v>
      </c>
      <c r="D630" s="3" t="s">
        <v>2</v>
      </c>
      <c r="E630" s="8" t="s">
        <v>1422</v>
      </c>
      <c r="F630" s="4" t="s">
        <v>370</v>
      </c>
      <c r="G630" s="7">
        <v>7.66</v>
      </c>
      <c r="H630" s="4">
        <v>1.5E-3</v>
      </c>
      <c r="I630" s="4">
        <f>ROUND(G630*H630,6)</f>
        <v>1.149E-2</v>
      </c>
      <c r="L630" s="6">
        <v>0</v>
      </c>
      <c r="M630" s="5">
        <f>ROUND(ROUND(L630,2)*ROUND(G630,3),2)</f>
        <v>0</v>
      </c>
      <c r="N630" s="4" t="s">
        <v>501</v>
      </c>
      <c r="O630">
        <f>(M630*21)/100</f>
        <v>0</v>
      </c>
      <c r="P630" t="s">
        <v>6</v>
      </c>
    </row>
    <row r="631" spans="1:16" ht="13.2" x14ac:dyDescent="0.25">
      <c r="A631" s="3" t="s">
        <v>5</v>
      </c>
      <c r="E631" s="1" t="s">
        <v>1422</v>
      </c>
    </row>
    <row r="632" spans="1:16" ht="13.2" x14ac:dyDescent="0.25">
      <c r="A632" s="3" t="s">
        <v>3</v>
      </c>
      <c r="E632" s="2" t="s">
        <v>1421</v>
      </c>
    </row>
    <row r="633" spans="1:16" ht="66" x14ac:dyDescent="0.25">
      <c r="A633" t="s">
        <v>1</v>
      </c>
      <c r="E633" s="1" t="s">
        <v>1420</v>
      </c>
    </row>
    <row r="634" spans="1:16" ht="13.2" x14ac:dyDescent="0.25">
      <c r="A634" t="s">
        <v>11</v>
      </c>
      <c r="B634" s="9" t="s">
        <v>1419</v>
      </c>
      <c r="C634" s="9" t="s">
        <v>1418</v>
      </c>
      <c r="D634" s="3" t="s">
        <v>2</v>
      </c>
      <c r="E634" s="8" t="s">
        <v>1417</v>
      </c>
      <c r="F634" s="4" t="s">
        <v>13</v>
      </c>
      <c r="G634" s="7">
        <v>9</v>
      </c>
      <c r="H634" s="4">
        <v>2.1000000000000001E-4</v>
      </c>
      <c r="I634" s="4">
        <f>ROUND(G634*H634,6)</f>
        <v>1.89E-3</v>
      </c>
      <c r="L634" s="6">
        <v>0</v>
      </c>
      <c r="M634" s="5">
        <f>ROUND(ROUND(L634,2)*ROUND(G634,3),2)</f>
        <v>0</v>
      </c>
      <c r="N634" s="4" t="s">
        <v>501</v>
      </c>
      <c r="O634">
        <f>(M634*21)/100</f>
        <v>0</v>
      </c>
      <c r="P634" t="s">
        <v>6</v>
      </c>
    </row>
    <row r="635" spans="1:16" ht="13.2" x14ac:dyDescent="0.25">
      <c r="A635" s="3" t="s">
        <v>5</v>
      </c>
      <c r="E635" s="1" t="s">
        <v>1417</v>
      </c>
    </row>
    <row r="636" spans="1:16" ht="13.2" x14ac:dyDescent="0.25">
      <c r="A636" s="3" t="s">
        <v>3</v>
      </c>
      <c r="E636" s="2" t="s">
        <v>2</v>
      </c>
    </row>
    <row r="637" spans="1:16" ht="66" x14ac:dyDescent="0.25">
      <c r="A637" t="s">
        <v>1</v>
      </c>
      <c r="E637" s="1" t="s">
        <v>1416</v>
      </c>
    </row>
    <row r="638" spans="1:16" ht="13.2" x14ac:dyDescent="0.25">
      <c r="A638" t="s">
        <v>11</v>
      </c>
      <c r="B638" s="9" t="s">
        <v>1415</v>
      </c>
      <c r="C638" s="9" t="s">
        <v>1414</v>
      </c>
      <c r="D638" s="3" t="s">
        <v>2</v>
      </c>
      <c r="E638" s="8" t="s">
        <v>1413</v>
      </c>
      <c r="F638" s="4" t="s">
        <v>13</v>
      </c>
      <c r="G638" s="7">
        <v>9</v>
      </c>
      <c r="H638" s="4">
        <v>2.0000000000000001E-4</v>
      </c>
      <c r="I638" s="4">
        <f>ROUND(G638*H638,6)</f>
        <v>1.8E-3</v>
      </c>
      <c r="L638" s="6">
        <v>0</v>
      </c>
      <c r="M638" s="5">
        <f>ROUND(ROUND(L638,2)*ROUND(G638,3),2)</f>
        <v>0</v>
      </c>
      <c r="N638" s="4" t="s">
        <v>501</v>
      </c>
      <c r="O638">
        <f>(M638*21)/100</f>
        <v>0</v>
      </c>
      <c r="P638" t="s">
        <v>6</v>
      </c>
    </row>
    <row r="639" spans="1:16" ht="13.2" x14ac:dyDescent="0.25">
      <c r="A639" s="3" t="s">
        <v>5</v>
      </c>
      <c r="E639" s="1" t="s">
        <v>1413</v>
      </c>
    </row>
    <row r="640" spans="1:16" ht="13.2" x14ac:dyDescent="0.25">
      <c r="A640" s="3" t="s">
        <v>3</v>
      </c>
      <c r="E640" s="2" t="s">
        <v>2</v>
      </c>
    </row>
    <row r="641" spans="1:16" ht="66" x14ac:dyDescent="0.25">
      <c r="A641" t="s">
        <v>1</v>
      </c>
      <c r="E641" s="1" t="s">
        <v>1412</v>
      </c>
    </row>
    <row r="642" spans="1:16" ht="13.2" x14ac:dyDescent="0.25">
      <c r="A642" t="s">
        <v>11</v>
      </c>
      <c r="B642" s="9" t="s">
        <v>1411</v>
      </c>
      <c r="C642" s="9" t="s">
        <v>1410</v>
      </c>
      <c r="D642" s="3" t="s">
        <v>2</v>
      </c>
      <c r="E642" s="8" t="s">
        <v>1409</v>
      </c>
      <c r="F642" s="4" t="s">
        <v>8</v>
      </c>
      <c r="G642" s="7">
        <v>16.649999999999999</v>
      </c>
      <c r="H642" s="4">
        <v>3.2000000000000003E-4</v>
      </c>
      <c r="I642" s="4">
        <f>ROUND(G642*H642,6)</f>
        <v>5.3280000000000003E-3</v>
      </c>
      <c r="L642" s="6">
        <v>0</v>
      </c>
      <c r="M642" s="5">
        <f>ROUND(ROUND(L642,2)*ROUND(G642,3),2)</f>
        <v>0</v>
      </c>
      <c r="N642" s="4" t="s">
        <v>501</v>
      </c>
      <c r="O642">
        <f>(M642*21)/100</f>
        <v>0</v>
      </c>
      <c r="P642" t="s">
        <v>6</v>
      </c>
    </row>
    <row r="643" spans="1:16" ht="13.2" x14ac:dyDescent="0.25">
      <c r="A643" s="3" t="s">
        <v>5</v>
      </c>
      <c r="E643" s="1" t="s">
        <v>1409</v>
      </c>
    </row>
    <row r="644" spans="1:16" ht="39.6" x14ac:dyDescent="0.25">
      <c r="A644" s="3" t="s">
        <v>3</v>
      </c>
      <c r="E644" s="2" t="s">
        <v>1408</v>
      </c>
    </row>
    <row r="645" spans="1:16" ht="66" x14ac:dyDescent="0.25">
      <c r="A645" t="s">
        <v>1</v>
      </c>
      <c r="E645" s="1" t="s">
        <v>1407</v>
      </c>
    </row>
    <row r="646" spans="1:16" ht="26.4" x14ac:dyDescent="0.25">
      <c r="A646" t="s">
        <v>11</v>
      </c>
      <c r="B646" s="9" t="s">
        <v>1406</v>
      </c>
      <c r="C646" s="9" t="s">
        <v>1405</v>
      </c>
      <c r="D646" s="3" t="s">
        <v>2</v>
      </c>
      <c r="E646" s="8" t="s">
        <v>1403</v>
      </c>
      <c r="F646" s="4" t="s">
        <v>370</v>
      </c>
      <c r="G646" s="7">
        <v>62.54</v>
      </c>
      <c r="H646" s="4">
        <v>5.0000000000000002E-5</v>
      </c>
      <c r="I646" s="4">
        <f>ROUND(G646*H646,6)</f>
        <v>3.127E-3</v>
      </c>
      <c r="L646" s="6">
        <v>0</v>
      </c>
      <c r="M646" s="5">
        <f>ROUND(ROUND(L646,2)*ROUND(G646,3),2)</f>
        <v>0</v>
      </c>
      <c r="N646" s="4" t="s">
        <v>501</v>
      </c>
      <c r="O646">
        <f>(M646*21)/100</f>
        <v>0</v>
      </c>
      <c r="P646" t="s">
        <v>6</v>
      </c>
    </row>
    <row r="647" spans="1:16" ht="26.4" x14ac:dyDescent="0.25">
      <c r="A647" s="3" t="s">
        <v>5</v>
      </c>
      <c r="E647" s="1" t="s">
        <v>1403</v>
      </c>
    </row>
    <row r="648" spans="1:16" ht="13.2" x14ac:dyDescent="0.25">
      <c r="A648" s="3" t="s">
        <v>3</v>
      </c>
      <c r="E648" s="2" t="s">
        <v>1404</v>
      </c>
    </row>
    <row r="649" spans="1:16" ht="26.4" x14ac:dyDescent="0.25">
      <c r="A649" t="s">
        <v>1</v>
      </c>
      <c r="E649" s="1" t="s">
        <v>1403</v>
      </c>
    </row>
    <row r="650" spans="1:16" ht="26.4" x14ac:dyDescent="0.25">
      <c r="A650" t="s">
        <v>11</v>
      </c>
      <c r="B650" s="9" t="s">
        <v>1402</v>
      </c>
      <c r="C650" s="9" t="s">
        <v>1401</v>
      </c>
      <c r="D650" s="3" t="s">
        <v>2</v>
      </c>
      <c r="E650" s="8" t="s">
        <v>1400</v>
      </c>
      <c r="F650" s="4" t="s">
        <v>542</v>
      </c>
      <c r="G650" s="7">
        <v>1.794</v>
      </c>
      <c r="H650" s="4">
        <v>0</v>
      </c>
      <c r="I650" s="4">
        <f>ROUND(G650*H650,6)</f>
        <v>0</v>
      </c>
      <c r="L650" s="6">
        <v>0</v>
      </c>
      <c r="M650" s="5">
        <f>ROUND(ROUND(L650,2)*ROUND(G650,3),2)</f>
        <v>0</v>
      </c>
      <c r="N650" s="4" t="s">
        <v>501</v>
      </c>
      <c r="O650">
        <f>(M650*21)/100</f>
        <v>0</v>
      </c>
      <c r="P650" t="s">
        <v>6</v>
      </c>
    </row>
    <row r="651" spans="1:16" ht="26.4" x14ac:dyDescent="0.25">
      <c r="A651" s="3" t="s">
        <v>5</v>
      </c>
      <c r="E651" s="1" t="s">
        <v>1400</v>
      </c>
    </row>
    <row r="652" spans="1:16" ht="13.2" x14ac:dyDescent="0.25">
      <c r="A652" s="3" t="s">
        <v>3</v>
      </c>
      <c r="E652" s="2" t="s">
        <v>2</v>
      </c>
    </row>
    <row r="653" spans="1:16" ht="145.19999999999999" x14ac:dyDescent="0.25">
      <c r="A653" t="s">
        <v>1</v>
      </c>
      <c r="E653" s="1" t="s">
        <v>1399</v>
      </c>
    </row>
    <row r="654" spans="1:16" ht="13.2" x14ac:dyDescent="0.25">
      <c r="A654" t="s">
        <v>50</v>
      </c>
      <c r="C654" s="11" t="s">
        <v>1398</v>
      </c>
      <c r="E654" s="10" t="s">
        <v>1397</v>
      </c>
      <c r="J654" s="5">
        <f>0</f>
        <v>0</v>
      </c>
      <c r="K654" s="5">
        <f>0</f>
        <v>0</v>
      </c>
      <c r="L654" s="5">
        <f>0+L655+L659+L663+L667+L671</f>
        <v>0</v>
      </c>
      <c r="M654" s="5">
        <f>0+M655+M659+M663+M667+M671</f>
        <v>0</v>
      </c>
    </row>
    <row r="655" spans="1:16" ht="13.2" x14ac:dyDescent="0.25">
      <c r="A655" t="s">
        <v>11</v>
      </c>
      <c r="B655" s="9" t="s">
        <v>1396</v>
      </c>
      <c r="C655" s="9" t="s">
        <v>1395</v>
      </c>
      <c r="D655" s="3" t="s">
        <v>2</v>
      </c>
      <c r="E655" s="8" t="s">
        <v>1393</v>
      </c>
      <c r="F655" s="4" t="s">
        <v>370</v>
      </c>
      <c r="G655" s="7">
        <v>1054.03</v>
      </c>
      <c r="H655" s="4">
        <v>7.1000000000000002E-4</v>
      </c>
      <c r="I655" s="4">
        <f>ROUND(G655*H655,6)</f>
        <v>0.74836100000000005</v>
      </c>
      <c r="L655" s="6">
        <v>0</v>
      </c>
      <c r="M655" s="5">
        <f>ROUND(ROUND(L655,2)*ROUND(G655,3),2)</f>
        <v>0</v>
      </c>
      <c r="N655" s="4" t="s">
        <v>501</v>
      </c>
      <c r="O655">
        <f>(M655*21)/100</f>
        <v>0</v>
      </c>
      <c r="P655" t="s">
        <v>6</v>
      </c>
    </row>
    <row r="656" spans="1:16" ht="13.2" x14ac:dyDescent="0.25">
      <c r="A656" s="3" t="s">
        <v>5</v>
      </c>
      <c r="E656" s="1" t="s">
        <v>1393</v>
      </c>
    </row>
    <row r="657" spans="1:16" ht="13.2" x14ac:dyDescent="0.25">
      <c r="A657" s="3" t="s">
        <v>3</v>
      </c>
      <c r="E657" s="2" t="s">
        <v>1394</v>
      </c>
    </row>
    <row r="658" spans="1:16" ht="13.2" x14ac:dyDescent="0.25">
      <c r="A658" t="s">
        <v>1</v>
      </c>
      <c r="E658" s="1" t="s">
        <v>1393</v>
      </c>
    </row>
    <row r="659" spans="1:16" ht="26.4" x14ac:dyDescent="0.25">
      <c r="A659" t="s">
        <v>11</v>
      </c>
      <c r="B659" s="9" t="s">
        <v>1392</v>
      </c>
      <c r="C659" s="9" t="s">
        <v>1391</v>
      </c>
      <c r="D659" s="3" t="s">
        <v>2</v>
      </c>
      <c r="E659" s="8" t="s">
        <v>1390</v>
      </c>
      <c r="F659" s="4" t="s">
        <v>370</v>
      </c>
      <c r="G659" s="7">
        <v>1054.23</v>
      </c>
      <c r="H659" s="4">
        <v>2.5999999999999998E-4</v>
      </c>
      <c r="I659" s="4">
        <f>ROUND(G659*H659,6)</f>
        <v>0.27410000000000001</v>
      </c>
      <c r="L659" s="6">
        <v>0</v>
      </c>
      <c r="M659" s="5">
        <f>ROUND(ROUND(L659,2)*ROUND(G659,3),2)</f>
        <v>0</v>
      </c>
      <c r="N659" s="4" t="s">
        <v>501</v>
      </c>
      <c r="O659">
        <f>(M659*21)/100</f>
        <v>0</v>
      </c>
      <c r="P659" t="s">
        <v>6</v>
      </c>
    </row>
    <row r="660" spans="1:16" ht="26.4" x14ac:dyDescent="0.25">
      <c r="A660" s="3" t="s">
        <v>5</v>
      </c>
      <c r="E660" s="1" t="s">
        <v>1390</v>
      </c>
    </row>
    <row r="661" spans="1:16" ht="13.2" x14ac:dyDescent="0.25">
      <c r="A661" s="3" t="s">
        <v>3</v>
      </c>
      <c r="E661" s="2" t="s">
        <v>2</v>
      </c>
    </row>
    <row r="662" spans="1:16" ht="26.4" x14ac:dyDescent="0.25">
      <c r="A662" t="s">
        <v>1</v>
      </c>
      <c r="E662" s="1" t="s">
        <v>1390</v>
      </c>
    </row>
    <row r="663" spans="1:16" ht="13.2" x14ac:dyDescent="0.25">
      <c r="A663" t="s">
        <v>11</v>
      </c>
      <c r="B663" s="9" t="s">
        <v>1389</v>
      </c>
      <c r="C663" s="9" t="s">
        <v>1388</v>
      </c>
      <c r="D663" s="3" t="s">
        <v>2</v>
      </c>
      <c r="E663" s="8" t="s">
        <v>1387</v>
      </c>
      <c r="F663" s="4" t="s">
        <v>370</v>
      </c>
      <c r="G663" s="7">
        <v>1054.23</v>
      </c>
      <c r="H663" s="4">
        <v>2.4000000000000001E-4</v>
      </c>
      <c r="I663" s="4">
        <f>ROUND(G663*H663,6)</f>
        <v>0.25301499999999999</v>
      </c>
      <c r="L663" s="6">
        <v>0</v>
      </c>
      <c r="M663" s="5">
        <f>ROUND(ROUND(L663,2)*ROUND(G663,3),2)</f>
        <v>0</v>
      </c>
      <c r="N663" s="4" t="s">
        <v>501</v>
      </c>
      <c r="O663">
        <f>(M663*21)/100</f>
        <v>0</v>
      </c>
      <c r="P663" t="s">
        <v>6</v>
      </c>
    </row>
    <row r="664" spans="1:16" ht="13.2" x14ac:dyDescent="0.25">
      <c r="A664" s="3" t="s">
        <v>5</v>
      </c>
      <c r="E664" s="1" t="s">
        <v>1387</v>
      </c>
    </row>
    <row r="665" spans="1:16" ht="13.2" x14ac:dyDescent="0.25">
      <c r="A665" s="3" t="s">
        <v>3</v>
      </c>
      <c r="E665" s="2" t="s">
        <v>2</v>
      </c>
    </row>
    <row r="666" spans="1:16" ht="39.6" x14ac:dyDescent="0.25">
      <c r="A666" t="s">
        <v>1</v>
      </c>
      <c r="E666" s="1" t="s">
        <v>1386</v>
      </c>
    </row>
    <row r="667" spans="1:16" ht="13.2" x14ac:dyDescent="0.25">
      <c r="A667" t="s">
        <v>11</v>
      </c>
      <c r="B667" s="9" t="s">
        <v>1385</v>
      </c>
      <c r="C667" s="9" t="s">
        <v>1384</v>
      </c>
      <c r="D667" s="3" t="s">
        <v>2</v>
      </c>
      <c r="E667" s="8" t="s">
        <v>1383</v>
      </c>
      <c r="F667" s="4" t="s">
        <v>370</v>
      </c>
      <c r="G667" s="7">
        <v>1054.23</v>
      </c>
      <c r="H667" s="4">
        <v>2.5000000000000001E-4</v>
      </c>
      <c r="I667" s="4">
        <f>ROUND(G667*H667,6)</f>
        <v>0.26355800000000001</v>
      </c>
      <c r="L667" s="6">
        <v>0</v>
      </c>
      <c r="M667" s="5">
        <f>ROUND(ROUND(L667,2)*ROUND(G667,3),2)</f>
        <v>0</v>
      </c>
      <c r="N667" s="4" t="s">
        <v>501</v>
      </c>
      <c r="O667">
        <f>(M667*21)/100</f>
        <v>0</v>
      </c>
      <c r="P667" t="s">
        <v>6</v>
      </c>
    </row>
    <row r="668" spans="1:16" ht="13.2" x14ac:dyDescent="0.25">
      <c r="A668" s="3" t="s">
        <v>5</v>
      </c>
      <c r="E668" s="1" t="s">
        <v>1383</v>
      </c>
    </row>
    <row r="669" spans="1:16" ht="13.2" x14ac:dyDescent="0.25">
      <c r="A669" s="3" t="s">
        <v>3</v>
      </c>
      <c r="E669" s="2" t="s">
        <v>2</v>
      </c>
    </row>
    <row r="670" spans="1:16" ht="13.2" x14ac:dyDescent="0.25">
      <c r="A670" t="s">
        <v>1</v>
      </c>
      <c r="E670" s="1" t="s">
        <v>1383</v>
      </c>
    </row>
    <row r="671" spans="1:16" ht="26.4" x14ac:dyDescent="0.25">
      <c r="A671" t="s">
        <v>11</v>
      </c>
      <c r="B671" s="9" t="s">
        <v>1382</v>
      </c>
      <c r="C671" s="9" t="s">
        <v>1381</v>
      </c>
      <c r="D671" s="3" t="s">
        <v>2</v>
      </c>
      <c r="E671" s="8" t="s">
        <v>1380</v>
      </c>
      <c r="F671" s="4" t="s">
        <v>542</v>
      </c>
      <c r="G671" s="7">
        <v>1.5389999999999999</v>
      </c>
      <c r="H671" s="4">
        <v>0</v>
      </c>
      <c r="I671" s="4">
        <f>ROUND(G671*H671,6)</f>
        <v>0</v>
      </c>
      <c r="L671" s="6">
        <v>0</v>
      </c>
      <c r="M671" s="5">
        <f>ROUND(ROUND(L671,2)*ROUND(G671,3),2)</f>
        <v>0</v>
      </c>
      <c r="N671" s="4" t="s">
        <v>501</v>
      </c>
      <c r="O671">
        <f>(M671*21)/100</f>
        <v>0</v>
      </c>
      <c r="P671" t="s">
        <v>6</v>
      </c>
    </row>
    <row r="672" spans="1:16" ht="26.4" x14ac:dyDescent="0.25">
      <c r="A672" s="3" t="s">
        <v>5</v>
      </c>
      <c r="E672" s="1" t="s">
        <v>1380</v>
      </c>
    </row>
    <row r="673" spans="1:16" ht="13.2" x14ac:dyDescent="0.25">
      <c r="A673" s="3" t="s">
        <v>3</v>
      </c>
      <c r="E673" s="2" t="s">
        <v>2</v>
      </c>
    </row>
    <row r="674" spans="1:16" ht="145.19999999999999" x14ac:dyDescent="0.25">
      <c r="A674" t="s">
        <v>1</v>
      </c>
      <c r="E674" s="1" t="s">
        <v>1379</v>
      </c>
    </row>
    <row r="675" spans="1:16" ht="13.2" x14ac:dyDescent="0.25">
      <c r="A675" t="s">
        <v>50</v>
      </c>
      <c r="C675" s="11" t="s">
        <v>1378</v>
      </c>
      <c r="E675" s="10" t="s">
        <v>1377</v>
      </c>
      <c r="J675" s="5">
        <f>0</f>
        <v>0</v>
      </c>
      <c r="K675" s="5">
        <f>0</f>
        <v>0</v>
      </c>
      <c r="L675" s="5">
        <f>0+L676+L680+L684+L688+L692+L696+L700</f>
        <v>0</v>
      </c>
      <c r="M675" s="5">
        <f>0+M676+M680+M684+M688+M692+M696+M700</f>
        <v>0</v>
      </c>
    </row>
    <row r="676" spans="1:16" ht="13.2" x14ac:dyDescent="0.25">
      <c r="A676" t="s">
        <v>11</v>
      </c>
      <c r="B676" s="9" t="s">
        <v>1376</v>
      </c>
      <c r="C676" s="9" t="s">
        <v>1375</v>
      </c>
      <c r="D676" s="3" t="s">
        <v>2</v>
      </c>
      <c r="E676" s="8" t="s">
        <v>1374</v>
      </c>
      <c r="F676" s="4" t="s">
        <v>370</v>
      </c>
      <c r="G676" s="7">
        <v>68.768000000000001</v>
      </c>
      <c r="H676" s="4">
        <v>1.18E-2</v>
      </c>
      <c r="I676" s="4">
        <f>ROUND(G676*H676,6)</f>
        <v>0.81146200000000002</v>
      </c>
      <c r="L676" s="6">
        <v>0</v>
      </c>
      <c r="M676" s="5">
        <f>ROUND(ROUND(L676,2)*ROUND(G676,3),2)</f>
        <v>0</v>
      </c>
      <c r="N676" s="4" t="s">
        <v>501</v>
      </c>
      <c r="O676">
        <f>(M676*21)/100</f>
        <v>0</v>
      </c>
      <c r="P676" t="s">
        <v>6</v>
      </c>
    </row>
    <row r="677" spans="1:16" ht="13.2" x14ac:dyDescent="0.25">
      <c r="A677" s="3" t="s">
        <v>5</v>
      </c>
      <c r="E677" s="1" t="s">
        <v>1374</v>
      </c>
    </row>
    <row r="678" spans="1:16" ht="13.2" x14ac:dyDescent="0.25">
      <c r="A678" s="3" t="s">
        <v>3</v>
      </c>
      <c r="E678" s="2" t="s">
        <v>2</v>
      </c>
    </row>
    <row r="679" spans="1:16" ht="13.2" x14ac:dyDescent="0.25">
      <c r="A679" t="s">
        <v>1</v>
      </c>
      <c r="E679" s="1" t="s">
        <v>1374</v>
      </c>
    </row>
    <row r="680" spans="1:16" ht="13.2" x14ac:dyDescent="0.25">
      <c r="A680" t="s">
        <v>11</v>
      </c>
      <c r="B680" s="9" t="s">
        <v>1373</v>
      </c>
      <c r="C680" s="9" t="s">
        <v>1372</v>
      </c>
      <c r="D680" s="3" t="s">
        <v>2</v>
      </c>
      <c r="E680" s="8" t="s">
        <v>1371</v>
      </c>
      <c r="F680" s="4" t="s">
        <v>370</v>
      </c>
      <c r="G680" s="7">
        <v>62.515999999999998</v>
      </c>
      <c r="H680" s="4">
        <v>0</v>
      </c>
      <c r="I680" s="4">
        <f>ROUND(G680*H680,6)</f>
        <v>0</v>
      </c>
      <c r="L680" s="6">
        <v>0</v>
      </c>
      <c r="M680" s="5">
        <f>ROUND(ROUND(L680,2)*ROUND(G680,3),2)</f>
        <v>0</v>
      </c>
      <c r="N680" s="4" t="s">
        <v>501</v>
      </c>
      <c r="O680">
        <f>(M680*21)/100</f>
        <v>0</v>
      </c>
      <c r="P680" t="s">
        <v>6</v>
      </c>
    </row>
    <row r="681" spans="1:16" ht="13.2" x14ac:dyDescent="0.25">
      <c r="A681" s="3" t="s">
        <v>5</v>
      </c>
      <c r="E681" s="1" t="s">
        <v>1371</v>
      </c>
    </row>
    <row r="682" spans="1:16" ht="132" x14ac:dyDescent="0.25">
      <c r="A682" s="3" t="s">
        <v>3</v>
      </c>
      <c r="E682" s="2" t="s">
        <v>1370</v>
      </c>
    </row>
    <row r="683" spans="1:16" ht="105.6" x14ac:dyDescent="0.25">
      <c r="A683" t="s">
        <v>1</v>
      </c>
      <c r="E683" s="1" t="s">
        <v>1369</v>
      </c>
    </row>
    <row r="684" spans="1:16" ht="13.2" x14ac:dyDescent="0.25">
      <c r="A684" t="s">
        <v>11</v>
      </c>
      <c r="B684" s="9" t="s">
        <v>1368</v>
      </c>
      <c r="C684" s="9" t="s">
        <v>1367</v>
      </c>
      <c r="D684" s="3" t="s">
        <v>2</v>
      </c>
      <c r="E684" s="8" t="s">
        <v>1366</v>
      </c>
      <c r="F684" s="4" t="s">
        <v>370</v>
      </c>
      <c r="G684" s="7">
        <v>62.515999999999998</v>
      </c>
      <c r="H684" s="4">
        <v>2.9999999999999997E-4</v>
      </c>
      <c r="I684" s="4">
        <f>ROUND(G684*H684,6)</f>
        <v>1.8755000000000001E-2</v>
      </c>
      <c r="L684" s="6">
        <v>0</v>
      </c>
      <c r="M684" s="5">
        <f>ROUND(ROUND(L684,2)*ROUND(G684,3),2)</f>
        <v>0</v>
      </c>
      <c r="N684" s="4" t="s">
        <v>501</v>
      </c>
      <c r="O684">
        <f>(M684*21)/100</f>
        <v>0</v>
      </c>
      <c r="P684" t="s">
        <v>6</v>
      </c>
    </row>
    <row r="685" spans="1:16" ht="13.2" x14ac:dyDescent="0.25">
      <c r="A685" s="3" t="s">
        <v>5</v>
      </c>
      <c r="E685" s="1" t="s">
        <v>1366</v>
      </c>
    </row>
    <row r="686" spans="1:16" ht="13.2" x14ac:dyDescent="0.25">
      <c r="A686" s="3" t="s">
        <v>3</v>
      </c>
      <c r="E686" s="2" t="s">
        <v>2</v>
      </c>
    </row>
    <row r="687" spans="1:16" ht="105.6" x14ac:dyDescent="0.25">
      <c r="A687" t="s">
        <v>1</v>
      </c>
      <c r="E687" s="1" t="s">
        <v>1365</v>
      </c>
    </row>
    <row r="688" spans="1:16" ht="13.2" x14ac:dyDescent="0.25">
      <c r="A688" t="s">
        <v>11</v>
      </c>
      <c r="B688" s="9" t="s">
        <v>1364</v>
      </c>
      <c r="C688" s="9" t="s">
        <v>1363</v>
      </c>
      <c r="D688" s="3" t="s">
        <v>2</v>
      </c>
      <c r="E688" s="8" t="s">
        <v>1362</v>
      </c>
      <c r="F688" s="4" t="s">
        <v>370</v>
      </c>
      <c r="G688" s="7">
        <v>28.451000000000001</v>
      </c>
      <c r="H688" s="4">
        <v>1.5E-3</v>
      </c>
      <c r="I688" s="4">
        <f>ROUND(G688*H688,6)</f>
        <v>4.2677E-2</v>
      </c>
      <c r="L688" s="6">
        <v>0</v>
      </c>
      <c r="M688" s="5">
        <f>ROUND(ROUND(L688,2)*ROUND(G688,3),2)</f>
        <v>0</v>
      </c>
      <c r="N688" s="4" t="s">
        <v>501</v>
      </c>
      <c r="O688">
        <f>(M688*21)/100</f>
        <v>0</v>
      </c>
      <c r="P688" t="s">
        <v>6</v>
      </c>
    </row>
    <row r="689" spans="1:16" ht="13.2" x14ac:dyDescent="0.25">
      <c r="A689" s="3" t="s">
        <v>5</v>
      </c>
      <c r="E689" s="1" t="s">
        <v>1362</v>
      </c>
    </row>
    <row r="690" spans="1:16" ht="39.6" x14ac:dyDescent="0.25">
      <c r="A690" s="3" t="s">
        <v>3</v>
      </c>
      <c r="E690" s="2" t="s">
        <v>1361</v>
      </c>
    </row>
    <row r="691" spans="1:16" ht="66" x14ac:dyDescent="0.25">
      <c r="A691" t="s">
        <v>1</v>
      </c>
      <c r="E691" s="1" t="s">
        <v>1360</v>
      </c>
    </row>
    <row r="692" spans="1:16" ht="26.4" x14ac:dyDescent="0.25">
      <c r="A692" t="s">
        <v>11</v>
      </c>
      <c r="B692" s="9" t="s">
        <v>1359</v>
      </c>
      <c r="C692" s="9" t="s">
        <v>1358</v>
      </c>
      <c r="D692" s="3" t="s">
        <v>2</v>
      </c>
      <c r="E692" s="8" t="s">
        <v>1357</v>
      </c>
      <c r="F692" s="4" t="s">
        <v>8</v>
      </c>
      <c r="G692" s="7">
        <v>15.9</v>
      </c>
      <c r="H692" s="4">
        <v>2.7999999999999998E-4</v>
      </c>
      <c r="I692" s="4">
        <f>ROUND(G692*H692,6)</f>
        <v>4.4520000000000002E-3</v>
      </c>
      <c r="L692" s="6">
        <v>0</v>
      </c>
      <c r="M692" s="5">
        <f>ROUND(ROUND(L692,2)*ROUND(G692,3),2)</f>
        <v>0</v>
      </c>
      <c r="N692" s="4" t="s">
        <v>501</v>
      </c>
      <c r="O692">
        <f>(M692*21)/100</f>
        <v>0</v>
      </c>
      <c r="P692" t="s">
        <v>6</v>
      </c>
    </row>
    <row r="693" spans="1:16" ht="26.4" x14ac:dyDescent="0.25">
      <c r="A693" s="3" t="s">
        <v>5</v>
      </c>
      <c r="E693" s="1" t="s">
        <v>1357</v>
      </c>
    </row>
    <row r="694" spans="1:16" ht="39.6" x14ac:dyDescent="0.25">
      <c r="A694" s="3" t="s">
        <v>3</v>
      </c>
      <c r="E694" s="2" t="s">
        <v>1356</v>
      </c>
    </row>
    <row r="695" spans="1:16" ht="79.2" x14ac:dyDescent="0.25">
      <c r="A695" t="s">
        <v>1</v>
      </c>
      <c r="E695" s="1" t="s">
        <v>1355</v>
      </c>
    </row>
    <row r="696" spans="1:16" ht="26.4" x14ac:dyDescent="0.25">
      <c r="A696" t="s">
        <v>11</v>
      </c>
      <c r="B696" s="9" t="s">
        <v>1354</v>
      </c>
      <c r="C696" s="9" t="s">
        <v>1353</v>
      </c>
      <c r="D696" s="3" t="s">
        <v>2</v>
      </c>
      <c r="E696" s="8" t="s">
        <v>1352</v>
      </c>
      <c r="F696" s="4" t="s">
        <v>370</v>
      </c>
      <c r="G696" s="7">
        <v>62.515999999999998</v>
      </c>
      <c r="H696" s="4">
        <v>6.0000000000000001E-3</v>
      </c>
      <c r="I696" s="4">
        <f>ROUND(G696*H696,6)</f>
        <v>0.37509599999999998</v>
      </c>
      <c r="L696" s="6">
        <v>0</v>
      </c>
      <c r="M696" s="5">
        <f>ROUND(ROUND(L696,2)*ROUND(G696,3),2)</f>
        <v>0</v>
      </c>
      <c r="N696" s="4" t="s">
        <v>501</v>
      </c>
      <c r="O696">
        <f>(M696*21)/100</f>
        <v>0</v>
      </c>
      <c r="P696" t="s">
        <v>6</v>
      </c>
    </row>
    <row r="697" spans="1:16" ht="26.4" x14ac:dyDescent="0.25">
      <c r="A697" s="3" t="s">
        <v>5</v>
      </c>
      <c r="E697" s="1" t="s">
        <v>1352</v>
      </c>
    </row>
    <row r="698" spans="1:16" ht="13.2" x14ac:dyDescent="0.25">
      <c r="A698" s="3" t="s">
        <v>3</v>
      </c>
      <c r="E698" s="2" t="s">
        <v>2</v>
      </c>
    </row>
    <row r="699" spans="1:16" ht="39.6" x14ac:dyDescent="0.25">
      <c r="A699" t="s">
        <v>1</v>
      </c>
      <c r="E699" s="1" t="s">
        <v>1351</v>
      </c>
    </row>
    <row r="700" spans="1:16" ht="39.6" x14ac:dyDescent="0.25">
      <c r="A700" t="s">
        <v>11</v>
      </c>
      <c r="B700" s="9" t="s">
        <v>1350</v>
      </c>
      <c r="C700" s="9" t="s">
        <v>1349</v>
      </c>
      <c r="D700" s="3" t="s">
        <v>2</v>
      </c>
      <c r="E700" s="8" t="s">
        <v>1348</v>
      </c>
      <c r="F700" s="4" t="s">
        <v>542</v>
      </c>
      <c r="G700" s="7">
        <v>1.252</v>
      </c>
      <c r="H700" s="4">
        <v>0</v>
      </c>
      <c r="I700" s="4">
        <f>ROUND(G700*H700,6)</f>
        <v>0</v>
      </c>
      <c r="L700" s="6">
        <v>0</v>
      </c>
      <c r="M700" s="5">
        <f>ROUND(ROUND(L700,2)*ROUND(G700,3),2)</f>
        <v>0</v>
      </c>
      <c r="N700" s="4" t="s">
        <v>501</v>
      </c>
      <c r="O700">
        <f>(M700*21)/100</f>
        <v>0</v>
      </c>
      <c r="P700" t="s">
        <v>6</v>
      </c>
    </row>
    <row r="701" spans="1:16" ht="39.6" x14ac:dyDescent="0.25">
      <c r="A701" s="3" t="s">
        <v>5</v>
      </c>
      <c r="E701" s="1" t="s">
        <v>1348</v>
      </c>
    </row>
    <row r="702" spans="1:16" ht="13.2" x14ac:dyDescent="0.25">
      <c r="A702" s="3" t="s">
        <v>3</v>
      </c>
      <c r="E702" s="2" t="s">
        <v>2</v>
      </c>
    </row>
    <row r="703" spans="1:16" ht="145.19999999999999" x14ac:dyDescent="0.25">
      <c r="A703" t="s">
        <v>1</v>
      </c>
      <c r="E703" s="1" t="s">
        <v>1347</v>
      </c>
    </row>
    <row r="704" spans="1:16" ht="13.2" x14ac:dyDescent="0.25">
      <c r="A704" t="s">
        <v>50</v>
      </c>
      <c r="C704" s="11" t="s">
        <v>1346</v>
      </c>
      <c r="E704" s="10" t="s">
        <v>1345</v>
      </c>
      <c r="J704" s="5">
        <f>0</f>
        <v>0</v>
      </c>
      <c r="K704" s="5">
        <f>0</f>
        <v>0</v>
      </c>
      <c r="L704" s="5">
        <f>0+L705+L709+L713+L717+L721+L725</f>
        <v>0</v>
      </c>
      <c r="M704" s="5">
        <f>0+M705+M709+M713+M717+M721+M725</f>
        <v>0</v>
      </c>
    </row>
    <row r="705" spans="1:16" ht="13.2" x14ac:dyDescent="0.25">
      <c r="A705" t="s">
        <v>11</v>
      </c>
      <c r="B705" s="9" t="s">
        <v>1344</v>
      </c>
      <c r="C705" s="9" t="s">
        <v>1343</v>
      </c>
      <c r="D705" s="3" t="s">
        <v>2</v>
      </c>
      <c r="E705" s="8" t="s">
        <v>1341</v>
      </c>
      <c r="F705" s="4" t="s">
        <v>370</v>
      </c>
      <c r="G705" s="7">
        <v>367.98</v>
      </c>
      <c r="H705" s="4">
        <v>0</v>
      </c>
      <c r="I705" s="4">
        <f>ROUND(G705*H705,6)</f>
        <v>0</v>
      </c>
      <c r="L705" s="6">
        <v>0</v>
      </c>
      <c r="M705" s="5">
        <f>ROUND(ROUND(L705,2)*ROUND(G705,3),2)</f>
        <v>0</v>
      </c>
      <c r="N705" s="4" t="s">
        <v>501</v>
      </c>
      <c r="O705">
        <f>(M705*21)/100</f>
        <v>0</v>
      </c>
      <c r="P705" t="s">
        <v>6</v>
      </c>
    </row>
    <row r="706" spans="1:16" ht="13.2" x14ac:dyDescent="0.25">
      <c r="A706" s="3" t="s">
        <v>5</v>
      </c>
      <c r="E706" s="1" t="s">
        <v>1341</v>
      </c>
    </row>
    <row r="707" spans="1:16" ht="237.6" x14ac:dyDescent="0.25">
      <c r="A707" s="3" t="s">
        <v>3</v>
      </c>
      <c r="E707" s="2" t="s">
        <v>1342</v>
      </c>
    </row>
    <row r="708" spans="1:16" ht="13.2" x14ac:dyDescent="0.25">
      <c r="A708" t="s">
        <v>1</v>
      </c>
      <c r="E708" s="1" t="s">
        <v>1341</v>
      </c>
    </row>
    <row r="709" spans="1:16" ht="13.2" x14ac:dyDescent="0.25">
      <c r="A709" t="s">
        <v>11</v>
      </c>
      <c r="B709" s="9" t="s">
        <v>1340</v>
      </c>
      <c r="C709" s="9" t="s">
        <v>1339</v>
      </c>
      <c r="D709" s="3" t="s">
        <v>2</v>
      </c>
      <c r="E709" s="8" t="s">
        <v>1337</v>
      </c>
      <c r="F709" s="4" t="s">
        <v>370</v>
      </c>
      <c r="G709" s="7">
        <v>227.988</v>
      </c>
      <c r="H709" s="4">
        <v>0</v>
      </c>
      <c r="I709" s="4">
        <f>ROUND(G709*H709,6)</f>
        <v>0</v>
      </c>
      <c r="L709" s="6">
        <v>0</v>
      </c>
      <c r="M709" s="5">
        <f>ROUND(ROUND(L709,2)*ROUND(G709,3),2)</f>
        <v>0</v>
      </c>
      <c r="N709" s="4" t="s">
        <v>501</v>
      </c>
      <c r="O709">
        <f>(M709*21)/100</f>
        <v>0</v>
      </c>
      <c r="P709" t="s">
        <v>6</v>
      </c>
    </row>
    <row r="710" spans="1:16" ht="13.2" x14ac:dyDescent="0.25">
      <c r="A710" s="3" t="s">
        <v>5</v>
      </c>
      <c r="E710" s="1" t="s">
        <v>1337</v>
      </c>
    </row>
    <row r="711" spans="1:16" ht="39.6" x14ac:dyDescent="0.25">
      <c r="A711" s="3" t="s">
        <v>3</v>
      </c>
      <c r="E711" s="2" t="s">
        <v>1338</v>
      </c>
    </row>
    <row r="712" spans="1:16" ht="13.2" x14ac:dyDescent="0.25">
      <c r="A712" t="s">
        <v>1</v>
      </c>
      <c r="E712" s="1" t="s">
        <v>1337</v>
      </c>
    </row>
    <row r="713" spans="1:16" ht="26.4" x14ac:dyDescent="0.25">
      <c r="A713" t="s">
        <v>11</v>
      </c>
      <c r="B713" s="9" t="s">
        <v>1336</v>
      </c>
      <c r="C713" s="9" t="s">
        <v>1335</v>
      </c>
      <c r="D713" s="3" t="s">
        <v>2</v>
      </c>
      <c r="E713" s="8" t="s">
        <v>1334</v>
      </c>
      <c r="F713" s="4" t="s">
        <v>370</v>
      </c>
      <c r="G713" s="7">
        <v>367.98</v>
      </c>
      <c r="H713" s="4">
        <v>2.0000000000000001E-4</v>
      </c>
      <c r="I713" s="4">
        <f>ROUND(G713*H713,6)</f>
        <v>7.3595999999999995E-2</v>
      </c>
      <c r="L713" s="6">
        <v>0</v>
      </c>
      <c r="M713" s="5">
        <f>ROUND(ROUND(L713,2)*ROUND(G713,3),2)</f>
        <v>0</v>
      </c>
      <c r="N713" s="4" t="s">
        <v>501</v>
      </c>
      <c r="O713">
        <f>(M713*21)/100</f>
        <v>0</v>
      </c>
      <c r="P713" t="s">
        <v>6</v>
      </c>
    </row>
    <row r="714" spans="1:16" ht="26.4" x14ac:dyDescent="0.25">
      <c r="A714" s="3" t="s">
        <v>5</v>
      </c>
      <c r="E714" s="1" t="s">
        <v>1334</v>
      </c>
    </row>
    <row r="715" spans="1:16" ht="13.2" x14ac:dyDescent="0.25">
      <c r="A715" s="3" t="s">
        <v>3</v>
      </c>
      <c r="E715" s="2" t="s">
        <v>2</v>
      </c>
    </row>
    <row r="716" spans="1:16" ht="26.4" x14ac:dyDescent="0.25">
      <c r="A716" t="s">
        <v>1</v>
      </c>
      <c r="E716" s="1" t="s">
        <v>1334</v>
      </c>
    </row>
    <row r="717" spans="1:16" ht="26.4" x14ac:dyDescent="0.25">
      <c r="A717" t="s">
        <v>11</v>
      </c>
      <c r="B717" s="9" t="s">
        <v>1333</v>
      </c>
      <c r="C717" s="9" t="s">
        <v>1332</v>
      </c>
      <c r="D717" s="3" t="s">
        <v>2</v>
      </c>
      <c r="E717" s="8" t="s">
        <v>1331</v>
      </c>
      <c r="F717" s="4" t="s">
        <v>370</v>
      </c>
      <c r="G717" s="7">
        <v>227.988</v>
      </c>
      <c r="H717" s="4">
        <v>2.0000000000000001E-4</v>
      </c>
      <c r="I717" s="4">
        <f>ROUND(G717*H717,6)</f>
        <v>4.5598E-2</v>
      </c>
      <c r="L717" s="6">
        <v>0</v>
      </c>
      <c r="M717" s="5">
        <f>ROUND(ROUND(L717,2)*ROUND(G717,3),2)</f>
        <v>0</v>
      </c>
      <c r="N717" s="4" t="s">
        <v>501</v>
      </c>
      <c r="O717">
        <f>(M717*21)/100</f>
        <v>0</v>
      </c>
      <c r="P717" t="s">
        <v>6</v>
      </c>
    </row>
    <row r="718" spans="1:16" ht="26.4" x14ac:dyDescent="0.25">
      <c r="A718" s="3" t="s">
        <v>5</v>
      </c>
      <c r="E718" s="1" t="s">
        <v>1331</v>
      </c>
    </row>
    <row r="719" spans="1:16" ht="13.2" x14ac:dyDescent="0.25">
      <c r="A719" s="3" t="s">
        <v>3</v>
      </c>
      <c r="E719" s="2" t="s">
        <v>2</v>
      </c>
    </row>
    <row r="720" spans="1:16" ht="26.4" x14ac:dyDescent="0.25">
      <c r="A720" t="s">
        <v>1</v>
      </c>
      <c r="E720" s="1" t="s">
        <v>1331</v>
      </c>
    </row>
    <row r="721" spans="1:16" ht="26.4" x14ac:dyDescent="0.25">
      <c r="A721" t="s">
        <v>11</v>
      </c>
      <c r="B721" s="9" t="s">
        <v>1330</v>
      </c>
      <c r="C721" s="9" t="s">
        <v>1329</v>
      </c>
      <c r="D721" s="3" t="s">
        <v>2</v>
      </c>
      <c r="E721" s="8" t="s">
        <v>1328</v>
      </c>
      <c r="F721" s="4" t="s">
        <v>370</v>
      </c>
      <c r="G721" s="7">
        <v>367.98</v>
      </c>
      <c r="H721" s="4">
        <v>2.5999999999999998E-4</v>
      </c>
      <c r="I721" s="4">
        <f>ROUND(G721*H721,6)</f>
        <v>9.5674999999999996E-2</v>
      </c>
      <c r="L721" s="6">
        <v>0</v>
      </c>
      <c r="M721" s="5">
        <f>ROUND(ROUND(L721,2)*ROUND(G721,3),2)</f>
        <v>0</v>
      </c>
      <c r="N721" s="4" t="s">
        <v>501</v>
      </c>
      <c r="O721">
        <f>(M721*21)/100</f>
        <v>0</v>
      </c>
      <c r="P721" t="s">
        <v>6</v>
      </c>
    </row>
    <row r="722" spans="1:16" ht="26.4" x14ac:dyDescent="0.25">
      <c r="A722" s="3" t="s">
        <v>5</v>
      </c>
      <c r="E722" s="1" t="s">
        <v>1328</v>
      </c>
    </row>
    <row r="723" spans="1:16" ht="13.2" x14ac:dyDescent="0.25">
      <c r="A723" s="3" t="s">
        <v>3</v>
      </c>
      <c r="E723" s="2" t="s">
        <v>2</v>
      </c>
    </row>
    <row r="724" spans="1:16" ht="26.4" x14ac:dyDescent="0.25">
      <c r="A724" t="s">
        <v>1</v>
      </c>
      <c r="E724" s="1" t="s">
        <v>1328</v>
      </c>
    </row>
    <row r="725" spans="1:16" ht="26.4" x14ac:dyDescent="0.25">
      <c r="A725" t="s">
        <v>11</v>
      </c>
      <c r="B725" s="9" t="s">
        <v>1327</v>
      </c>
      <c r="C725" s="9" t="s">
        <v>1326</v>
      </c>
      <c r="D725" s="3" t="s">
        <v>2</v>
      </c>
      <c r="E725" s="8" t="s">
        <v>1325</v>
      </c>
      <c r="F725" s="4" t="s">
        <v>370</v>
      </c>
      <c r="G725" s="7">
        <v>227.988</v>
      </c>
      <c r="H725" s="4">
        <v>2.5999999999999998E-4</v>
      </c>
      <c r="I725" s="4">
        <f>ROUND(G725*H725,6)</f>
        <v>5.9277000000000003E-2</v>
      </c>
      <c r="L725" s="6">
        <v>0</v>
      </c>
      <c r="M725" s="5">
        <f>ROUND(ROUND(L725,2)*ROUND(G725,3),2)</f>
        <v>0</v>
      </c>
      <c r="N725" s="4" t="s">
        <v>501</v>
      </c>
      <c r="O725">
        <f>(M725*21)/100</f>
        <v>0</v>
      </c>
      <c r="P725" t="s">
        <v>6</v>
      </c>
    </row>
    <row r="726" spans="1:16" ht="26.4" x14ac:dyDescent="0.25">
      <c r="A726" s="3" t="s">
        <v>5</v>
      </c>
      <c r="E726" s="1" t="s">
        <v>1325</v>
      </c>
    </row>
    <row r="727" spans="1:16" ht="13.2" x14ac:dyDescent="0.25">
      <c r="A727" s="3" t="s">
        <v>3</v>
      </c>
      <c r="E727" s="2" t="s">
        <v>2</v>
      </c>
    </row>
    <row r="728" spans="1:16" ht="26.4" x14ac:dyDescent="0.25">
      <c r="A728" t="s">
        <v>1</v>
      </c>
      <c r="E728" s="1" t="s">
        <v>1325</v>
      </c>
    </row>
    <row r="729" spans="1:16" ht="13.2" x14ac:dyDescent="0.25">
      <c r="A729" t="s">
        <v>50</v>
      </c>
      <c r="C729" s="11" t="s">
        <v>673</v>
      </c>
      <c r="E729" s="10" t="s">
        <v>672</v>
      </c>
      <c r="J729" s="5">
        <f>0</f>
        <v>0</v>
      </c>
      <c r="K729" s="5">
        <f>0</f>
        <v>0</v>
      </c>
      <c r="L729" s="5">
        <f>0+L730+L734+L738+L742+L746+L750+L754</f>
        <v>0</v>
      </c>
      <c r="M729" s="5">
        <f>0+M730+M734+M738+M742+M746+M750+M754</f>
        <v>0</v>
      </c>
    </row>
    <row r="730" spans="1:16" ht="26.4" x14ac:dyDescent="0.25">
      <c r="A730" t="s">
        <v>11</v>
      </c>
      <c r="B730" s="9" t="s">
        <v>1324</v>
      </c>
      <c r="C730" s="9" t="s">
        <v>1323</v>
      </c>
      <c r="D730" s="3" t="s">
        <v>2</v>
      </c>
      <c r="E730" s="8" t="s">
        <v>1322</v>
      </c>
      <c r="F730" s="4" t="s">
        <v>1032</v>
      </c>
      <c r="G730" s="7">
        <v>430.64100000000002</v>
      </c>
      <c r="H730" s="4">
        <v>0</v>
      </c>
      <c r="I730" s="4">
        <f>ROUND(G730*H730,6)</f>
        <v>0</v>
      </c>
      <c r="L730" s="6">
        <v>0</v>
      </c>
      <c r="M730" s="5">
        <f>ROUND(ROUND(L730,2)*ROUND(G730,3),2)</f>
        <v>0</v>
      </c>
      <c r="N730" s="4" t="s">
        <v>501</v>
      </c>
      <c r="O730">
        <f>(M730*21)/100</f>
        <v>0</v>
      </c>
      <c r="P730" t="s">
        <v>6</v>
      </c>
    </row>
    <row r="731" spans="1:16" ht="26.4" x14ac:dyDescent="0.25">
      <c r="A731" s="3" t="s">
        <v>5</v>
      </c>
      <c r="E731" s="1" t="s">
        <v>1322</v>
      </c>
    </row>
    <row r="732" spans="1:16" ht="39.6" x14ac:dyDescent="0.25">
      <c r="A732" s="3" t="s">
        <v>3</v>
      </c>
      <c r="E732" s="2" t="s">
        <v>1321</v>
      </c>
    </row>
    <row r="733" spans="1:16" ht="66" x14ac:dyDescent="0.25">
      <c r="A733" t="s">
        <v>1</v>
      </c>
      <c r="E733" s="1" t="s">
        <v>1320</v>
      </c>
    </row>
    <row r="734" spans="1:16" ht="26.4" x14ac:dyDescent="0.25">
      <c r="A734" t="s">
        <v>11</v>
      </c>
      <c r="B734" s="9" t="s">
        <v>1319</v>
      </c>
      <c r="C734" s="9" t="s">
        <v>1318</v>
      </c>
      <c r="D734" s="3" t="s">
        <v>2</v>
      </c>
      <c r="E734" s="8" t="s">
        <v>1317</v>
      </c>
      <c r="F734" s="4" t="s">
        <v>1032</v>
      </c>
      <c r="G734" s="7">
        <v>12919.23</v>
      </c>
      <c r="H734" s="4">
        <v>0</v>
      </c>
      <c r="I734" s="4">
        <f>ROUND(G734*H734,6)</f>
        <v>0</v>
      </c>
      <c r="L734" s="6">
        <v>0</v>
      </c>
      <c r="M734" s="5">
        <f>ROUND(ROUND(L734,2)*ROUND(G734,3),2)</f>
        <v>0</v>
      </c>
      <c r="N734" s="4" t="s">
        <v>501</v>
      </c>
      <c r="O734">
        <f>(M734*21)/100</f>
        <v>0</v>
      </c>
      <c r="P734" t="s">
        <v>6</v>
      </c>
    </row>
    <row r="735" spans="1:16" ht="26.4" x14ac:dyDescent="0.25">
      <c r="A735" s="3" t="s">
        <v>5</v>
      </c>
      <c r="E735" s="1" t="s">
        <v>1317</v>
      </c>
    </row>
    <row r="736" spans="1:16" ht="13.2" x14ac:dyDescent="0.25">
      <c r="A736" s="3" t="s">
        <v>3</v>
      </c>
      <c r="E736" s="2" t="s">
        <v>2</v>
      </c>
    </row>
    <row r="737" spans="1:16" ht="66" x14ac:dyDescent="0.25">
      <c r="A737" t="s">
        <v>1</v>
      </c>
      <c r="E737" s="1" t="s">
        <v>1316</v>
      </c>
    </row>
    <row r="738" spans="1:16" ht="26.4" x14ac:dyDescent="0.25">
      <c r="A738" t="s">
        <v>11</v>
      </c>
      <c r="B738" s="9" t="s">
        <v>1315</v>
      </c>
      <c r="C738" s="9" t="s">
        <v>1314</v>
      </c>
      <c r="D738" s="3" t="s">
        <v>2</v>
      </c>
      <c r="E738" s="8" t="s">
        <v>1313</v>
      </c>
      <c r="F738" s="4" t="s">
        <v>1032</v>
      </c>
      <c r="G738" s="7">
        <v>430.64100000000002</v>
      </c>
      <c r="H738" s="4">
        <v>0</v>
      </c>
      <c r="I738" s="4">
        <f>ROUND(G738*H738,6)</f>
        <v>0</v>
      </c>
      <c r="L738" s="6">
        <v>0</v>
      </c>
      <c r="M738" s="5">
        <f>ROUND(ROUND(L738,2)*ROUND(G738,3),2)</f>
        <v>0</v>
      </c>
      <c r="N738" s="4" t="s">
        <v>501</v>
      </c>
      <c r="O738">
        <f>(M738*21)/100</f>
        <v>0</v>
      </c>
      <c r="P738" t="s">
        <v>6</v>
      </c>
    </row>
    <row r="739" spans="1:16" ht="26.4" x14ac:dyDescent="0.25">
      <c r="A739" s="3" t="s">
        <v>5</v>
      </c>
      <c r="E739" s="1" t="s">
        <v>1313</v>
      </c>
    </row>
    <row r="740" spans="1:16" ht="13.2" x14ac:dyDescent="0.25">
      <c r="A740" s="3" t="s">
        <v>3</v>
      </c>
      <c r="E740" s="2" t="s">
        <v>2</v>
      </c>
    </row>
    <row r="741" spans="1:16" ht="66" x14ac:dyDescent="0.25">
      <c r="A741" t="s">
        <v>1</v>
      </c>
      <c r="E741" s="1" t="s">
        <v>1312</v>
      </c>
    </row>
    <row r="742" spans="1:16" ht="26.4" x14ac:dyDescent="0.25">
      <c r="A742" t="s">
        <v>11</v>
      </c>
      <c r="B742" s="9" t="s">
        <v>1311</v>
      </c>
      <c r="C742" s="9" t="s">
        <v>1310</v>
      </c>
      <c r="D742" s="3" t="s">
        <v>2</v>
      </c>
      <c r="E742" s="8" t="s">
        <v>1309</v>
      </c>
      <c r="F742" s="4" t="s">
        <v>370</v>
      </c>
      <c r="G742" s="7">
        <v>103.57</v>
      </c>
      <c r="H742" s="4">
        <v>1.2999999999999999E-4</v>
      </c>
      <c r="I742" s="4">
        <f>ROUND(G742*H742,6)</f>
        <v>1.3464E-2</v>
      </c>
      <c r="L742" s="6">
        <v>0</v>
      </c>
      <c r="M742" s="5">
        <f>ROUND(ROUND(L742,2)*ROUND(G742,3),2)</f>
        <v>0</v>
      </c>
      <c r="N742" s="4" t="s">
        <v>501</v>
      </c>
      <c r="O742">
        <f>(M742*21)/100</f>
        <v>0</v>
      </c>
      <c r="P742" t="s">
        <v>6</v>
      </c>
    </row>
    <row r="743" spans="1:16" ht="26.4" x14ac:dyDescent="0.25">
      <c r="A743" s="3" t="s">
        <v>5</v>
      </c>
      <c r="E743" s="1" t="s">
        <v>1309</v>
      </c>
    </row>
    <row r="744" spans="1:16" ht="39.6" x14ac:dyDescent="0.25">
      <c r="A744" s="3" t="s">
        <v>3</v>
      </c>
      <c r="E744" s="2" t="s">
        <v>1308</v>
      </c>
    </row>
    <row r="745" spans="1:16" ht="92.4" x14ac:dyDescent="0.25">
      <c r="A745" t="s">
        <v>1</v>
      </c>
      <c r="E745" s="1" t="s">
        <v>1307</v>
      </c>
    </row>
    <row r="746" spans="1:16" ht="26.4" x14ac:dyDescent="0.25">
      <c r="A746" t="s">
        <v>11</v>
      </c>
      <c r="B746" s="9" t="s">
        <v>1306</v>
      </c>
      <c r="C746" s="9" t="s">
        <v>1305</v>
      </c>
      <c r="D746" s="3" t="s">
        <v>2</v>
      </c>
      <c r="E746" s="8" t="s">
        <v>1304</v>
      </c>
      <c r="F746" s="4" t="s">
        <v>370</v>
      </c>
      <c r="G746" s="7">
        <v>163.679</v>
      </c>
      <c r="H746" s="4">
        <v>0</v>
      </c>
      <c r="I746" s="4">
        <f>ROUND(G746*H746,6)</f>
        <v>0</v>
      </c>
      <c r="L746" s="6">
        <v>0</v>
      </c>
      <c r="M746" s="5">
        <f>ROUND(ROUND(L746,2)*ROUND(G746,3),2)</f>
        <v>0</v>
      </c>
      <c r="N746" s="4" t="s">
        <v>501</v>
      </c>
      <c r="O746">
        <f>(M746*21)/100</f>
        <v>0</v>
      </c>
      <c r="P746" t="s">
        <v>6</v>
      </c>
    </row>
    <row r="747" spans="1:16" ht="26.4" x14ac:dyDescent="0.25">
      <c r="A747" s="3" t="s">
        <v>5</v>
      </c>
      <c r="E747" s="1" t="s">
        <v>1304</v>
      </c>
    </row>
    <row r="748" spans="1:16" ht="66" x14ac:dyDescent="0.25">
      <c r="A748" s="3" t="s">
        <v>3</v>
      </c>
      <c r="E748" s="2" t="s">
        <v>1303</v>
      </c>
    </row>
    <row r="749" spans="1:16" ht="118.8" x14ac:dyDescent="0.25">
      <c r="A749" t="s">
        <v>1</v>
      </c>
      <c r="E749" s="1" t="s">
        <v>1302</v>
      </c>
    </row>
    <row r="750" spans="1:16" ht="39.6" x14ac:dyDescent="0.25">
      <c r="A750" t="s">
        <v>11</v>
      </c>
      <c r="B750" s="9" t="s">
        <v>1301</v>
      </c>
      <c r="C750" s="9" t="s">
        <v>1300</v>
      </c>
      <c r="D750" s="3" t="s">
        <v>2</v>
      </c>
      <c r="E750" s="8" t="s">
        <v>1299</v>
      </c>
      <c r="F750" s="4" t="s">
        <v>370</v>
      </c>
      <c r="G750" s="7">
        <v>4910.37</v>
      </c>
      <c r="H750" s="4">
        <v>0</v>
      </c>
      <c r="I750" s="4">
        <f>ROUND(G750*H750,6)</f>
        <v>0</v>
      </c>
      <c r="L750" s="6">
        <v>0</v>
      </c>
      <c r="M750" s="5">
        <f>ROUND(ROUND(L750,2)*ROUND(G750,3),2)</f>
        <v>0</v>
      </c>
      <c r="N750" s="4" t="s">
        <v>501</v>
      </c>
      <c r="O750">
        <f>(M750*21)/100</f>
        <v>0</v>
      </c>
      <c r="P750" t="s">
        <v>6</v>
      </c>
    </row>
    <row r="751" spans="1:16" ht="39.6" x14ac:dyDescent="0.25">
      <c r="A751" s="3" t="s">
        <v>5</v>
      </c>
      <c r="E751" s="1" t="s">
        <v>1298</v>
      </c>
    </row>
    <row r="752" spans="1:16" ht="13.2" x14ac:dyDescent="0.25">
      <c r="A752" s="3" t="s">
        <v>3</v>
      </c>
      <c r="E752" s="2" t="s">
        <v>2</v>
      </c>
    </row>
    <row r="753" spans="1:16" ht="105.6" x14ac:dyDescent="0.25">
      <c r="A753" t="s">
        <v>1</v>
      </c>
      <c r="E753" s="1" t="s">
        <v>1297</v>
      </c>
    </row>
    <row r="754" spans="1:16" ht="26.4" x14ac:dyDescent="0.25">
      <c r="A754" t="s">
        <v>11</v>
      </c>
      <c r="B754" s="9" t="s">
        <v>1296</v>
      </c>
      <c r="C754" s="9" t="s">
        <v>1295</v>
      </c>
      <c r="D754" s="3" t="s">
        <v>2</v>
      </c>
      <c r="E754" s="8" t="s">
        <v>1294</v>
      </c>
      <c r="F754" s="4" t="s">
        <v>370</v>
      </c>
      <c r="G754" s="7">
        <v>163.679</v>
      </c>
      <c r="H754" s="4">
        <v>0</v>
      </c>
      <c r="I754" s="4">
        <f>ROUND(G754*H754,6)</f>
        <v>0</v>
      </c>
      <c r="L754" s="6">
        <v>0</v>
      </c>
      <c r="M754" s="5">
        <f>ROUND(ROUND(L754,2)*ROUND(G754,3),2)</f>
        <v>0</v>
      </c>
      <c r="N754" s="4" t="s">
        <v>501</v>
      </c>
      <c r="O754">
        <f>(M754*21)/100</f>
        <v>0</v>
      </c>
      <c r="P754" t="s">
        <v>6</v>
      </c>
    </row>
    <row r="755" spans="1:16" ht="26.4" x14ac:dyDescent="0.25">
      <c r="A755" s="3" t="s">
        <v>5</v>
      </c>
      <c r="E755" s="1" t="s">
        <v>1294</v>
      </c>
    </row>
    <row r="756" spans="1:16" ht="13.2" x14ac:dyDescent="0.25">
      <c r="A756" s="3" t="s">
        <v>3</v>
      </c>
      <c r="E756" s="2" t="s">
        <v>2</v>
      </c>
    </row>
    <row r="757" spans="1:16" ht="66" x14ac:dyDescent="0.25">
      <c r="A757" t="s">
        <v>1</v>
      </c>
      <c r="E757" s="1" t="s">
        <v>1293</v>
      </c>
    </row>
    <row r="758" spans="1:16" ht="13.2" x14ac:dyDescent="0.25">
      <c r="A758" t="s">
        <v>50</v>
      </c>
      <c r="C758" s="11" t="s">
        <v>820</v>
      </c>
      <c r="E758" s="10" t="s">
        <v>1292</v>
      </c>
      <c r="J758" s="5">
        <f>0</f>
        <v>0</v>
      </c>
      <c r="K758" s="5">
        <f>0</f>
        <v>0</v>
      </c>
      <c r="L758" s="5">
        <f>0+L759+L763+L767+L771+L775</f>
        <v>0</v>
      </c>
      <c r="M758" s="5">
        <f>0+M759+M763+M767+M771+M775</f>
        <v>0</v>
      </c>
    </row>
    <row r="759" spans="1:16" ht="13.2" x14ac:dyDescent="0.25">
      <c r="A759" t="s">
        <v>11</v>
      </c>
      <c r="B759" s="9" t="s">
        <v>1291</v>
      </c>
      <c r="C759" s="9" t="s">
        <v>1290</v>
      </c>
      <c r="D759" s="3" t="s">
        <v>2</v>
      </c>
      <c r="E759" s="8" t="s">
        <v>1289</v>
      </c>
      <c r="F759" s="4" t="s">
        <v>13</v>
      </c>
      <c r="G759" s="7">
        <v>7</v>
      </c>
      <c r="H759" s="4">
        <v>1.2E-2</v>
      </c>
      <c r="I759" s="4">
        <f>ROUND(G759*H759,6)</f>
        <v>8.4000000000000005E-2</v>
      </c>
      <c r="L759" s="6">
        <v>0</v>
      </c>
      <c r="M759" s="5">
        <f>ROUND(ROUND(L759,2)*ROUND(G759,3),2)</f>
        <v>0</v>
      </c>
      <c r="N759" s="4" t="s">
        <v>501</v>
      </c>
      <c r="O759">
        <f>(M759*21)/100</f>
        <v>0</v>
      </c>
      <c r="P759" t="s">
        <v>6</v>
      </c>
    </row>
    <row r="760" spans="1:16" ht="13.2" x14ac:dyDescent="0.25">
      <c r="A760" s="3" t="s">
        <v>5</v>
      </c>
      <c r="E760" s="1" t="s">
        <v>1289</v>
      </c>
    </row>
    <row r="761" spans="1:16" ht="13.2" x14ac:dyDescent="0.25">
      <c r="A761" s="3" t="s">
        <v>3</v>
      </c>
      <c r="E761" s="2" t="s">
        <v>2</v>
      </c>
    </row>
    <row r="762" spans="1:16" ht="13.2" x14ac:dyDescent="0.25">
      <c r="A762" t="s">
        <v>1</v>
      </c>
      <c r="E762" s="1" t="s">
        <v>1289</v>
      </c>
    </row>
    <row r="763" spans="1:16" ht="13.2" x14ac:dyDescent="0.25">
      <c r="A763" t="s">
        <v>11</v>
      </c>
      <c r="B763" s="9" t="s">
        <v>1288</v>
      </c>
      <c r="C763" s="9" t="s">
        <v>1287</v>
      </c>
      <c r="D763" s="3" t="s">
        <v>2</v>
      </c>
      <c r="E763" s="8" t="s">
        <v>1286</v>
      </c>
      <c r="F763" s="4" t="s">
        <v>13</v>
      </c>
      <c r="G763" s="7">
        <v>3</v>
      </c>
      <c r="H763" s="4">
        <v>8.9999999999999993E-3</v>
      </c>
      <c r="I763" s="4">
        <f>ROUND(G763*H763,6)</f>
        <v>2.7E-2</v>
      </c>
      <c r="L763" s="6">
        <v>0</v>
      </c>
      <c r="M763" s="5">
        <f>ROUND(ROUND(L763,2)*ROUND(G763,3),2)</f>
        <v>0</v>
      </c>
      <c r="N763" s="4" t="s">
        <v>501</v>
      </c>
      <c r="O763">
        <f>(M763*21)/100</f>
        <v>0</v>
      </c>
      <c r="P763" t="s">
        <v>6</v>
      </c>
    </row>
    <row r="764" spans="1:16" ht="13.2" x14ac:dyDescent="0.25">
      <c r="A764" s="3" t="s">
        <v>5</v>
      </c>
      <c r="E764" s="1" t="s">
        <v>1286</v>
      </c>
    </row>
    <row r="765" spans="1:16" ht="13.2" x14ac:dyDescent="0.25">
      <c r="A765" s="3" t="s">
        <v>3</v>
      </c>
      <c r="E765" s="2" t="s">
        <v>2</v>
      </c>
    </row>
    <row r="766" spans="1:16" ht="13.2" x14ac:dyDescent="0.25">
      <c r="A766" t="s">
        <v>1</v>
      </c>
      <c r="E766" s="1" t="s">
        <v>1286</v>
      </c>
    </row>
    <row r="767" spans="1:16" ht="39.6" x14ac:dyDescent="0.25">
      <c r="A767" t="s">
        <v>11</v>
      </c>
      <c r="B767" s="9" t="s">
        <v>1285</v>
      </c>
      <c r="C767" s="9" t="s">
        <v>1284</v>
      </c>
      <c r="D767" s="3" t="s">
        <v>2</v>
      </c>
      <c r="E767" s="8" t="s">
        <v>1283</v>
      </c>
      <c r="F767" s="4" t="s">
        <v>370</v>
      </c>
      <c r="G767" s="7">
        <v>1172.193</v>
      </c>
      <c r="H767" s="4">
        <v>3.0000000000000001E-5</v>
      </c>
      <c r="I767" s="4">
        <f>ROUND(G767*H767,6)</f>
        <v>3.5166000000000003E-2</v>
      </c>
      <c r="L767" s="6">
        <v>0</v>
      </c>
      <c r="M767" s="5">
        <f>ROUND(ROUND(L767,2)*ROUND(G767,3),2)</f>
        <v>0</v>
      </c>
      <c r="N767" s="4" t="s">
        <v>501</v>
      </c>
      <c r="O767">
        <f>(M767*21)/100</f>
        <v>0</v>
      </c>
      <c r="P767" t="s">
        <v>6</v>
      </c>
    </row>
    <row r="768" spans="1:16" ht="39.6" x14ac:dyDescent="0.25">
      <c r="A768" s="3" t="s">
        <v>5</v>
      </c>
      <c r="E768" s="1" t="s">
        <v>1282</v>
      </c>
    </row>
    <row r="769" spans="1:16" ht="52.8" x14ac:dyDescent="0.25">
      <c r="A769" s="3" t="s">
        <v>3</v>
      </c>
      <c r="E769" s="2" t="s">
        <v>1281</v>
      </c>
    </row>
    <row r="770" spans="1:16" ht="277.2" x14ac:dyDescent="0.25">
      <c r="A770" t="s">
        <v>1</v>
      </c>
      <c r="E770" s="1" t="s">
        <v>1280</v>
      </c>
    </row>
    <row r="771" spans="1:16" ht="13.2" x14ac:dyDescent="0.25">
      <c r="A771" t="s">
        <v>11</v>
      </c>
      <c r="B771" s="9" t="s">
        <v>1279</v>
      </c>
      <c r="C771" s="9" t="s">
        <v>1278</v>
      </c>
      <c r="D771" s="3" t="s">
        <v>2</v>
      </c>
      <c r="E771" s="8" t="s">
        <v>1277</v>
      </c>
      <c r="F771" s="4" t="s">
        <v>13</v>
      </c>
      <c r="G771" s="7">
        <v>10</v>
      </c>
      <c r="H771" s="4">
        <v>1.8000000000000001E-4</v>
      </c>
      <c r="I771" s="4">
        <f>ROUND(G771*H771,6)</f>
        <v>1.8E-3</v>
      </c>
      <c r="L771" s="6">
        <v>0</v>
      </c>
      <c r="M771" s="5">
        <f>ROUND(ROUND(L771,2)*ROUND(G771,3),2)</f>
        <v>0</v>
      </c>
      <c r="N771" s="4" t="s">
        <v>501</v>
      </c>
      <c r="O771">
        <f>(M771*21)/100</f>
        <v>0</v>
      </c>
      <c r="P771" t="s">
        <v>6</v>
      </c>
    </row>
    <row r="772" spans="1:16" ht="13.2" x14ac:dyDescent="0.25">
      <c r="A772" s="3" t="s">
        <v>5</v>
      </c>
      <c r="E772" s="1" t="s">
        <v>1277</v>
      </c>
    </row>
    <row r="773" spans="1:16" ht="13.2" x14ac:dyDescent="0.25">
      <c r="A773" s="3" t="s">
        <v>3</v>
      </c>
      <c r="E773" s="2" t="s">
        <v>1276</v>
      </c>
    </row>
    <row r="774" spans="1:16" ht="118.8" x14ac:dyDescent="0.25">
      <c r="A774" t="s">
        <v>1</v>
      </c>
      <c r="E774" s="1" t="s">
        <v>1275</v>
      </c>
    </row>
    <row r="775" spans="1:16" ht="13.2" x14ac:dyDescent="0.25">
      <c r="A775" t="s">
        <v>11</v>
      </c>
      <c r="B775" s="9" t="s">
        <v>1274</v>
      </c>
      <c r="C775" s="9" t="s">
        <v>1273</v>
      </c>
      <c r="D775" s="3" t="s">
        <v>2</v>
      </c>
      <c r="E775" s="8" t="s">
        <v>1271</v>
      </c>
      <c r="F775" s="4" t="s">
        <v>1272</v>
      </c>
      <c r="G775" s="7">
        <v>1</v>
      </c>
      <c r="H775" s="4">
        <v>1.8000000000000001E-4</v>
      </c>
      <c r="I775" s="4">
        <f>ROUND(G775*H775,6)</f>
        <v>1.8000000000000001E-4</v>
      </c>
      <c r="L775" s="6">
        <v>0</v>
      </c>
      <c r="M775" s="5">
        <f>ROUND(ROUND(L775,2)*ROUND(G775,3),2)</f>
        <v>0</v>
      </c>
      <c r="N775" s="4" t="s">
        <v>7</v>
      </c>
      <c r="O775">
        <f>(M775*21)/100</f>
        <v>0</v>
      </c>
      <c r="P775" t="s">
        <v>6</v>
      </c>
    </row>
    <row r="776" spans="1:16" ht="13.2" x14ac:dyDescent="0.25">
      <c r="A776" s="3" t="s">
        <v>5</v>
      </c>
      <c r="E776" s="1" t="s">
        <v>1271</v>
      </c>
    </row>
    <row r="777" spans="1:16" ht="39.6" x14ac:dyDescent="0.25">
      <c r="A777" s="3" t="s">
        <v>3</v>
      </c>
      <c r="E777" s="12" t="s">
        <v>1270</v>
      </c>
    </row>
    <row r="778" spans="1:16" ht="52.8" x14ac:dyDescent="0.25">
      <c r="A778" t="s">
        <v>1</v>
      </c>
      <c r="E778" s="1" t="s">
        <v>0</v>
      </c>
    </row>
    <row r="779" spans="1:16" ht="13.2" x14ac:dyDescent="0.25">
      <c r="A779" t="s">
        <v>50</v>
      </c>
      <c r="C779" s="11" t="s">
        <v>1066</v>
      </c>
      <c r="E779" s="10" t="s">
        <v>1065</v>
      </c>
      <c r="J779" s="5">
        <f>0</f>
        <v>0</v>
      </c>
      <c r="K779" s="5">
        <f>0</f>
        <v>0</v>
      </c>
      <c r="L779" s="5">
        <f>0+L780</f>
        <v>0</v>
      </c>
      <c r="M779" s="5">
        <f>0+M780</f>
        <v>0</v>
      </c>
    </row>
    <row r="780" spans="1:16" ht="39.6" x14ac:dyDescent="0.25">
      <c r="A780" t="s">
        <v>11</v>
      </c>
      <c r="B780" s="9" t="s">
        <v>1269</v>
      </c>
      <c r="C780" s="9" t="s">
        <v>1064</v>
      </c>
      <c r="D780" s="3" t="s">
        <v>1063</v>
      </c>
      <c r="E780" s="8" t="s">
        <v>1062</v>
      </c>
      <c r="F780" s="4" t="s">
        <v>542</v>
      </c>
      <c r="G780" s="7">
        <v>4840.1490000000003</v>
      </c>
      <c r="H780" s="4">
        <v>0</v>
      </c>
      <c r="I780" s="4">
        <f>ROUND(G780*H780,6)</f>
        <v>0</v>
      </c>
      <c r="L780" s="6">
        <v>0</v>
      </c>
      <c r="M780" s="5">
        <f>ROUND(ROUND(L780,2)*ROUND(G780,3),2)</f>
        <v>0</v>
      </c>
      <c r="N780" s="4" t="s">
        <v>7</v>
      </c>
      <c r="O780">
        <f>(M780*21)/100</f>
        <v>0</v>
      </c>
      <c r="P780" t="s">
        <v>6</v>
      </c>
    </row>
    <row r="781" spans="1:16" ht="13.2" x14ac:dyDescent="0.25">
      <c r="A781" s="3" t="s">
        <v>5</v>
      </c>
      <c r="E781" s="1" t="s">
        <v>1061</v>
      </c>
    </row>
    <row r="782" spans="1:16" ht="13.2" x14ac:dyDescent="0.25">
      <c r="A782" s="3" t="s">
        <v>3</v>
      </c>
      <c r="E782" s="2" t="s">
        <v>1268</v>
      </c>
    </row>
    <row r="783" spans="1:16" ht="92.4" x14ac:dyDescent="0.25">
      <c r="A783" t="s">
        <v>1</v>
      </c>
      <c r="E783" s="1" t="s">
        <v>1059</v>
      </c>
    </row>
    <row r="784" spans="1:16" ht="13.2" x14ac:dyDescent="0.25">
      <c r="A784" t="s">
        <v>50</v>
      </c>
      <c r="C784" s="11" t="s">
        <v>668</v>
      </c>
      <c r="E784" s="10" t="s">
        <v>667</v>
      </c>
      <c r="J784" s="5">
        <f>0</f>
        <v>0</v>
      </c>
      <c r="K784" s="5">
        <f>0</f>
        <v>0</v>
      </c>
      <c r="L784" s="5">
        <f>0+L785</f>
        <v>0</v>
      </c>
      <c r="M784" s="5">
        <f>0+M785</f>
        <v>0</v>
      </c>
    </row>
    <row r="785" spans="1:16" ht="39.6" x14ac:dyDescent="0.25">
      <c r="A785" t="s">
        <v>11</v>
      </c>
      <c r="B785" s="9" t="s">
        <v>1267</v>
      </c>
      <c r="C785" s="9" t="s">
        <v>1058</v>
      </c>
      <c r="D785" s="3" t="s">
        <v>2</v>
      </c>
      <c r="E785" s="8" t="s">
        <v>664</v>
      </c>
      <c r="F785" s="4" t="s">
        <v>542</v>
      </c>
      <c r="G785" s="7">
        <v>1076.403</v>
      </c>
      <c r="H785" s="4">
        <v>0</v>
      </c>
      <c r="I785" s="4">
        <f>ROUND(G785*H785,6)</f>
        <v>0</v>
      </c>
      <c r="L785" s="6">
        <v>0</v>
      </c>
      <c r="M785" s="5">
        <f>ROUND(ROUND(L785,2)*ROUND(G785,3),2)</f>
        <v>0</v>
      </c>
      <c r="N785" s="4" t="s">
        <v>501</v>
      </c>
      <c r="O785">
        <f>(M785*21)/100</f>
        <v>0</v>
      </c>
      <c r="P785" t="s">
        <v>6</v>
      </c>
    </row>
    <row r="786" spans="1:16" ht="39.6" x14ac:dyDescent="0.25">
      <c r="A786" s="3" t="s">
        <v>5</v>
      </c>
      <c r="E786" s="1" t="s">
        <v>1057</v>
      </c>
    </row>
    <row r="787" spans="1:16" ht="13.2" x14ac:dyDescent="0.25">
      <c r="A787" s="3" t="s">
        <v>3</v>
      </c>
      <c r="E787" s="2" t="s">
        <v>2</v>
      </c>
    </row>
    <row r="788" spans="1:16" ht="66" x14ac:dyDescent="0.25">
      <c r="A788" t="s">
        <v>1</v>
      </c>
      <c r="E788" s="1" t="s">
        <v>1056</v>
      </c>
    </row>
    <row r="789" spans="1:16" ht="13.2" x14ac:dyDescent="0.25">
      <c r="A789" t="s">
        <v>53</v>
      </c>
      <c r="C789" s="11" t="s">
        <v>1266</v>
      </c>
      <c r="E789" s="10" t="s">
        <v>1265</v>
      </c>
      <c r="J789" s="5">
        <f>0+J790+J795+J940+J953+J1046+J1055+J1060</f>
        <v>0</v>
      </c>
      <c r="K789" s="5">
        <f>0+K790+K795+K940+K953+K1046+K1055+K1060</f>
        <v>0</v>
      </c>
      <c r="L789" s="5">
        <f>0+L790+L795+L940+L953+L1046+L1055+L1060</f>
        <v>0</v>
      </c>
      <c r="M789" s="5">
        <f>0+M790+M795+M940+M953+M1046+M1055+M1060</f>
        <v>0</v>
      </c>
    </row>
    <row r="790" spans="1:16" ht="13.2" x14ac:dyDescent="0.25">
      <c r="A790" t="s">
        <v>50</v>
      </c>
      <c r="C790" s="11" t="s">
        <v>48</v>
      </c>
      <c r="E790" s="10" t="s">
        <v>49</v>
      </c>
      <c r="J790" s="5">
        <f>0</f>
        <v>0</v>
      </c>
      <c r="K790" s="5">
        <f>0</f>
        <v>0</v>
      </c>
      <c r="L790" s="5">
        <f>0+L791</f>
        <v>0</v>
      </c>
      <c r="M790" s="5">
        <f>0+M791</f>
        <v>0</v>
      </c>
    </row>
    <row r="791" spans="1:16" ht="39.6" x14ac:dyDescent="0.25">
      <c r="A791" t="s">
        <v>11</v>
      </c>
      <c r="B791" s="9" t="s">
        <v>48</v>
      </c>
      <c r="C791" s="9" t="s">
        <v>1264</v>
      </c>
      <c r="D791" s="3" t="s">
        <v>2</v>
      </c>
      <c r="E791" s="8" t="s">
        <v>1263</v>
      </c>
      <c r="F791" s="4" t="s">
        <v>1032</v>
      </c>
      <c r="G791" s="7">
        <v>215.553</v>
      </c>
      <c r="H791" s="4">
        <v>0</v>
      </c>
      <c r="I791" s="4">
        <f>ROUND(G791*H791,6)</f>
        <v>0</v>
      </c>
      <c r="L791" s="6">
        <v>0</v>
      </c>
      <c r="M791" s="5">
        <f>ROUND(ROUND(L791,2)*ROUND(G791,3),2)</f>
        <v>0</v>
      </c>
      <c r="N791" s="4" t="s">
        <v>501</v>
      </c>
      <c r="O791">
        <f>(M791*21)/100</f>
        <v>0</v>
      </c>
      <c r="P791" t="s">
        <v>6</v>
      </c>
    </row>
    <row r="792" spans="1:16" ht="39.6" x14ac:dyDescent="0.25">
      <c r="A792" s="3" t="s">
        <v>5</v>
      </c>
      <c r="E792" s="1" t="s">
        <v>1261</v>
      </c>
    </row>
    <row r="793" spans="1:16" ht="26.4" x14ac:dyDescent="0.25">
      <c r="A793" s="3" t="s">
        <v>3</v>
      </c>
      <c r="E793" s="12" t="s">
        <v>1262</v>
      </c>
    </row>
    <row r="794" spans="1:16" ht="39.6" x14ac:dyDescent="0.25">
      <c r="A794" t="s">
        <v>1</v>
      </c>
      <c r="E794" s="1" t="s">
        <v>1261</v>
      </c>
    </row>
    <row r="795" spans="1:16" ht="13.2" x14ac:dyDescent="0.25">
      <c r="A795" t="s">
        <v>50</v>
      </c>
      <c r="C795" s="11" t="s">
        <v>6</v>
      </c>
      <c r="E795" s="10" t="s">
        <v>1260</v>
      </c>
      <c r="J795" s="5">
        <f>0</f>
        <v>0</v>
      </c>
      <c r="K795" s="5">
        <f>0</f>
        <v>0</v>
      </c>
      <c r="L795" s="5">
        <f>0+L796+L800+L804+L808+L812+L816+L820+L824+L828+L832+L836+L840+L844+L848+L852+L856+L860+L864+L868+L872+L876+L880+L884+L888+L892+L896+L900+L904+L908+L912+L916+L920+L924+L928+L932+L936</f>
        <v>0</v>
      </c>
      <c r="M795" s="5">
        <f>0+M796+M800+M804+M808+M812+M816+M820+M824+M828+M832+M836+M840+M844+M848+M852+M856+M860+M864+M868+M872+M876+M880+M884+M888+M892+M896+M900+M904+M908+M912+M916+M920+M924+M928+M932+M936</f>
        <v>0</v>
      </c>
    </row>
    <row r="796" spans="1:16" ht="26.4" x14ac:dyDescent="0.25">
      <c r="A796" t="s">
        <v>11</v>
      </c>
      <c r="B796" s="9" t="s">
        <v>6</v>
      </c>
      <c r="C796" s="9" t="s">
        <v>1259</v>
      </c>
      <c r="D796" s="3" t="s">
        <v>2</v>
      </c>
      <c r="E796" s="8" t="s">
        <v>1258</v>
      </c>
      <c r="F796" s="4" t="s">
        <v>8</v>
      </c>
      <c r="G796" s="7">
        <v>339</v>
      </c>
      <c r="H796" s="4">
        <v>4.0000000000000003E-5</v>
      </c>
      <c r="I796" s="4">
        <f>ROUND(G796*H796,6)</f>
        <v>1.3559999999999999E-2</v>
      </c>
      <c r="L796" s="6">
        <v>0</v>
      </c>
      <c r="M796" s="5">
        <f>ROUND(ROUND(L796,2)*ROUND(G796,3),2)</f>
        <v>0</v>
      </c>
      <c r="N796" s="4" t="s">
        <v>501</v>
      </c>
      <c r="O796">
        <f>(M796*21)/100</f>
        <v>0</v>
      </c>
      <c r="P796" t="s">
        <v>6</v>
      </c>
    </row>
    <row r="797" spans="1:16" ht="26.4" x14ac:dyDescent="0.25">
      <c r="A797" s="3" t="s">
        <v>5</v>
      </c>
      <c r="E797" s="1" t="s">
        <v>1258</v>
      </c>
    </row>
    <row r="798" spans="1:16" ht="39.6" x14ac:dyDescent="0.25">
      <c r="A798" s="3" t="s">
        <v>3</v>
      </c>
      <c r="E798" s="2" t="s">
        <v>1254</v>
      </c>
    </row>
    <row r="799" spans="1:16" ht="26.4" x14ac:dyDescent="0.25">
      <c r="A799" t="s">
        <v>1</v>
      </c>
      <c r="E799" s="1" t="s">
        <v>1258</v>
      </c>
    </row>
    <row r="800" spans="1:16" ht="39.6" x14ac:dyDescent="0.25">
      <c r="A800" t="s">
        <v>11</v>
      </c>
      <c r="B800" s="9" t="s">
        <v>43</v>
      </c>
      <c r="C800" s="9" t="s">
        <v>1257</v>
      </c>
      <c r="D800" s="3" t="s">
        <v>2</v>
      </c>
      <c r="E800" s="8" t="s">
        <v>1256</v>
      </c>
      <c r="F800" s="4" t="s">
        <v>8</v>
      </c>
      <c r="G800" s="7">
        <v>339</v>
      </c>
      <c r="H800" s="4">
        <v>0</v>
      </c>
      <c r="I800" s="4">
        <f>ROUND(G800*H800,6)</f>
        <v>0</v>
      </c>
      <c r="L800" s="6">
        <v>0</v>
      </c>
      <c r="M800" s="5">
        <f>ROUND(ROUND(L800,2)*ROUND(G800,3),2)</f>
        <v>0</v>
      </c>
      <c r="N800" s="4" t="s">
        <v>501</v>
      </c>
      <c r="O800">
        <f>(M800*21)/100</f>
        <v>0</v>
      </c>
      <c r="P800" t="s">
        <v>6</v>
      </c>
    </row>
    <row r="801" spans="1:16" ht="39.6" x14ac:dyDescent="0.25">
      <c r="A801" s="3" t="s">
        <v>5</v>
      </c>
      <c r="E801" s="1" t="s">
        <v>1255</v>
      </c>
    </row>
    <row r="802" spans="1:16" ht="39.6" x14ac:dyDescent="0.25">
      <c r="A802" s="3" t="s">
        <v>3</v>
      </c>
      <c r="E802" s="2" t="s">
        <v>1254</v>
      </c>
    </row>
    <row r="803" spans="1:16" ht="224.4" x14ac:dyDescent="0.25">
      <c r="A803" t="s">
        <v>1</v>
      </c>
      <c r="E803" s="1" t="s">
        <v>1253</v>
      </c>
    </row>
    <row r="804" spans="1:16" ht="13.2" x14ac:dyDescent="0.25">
      <c r="A804" t="s">
        <v>11</v>
      </c>
      <c r="B804" s="9" t="s">
        <v>39</v>
      </c>
      <c r="C804" s="9" t="s">
        <v>1252</v>
      </c>
      <c r="D804" s="3" t="s">
        <v>2</v>
      </c>
      <c r="E804" s="8" t="s">
        <v>1251</v>
      </c>
      <c r="F804" s="4" t="s">
        <v>542</v>
      </c>
      <c r="G804" s="7">
        <v>30.442</v>
      </c>
      <c r="H804" s="4">
        <v>1.11381</v>
      </c>
      <c r="I804" s="4">
        <f>ROUND(G804*H804,6)</f>
        <v>33.906604000000002</v>
      </c>
      <c r="L804" s="6">
        <v>0</v>
      </c>
      <c r="M804" s="5">
        <f>ROUND(ROUND(L804,2)*ROUND(G804,3),2)</f>
        <v>0</v>
      </c>
      <c r="N804" s="4" t="s">
        <v>501</v>
      </c>
      <c r="O804">
        <f>(M804*21)/100</f>
        <v>0</v>
      </c>
      <c r="P804" t="s">
        <v>6</v>
      </c>
    </row>
    <row r="805" spans="1:16" ht="13.2" x14ac:dyDescent="0.25">
      <c r="A805" s="3" t="s">
        <v>5</v>
      </c>
      <c r="E805" s="1" t="s">
        <v>1251</v>
      </c>
    </row>
    <row r="806" spans="1:16" ht="13.2" x14ac:dyDescent="0.25">
      <c r="A806" s="3" t="s">
        <v>3</v>
      </c>
      <c r="E806" s="2" t="s">
        <v>1250</v>
      </c>
    </row>
    <row r="807" spans="1:16" ht="66" x14ac:dyDescent="0.25">
      <c r="A807" t="s">
        <v>1</v>
      </c>
      <c r="E807" s="1" t="s">
        <v>1249</v>
      </c>
    </row>
    <row r="808" spans="1:16" ht="26.4" x14ac:dyDescent="0.25">
      <c r="A808" t="s">
        <v>11</v>
      </c>
      <c r="B808" s="9" t="s">
        <v>36</v>
      </c>
      <c r="C808" s="9" t="s">
        <v>1247</v>
      </c>
      <c r="D808" s="3" t="s">
        <v>2</v>
      </c>
      <c r="E808" s="8" t="s">
        <v>1246</v>
      </c>
      <c r="F808" s="4" t="s">
        <v>1032</v>
      </c>
      <c r="G808" s="7">
        <v>58.3</v>
      </c>
      <c r="H808" s="4">
        <v>2.5018699999999998</v>
      </c>
      <c r="I808" s="4">
        <f>ROUND(G808*H808,6)</f>
        <v>145.85902100000001</v>
      </c>
      <c r="L808" s="6">
        <v>0</v>
      </c>
      <c r="M808" s="5">
        <f>ROUND(ROUND(L808,2)*ROUND(G808,3),2)</f>
        <v>0</v>
      </c>
      <c r="N808" s="4" t="s">
        <v>501</v>
      </c>
      <c r="O808">
        <f>(M808*21)/100</f>
        <v>0</v>
      </c>
      <c r="P808" t="s">
        <v>6</v>
      </c>
    </row>
    <row r="809" spans="1:16" ht="26.4" x14ac:dyDescent="0.25">
      <c r="A809" s="3" t="s">
        <v>5</v>
      </c>
      <c r="E809" s="1" t="s">
        <v>1246</v>
      </c>
    </row>
    <row r="810" spans="1:16" ht="26.4" x14ac:dyDescent="0.25">
      <c r="A810" s="3" t="s">
        <v>3</v>
      </c>
      <c r="E810" s="12" t="s">
        <v>1248</v>
      </c>
    </row>
    <row r="811" spans="1:16" ht="171.6" x14ac:dyDescent="0.25">
      <c r="A811" t="s">
        <v>1</v>
      </c>
      <c r="E811" s="1" t="s">
        <v>1244</v>
      </c>
    </row>
    <row r="812" spans="1:16" ht="26.4" x14ac:dyDescent="0.25">
      <c r="A812" t="s">
        <v>11</v>
      </c>
      <c r="B812" s="9" t="s">
        <v>33</v>
      </c>
      <c r="C812" s="9" t="s">
        <v>1247</v>
      </c>
      <c r="D812" s="3" t="s">
        <v>48</v>
      </c>
      <c r="E812" s="8" t="s">
        <v>1246</v>
      </c>
      <c r="F812" s="4" t="s">
        <v>1032</v>
      </c>
      <c r="G812" s="7">
        <v>177.07599999999999</v>
      </c>
      <c r="H812" s="4">
        <v>2.5018699999999998</v>
      </c>
      <c r="I812" s="4">
        <f>ROUND(G812*H812,6)</f>
        <v>443.02113200000002</v>
      </c>
      <c r="L812" s="6">
        <v>0</v>
      </c>
      <c r="M812" s="5">
        <f>ROUND(ROUND(L812,2)*ROUND(G812,3),2)</f>
        <v>0</v>
      </c>
      <c r="N812" s="4" t="s">
        <v>501</v>
      </c>
      <c r="O812">
        <f>(M812*21)/100</f>
        <v>0</v>
      </c>
      <c r="P812" t="s">
        <v>6</v>
      </c>
    </row>
    <row r="813" spans="1:16" ht="26.4" x14ac:dyDescent="0.25">
      <c r="A813" s="3" t="s">
        <v>5</v>
      </c>
      <c r="E813" s="1" t="s">
        <v>1246</v>
      </c>
    </row>
    <row r="814" spans="1:16" ht="105.6" x14ac:dyDescent="0.25">
      <c r="A814" s="3" t="s">
        <v>3</v>
      </c>
      <c r="E814" s="12" t="s">
        <v>1245</v>
      </c>
    </row>
    <row r="815" spans="1:16" ht="171.6" x14ac:dyDescent="0.25">
      <c r="A815" t="s">
        <v>1</v>
      </c>
      <c r="E815" s="1" t="s">
        <v>1244</v>
      </c>
    </row>
    <row r="816" spans="1:16" ht="26.4" x14ac:dyDescent="0.25">
      <c r="A816" t="s">
        <v>11</v>
      </c>
      <c r="B816" s="9" t="s">
        <v>30</v>
      </c>
      <c r="C816" s="9" t="s">
        <v>1243</v>
      </c>
      <c r="D816" s="3" t="s">
        <v>2</v>
      </c>
      <c r="E816" s="8" t="s">
        <v>1242</v>
      </c>
      <c r="F816" s="4" t="s">
        <v>1032</v>
      </c>
      <c r="G816" s="7">
        <v>73.563000000000002</v>
      </c>
      <c r="H816" s="4">
        <v>2.5018699999999998</v>
      </c>
      <c r="I816" s="4">
        <f>ROUND(G816*H816,6)</f>
        <v>184.045063</v>
      </c>
      <c r="L816" s="6">
        <v>0</v>
      </c>
      <c r="M816" s="5">
        <f>ROUND(ROUND(L816,2)*ROUND(G816,3),2)</f>
        <v>0</v>
      </c>
      <c r="N816" s="4" t="s">
        <v>501</v>
      </c>
      <c r="O816">
        <f>(M816*21)/100</f>
        <v>0</v>
      </c>
      <c r="P816" t="s">
        <v>6</v>
      </c>
    </row>
    <row r="817" spans="1:16" ht="26.4" x14ac:dyDescent="0.25">
      <c r="A817" s="3" t="s">
        <v>5</v>
      </c>
      <c r="E817" s="1" t="s">
        <v>1242</v>
      </c>
    </row>
    <row r="818" spans="1:16" ht="26.4" x14ac:dyDescent="0.25">
      <c r="A818" s="3" t="s">
        <v>3</v>
      </c>
      <c r="E818" s="12" t="s">
        <v>1241</v>
      </c>
    </row>
    <row r="819" spans="1:16" ht="171.6" x14ac:dyDescent="0.25">
      <c r="A819" t="s">
        <v>1</v>
      </c>
      <c r="E819" s="1" t="s">
        <v>1240</v>
      </c>
    </row>
    <row r="820" spans="1:16" ht="13.2" x14ac:dyDescent="0.25">
      <c r="A820" t="s">
        <v>11</v>
      </c>
      <c r="B820" s="9" t="s">
        <v>27</v>
      </c>
      <c r="C820" s="9" t="s">
        <v>1238</v>
      </c>
      <c r="D820" s="3" t="s">
        <v>2</v>
      </c>
      <c r="E820" s="8" t="s">
        <v>1237</v>
      </c>
      <c r="F820" s="4" t="s">
        <v>370</v>
      </c>
      <c r="G820" s="7">
        <v>121.65</v>
      </c>
      <c r="H820" s="4">
        <v>2.47E-3</v>
      </c>
      <c r="I820" s="4">
        <f>ROUND(G820*H820,6)</f>
        <v>0.30047600000000002</v>
      </c>
      <c r="L820" s="6">
        <v>0</v>
      </c>
      <c r="M820" s="5">
        <f>ROUND(ROUND(L820,2)*ROUND(G820,3),2)</f>
        <v>0</v>
      </c>
      <c r="N820" s="4" t="s">
        <v>501</v>
      </c>
      <c r="O820">
        <f>(M820*21)/100</f>
        <v>0</v>
      </c>
      <c r="P820" t="s">
        <v>6</v>
      </c>
    </row>
    <row r="821" spans="1:16" ht="13.2" x14ac:dyDescent="0.25">
      <c r="A821" s="3" t="s">
        <v>5</v>
      </c>
      <c r="E821" s="1" t="s">
        <v>1237</v>
      </c>
    </row>
    <row r="822" spans="1:16" ht="66" x14ac:dyDescent="0.25">
      <c r="A822" s="3" t="s">
        <v>3</v>
      </c>
      <c r="E822" s="12" t="s">
        <v>1239</v>
      </c>
    </row>
    <row r="823" spans="1:16" ht="39.6" x14ac:dyDescent="0.25">
      <c r="A823" t="s">
        <v>1</v>
      </c>
      <c r="E823" s="1" t="s">
        <v>1235</v>
      </c>
    </row>
    <row r="824" spans="1:16" ht="13.2" x14ac:dyDescent="0.25">
      <c r="A824" t="s">
        <v>11</v>
      </c>
      <c r="B824" s="9" t="s">
        <v>24</v>
      </c>
      <c r="C824" s="9" t="s">
        <v>1238</v>
      </c>
      <c r="D824" s="3" t="s">
        <v>48</v>
      </c>
      <c r="E824" s="8" t="s">
        <v>1237</v>
      </c>
      <c r="F824" s="4" t="s">
        <v>370</v>
      </c>
      <c r="G824" s="7">
        <v>94.366</v>
      </c>
      <c r="H824" s="4">
        <v>2.47E-3</v>
      </c>
      <c r="I824" s="4">
        <f>ROUND(G824*H824,6)</f>
        <v>0.23308400000000001</v>
      </c>
      <c r="L824" s="6">
        <v>0</v>
      </c>
      <c r="M824" s="5">
        <f>ROUND(ROUND(L824,2)*ROUND(G824,3),2)</f>
        <v>0</v>
      </c>
      <c r="N824" s="4" t="s">
        <v>501</v>
      </c>
      <c r="O824">
        <f>(M824*21)/100</f>
        <v>0</v>
      </c>
      <c r="P824" t="s">
        <v>6</v>
      </c>
    </row>
    <row r="825" spans="1:16" ht="13.2" x14ac:dyDescent="0.25">
      <c r="A825" s="3" t="s">
        <v>5</v>
      </c>
      <c r="E825" s="1" t="s">
        <v>1237</v>
      </c>
    </row>
    <row r="826" spans="1:16" ht="118.8" x14ac:dyDescent="0.25">
      <c r="A826" s="3" t="s">
        <v>3</v>
      </c>
      <c r="E826" s="12" t="s">
        <v>1236</v>
      </c>
    </row>
    <row r="827" spans="1:16" ht="39.6" x14ac:dyDescent="0.25">
      <c r="A827" t="s">
        <v>1</v>
      </c>
      <c r="E827" s="1" t="s">
        <v>1235</v>
      </c>
    </row>
    <row r="828" spans="1:16" ht="13.2" x14ac:dyDescent="0.25">
      <c r="A828" t="s">
        <v>11</v>
      </c>
      <c r="B828" s="9" t="s">
        <v>21</v>
      </c>
      <c r="C828" s="9" t="s">
        <v>1234</v>
      </c>
      <c r="D828" s="3" t="s">
        <v>2</v>
      </c>
      <c r="E828" s="8" t="s">
        <v>1233</v>
      </c>
      <c r="F828" s="4" t="s">
        <v>370</v>
      </c>
      <c r="G828" s="7">
        <v>121.65</v>
      </c>
      <c r="H828" s="4">
        <v>0</v>
      </c>
      <c r="I828" s="4">
        <f>ROUND(G828*H828,6)</f>
        <v>0</v>
      </c>
      <c r="L828" s="6">
        <v>0</v>
      </c>
      <c r="M828" s="5">
        <f>ROUND(ROUND(L828,2)*ROUND(G828,3),2)</f>
        <v>0</v>
      </c>
      <c r="N828" s="4" t="s">
        <v>501</v>
      </c>
      <c r="O828">
        <f>(M828*21)/100</f>
        <v>0</v>
      </c>
      <c r="P828" t="s">
        <v>6</v>
      </c>
    </row>
    <row r="829" spans="1:16" ht="13.2" x14ac:dyDescent="0.25">
      <c r="A829" s="3" t="s">
        <v>5</v>
      </c>
      <c r="E829" s="1" t="s">
        <v>1233</v>
      </c>
    </row>
    <row r="830" spans="1:16" ht="13.2" x14ac:dyDescent="0.25">
      <c r="A830" s="3" t="s">
        <v>3</v>
      </c>
      <c r="E830" s="2" t="s">
        <v>2</v>
      </c>
    </row>
    <row r="831" spans="1:16" ht="39.6" x14ac:dyDescent="0.25">
      <c r="A831" t="s">
        <v>1</v>
      </c>
      <c r="E831" s="1" t="s">
        <v>1232</v>
      </c>
    </row>
    <row r="832" spans="1:16" ht="13.2" x14ac:dyDescent="0.25">
      <c r="A832" t="s">
        <v>11</v>
      </c>
      <c r="B832" s="9" t="s">
        <v>18</v>
      </c>
      <c r="C832" s="9" t="s">
        <v>1234</v>
      </c>
      <c r="D832" s="3" t="s">
        <v>48</v>
      </c>
      <c r="E832" s="8" t="s">
        <v>1233</v>
      </c>
      <c r="F832" s="4" t="s">
        <v>370</v>
      </c>
      <c r="G832" s="7">
        <v>94.366</v>
      </c>
      <c r="H832" s="4">
        <v>0</v>
      </c>
      <c r="I832" s="4">
        <f>ROUND(G832*H832,6)</f>
        <v>0</v>
      </c>
      <c r="L832" s="6">
        <v>0</v>
      </c>
      <c r="M832" s="5">
        <f>ROUND(ROUND(L832,2)*ROUND(G832,3),2)</f>
        <v>0</v>
      </c>
      <c r="N832" s="4" t="s">
        <v>501</v>
      </c>
      <c r="O832">
        <f>(M832*21)/100</f>
        <v>0</v>
      </c>
      <c r="P832" t="s">
        <v>6</v>
      </c>
    </row>
    <row r="833" spans="1:16" ht="13.2" x14ac:dyDescent="0.25">
      <c r="A833" s="3" t="s">
        <v>5</v>
      </c>
      <c r="E833" s="1" t="s">
        <v>1233</v>
      </c>
    </row>
    <row r="834" spans="1:16" ht="13.2" x14ac:dyDescent="0.25">
      <c r="A834" s="3" t="s">
        <v>3</v>
      </c>
      <c r="E834" s="2" t="s">
        <v>2</v>
      </c>
    </row>
    <row r="835" spans="1:16" ht="39.6" x14ac:dyDescent="0.25">
      <c r="A835" t="s">
        <v>1</v>
      </c>
      <c r="E835" s="1" t="s">
        <v>1232</v>
      </c>
    </row>
    <row r="836" spans="1:16" ht="13.2" x14ac:dyDescent="0.25">
      <c r="A836" t="s">
        <v>11</v>
      </c>
      <c r="B836" s="9" t="s">
        <v>15</v>
      </c>
      <c r="C836" s="9" t="s">
        <v>1231</v>
      </c>
      <c r="D836" s="3" t="s">
        <v>2</v>
      </c>
      <c r="E836" s="8" t="s">
        <v>1230</v>
      </c>
      <c r="F836" s="4" t="s">
        <v>542</v>
      </c>
      <c r="G836" s="7">
        <v>11.034000000000001</v>
      </c>
      <c r="H836" s="4">
        <v>1.0606199999999999</v>
      </c>
      <c r="I836" s="4">
        <f>ROUND(G836*H836,6)</f>
        <v>11.702881</v>
      </c>
      <c r="L836" s="6">
        <v>0</v>
      </c>
      <c r="M836" s="5">
        <f>ROUND(ROUND(L836,2)*ROUND(G836,3),2)</f>
        <v>0</v>
      </c>
      <c r="N836" s="4" t="s">
        <v>501</v>
      </c>
      <c r="O836">
        <f>(M836*21)/100</f>
        <v>0</v>
      </c>
      <c r="P836" t="s">
        <v>6</v>
      </c>
    </row>
    <row r="837" spans="1:16" ht="13.2" x14ac:dyDescent="0.25">
      <c r="A837" s="3" t="s">
        <v>5</v>
      </c>
      <c r="E837" s="1" t="s">
        <v>1230</v>
      </c>
    </row>
    <row r="838" spans="1:16" ht="13.2" x14ac:dyDescent="0.25">
      <c r="A838" s="3" t="s">
        <v>3</v>
      </c>
      <c r="E838" s="2" t="s">
        <v>2</v>
      </c>
    </row>
    <row r="839" spans="1:16" ht="26.4" x14ac:dyDescent="0.25">
      <c r="A839" t="s">
        <v>1</v>
      </c>
      <c r="E839" s="1" t="s">
        <v>1229</v>
      </c>
    </row>
    <row r="840" spans="1:16" ht="13.2" x14ac:dyDescent="0.25">
      <c r="A840" t="s">
        <v>11</v>
      </c>
      <c r="B840" s="9" t="s">
        <v>10</v>
      </c>
      <c r="C840" s="9" t="s">
        <v>1231</v>
      </c>
      <c r="D840" s="3" t="s">
        <v>48</v>
      </c>
      <c r="E840" s="8" t="s">
        <v>1230</v>
      </c>
      <c r="F840" s="4" t="s">
        <v>542</v>
      </c>
      <c r="G840" s="7">
        <v>26.561</v>
      </c>
      <c r="H840" s="4">
        <v>1.0606199999999999</v>
      </c>
      <c r="I840" s="4">
        <f>ROUND(G840*H840,6)</f>
        <v>28.171128</v>
      </c>
      <c r="L840" s="6">
        <v>0</v>
      </c>
      <c r="M840" s="5">
        <f>ROUND(ROUND(L840,2)*ROUND(G840,3),2)</f>
        <v>0</v>
      </c>
      <c r="N840" s="4" t="s">
        <v>501</v>
      </c>
      <c r="O840">
        <f>(M840*21)/100</f>
        <v>0</v>
      </c>
      <c r="P840" t="s">
        <v>6</v>
      </c>
    </row>
    <row r="841" spans="1:16" ht="13.2" x14ac:dyDescent="0.25">
      <c r="A841" s="3" t="s">
        <v>5</v>
      </c>
      <c r="E841" s="1" t="s">
        <v>1230</v>
      </c>
    </row>
    <row r="842" spans="1:16" ht="13.2" x14ac:dyDescent="0.25">
      <c r="A842" s="3" t="s">
        <v>3</v>
      </c>
      <c r="E842" s="2" t="s">
        <v>2</v>
      </c>
    </row>
    <row r="843" spans="1:16" ht="26.4" x14ac:dyDescent="0.25">
      <c r="A843" t="s">
        <v>1</v>
      </c>
      <c r="E843" s="1" t="s">
        <v>1229</v>
      </c>
    </row>
    <row r="844" spans="1:16" ht="13.2" x14ac:dyDescent="0.25">
      <c r="A844" t="s">
        <v>11</v>
      </c>
      <c r="B844" s="9" t="s">
        <v>280</v>
      </c>
      <c r="C844" s="9" t="s">
        <v>1228</v>
      </c>
      <c r="D844" s="3" t="s">
        <v>2</v>
      </c>
      <c r="E844" s="8" t="s">
        <v>1227</v>
      </c>
      <c r="F844" s="4" t="s">
        <v>1032</v>
      </c>
      <c r="G844" s="7">
        <v>42.945</v>
      </c>
      <c r="H844" s="4">
        <v>2.3010199999999998</v>
      </c>
      <c r="I844" s="4">
        <f>ROUND(G844*H844,6)</f>
        <v>98.817303999999993</v>
      </c>
      <c r="L844" s="6">
        <v>0</v>
      </c>
      <c r="M844" s="5">
        <f>ROUND(ROUND(L844,2)*ROUND(G844,3),2)</f>
        <v>0</v>
      </c>
      <c r="N844" s="4" t="s">
        <v>501</v>
      </c>
      <c r="O844">
        <f>(M844*21)/100</f>
        <v>0</v>
      </c>
      <c r="P844" t="s">
        <v>6</v>
      </c>
    </row>
    <row r="845" spans="1:16" ht="13.2" x14ac:dyDescent="0.25">
      <c r="A845" s="3" t="s">
        <v>5</v>
      </c>
      <c r="E845" s="1" t="s">
        <v>1227</v>
      </c>
    </row>
    <row r="846" spans="1:16" ht="79.2" x14ac:dyDescent="0.25">
      <c r="A846" s="3" t="s">
        <v>3</v>
      </c>
      <c r="E846" s="12" t="s">
        <v>1226</v>
      </c>
    </row>
    <row r="847" spans="1:16" ht="105.6" x14ac:dyDescent="0.25">
      <c r="A847" t="s">
        <v>1</v>
      </c>
      <c r="E847" s="1" t="s">
        <v>1225</v>
      </c>
    </row>
    <row r="848" spans="1:16" ht="26.4" x14ac:dyDescent="0.25">
      <c r="A848" t="s">
        <v>11</v>
      </c>
      <c r="B848" s="9" t="s">
        <v>277</v>
      </c>
      <c r="C848" s="9" t="s">
        <v>1224</v>
      </c>
      <c r="D848" s="3" t="s">
        <v>2</v>
      </c>
      <c r="E848" s="8" t="s">
        <v>1223</v>
      </c>
      <c r="F848" s="4" t="s">
        <v>1032</v>
      </c>
      <c r="G848" s="7">
        <v>41.322000000000003</v>
      </c>
      <c r="H848" s="4">
        <v>2.5018699999999998</v>
      </c>
      <c r="I848" s="4">
        <f>ROUND(G848*H848,6)</f>
        <v>103.382272</v>
      </c>
      <c r="L848" s="6">
        <v>0</v>
      </c>
      <c r="M848" s="5">
        <f>ROUND(ROUND(L848,2)*ROUND(G848,3),2)</f>
        <v>0</v>
      </c>
      <c r="N848" s="4" t="s">
        <v>501</v>
      </c>
      <c r="O848">
        <f>(M848*21)/100</f>
        <v>0</v>
      </c>
      <c r="P848" t="s">
        <v>6</v>
      </c>
    </row>
    <row r="849" spans="1:16" ht="26.4" x14ac:dyDescent="0.25">
      <c r="A849" s="3" t="s">
        <v>5</v>
      </c>
      <c r="E849" s="1" t="s">
        <v>1223</v>
      </c>
    </row>
    <row r="850" spans="1:16" ht="66" x14ac:dyDescent="0.25">
      <c r="A850" s="3" t="s">
        <v>3</v>
      </c>
      <c r="E850" s="12" t="s">
        <v>1222</v>
      </c>
    </row>
    <row r="851" spans="1:16" ht="171.6" x14ac:dyDescent="0.25">
      <c r="A851" t="s">
        <v>1</v>
      </c>
      <c r="E851" s="1" t="s">
        <v>1221</v>
      </c>
    </row>
    <row r="852" spans="1:16" ht="13.2" x14ac:dyDescent="0.25">
      <c r="A852" t="s">
        <v>11</v>
      </c>
      <c r="B852" s="9" t="s">
        <v>274</v>
      </c>
      <c r="C852" s="9" t="s">
        <v>1220</v>
      </c>
      <c r="D852" s="3" t="s">
        <v>2</v>
      </c>
      <c r="E852" s="8" t="s">
        <v>1219</v>
      </c>
      <c r="F852" s="4" t="s">
        <v>370</v>
      </c>
      <c r="G852" s="7">
        <v>310.55500000000001</v>
      </c>
      <c r="H852" s="4">
        <v>2.6900000000000001E-3</v>
      </c>
      <c r="I852" s="4">
        <f>ROUND(G852*H852,6)</f>
        <v>0.83539300000000005</v>
      </c>
      <c r="L852" s="6">
        <v>0</v>
      </c>
      <c r="M852" s="5">
        <f>ROUND(ROUND(L852,2)*ROUND(G852,3),2)</f>
        <v>0</v>
      </c>
      <c r="N852" s="4" t="s">
        <v>501</v>
      </c>
      <c r="O852">
        <f>(M852*21)/100</f>
        <v>0</v>
      </c>
      <c r="P852" t="s">
        <v>6</v>
      </c>
    </row>
    <row r="853" spans="1:16" ht="13.2" x14ac:dyDescent="0.25">
      <c r="A853" s="3" t="s">
        <v>5</v>
      </c>
      <c r="E853" s="1" t="s">
        <v>1219</v>
      </c>
    </row>
    <row r="854" spans="1:16" ht="145.19999999999999" x14ac:dyDescent="0.25">
      <c r="A854" s="3" t="s">
        <v>3</v>
      </c>
      <c r="E854" s="12" t="s">
        <v>1218</v>
      </c>
    </row>
    <row r="855" spans="1:16" ht="39.6" x14ac:dyDescent="0.25">
      <c r="A855" t="s">
        <v>1</v>
      </c>
      <c r="E855" s="1" t="s">
        <v>1217</v>
      </c>
    </row>
    <row r="856" spans="1:16" ht="13.2" x14ac:dyDescent="0.25">
      <c r="A856" t="s">
        <v>11</v>
      </c>
      <c r="B856" s="9" t="s">
        <v>271</v>
      </c>
      <c r="C856" s="9" t="s">
        <v>1216</v>
      </c>
      <c r="D856" s="3" t="s">
        <v>2</v>
      </c>
      <c r="E856" s="8" t="s">
        <v>1215</v>
      </c>
      <c r="F856" s="4" t="s">
        <v>370</v>
      </c>
      <c r="G856" s="7">
        <v>310.55500000000001</v>
      </c>
      <c r="H856" s="4">
        <v>0</v>
      </c>
      <c r="I856" s="4">
        <f>ROUND(G856*H856,6)</f>
        <v>0</v>
      </c>
      <c r="L856" s="6">
        <v>0</v>
      </c>
      <c r="M856" s="5">
        <f>ROUND(ROUND(L856,2)*ROUND(G856,3),2)</f>
        <v>0</v>
      </c>
      <c r="N856" s="4" t="s">
        <v>501</v>
      </c>
      <c r="O856">
        <f>(M856*21)/100</f>
        <v>0</v>
      </c>
      <c r="P856" t="s">
        <v>6</v>
      </c>
    </row>
    <row r="857" spans="1:16" ht="13.2" x14ac:dyDescent="0.25">
      <c r="A857" s="3" t="s">
        <v>5</v>
      </c>
      <c r="E857" s="1" t="s">
        <v>1215</v>
      </c>
    </row>
    <row r="858" spans="1:16" ht="13.2" x14ac:dyDescent="0.25">
      <c r="A858" s="3" t="s">
        <v>3</v>
      </c>
      <c r="E858" s="2" t="s">
        <v>2</v>
      </c>
    </row>
    <row r="859" spans="1:16" ht="39.6" x14ac:dyDescent="0.25">
      <c r="A859" t="s">
        <v>1</v>
      </c>
      <c r="E859" s="1" t="s">
        <v>1214</v>
      </c>
    </row>
    <row r="860" spans="1:16" ht="13.2" x14ac:dyDescent="0.25">
      <c r="A860" t="s">
        <v>11</v>
      </c>
      <c r="B860" s="9" t="s">
        <v>268</v>
      </c>
      <c r="C860" s="9" t="s">
        <v>1213</v>
      </c>
      <c r="D860" s="3" t="s">
        <v>2</v>
      </c>
      <c r="E860" s="8" t="s">
        <v>1212</v>
      </c>
      <c r="F860" s="4" t="s">
        <v>542</v>
      </c>
      <c r="G860" s="7">
        <v>7.2220000000000004</v>
      </c>
      <c r="H860" s="4">
        <v>1.0606199999999999</v>
      </c>
      <c r="I860" s="4">
        <f>ROUND(G860*H860,6)</f>
        <v>7.6597980000000003</v>
      </c>
      <c r="L860" s="6">
        <v>0</v>
      </c>
      <c r="M860" s="5">
        <f>ROUND(ROUND(L860,2)*ROUND(G860,3),2)</f>
        <v>0</v>
      </c>
      <c r="N860" s="4" t="s">
        <v>501</v>
      </c>
      <c r="O860">
        <f>(M860*21)/100</f>
        <v>0</v>
      </c>
      <c r="P860" t="s">
        <v>6</v>
      </c>
    </row>
    <row r="861" spans="1:16" ht="13.2" x14ac:dyDescent="0.25">
      <c r="A861" s="3" t="s">
        <v>5</v>
      </c>
      <c r="E861" s="1" t="s">
        <v>1212</v>
      </c>
    </row>
    <row r="862" spans="1:16" ht="26.4" x14ac:dyDescent="0.25">
      <c r="A862" s="3" t="s">
        <v>3</v>
      </c>
      <c r="E862" s="12" t="s">
        <v>1211</v>
      </c>
    </row>
    <row r="863" spans="1:16" ht="26.4" x14ac:dyDescent="0.25">
      <c r="A863" t="s">
        <v>1</v>
      </c>
      <c r="E863" s="1" t="s">
        <v>1210</v>
      </c>
    </row>
    <row r="864" spans="1:16" ht="26.4" x14ac:dyDescent="0.25">
      <c r="A864" t="s">
        <v>11</v>
      </c>
      <c r="B864" s="9" t="s">
        <v>265</v>
      </c>
      <c r="C864" s="9" t="s">
        <v>1209</v>
      </c>
      <c r="D864" s="3" t="s">
        <v>2</v>
      </c>
      <c r="E864" s="8" t="s">
        <v>1208</v>
      </c>
      <c r="F864" s="4" t="s">
        <v>1032</v>
      </c>
      <c r="G864" s="7">
        <v>45.482999999999997</v>
      </c>
      <c r="H864" s="4">
        <v>2.3010199999999998</v>
      </c>
      <c r="I864" s="4">
        <f>ROUND(G864*H864,6)</f>
        <v>104.657293</v>
      </c>
      <c r="L864" s="6">
        <v>0</v>
      </c>
      <c r="M864" s="5">
        <f>ROUND(ROUND(L864,2)*ROUND(G864,3),2)</f>
        <v>0</v>
      </c>
      <c r="N864" s="4" t="s">
        <v>501</v>
      </c>
      <c r="O864">
        <f>(M864*21)/100</f>
        <v>0</v>
      </c>
      <c r="P864" t="s">
        <v>6</v>
      </c>
    </row>
    <row r="865" spans="1:16" ht="26.4" x14ac:dyDescent="0.25">
      <c r="A865" s="3" t="s">
        <v>5</v>
      </c>
      <c r="E865" s="1" t="s">
        <v>1208</v>
      </c>
    </row>
    <row r="866" spans="1:16" ht="118.8" x14ac:dyDescent="0.25">
      <c r="A866" s="3" t="s">
        <v>3</v>
      </c>
      <c r="E866" s="12" t="s">
        <v>1207</v>
      </c>
    </row>
    <row r="867" spans="1:16" ht="105.6" x14ac:dyDescent="0.25">
      <c r="A867" t="s">
        <v>1</v>
      </c>
      <c r="E867" s="1" t="s">
        <v>1206</v>
      </c>
    </row>
    <row r="868" spans="1:16" ht="26.4" x14ac:dyDescent="0.25">
      <c r="A868" t="s">
        <v>11</v>
      </c>
      <c r="B868" s="9" t="s">
        <v>262</v>
      </c>
      <c r="C868" s="9" t="s">
        <v>1205</v>
      </c>
      <c r="D868" s="3" t="s">
        <v>2</v>
      </c>
      <c r="E868" s="8" t="s">
        <v>1204</v>
      </c>
      <c r="F868" s="4" t="s">
        <v>1032</v>
      </c>
      <c r="G868" s="7">
        <v>35.722000000000001</v>
      </c>
      <c r="H868" s="4">
        <v>2.3010199999999998</v>
      </c>
      <c r="I868" s="4">
        <f>ROUND(G868*H868,6)</f>
        <v>82.197035999999997</v>
      </c>
      <c r="L868" s="6">
        <v>0</v>
      </c>
      <c r="M868" s="5">
        <f>ROUND(ROUND(L868,2)*ROUND(G868,3),2)</f>
        <v>0</v>
      </c>
      <c r="N868" s="4" t="s">
        <v>501</v>
      </c>
      <c r="O868">
        <f>(M868*21)/100</f>
        <v>0</v>
      </c>
      <c r="P868" t="s">
        <v>6</v>
      </c>
    </row>
    <row r="869" spans="1:16" ht="26.4" x14ac:dyDescent="0.25">
      <c r="A869" s="3" t="s">
        <v>5</v>
      </c>
      <c r="E869" s="1" t="s">
        <v>1204</v>
      </c>
    </row>
    <row r="870" spans="1:16" ht="66" x14ac:dyDescent="0.25">
      <c r="A870" s="3" t="s">
        <v>3</v>
      </c>
      <c r="E870" s="12" t="s">
        <v>1203</v>
      </c>
    </row>
    <row r="871" spans="1:16" ht="105.6" x14ac:dyDescent="0.25">
      <c r="A871" t="s">
        <v>1</v>
      </c>
      <c r="E871" s="1" t="s">
        <v>1202</v>
      </c>
    </row>
    <row r="872" spans="1:16" ht="26.4" x14ac:dyDescent="0.25">
      <c r="A872" t="s">
        <v>11</v>
      </c>
      <c r="B872" s="9" t="s">
        <v>259</v>
      </c>
      <c r="C872" s="9" t="s">
        <v>1201</v>
      </c>
      <c r="D872" s="3" t="s">
        <v>2</v>
      </c>
      <c r="E872" s="8" t="s">
        <v>1200</v>
      </c>
      <c r="F872" s="4" t="s">
        <v>1032</v>
      </c>
      <c r="G872" s="7">
        <v>54.45</v>
      </c>
      <c r="H872" s="4">
        <v>2.5018699999999998</v>
      </c>
      <c r="I872" s="4">
        <f>ROUND(G872*H872,6)</f>
        <v>136.226822</v>
      </c>
      <c r="L872" s="6">
        <v>0</v>
      </c>
      <c r="M872" s="5">
        <f>ROUND(ROUND(L872,2)*ROUND(G872,3),2)</f>
        <v>0</v>
      </c>
      <c r="N872" s="4" t="s">
        <v>501</v>
      </c>
      <c r="O872">
        <f>(M872*21)/100</f>
        <v>0</v>
      </c>
      <c r="P872" t="s">
        <v>6</v>
      </c>
    </row>
    <row r="873" spans="1:16" ht="26.4" x14ac:dyDescent="0.25">
      <c r="A873" s="3" t="s">
        <v>5</v>
      </c>
      <c r="E873" s="1" t="s">
        <v>1200</v>
      </c>
    </row>
    <row r="874" spans="1:16" ht="26.4" x14ac:dyDescent="0.25">
      <c r="A874" s="3" t="s">
        <v>3</v>
      </c>
      <c r="E874" s="12" t="s">
        <v>1199</v>
      </c>
    </row>
    <row r="875" spans="1:16" ht="171.6" x14ac:dyDescent="0.25">
      <c r="A875" t="s">
        <v>1</v>
      </c>
      <c r="E875" s="1" t="s">
        <v>1198</v>
      </c>
    </row>
    <row r="876" spans="1:16" ht="13.2" x14ac:dyDescent="0.25">
      <c r="A876" t="s">
        <v>11</v>
      </c>
      <c r="B876" s="9" t="s">
        <v>255</v>
      </c>
      <c r="C876" s="9" t="s">
        <v>1196</v>
      </c>
      <c r="D876" s="3" t="s">
        <v>2</v>
      </c>
      <c r="E876" s="8" t="s">
        <v>1195</v>
      </c>
      <c r="F876" s="4" t="s">
        <v>370</v>
      </c>
      <c r="G876" s="7">
        <v>337.59</v>
      </c>
      <c r="H876" s="4">
        <v>2.64E-3</v>
      </c>
      <c r="I876" s="4">
        <f>ROUND(G876*H876,6)</f>
        <v>0.89123799999999997</v>
      </c>
      <c r="L876" s="6">
        <v>0</v>
      </c>
      <c r="M876" s="5">
        <f>ROUND(ROUND(L876,2)*ROUND(G876,3),2)</f>
        <v>0</v>
      </c>
      <c r="N876" s="4" t="s">
        <v>501</v>
      </c>
      <c r="O876">
        <f>(M876*21)/100</f>
        <v>0</v>
      </c>
      <c r="P876" t="s">
        <v>6</v>
      </c>
    </row>
    <row r="877" spans="1:16" ht="13.2" x14ac:dyDescent="0.25">
      <c r="A877" s="3" t="s">
        <v>5</v>
      </c>
      <c r="E877" s="1" t="s">
        <v>1195</v>
      </c>
    </row>
    <row r="878" spans="1:16" ht="184.8" x14ac:dyDescent="0.25">
      <c r="A878" s="3" t="s">
        <v>3</v>
      </c>
      <c r="E878" s="12" t="s">
        <v>1197</v>
      </c>
    </row>
    <row r="879" spans="1:16" ht="39.6" x14ac:dyDescent="0.25">
      <c r="A879" t="s">
        <v>1</v>
      </c>
      <c r="E879" s="1" t="s">
        <v>1193</v>
      </c>
    </row>
    <row r="880" spans="1:16" ht="13.2" x14ac:dyDescent="0.25">
      <c r="A880" t="s">
        <v>11</v>
      </c>
      <c r="B880" s="9" t="s">
        <v>252</v>
      </c>
      <c r="C880" s="9" t="s">
        <v>1196</v>
      </c>
      <c r="D880" s="3" t="s">
        <v>48</v>
      </c>
      <c r="E880" s="8" t="s">
        <v>1195</v>
      </c>
      <c r="F880" s="4" t="s">
        <v>370</v>
      </c>
      <c r="G880" s="7">
        <v>70.349999999999994</v>
      </c>
      <c r="H880" s="4">
        <v>2.64E-3</v>
      </c>
      <c r="I880" s="4">
        <f>ROUND(G880*H880,6)</f>
        <v>0.185724</v>
      </c>
      <c r="L880" s="6">
        <v>0</v>
      </c>
      <c r="M880" s="5">
        <f>ROUND(ROUND(L880,2)*ROUND(G880,3),2)</f>
        <v>0</v>
      </c>
      <c r="N880" s="4" t="s">
        <v>501</v>
      </c>
      <c r="O880">
        <f>(M880*21)/100</f>
        <v>0</v>
      </c>
      <c r="P880" t="s">
        <v>6</v>
      </c>
    </row>
    <row r="881" spans="1:16" ht="13.2" x14ac:dyDescent="0.25">
      <c r="A881" s="3" t="s">
        <v>5</v>
      </c>
      <c r="E881" s="1" t="s">
        <v>1195</v>
      </c>
    </row>
    <row r="882" spans="1:16" ht="26.4" x14ac:dyDescent="0.25">
      <c r="A882" s="3" t="s">
        <v>3</v>
      </c>
      <c r="E882" s="12" t="s">
        <v>1194</v>
      </c>
    </row>
    <row r="883" spans="1:16" ht="39.6" x14ac:dyDescent="0.25">
      <c r="A883" t="s">
        <v>1</v>
      </c>
      <c r="E883" s="1" t="s">
        <v>1193</v>
      </c>
    </row>
    <row r="884" spans="1:16" ht="13.2" x14ac:dyDescent="0.25">
      <c r="A884" t="s">
        <v>11</v>
      </c>
      <c r="B884" s="9" t="s">
        <v>249</v>
      </c>
      <c r="C884" s="9" t="s">
        <v>1192</v>
      </c>
      <c r="D884" s="3" t="s">
        <v>2</v>
      </c>
      <c r="E884" s="8" t="s">
        <v>1191</v>
      </c>
      <c r="F884" s="4" t="s">
        <v>370</v>
      </c>
      <c r="G884" s="7">
        <v>337.59</v>
      </c>
      <c r="H884" s="4">
        <v>0</v>
      </c>
      <c r="I884" s="4">
        <f>ROUND(G884*H884,6)</f>
        <v>0</v>
      </c>
      <c r="L884" s="6">
        <v>0</v>
      </c>
      <c r="M884" s="5">
        <f>ROUND(ROUND(L884,2)*ROUND(G884,3),2)</f>
        <v>0</v>
      </c>
      <c r="N884" s="4" t="s">
        <v>501</v>
      </c>
      <c r="O884">
        <f>(M884*21)/100</f>
        <v>0</v>
      </c>
      <c r="P884" t="s">
        <v>6</v>
      </c>
    </row>
    <row r="885" spans="1:16" ht="13.2" x14ac:dyDescent="0.25">
      <c r="A885" s="3" t="s">
        <v>5</v>
      </c>
      <c r="E885" s="1" t="s">
        <v>1191</v>
      </c>
    </row>
    <row r="886" spans="1:16" ht="13.2" x14ac:dyDescent="0.25">
      <c r="A886" s="3" t="s">
        <v>3</v>
      </c>
      <c r="E886" s="2" t="s">
        <v>2</v>
      </c>
    </row>
    <row r="887" spans="1:16" ht="39.6" x14ac:dyDescent="0.25">
      <c r="A887" t="s">
        <v>1</v>
      </c>
      <c r="E887" s="1" t="s">
        <v>1190</v>
      </c>
    </row>
    <row r="888" spans="1:16" ht="13.2" x14ac:dyDescent="0.25">
      <c r="A888" t="s">
        <v>11</v>
      </c>
      <c r="B888" s="9" t="s">
        <v>246</v>
      </c>
      <c r="C888" s="9" t="s">
        <v>1192</v>
      </c>
      <c r="D888" s="3" t="s">
        <v>48</v>
      </c>
      <c r="E888" s="8" t="s">
        <v>1191</v>
      </c>
      <c r="F888" s="4" t="s">
        <v>370</v>
      </c>
      <c r="G888" s="7">
        <v>70.349999999999994</v>
      </c>
      <c r="H888" s="4">
        <v>0</v>
      </c>
      <c r="I888" s="4">
        <f>ROUND(G888*H888,6)</f>
        <v>0</v>
      </c>
      <c r="L888" s="6">
        <v>0</v>
      </c>
      <c r="M888" s="5">
        <f>ROUND(ROUND(L888,2)*ROUND(G888,3),2)</f>
        <v>0</v>
      </c>
      <c r="N888" s="4" t="s">
        <v>501</v>
      </c>
      <c r="O888">
        <f>(M888*21)/100</f>
        <v>0</v>
      </c>
      <c r="P888" t="s">
        <v>6</v>
      </c>
    </row>
    <row r="889" spans="1:16" ht="13.2" x14ac:dyDescent="0.25">
      <c r="A889" s="3" t="s">
        <v>5</v>
      </c>
      <c r="E889" s="1" t="s">
        <v>1191</v>
      </c>
    </row>
    <row r="890" spans="1:16" ht="13.2" x14ac:dyDescent="0.25">
      <c r="A890" s="3" t="s">
        <v>3</v>
      </c>
      <c r="E890" s="2" t="s">
        <v>2</v>
      </c>
    </row>
    <row r="891" spans="1:16" ht="39.6" x14ac:dyDescent="0.25">
      <c r="A891" t="s">
        <v>1</v>
      </c>
      <c r="E891" s="1" t="s">
        <v>1190</v>
      </c>
    </row>
    <row r="892" spans="1:16" ht="13.2" x14ac:dyDescent="0.25">
      <c r="A892" t="s">
        <v>11</v>
      </c>
      <c r="B892" s="9" t="s">
        <v>243</v>
      </c>
      <c r="C892" s="9" t="s">
        <v>1189</v>
      </c>
      <c r="D892" s="3" t="s">
        <v>2</v>
      </c>
      <c r="E892" s="8" t="s">
        <v>1188</v>
      </c>
      <c r="F892" s="4" t="s">
        <v>542</v>
      </c>
      <c r="G892" s="7">
        <v>0.44700000000000001</v>
      </c>
      <c r="H892" s="4">
        <v>1.0606199999999999</v>
      </c>
      <c r="I892" s="4">
        <f>ROUND(G892*H892,6)</f>
        <v>0.47409699999999999</v>
      </c>
      <c r="L892" s="6">
        <v>0</v>
      </c>
      <c r="M892" s="5">
        <f>ROUND(ROUND(L892,2)*ROUND(G892,3),2)</f>
        <v>0</v>
      </c>
      <c r="N892" s="4" t="s">
        <v>501</v>
      </c>
      <c r="O892">
        <f>(M892*21)/100</f>
        <v>0</v>
      </c>
      <c r="P892" t="s">
        <v>6</v>
      </c>
    </row>
    <row r="893" spans="1:16" ht="13.2" x14ac:dyDescent="0.25">
      <c r="A893" s="3" t="s">
        <v>5</v>
      </c>
      <c r="E893" s="1" t="s">
        <v>1188</v>
      </c>
    </row>
    <row r="894" spans="1:16" ht="118.8" x14ac:dyDescent="0.25">
      <c r="A894" s="3" t="s">
        <v>3</v>
      </c>
      <c r="E894" s="12" t="s">
        <v>1187</v>
      </c>
    </row>
    <row r="895" spans="1:16" ht="26.4" x14ac:dyDescent="0.25">
      <c r="A895" t="s">
        <v>1</v>
      </c>
      <c r="E895" s="1" t="s">
        <v>1186</v>
      </c>
    </row>
    <row r="896" spans="1:16" ht="26.4" x14ac:dyDescent="0.25">
      <c r="A896" t="s">
        <v>11</v>
      </c>
      <c r="B896" s="9" t="s">
        <v>240</v>
      </c>
      <c r="C896" s="9" t="s">
        <v>1185</v>
      </c>
      <c r="D896" s="3" t="s">
        <v>2</v>
      </c>
      <c r="E896" s="8" t="s">
        <v>1184</v>
      </c>
      <c r="F896" s="4" t="s">
        <v>1032</v>
      </c>
      <c r="G896" s="7">
        <v>142.48099999999999</v>
      </c>
      <c r="H896" s="4">
        <v>2.5018699999999998</v>
      </c>
      <c r="I896" s="4">
        <f>ROUND(G896*H896,6)</f>
        <v>356.46893899999998</v>
      </c>
      <c r="L896" s="6">
        <v>0</v>
      </c>
      <c r="M896" s="5">
        <f>ROUND(ROUND(L896,2)*ROUND(G896,3),2)</f>
        <v>0</v>
      </c>
      <c r="N896" s="4" t="s">
        <v>501</v>
      </c>
      <c r="O896">
        <f>(M896*21)/100</f>
        <v>0</v>
      </c>
      <c r="P896" t="s">
        <v>6</v>
      </c>
    </row>
    <row r="897" spans="1:16" ht="26.4" x14ac:dyDescent="0.25">
      <c r="A897" s="3" t="s">
        <v>5</v>
      </c>
      <c r="E897" s="1" t="s">
        <v>1184</v>
      </c>
    </row>
    <row r="898" spans="1:16" ht="66" x14ac:dyDescent="0.25">
      <c r="A898" s="3" t="s">
        <v>3</v>
      </c>
      <c r="E898" s="12" t="s">
        <v>1183</v>
      </c>
    </row>
    <row r="899" spans="1:16" ht="171.6" x14ac:dyDescent="0.25">
      <c r="A899" t="s">
        <v>1</v>
      </c>
      <c r="E899" s="1" t="s">
        <v>1182</v>
      </c>
    </row>
    <row r="900" spans="1:16" ht="26.4" x14ac:dyDescent="0.25">
      <c r="A900" t="s">
        <v>11</v>
      </c>
      <c r="B900" s="9" t="s">
        <v>237</v>
      </c>
      <c r="C900" s="9" t="s">
        <v>1181</v>
      </c>
      <c r="D900" s="3" t="s">
        <v>2</v>
      </c>
      <c r="E900" s="8" t="s">
        <v>1180</v>
      </c>
      <c r="F900" s="4" t="s">
        <v>1032</v>
      </c>
      <c r="G900" s="7">
        <v>71.819999999999993</v>
      </c>
      <c r="H900" s="4">
        <v>2.5018699999999998</v>
      </c>
      <c r="I900" s="4">
        <f>ROUND(G900*H900,6)</f>
        <v>179.684303</v>
      </c>
      <c r="L900" s="6">
        <v>0</v>
      </c>
      <c r="M900" s="5">
        <f>ROUND(ROUND(L900,2)*ROUND(G900,3),2)</f>
        <v>0</v>
      </c>
      <c r="N900" s="4" t="s">
        <v>501</v>
      </c>
      <c r="O900">
        <f>(M900*21)/100</f>
        <v>0</v>
      </c>
      <c r="P900" t="s">
        <v>6</v>
      </c>
    </row>
    <row r="901" spans="1:16" ht="26.4" x14ac:dyDescent="0.25">
      <c r="A901" s="3" t="s">
        <v>5</v>
      </c>
      <c r="E901" s="1" t="s">
        <v>1180</v>
      </c>
    </row>
    <row r="902" spans="1:16" ht="52.8" x14ac:dyDescent="0.25">
      <c r="A902" s="3" t="s">
        <v>3</v>
      </c>
      <c r="E902" s="12" t="s">
        <v>1179</v>
      </c>
    </row>
    <row r="903" spans="1:16" ht="171.6" x14ac:dyDescent="0.25">
      <c r="A903" t="s">
        <v>1</v>
      </c>
      <c r="E903" s="1" t="s">
        <v>1178</v>
      </c>
    </row>
    <row r="904" spans="1:16" ht="13.2" x14ac:dyDescent="0.25">
      <c r="A904" t="s">
        <v>11</v>
      </c>
      <c r="B904" s="9" t="s">
        <v>234</v>
      </c>
      <c r="C904" s="9" t="s">
        <v>1176</v>
      </c>
      <c r="D904" s="3" t="s">
        <v>2</v>
      </c>
      <c r="E904" s="8" t="s">
        <v>1175</v>
      </c>
      <c r="F904" s="4" t="s">
        <v>370</v>
      </c>
      <c r="G904" s="7">
        <v>3.24</v>
      </c>
      <c r="H904" s="4">
        <v>2.7499999999999998E-3</v>
      </c>
      <c r="I904" s="4">
        <f>ROUND(G904*H904,6)</f>
        <v>8.9099999999999995E-3</v>
      </c>
      <c r="L904" s="6">
        <v>0</v>
      </c>
      <c r="M904" s="5">
        <f>ROUND(ROUND(L904,2)*ROUND(G904,3),2)</f>
        <v>0</v>
      </c>
      <c r="N904" s="4" t="s">
        <v>501</v>
      </c>
      <c r="O904">
        <f>(M904*21)/100</f>
        <v>0</v>
      </c>
      <c r="P904" t="s">
        <v>6</v>
      </c>
    </row>
    <row r="905" spans="1:16" ht="13.2" x14ac:dyDescent="0.25">
      <c r="A905" s="3" t="s">
        <v>5</v>
      </c>
      <c r="E905" s="1" t="s">
        <v>1175</v>
      </c>
    </row>
    <row r="906" spans="1:16" ht="13.2" x14ac:dyDescent="0.25">
      <c r="A906" s="3" t="s">
        <v>3</v>
      </c>
      <c r="E906" s="2" t="s">
        <v>1177</v>
      </c>
    </row>
    <row r="907" spans="1:16" ht="52.8" x14ac:dyDescent="0.25">
      <c r="A907" t="s">
        <v>1</v>
      </c>
      <c r="E907" s="1" t="s">
        <v>1173</v>
      </c>
    </row>
    <row r="908" spans="1:16" ht="13.2" x14ac:dyDescent="0.25">
      <c r="A908" t="s">
        <v>11</v>
      </c>
      <c r="B908" s="9" t="s">
        <v>231</v>
      </c>
      <c r="C908" s="9" t="s">
        <v>1176</v>
      </c>
      <c r="D908" s="3" t="s">
        <v>48</v>
      </c>
      <c r="E908" s="8" t="s">
        <v>1175</v>
      </c>
      <c r="F908" s="4" t="s">
        <v>370</v>
      </c>
      <c r="G908" s="7">
        <v>574.55600000000004</v>
      </c>
      <c r="H908" s="4">
        <v>2.7499999999999998E-3</v>
      </c>
      <c r="I908" s="4">
        <f>ROUND(G908*H908,6)</f>
        <v>1.5800289999999999</v>
      </c>
      <c r="L908" s="6">
        <v>0</v>
      </c>
      <c r="M908" s="5">
        <f>ROUND(ROUND(L908,2)*ROUND(G908,3),2)</f>
        <v>0</v>
      </c>
      <c r="N908" s="4" t="s">
        <v>501</v>
      </c>
      <c r="O908">
        <f>(M908*21)/100</f>
        <v>0</v>
      </c>
      <c r="P908" t="s">
        <v>6</v>
      </c>
    </row>
    <row r="909" spans="1:16" ht="13.2" x14ac:dyDescent="0.25">
      <c r="A909" s="3" t="s">
        <v>5</v>
      </c>
      <c r="E909" s="1" t="s">
        <v>1175</v>
      </c>
    </row>
    <row r="910" spans="1:16" ht="52.8" x14ac:dyDescent="0.25">
      <c r="A910" s="3" t="s">
        <v>3</v>
      </c>
      <c r="E910" s="12" t="s">
        <v>1174</v>
      </c>
    </row>
    <row r="911" spans="1:16" ht="52.8" x14ac:dyDescent="0.25">
      <c r="A911" t="s">
        <v>1</v>
      </c>
      <c r="E911" s="1" t="s">
        <v>1173</v>
      </c>
    </row>
    <row r="912" spans="1:16" ht="13.2" x14ac:dyDescent="0.25">
      <c r="A912" t="s">
        <v>11</v>
      </c>
      <c r="B912" s="9" t="s">
        <v>228</v>
      </c>
      <c r="C912" s="9" t="s">
        <v>1172</v>
      </c>
      <c r="D912" s="3" t="s">
        <v>2</v>
      </c>
      <c r="E912" s="8" t="s">
        <v>1171</v>
      </c>
      <c r="F912" s="4" t="s">
        <v>370</v>
      </c>
      <c r="G912" s="7">
        <v>3.24</v>
      </c>
      <c r="H912" s="4">
        <v>0</v>
      </c>
      <c r="I912" s="4">
        <f>ROUND(G912*H912,6)</f>
        <v>0</v>
      </c>
      <c r="L912" s="6">
        <v>0</v>
      </c>
      <c r="M912" s="5">
        <f>ROUND(ROUND(L912,2)*ROUND(G912,3),2)</f>
        <v>0</v>
      </c>
      <c r="N912" s="4" t="s">
        <v>501</v>
      </c>
      <c r="O912">
        <f>(M912*21)/100</f>
        <v>0</v>
      </c>
      <c r="P912" t="s">
        <v>6</v>
      </c>
    </row>
    <row r="913" spans="1:16" ht="13.2" x14ac:dyDescent="0.25">
      <c r="A913" s="3" t="s">
        <v>5</v>
      </c>
      <c r="E913" s="1" t="s">
        <v>1171</v>
      </c>
    </row>
    <row r="914" spans="1:16" ht="13.2" x14ac:dyDescent="0.25">
      <c r="A914" s="3" t="s">
        <v>3</v>
      </c>
      <c r="E914" s="2" t="s">
        <v>2</v>
      </c>
    </row>
    <row r="915" spans="1:16" ht="52.8" x14ac:dyDescent="0.25">
      <c r="A915" t="s">
        <v>1</v>
      </c>
      <c r="E915" s="1" t="s">
        <v>1170</v>
      </c>
    </row>
    <row r="916" spans="1:16" ht="13.2" x14ac:dyDescent="0.25">
      <c r="A916" t="s">
        <v>11</v>
      </c>
      <c r="B916" s="9" t="s">
        <v>225</v>
      </c>
      <c r="C916" s="9" t="s">
        <v>1172</v>
      </c>
      <c r="D916" s="3" t="s">
        <v>48</v>
      </c>
      <c r="E916" s="8" t="s">
        <v>1171</v>
      </c>
      <c r="F916" s="4" t="s">
        <v>370</v>
      </c>
      <c r="G916" s="7">
        <v>574.55600000000004</v>
      </c>
      <c r="H916" s="4">
        <v>0</v>
      </c>
      <c r="I916" s="4">
        <f>ROUND(G916*H916,6)</f>
        <v>0</v>
      </c>
      <c r="L916" s="6">
        <v>0</v>
      </c>
      <c r="M916" s="5">
        <f>ROUND(ROUND(L916,2)*ROUND(G916,3),2)</f>
        <v>0</v>
      </c>
      <c r="N916" s="4" t="s">
        <v>501</v>
      </c>
      <c r="O916">
        <f>(M916*21)/100</f>
        <v>0</v>
      </c>
      <c r="P916" t="s">
        <v>6</v>
      </c>
    </row>
    <row r="917" spans="1:16" ht="13.2" x14ac:dyDescent="0.25">
      <c r="A917" s="3" t="s">
        <v>5</v>
      </c>
      <c r="E917" s="1" t="s">
        <v>1171</v>
      </c>
    </row>
    <row r="918" spans="1:16" ht="13.2" x14ac:dyDescent="0.25">
      <c r="A918" s="3" t="s">
        <v>3</v>
      </c>
      <c r="E918" s="2" t="s">
        <v>2</v>
      </c>
    </row>
    <row r="919" spans="1:16" ht="52.8" x14ac:dyDescent="0.25">
      <c r="A919" t="s">
        <v>1</v>
      </c>
      <c r="E919" s="1" t="s">
        <v>1170</v>
      </c>
    </row>
    <row r="920" spans="1:16" ht="13.2" x14ac:dyDescent="0.25">
      <c r="A920" t="s">
        <v>11</v>
      </c>
      <c r="B920" s="9" t="s">
        <v>222</v>
      </c>
      <c r="C920" s="9" t="s">
        <v>1169</v>
      </c>
      <c r="D920" s="3" t="s">
        <v>2</v>
      </c>
      <c r="E920" s="8" t="s">
        <v>1168</v>
      </c>
      <c r="F920" s="4" t="s">
        <v>370</v>
      </c>
      <c r="G920" s="7">
        <v>260.48</v>
      </c>
      <c r="H920" s="4">
        <v>3.46E-3</v>
      </c>
      <c r="I920" s="4">
        <f>ROUND(G920*H920,6)</f>
        <v>0.90126099999999998</v>
      </c>
      <c r="L920" s="6">
        <v>0</v>
      </c>
      <c r="M920" s="5">
        <f>ROUND(ROUND(L920,2)*ROUND(G920,3),2)</f>
        <v>0</v>
      </c>
      <c r="N920" s="4" t="s">
        <v>501</v>
      </c>
      <c r="O920">
        <f>(M920*21)/100</f>
        <v>0</v>
      </c>
      <c r="P920" t="s">
        <v>6</v>
      </c>
    </row>
    <row r="921" spans="1:16" ht="13.2" x14ac:dyDescent="0.25">
      <c r="A921" s="3" t="s">
        <v>5</v>
      </c>
      <c r="E921" s="1" t="s">
        <v>1168</v>
      </c>
    </row>
    <row r="922" spans="1:16" ht="52.8" x14ac:dyDescent="0.25">
      <c r="A922" s="3" t="s">
        <v>3</v>
      </c>
      <c r="E922" s="12" t="s">
        <v>1167</v>
      </c>
    </row>
    <row r="923" spans="1:16" ht="52.8" x14ac:dyDescent="0.25">
      <c r="A923" t="s">
        <v>1</v>
      </c>
      <c r="E923" s="1" t="s">
        <v>1166</v>
      </c>
    </row>
    <row r="924" spans="1:16" ht="13.2" x14ac:dyDescent="0.25">
      <c r="A924" t="s">
        <v>11</v>
      </c>
      <c r="B924" s="9" t="s">
        <v>219</v>
      </c>
      <c r="C924" s="9" t="s">
        <v>1165</v>
      </c>
      <c r="D924" s="3" t="s">
        <v>2</v>
      </c>
      <c r="E924" s="8" t="s">
        <v>1164</v>
      </c>
      <c r="F924" s="4" t="s">
        <v>370</v>
      </c>
      <c r="G924" s="7">
        <v>260.48</v>
      </c>
      <c r="H924" s="4">
        <v>0</v>
      </c>
      <c r="I924" s="4">
        <f>ROUND(G924*H924,6)</f>
        <v>0</v>
      </c>
      <c r="L924" s="6">
        <v>0</v>
      </c>
      <c r="M924" s="5">
        <f>ROUND(ROUND(L924,2)*ROUND(G924,3),2)</f>
        <v>0</v>
      </c>
      <c r="N924" s="4" t="s">
        <v>501</v>
      </c>
      <c r="O924">
        <f>(M924*21)/100</f>
        <v>0</v>
      </c>
      <c r="P924" t="s">
        <v>6</v>
      </c>
    </row>
    <row r="925" spans="1:16" ht="13.2" x14ac:dyDescent="0.25">
      <c r="A925" s="3" t="s">
        <v>5</v>
      </c>
      <c r="E925" s="1" t="s">
        <v>1164</v>
      </c>
    </row>
    <row r="926" spans="1:16" ht="13.2" x14ac:dyDescent="0.25">
      <c r="A926" s="3" t="s">
        <v>3</v>
      </c>
      <c r="E926" s="2" t="s">
        <v>2</v>
      </c>
    </row>
    <row r="927" spans="1:16" ht="52.8" x14ac:dyDescent="0.25">
      <c r="A927" t="s">
        <v>1</v>
      </c>
      <c r="E927" s="1" t="s">
        <v>1163</v>
      </c>
    </row>
    <row r="928" spans="1:16" ht="26.4" x14ac:dyDescent="0.25">
      <c r="A928" t="s">
        <v>11</v>
      </c>
      <c r="B928" s="9" t="s">
        <v>216</v>
      </c>
      <c r="C928" s="9" t="s">
        <v>1162</v>
      </c>
      <c r="D928" s="3" t="s">
        <v>2</v>
      </c>
      <c r="E928" s="8" t="s">
        <v>1161</v>
      </c>
      <c r="F928" s="4" t="s">
        <v>542</v>
      </c>
      <c r="G928" s="7">
        <v>38.478000000000002</v>
      </c>
      <c r="H928" s="4">
        <v>1.0593999999999999</v>
      </c>
      <c r="I928" s="4">
        <f>ROUND(G928*H928,6)</f>
        <v>40.763593</v>
      </c>
      <c r="L928" s="6">
        <v>0</v>
      </c>
      <c r="M928" s="5">
        <f>ROUND(ROUND(L928,2)*ROUND(G928,3),2)</f>
        <v>0</v>
      </c>
      <c r="N928" s="4" t="s">
        <v>501</v>
      </c>
      <c r="O928">
        <f>(M928*21)/100</f>
        <v>0</v>
      </c>
      <c r="P928" t="s">
        <v>6</v>
      </c>
    </row>
    <row r="929" spans="1:16" ht="39.6" x14ac:dyDescent="0.25">
      <c r="A929" s="3" t="s">
        <v>5</v>
      </c>
      <c r="E929" s="1" t="s">
        <v>1160</v>
      </c>
    </row>
    <row r="930" spans="1:16" ht="13.2" x14ac:dyDescent="0.25">
      <c r="A930" s="3" t="s">
        <v>3</v>
      </c>
      <c r="E930" s="2" t="s">
        <v>2</v>
      </c>
    </row>
    <row r="931" spans="1:16" ht="39.6" x14ac:dyDescent="0.25">
      <c r="A931" t="s">
        <v>1</v>
      </c>
      <c r="E931" s="1" t="s">
        <v>1160</v>
      </c>
    </row>
    <row r="932" spans="1:16" ht="26.4" x14ac:dyDescent="0.25">
      <c r="A932" t="s">
        <v>11</v>
      </c>
      <c r="B932" s="9" t="s">
        <v>213</v>
      </c>
      <c r="C932" s="9" t="s">
        <v>1162</v>
      </c>
      <c r="D932" s="3" t="s">
        <v>48</v>
      </c>
      <c r="E932" s="8" t="s">
        <v>1161</v>
      </c>
      <c r="F932" s="4" t="s">
        <v>542</v>
      </c>
      <c r="G932" s="7">
        <v>10.773</v>
      </c>
      <c r="H932" s="4">
        <v>1.0593999999999999</v>
      </c>
      <c r="I932" s="4">
        <f>ROUND(G932*H932,6)</f>
        <v>11.412915999999999</v>
      </c>
      <c r="L932" s="6">
        <v>0</v>
      </c>
      <c r="M932" s="5">
        <f>ROUND(ROUND(L932,2)*ROUND(G932,3),2)</f>
        <v>0</v>
      </c>
      <c r="N932" s="4" t="s">
        <v>501</v>
      </c>
      <c r="O932">
        <f>(M932*21)/100</f>
        <v>0</v>
      </c>
      <c r="P932" t="s">
        <v>6</v>
      </c>
    </row>
    <row r="933" spans="1:16" ht="39.6" x14ac:dyDescent="0.25">
      <c r="A933" s="3" t="s">
        <v>5</v>
      </c>
      <c r="E933" s="1" t="s">
        <v>1160</v>
      </c>
    </row>
    <row r="934" spans="1:16" ht="13.2" x14ac:dyDescent="0.25">
      <c r="A934" s="3" t="s">
        <v>3</v>
      </c>
      <c r="E934" s="2" t="s">
        <v>2</v>
      </c>
    </row>
    <row r="935" spans="1:16" ht="39.6" x14ac:dyDescent="0.25">
      <c r="A935" t="s">
        <v>1</v>
      </c>
      <c r="E935" s="1" t="s">
        <v>1160</v>
      </c>
    </row>
    <row r="936" spans="1:16" ht="13.2" x14ac:dyDescent="0.25">
      <c r="A936" t="s">
        <v>11</v>
      </c>
      <c r="B936" s="9" t="s">
        <v>210</v>
      </c>
      <c r="C936" s="9" t="s">
        <v>1159</v>
      </c>
      <c r="D936" s="3" t="s">
        <v>2</v>
      </c>
      <c r="E936" s="8" t="s">
        <v>1157</v>
      </c>
      <c r="F936" s="4" t="s">
        <v>1032</v>
      </c>
      <c r="G936" s="7">
        <v>215.553</v>
      </c>
      <c r="H936" s="4">
        <v>2.4289999999999998</v>
      </c>
      <c r="I936" s="4">
        <f>ROUND(G936*H936,6)</f>
        <v>523.57823699999994</v>
      </c>
      <c r="L936" s="6">
        <v>0</v>
      </c>
      <c r="M936" s="5">
        <f>ROUND(ROUND(L936,2)*ROUND(G936,3),2)</f>
        <v>0</v>
      </c>
      <c r="N936" s="4" t="s">
        <v>501</v>
      </c>
      <c r="O936">
        <f>(M936*21)/100</f>
        <v>0</v>
      </c>
      <c r="P936" t="s">
        <v>6</v>
      </c>
    </row>
    <row r="937" spans="1:16" ht="13.2" x14ac:dyDescent="0.25">
      <c r="A937" s="3" t="s">
        <v>5</v>
      </c>
      <c r="E937" s="1" t="s">
        <v>1157</v>
      </c>
    </row>
    <row r="938" spans="1:16" ht="66" x14ac:dyDescent="0.25">
      <c r="A938" s="3" t="s">
        <v>3</v>
      </c>
      <c r="E938" s="12" t="s">
        <v>1158</v>
      </c>
    </row>
    <row r="939" spans="1:16" ht="13.2" x14ac:dyDescent="0.25">
      <c r="A939" t="s">
        <v>1</v>
      </c>
      <c r="E939" s="1" t="s">
        <v>1157</v>
      </c>
    </row>
    <row r="940" spans="1:16" ht="13.2" x14ac:dyDescent="0.25">
      <c r="A940" t="s">
        <v>50</v>
      </c>
      <c r="C940" s="11" t="s">
        <v>39</v>
      </c>
      <c r="E940" s="10" t="s">
        <v>1034</v>
      </c>
      <c r="J940" s="5">
        <f>0</f>
        <v>0</v>
      </c>
      <c r="K940" s="5">
        <f>0</f>
        <v>0</v>
      </c>
      <c r="L940" s="5">
        <f>0+L941+L945+L949</f>
        <v>0</v>
      </c>
      <c r="M940" s="5">
        <f>0+M941+M945+M949</f>
        <v>0</v>
      </c>
    </row>
    <row r="941" spans="1:16" ht="39.6" x14ac:dyDescent="0.25">
      <c r="A941" t="s">
        <v>11</v>
      </c>
      <c r="B941" s="9" t="s">
        <v>207</v>
      </c>
      <c r="C941" s="9" t="s">
        <v>1156</v>
      </c>
      <c r="D941" s="3" t="s">
        <v>2</v>
      </c>
      <c r="E941" s="8" t="s">
        <v>1155</v>
      </c>
      <c r="F941" s="4" t="s">
        <v>1032</v>
      </c>
      <c r="G941" s="7">
        <v>1.008</v>
      </c>
      <c r="H941" s="4">
        <v>2.5020099999999998</v>
      </c>
      <c r="I941" s="4">
        <f>ROUND(G941*H941,6)</f>
        <v>2.5220259999999999</v>
      </c>
      <c r="L941" s="6">
        <v>0</v>
      </c>
      <c r="M941" s="5">
        <f>ROUND(ROUND(L941,2)*ROUND(G941,3),2)</f>
        <v>0</v>
      </c>
      <c r="N941" s="4" t="s">
        <v>501</v>
      </c>
      <c r="O941">
        <f>(M941*21)/100</f>
        <v>0</v>
      </c>
      <c r="P941" t="s">
        <v>6</v>
      </c>
    </row>
    <row r="942" spans="1:16" ht="39.6" x14ac:dyDescent="0.25">
      <c r="A942" s="3" t="s">
        <v>5</v>
      </c>
      <c r="E942" s="1" t="s">
        <v>1155</v>
      </c>
    </row>
    <row r="943" spans="1:16" ht="13.2" x14ac:dyDescent="0.25">
      <c r="A943" s="3" t="s">
        <v>3</v>
      </c>
      <c r="E943" s="2" t="s">
        <v>1154</v>
      </c>
    </row>
    <row r="944" spans="1:16" ht="66" x14ac:dyDescent="0.25">
      <c r="A944" t="s">
        <v>1</v>
      </c>
      <c r="E944" s="1" t="s">
        <v>1153</v>
      </c>
    </row>
    <row r="945" spans="1:16" ht="39.6" x14ac:dyDescent="0.25">
      <c r="A945" t="s">
        <v>11</v>
      </c>
      <c r="B945" s="9" t="s">
        <v>204</v>
      </c>
      <c r="C945" s="9" t="s">
        <v>1152</v>
      </c>
      <c r="D945" s="3" t="s">
        <v>2</v>
      </c>
      <c r="E945" s="8" t="s">
        <v>1151</v>
      </c>
      <c r="F945" s="4" t="s">
        <v>370</v>
      </c>
      <c r="G945" s="7">
        <v>5.04</v>
      </c>
      <c r="H945" s="4">
        <v>0.01</v>
      </c>
      <c r="I945" s="4">
        <f>ROUND(G945*H945,6)</f>
        <v>5.04E-2</v>
      </c>
      <c r="L945" s="6">
        <v>0</v>
      </c>
      <c r="M945" s="5">
        <f>ROUND(ROUND(L945,2)*ROUND(G945,3),2)</f>
        <v>0</v>
      </c>
      <c r="N945" s="4" t="s">
        <v>501</v>
      </c>
      <c r="O945">
        <f>(M945*21)/100</f>
        <v>0</v>
      </c>
      <c r="P945" t="s">
        <v>6</v>
      </c>
    </row>
    <row r="946" spans="1:16" ht="66" x14ac:dyDescent="0.25">
      <c r="A946" s="3" t="s">
        <v>5</v>
      </c>
      <c r="E946" s="1" t="s">
        <v>1150</v>
      </c>
    </row>
    <row r="947" spans="1:16" ht="13.2" x14ac:dyDescent="0.25">
      <c r="A947" s="3" t="s">
        <v>3</v>
      </c>
      <c r="E947" s="2" t="s">
        <v>1149</v>
      </c>
    </row>
    <row r="948" spans="1:16" ht="118.8" x14ac:dyDescent="0.25">
      <c r="A948" t="s">
        <v>1</v>
      </c>
      <c r="E948" s="1" t="s">
        <v>1148</v>
      </c>
    </row>
    <row r="949" spans="1:16" ht="39.6" x14ac:dyDescent="0.25">
      <c r="A949" t="s">
        <v>11</v>
      </c>
      <c r="B949" s="9" t="s">
        <v>201</v>
      </c>
      <c r="C949" s="9" t="s">
        <v>1147</v>
      </c>
      <c r="D949" s="3" t="s">
        <v>2</v>
      </c>
      <c r="E949" s="8" t="s">
        <v>1146</v>
      </c>
      <c r="F949" s="4" t="s">
        <v>542</v>
      </c>
      <c r="G949" s="7">
        <v>0.151</v>
      </c>
      <c r="H949" s="4">
        <v>1.05555</v>
      </c>
      <c r="I949" s="4">
        <f>ROUND(G949*H949,6)</f>
        <v>0.159388</v>
      </c>
      <c r="L949" s="6">
        <v>0</v>
      </c>
      <c r="M949" s="5">
        <f>ROUND(ROUND(L949,2)*ROUND(G949,3),2)</f>
        <v>0</v>
      </c>
      <c r="N949" s="4" t="s">
        <v>501</v>
      </c>
      <c r="O949">
        <f>(M949*21)/100</f>
        <v>0</v>
      </c>
      <c r="P949" t="s">
        <v>6</v>
      </c>
    </row>
    <row r="950" spans="1:16" ht="52.8" x14ac:dyDescent="0.25">
      <c r="A950" s="3" t="s">
        <v>5</v>
      </c>
      <c r="E950" s="1" t="s">
        <v>1145</v>
      </c>
    </row>
    <row r="951" spans="1:16" ht="13.2" x14ac:dyDescent="0.25">
      <c r="A951" s="3" t="s">
        <v>3</v>
      </c>
      <c r="E951" s="2" t="s">
        <v>2</v>
      </c>
    </row>
    <row r="952" spans="1:16" ht="52.8" x14ac:dyDescent="0.25">
      <c r="A952" t="s">
        <v>1</v>
      </c>
      <c r="E952" s="1" t="s">
        <v>1145</v>
      </c>
    </row>
    <row r="953" spans="1:16" ht="13.2" x14ac:dyDescent="0.25">
      <c r="A953" t="s">
        <v>50</v>
      </c>
      <c r="C953" s="11" t="s">
        <v>75</v>
      </c>
      <c r="E953" s="10" t="s">
        <v>74</v>
      </c>
      <c r="J953" s="5">
        <f>0</f>
        <v>0</v>
      </c>
      <c r="K953" s="5">
        <f>0</f>
        <v>0</v>
      </c>
      <c r="L953" s="5">
        <f>0+L954+L958+L962+L966+L970+L974+L978+L982+L986+L990+L994+L998+L1002+L1006+L1010+L1014+L1018+L1022+L1026+L1030+L1034+L1038+L1042</f>
        <v>0</v>
      </c>
      <c r="M953" s="5">
        <f>0+M954+M958+M962+M966+M970+M974+M978+M982+M986+M990+M994+M998+M1002+M1006+M1010+M1014+M1018+M1022+M1026+M1030+M1034+M1038+M1042</f>
        <v>0</v>
      </c>
    </row>
    <row r="954" spans="1:16" ht="13.2" x14ac:dyDescent="0.25">
      <c r="A954" t="s">
        <v>11</v>
      </c>
      <c r="B954" s="9" t="s">
        <v>198</v>
      </c>
      <c r="C954" s="9" t="s">
        <v>1144</v>
      </c>
      <c r="D954" s="3" t="s">
        <v>2</v>
      </c>
      <c r="E954" s="8" t="s">
        <v>1142</v>
      </c>
      <c r="F954" s="4" t="s">
        <v>542</v>
      </c>
      <c r="G954" s="7">
        <v>2.371</v>
      </c>
      <c r="H954" s="4">
        <v>1</v>
      </c>
      <c r="I954" s="4">
        <f>ROUND(G954*H954,6)</f>
        <v>2.371</v>
      </c>
      <c r="L954" s="6">
        <v>0</v>
      </c>
      <c r="M954" s="5">
        <f>ROUND(ROUND(L954,2)*ROUND(G954,3),2)</f>
        <v>0</v>
      </c>
      <c r="N954" s="4" t="s">
        <v>501</v>
      </c>
      <c r="O954">
        <f>(M954*21)/100</f>
        <v>0</v>
      </c>
      <c r="P954" t="s">
        <v>6</v>
      </c>
    </row>
    <row r="955" spans="1:16" ht="13.2" x14ac:dyDescent="0.25">
      <c r="A955" s="3" t="s">
        <v>5</v>
      </c>
      <c r="E955" s="1" t="s">
        <v>1142</v>
      </c>
    </row>
    <row r="956" spans="1:16" ht="66" x14ac:dyDescent="0.25">
      <c r="A956" s="3" t="s">
        <v>3</v>
      </c>
      <c r="E956" s="12" t="s">
        <v>1143</v>
      </c>
    </row>
    <row r="957" spans="1:16" ht="13.2" x14ac:dyDescent="0.25">
      <c r="A957" t="s">
        <v>1</v>
      </c>
      <c r="E957" s="1" t="s">
        <v>1142</v>
      </c>
    </row>
    <row r="958" spans="1:16" ht="13.2" x14ac:dyDescent="0.25">
      <c r="A958" t="s">
        <v>11</v>
      </c>
      <c r="B958" s="9" t="s">
        <v>195</v>
      </c>
      <c r="C958" s="9" t="s">
        <v>1141</v>
      </c>
      <c r="D958" s="3" t="s">
        <v>2</v>
      </c>
      <c r="E958" s="8" t="s">
        <v>1139</v>
      </c>
      <c r="F958" s="4" t="s">
        <v>542</v>
      </c>
      <c r="G958" s="7">
        <v>11.614000000000001</v>
      </c>
      <c r="H958" s="4">
        <v>1</v>
      </c>
      <c r="I958" s="4">
        <f>ROUND(G958*H958,6)</f>
        <v>11.614000000000001</v>
      </c>
      <c r="L958" s="6">
        <v>0</v>
      </c>
      <c r="M958" s="5">
        <f>ROUND(ROUND(L958,2)*ROUND(G958,3),2)</f>
        <v>0</v>
      </c>
      <c r="N958" s="4" t="s">
        <v>501</v>
      </c>
      <c r="O958">
        <f>(M958*21)/100</f>
        <v>0</v>
      </c>
      <c r="P958" t="s">
        <v>6</v>
      </c>
    </row>
    <row r="959" spans="1:16" ht="13.2" x14ac:dyDescent="0.25">
      <c r="A959" s="3" t="s">
        <v>5</v>
      </c>
      <c r="E959" s="1" t="s">
        <v>1139</v>
      </c>
    </row>
    <row r="960" spans="1:16" ht="79.2" x14ac:dyDescent="0.25">
      <c r="A960" s="3" t="s">
        <v>3</v>
      </c>
      <c r="E960" s="12" t="s">
        <v>1140</v>
      </c>
    </row>
    <row r="961" spans="1:16" ht="13.2" x14ac:dyDescent="0.25">
      <c r="A961" t="s">
        <v>1</v>
      </c>
      <c r="E961" s="1" t="s">
        <v>1139</v>
      </c>
    </row>
    <row r="962" spans="1:16" ht="13.2" x14ac:dyDescent="0.25">
      <c r="A962" t="s">
        <v>11</v>
      </c>
      <c r="B962" s="9" t="s">
        <v>192</v>
      </c>
      <c r="C962" s="9" t="s">
        <v>1138</v>
      </c>
      <c r="D962" s="3" t="s">
        <v>2</v>
      </c>
      <c r="E962" s="8" t="s">
        <v>1136</v>
      </c>
      <c r="F962" s="4" t="s">
        <v>542</v>
      </c>
      <c r="G962" s="7">
        <v>13.537000000000001</v>
      </c>
      <c r="H962" s="4">
        <v>1</v>
      </c>
      <c r="I962" s="4">
        <f>ROUND(G962*H962,6)</f>
        <v>13.537000000000001</v>
      </c>
      <c r="L962" s="6">
        <v>0</v>
      </c>
      <c r="M962" s="5">
        <f>ROUND(ROUND(L962,2)*ROUND(G962,3),2)</f>
        <v>0</v>
      </c>
      <c r="N962" s="4" t="s">
        <v>501</v>
      </c>
      <c r="O962">
        <f>(M962*21)/100</f>
        <v>0</v>
      </c>
      <c r="P962" t="s">
        <v>6</v>
      </c>
    </row>
    <row r="963" spans="1:16" ht="13.2" x14ac:dyDescent="0.25">
      <c r="A963" s="3" t="s">
        <v>5</v>
      </c>
      <c r="E963" s="1" t="s">
        <v>1136</v>
      </c>
    </row>
    <row r="964" spans="1:16" ht="92.4" x14ac:dyDescent="0.25">
      <c r="A964" s="3" t="s">
        <v>3</v>
      </c>
      <c r="E964" s="12" t="s">
        <v>1137</v>
      </c>
    </row>
    <row r="965" spans="1:16" ht="13.2" x14ac:dyDescent="0.25">
      <c r="A965" t="s">
        <v>1</v>
      </c>
      <c r="E965" s="1" t="s">
        <v>1136</v>
      </c>
    </row>
    <row r="966" spans="1:16" ht="13.2" x14ac:dyDescent="0.25">
      <c r="A966" t="s">
        <v>11</v>
      </c>
      <c r="B966" s="9" t="s">
        <v>189</v>
      </c>
      <c r="C966" s="9" t="s">
        <v>1135</v>
      </c>
      <c r="D966" s="3" t="s">
        <v>2</v>
      </c>
      <c r="E966" s="8" t="s">
        <v>1133</v>
      </c>
      <c r="F966" s="4" t="s">
        <v>542</v>
      </c>
      <c r="G966" s="7">
        <v>20.808</v>
      </c>
      <c r="H966" s="4">
        <v>1</v>
      </c>
      <c r="I966" s="4">
        <f>ROUND(G966*H966,6)</f>
        <v>20.808</v>
      </c>
      <c r="L966" s="6">
        <v>0</v>
      </c>
      <c r="M966" s="5">
        <f>ROUND(ROUND(L966,2)*ROUND(G966,3),2)</f>
        <v>0</v>
      </c>
      <c r="N966" s="4" t="s">
        <v>501</v>
      </c>
      <c r="O966">
        <f>(M966*21)/100</f>
        <v>0</v>
      </c>
      <c r="P966" t="s">
        <v>6</v>
      </c>
    </row>
    <row r="967" spans="1:16" ht="13.2" x14ac:dyDescent="0.25">
      <c r="A967" s="3" t="s">
        <v>5</v>
      </c>
      <c r="E967" s="1" t="s">
        <v>1133</v>
      </c>
    </row>
    <row r="968" spans="1:16" ht="105.6" x14ac:dyDescent="0.25">
      <c r="A968" s="3" t="s">
        <v>3</v>
      </c>
      <c r="E968" s="12" t="s">
        <v>1134</v>
      </c>
    </row>
    <row r="969" spans="1:16" ht="13.2" x14ac:dyDescent="0.25">
      <c r="A969" t="s">
        <v>1</v>
      </c>
      <c r="E969" s="1" t="s">
        <v>1133</v>
      </c>
    </row>
    <row r="970" spans="1:16" ht="13.2" x14ac:dyDescent="0.25">
      <c r="A970" t="s">
        <v>11</v>
      </c>
      <c r="B970" s="9" t="s">
        <v>186</v>
      </c>
      <c r="C970" s="9" t="s">
        <v>1132</v>
      </c>
      <c r="D970" s="3" t="s">
        <v>2</v>
      </c>
      <c r="E970" s="8" t="s">
        <v>1130</v>
      </c>
      <c r="F970" s="4" t="s">
        <v>542</v>
      </c>
      <c r="G970" s="7">
        <v>2.7069999999999999</v>
      </c>
      <c r="H970" s="4">
        <v>1</v>
      </c>
      <c r="I970" s="4">
        <f>ROUND(G970*H970,6)</f>
        <v>2.7069999999999999</v>
      </c>
      <c r="L970" s="6">
        <v>0</v>
      </c>
      <c r="M970" s="5">
        <f>ROUND(ROUND(L970,2)*ROUND(G970,3),2)</f>
        <v>0</v>
      </c>
      <c r="N970" s="4" t="s">
        <v>501</v>
      </c>
      <c r="O970">
        <f>(M970*21)/100</f>
        <v>0</v>
      </c>
      <c r="P970" t="s">
        <v>6</v>
      </c>
    </row>
    <row r="971" spans="1:16" ht="13.2" x14ac:dyDescent="0.25">
      <c r="A971" s="3" t="s">
        <v>5</v>
      </c>
      <c r="E971" s="1" t="s">
        <v>1130</v>
      </c>
    </row>
    <row r="972" spans="1:16" ht="79.2" x14ac:dyDescent="0.25">
      <c r="A972" s="3" t="s">
        <v>3</v>
      </c>
      <c r="E972" s="12" t="s">
        <v>1131</v>
      </c>
    </row>
    <row r="973" spans="1:16" ht="13.2" x14ac:dyDescent="0.25">
      <c r="A973" t="s">
        <v>1</v>
      </c>
      <c r="E973" s="1" t="s">
        <v>1130</v>
      </c>
    </row>
    <row r="974" spans="1:16" ht="13.2" x14ac:dyDescent="0.25">
      <c r="A974" t="s">
        <v>11</v>
      </c>
      <c r="B974" s="9" t="s">
        <v>183</v>
      </c>
      <c r="C974" s="9" t="s">
        <v>1129</v>
      </c>
      <c r="D974" s="3" t="s">
        <v>2</v>
      </c>
      <c r="E974" s="8" t="s">
        <v>1127</v>
      </c>
      <c r="F974" s="4" t="s">
        <v>542</v>
      </c>
      <c r="G974" s="7">
        <v>36.085000000000001</v>
      </c>
      <c r="H974" s="4">
        <v>1</v>
      </c>
      <c r="I974" s="4">
        <f>ROUND(G974*H974,6)</f>
        <v>36.085000000000001</v>
      </c>
      <c r="L974" s="6">
        <v>0</v>
      </c>
      <c r="M974" s="5">
        <f>ROUND(ROUND(L974,2)*ROUND(G974,3),2)</f>
        <v>0</v>
      </c>
      <c r="N974" s="4" t="s">
        <v>501</v>
      </c>
      <c r="O974">
        <f>(M974*21)/100</f>
        <v>0</v>
      </c>
      <c r="P974" t="s">
        <v>6</v>
      </c>
    </row>
    <row r="975" spans="1:16" ht="13.2" x14ac:dyDescent="0.25">
      <c r="A975" s="3" t="s">
        <v>5</v>
      </c>
      <c r="E975" s="1" t="s">
        <v>1127</v>
      </c>
    </row>
    <row r="976" spans="1:16" ht="105.6" x14ac:dyDescent="0.25">
      <c r="A976" s="3" t="s">
        <v>3</v>
      </c>
      <c r="E976" s="12" t="s">
        <v>1128</v>
      </c>
    </row>
    <row r="977" spans="1:16" ht="13.2" x14ac:dyDescent="0.25">
      <c r="A977" t="s">
        <v>1</v>
      </c>
      <c r="E977" s="1" t="s">
        <v>1127</v>
      </c>
    </row>
    <row r="978" spans="1:16" ht="13.2" x14ac:dyDescent="0.25">
      <c r="A978" t="s">
        <v>11</v>
      </c>
      <c r="B978" s="9" t="s">
        <v>180</v>
      </c>
      <c r="C978" s="9" t="s">
        <v>1126</v>
      </c>
      <c r="D978" s="3" t="s">
        <v>2</v>
      </c>
      <c r="E978" s="8" t="s">
        <v>1124</v>
      </c>
      <c r="F978" s="4" t="s">
        <v>542</v>
      </c>
      <c r="G978" s="7">
        <v>2.8239999999999998</v>
      </c>
      <c r="H978" s="4">
        <v>1</v>
      </c>
      <c r="I978" s="4">
        <f>ROUND(G978*H978,6)</f>
        <v>2.8239999999999998</v>
      </c>
      <c r="L978" s="6">
        <v>0</v>
      </c>
      <c r="M978" s="5">
        <f>ROUND(ROUND(L978,2)*ROUND(G978,3),2)</f>
        <v>0</v>
      </c>
      <c r="N978" s="4" t="s">
        <v>501</v>
      </c>
      <c r="O978">
        <f>(M978*21)/100</f>
        <v>0</v>
      </c>
      <c r="P978" t="s">
        <v>6</v>
      </c>
    </row>
    <row r="979" spans="1:16" ht="13.2" x14ac:dyDescent="0.25">
      <c r="A979" s="3" t="s">
        <v>5</v>
      </c>
      <c r="E979" s="1" t="s">
        <v>1124</v>
      </c>
    </row>
    <row r="980" spans="1:16" ht="79.2" x14ac:dyDescent="0.25">
      <c r="A980" s="3" t="s">
        <v>3</v>
      </c>
      <c r="E980" s="12" t="s">
        <v>1125</v>
      </c>
    </row>
    <row r="981" spans="1:16" ht="13.2" x14ac:dyDescent="0.25">
      <c r="A981" t="s">
        <v>1</v>
      </c>
      <c r="E981" s="1" t="s">
        <v>1124</v>
      </c>
    </row>
    <row r="982" spans="1:16" ht="13.2" x14ac:dyDescent="0.25">
      <c r="A982" t="s">
        <v>11</v>
      </c>
      <c r="B982" s="9" t="s">
        <v>177</v>
      </c>
      <c r="C982" s="9" t="s">
        <v>1123</v>
      </c>
      <c r="D982" s="3" t="s">
        <v>2</v>
      </c>
      <c r="E982" s="8" t="s">
        <v>1121</v>
      </c>
      <c r="F982" s="4" t="s">
        <v>542</v>
      </c>
      <c r="G982" s="7">
        <v>11.561999999999999</v>
      </c>
      <c r="H982" s="4">
        <v>1</v>
      </c>
      <c r="I982" s="4">
        <f>ROUND(G982*H982,6)</f>
        <v>11.561999999999999</v>
      </c>
      <c r="L982" s="6">
        <v>0</v>
      </c>
      <c r="M982" s="5">
        <f>ROUND(ROUND(L982,2)*ROUND(G982,3),2)</f>
        <v>0</v>
      </c>
      <c r="N982" s="4" t="s">
        <v>501</v>
      </c>
      <c r="O982">
        <f>(M982*21)/100</f>
        <v>0</v>
      </c>
      <c r="P982" t="s">
        <v>6</v>
      </c>
    </row>
    <row r="983" spans="1:16" ht="13.2" x14ac:dyDescent="0.25">
      <c r="A983" s="3" t="s">
        <v>5</v>
      </c>
      <c r="E983" s="1" t="s">
        <v>1121</v>
      </c>
    </row>
    <row r="984" spans="1:16" ht="132" x14ac:dyDescent="0.25">
      <c r="A984" s="3" t="s">
        <v>3</v>
      </c>
      <c r="E984" s="12" t="s">
        <v>1122</v>
      </c>
    </row>
    <row r="985" spans="1:16" ht="13.2" x14ac:dyDescent="0.25">
      <c r="A985" t="s">
        <v>1</v>
      </c>
      <c r="E985" s="1" t="s">
        <v>1121</v>
      </c>
    </row>
    <row r="986" spans="1:16" ht="13.2" x14ac:dyDescent="0.25">
      <c r="A986" t="s">
        <v>11</v>
      </c>
      <c r="B986" s="9" t="s">
        <v>174</v>
      </c>
      <c r="C986" s="9" t="s">
        <v>1120</v>
      </c>
      <c r="D986" s="3" t="s">
        <v>2</v>
      </c>
      <c r="E986" s="8" t="s">
        <v>1118</v>
      </c>
      <c r="F986" s="4" t="s">
        <v>542</v>
      </c>
      <c r="G986" s="7">
        <v>0.46600000000000003</v>
      </c>
      <c r="H986" s="4">
        <v>1</v>
      </c>
      <c r="I986" s="4">
        <f>ROUND(G986*H986,6)</f>
        <v>0.46600000000000003</v>
      </c>
      <c r="L986" s="6">
        <v>0</v>
      </c>
      <c r="M986" s="5">
        <f>ROUND(ROUND(L986,2)*ROUND(G986,3),2)</f>
        <v>0</v>
      </c>
      <c r="N986" s="4" t="s">
        <v>501</v>
      </c>
      <c r="O986">
        <f>(M986*21)/100</f>
        <v>0</v>
      </c>
      <c r="P986" t="s">
        <v>6</v>
      </c>
    </row>
    <row r="987" spans="1:16" ht="13.2" x14ac:dyDescent="0.25">
      <c r="A987" s="3" t="s">
        <v>5</v>
      </c>
      <c r="E987" s="1" t="s">
        <v>1118</v>
      </c>
    </row>
    <row r="988" spans="1:16" ht="66" x14ac:dyDescent="0.25">
      <c r="A988" s="3" t="s">
        <v>3</v>
      </c>
      <c r="E988" s="12" t="s">
        <v>1119</v>
      </c>
    </row>
    <row r="989" spans="1:16" ht="13.2" x14ac:dyDescent="0.25">
      <c r="A989" t="s">
        <v>1</v>
      </c>
      <c r="E989" s="1" t="s">
        <v>1118</v>
      </c>
    </row>
    <row r="990" spans="1:16" ht="13.2" x14ac:dyDescent="0.25">
      <c r="A990" t="s">
        <v>11</v>
      </c>
      <c r="B990" s="9" t="s">
        <v>171</v>
      </c>
      <c r="C990" s="9" t="s">
        <v>1117</v>
      </c>
      <c r="D990" s="3" t="s">
        <v>2</v>
      </c>
      <c r="E990" s="8" t="s">
        <v>1115</v>
      </c>
      <c r="F990" s="4" t="s">
        <v>542</v>
      </c>
      <c r="G990" s="7">
        <v>1.296</v>
      </c>
      <c r="H990" s="4">
        <v>1</v>
      </c>
      <c r="I990" s="4">
        <f>ROUND(G990*H990,6)</f>
        <v>1.296</v>
      </c>
      <c r="L990" s="6">
        <v>0</v>
      </c>
      <c r="M990" s="5">
        <f>ROUND(ROUND(L990,2)*ROUND(G990,3),2)</f>
        <v>0</v>
      </c>
      <c r="N990" s="4" t="s">
        <v>501</v>
      </c>
      <c r="O990">
        <f>(M990*21)/100</f>
        <v>0</v>
      </c>
      <c r="P990" t="s">
        <v>6</v>
      </c>
    </row>
    <row r="991" spans="1:16" ht="13.2" x14ac:dyDescent="0.25">
      <c r="A991" s="3" t="s">
        <v>5</v>
      </c>
      <c r="E991" s="1" t="s">
        <v>1115</v>
      </c>
    </row>
    <row r="992" spans="1:16" ht="66" x14ac:dyDescent="0.25">
      <c r="A992" s="3" t="s">
        <v>3</v>
      </c>
      <c r="E992" s="12" t="s">
        <v>1116</v>
      </c>
    </row>
    <row r="993" spans="1:16" ht="13.2" x14ac:dyDescent="0.25">
      <c r="A993" t="s">
        <v>1</v>
      </c>
      <c r="E993" s="1" t="s">
        <v>1115</v>
      </c>
    </row>
    <row r="994" spans="1:16" ht="13.2" x14ac:dyDescent="0.25">
      <c r="A994" t="s">
        <v>11</v>
      </c>
      <c r="B994" s="9" t="s">
        <v>168</v>
      </c>
      <c r="C994" s="9" t="s">
        <v>1114</v>
      </c>
      <c r="D994" s="3" t="s">
        <v>2</v>
      </c>
      <c r="E994" s="8" t="s">
        <v>1112</v>
      </c>
      <c r="F994" s="4" t="s">
        <v>542</v>
      </c>
      <c r="G994" s="7">
        <v>6.4489999999999998</v>
      </c>
      <c r="H994" s="4">
        <v>1</v>
      </c>
      <c r="I994" s="4">
        <f>ROUND(G994*H994,6)</f>
        <v>6.4489999999999998</v>
      </c>
      <c r="L994" s="6">
        <v>0</v>
      </c>
      <c r="M994" s="5">
        <f>ROUND(ROUND(L994,2)*ROUND(G994,3),2)</f>
        <v>0</v>
      </c>
      <c r="N994" s="4" t="s">
        <v>501</v>
      </c>
      <c r="O994">
        <f>(M994*21)/100</f>
        <v>0</v>
      </c>
      <c r="P994" t="s">
        <v>6</v>
      </c>
    </row>
    <row r="995" spans="1:16" ht="13.2" x14ac:dyDescent="0.25">
      <c r="A995" s="3" t="s">
        <v>5</v>
      </c>
      <c r="E995" s="1" t="s">
        <v>1112</v>
      </c>
    </row>
    <row r="996" spans="1:16" ht="92.4" x14ac:dyDescent="0.25">
      <c r="A996" s="3" t="s">
        <v>3</v>
      </c>
      <c r="E996" s="12" t="s">
        <v>1113</v>
      </c>
    </row>
    <row r="997" spans="1:16" ht="13.2" x14ac:dyDescent="0.25">
      <c r="A997" t="s">
        <v>1</v>
      </c>
      <c r="E997" s="1" t="s">
        <v>1112</v>
      </c>
    </row>
    <row r="998" spans="1:16" ht="13.2" x14ac:dyDescent="0.25">
      <c r="A998" t="s">
        <v>11</v>
      </c>
      <c r="B998" s="9" t="s">
        <v>165</v>
      </c>
      <c r="C998" s="9" t="s">
        <v>1111</v>
      </c>
      <c r="D998" s="3" t="s">
        <v>2</v>
      </c>
      <c r="E998" s="8" t="s">
        <v>1109</v>
      </c>
      <c r="F998" s="4" t="s">
        <v>542</v>
      </c>
      <c r="G998" s="7">
        <v>6.8869999999999996</v>
      </c>
      <c r="H998" s="4">
        <v>1</v>
      </c>
      <c r="I998" s="4">
        <f>ROUND(G998*H998,6)</f>
        <v>6.8869999999999996</v>
      </c>
      <c r="L998" s="6">
        <v>0</v>
      </c>
      <c r="M998" s="5">
        <f>ROUND(ROUND(L998,2)*ROUND(G998,3),2)</f>
        <v>0</v>
      </c>
      <c r="N998" s="4" t="s">
        <v>501</v>
      </c>
      <c r="O998">
        <f>(M998*21)/100</f>
        <v>0</v>
      </c>
      <c r="P998" t="s">
        <v>6</v>
      </c>
    </row>
    <row r="999" spans="1:16" ht="13.2" x14ac:dyDescent="0.25">
      <c r="A999" s="3" t="s">
        <v>5</v>
      </c>
      <c r="E999" s="1" t="s">
        <v>1109</v>
      </c>
    </row>
    <row r="1000" spans="1:16" ht="79.2" x14ac:dyDescent="0.25">
      <c r="A1000" s="3" t="s">
        <v>3</v>
      </c>
      <c r="E1000" s="12" t="s">
        <v>1110</v>
      </c>
    </row>
    <row r="1001" spans="1:16" ht="13.2" x14ac:dyDescent="0.25">
      <c r="A1001" t="s">
        <v>1</v>
      </c>
      <c r="E1001" s="1" t="s">
        <v>1109</v>
      </c>
    </row>
    <row r="1002" spans="1:16" ht="13.2" x14ac:dyDescent="0.25">
      <c r="A1002" t="s">
        <v>11</v>
      </c>
      <c r="B1002" s="9" t="s">
        <v>162</v>
      </c>
      <c r="C1002" s="9" t="s">
        <v>1108</v>
      </c>
      <c r="D1002" s="3" t="s">
        <v>2</v>
      </c>
      <c r="E1002" s="8" t="s">
        <v>1106</v>
      </c>
      <c r="F1002" s="4" t="s">
        <v>542</v>
      </c>
      <c r="G1002" s="7">
        <v>1.65</v>
      </c>
      <c r="H1002" s="4">
        <v>1</v>
      </c>
      <c r="I1002" s="4">
        <f>ROUND(G1002*H1002,6)</f>
        <v>1.65</v>
      </c>
      <c r="L1002" s="6">
        <v>0</v>
      </c>
      <c r="M1002" s="5">
        <f>ROUND(ROUND(L1002,2)*ROUND(G1002,3),2)</f>
        <v>0</v>
      </c>
      <c r="N1002" s="4" t="s">
        <v>501</v>
      </c>
      <c r="O1002">
        <f>(M1002*21)/100</f>
        <v>0</v>
      </c>
      <c r="P1002" t="s">
        <v>6</v>
      </c>
    </row>
    <row r="1003" spans="1:16" ht="13.2" x14ac:dyDescent="0.25">
      <c r="A1003" s="3" t="s">
        <v>5</v>
      </c>
      <c r="E1003" s="1" t="s">
        <v>1106</v>
      </c>
    </row>
    <row r="1004" spans="1:16" ht="66" x14ac:dyDescent="0.25">
      <c r="A1004" s="3" t="s">
        <v>3</v>
      </c>
      <c r="E1004" s="12" t="s">
        <v>1107</v>
      </c>
    </row>
    <row r="1005" spans="1:16" ht="13.2" x14ac:dyDescent="0.25">
      <c r="A1005" t="s">
        <v>1</v>
      </c>
      <c r="E1005" s="1" t="s">
        <v>1106</v>
      </c>
    </row>
    <row r="1006" spans="1:16" ht="13.2" x14ac:dyDescent="0.25">
      <c r="A1006" t="s">
        <v>11</v>
      </c>
      <c r="B1006" s="9" t="s">
        <v>159</v>
      </c>
      <c r="C1006" s="9" t="s">
        <v>1105</v>
      </c>
      <c r="D1006" s="3" t="s">
        <v>2</v>
      </c>
      <c r="E1006" s="8" t="s">
        <v>1103</v>
      </c>
      <c r="F1006" s="4" t="s">
        <v>542</v>
      </c>
      <c r="G1006" s="7">
        <v>16.326000000000001</v>
      </c>
      <c r="H1006" s="4">
        <v>1</v>
      </c>
      <c r="I1006" s="4">
        <f>ROUND(G1006*H1006,6)</f>
        <v>16.326000000000001</v>
      </c>
      <c r="L1006" s="6">
        <v>0</v>
      </c>
      <c r="M1006" s="5">
        <f>ROUND(ROUND(L1006,2)*ROUND(G1006,3),2)</f>
        <v>0</v>
      </c>
      <c r="N1006" s="4" t="s">
        <v>501</v>
      </c>
      <c r="O1006">
        <f>(M1006*21)/100</f>
        <v>0</v>
      </c>
      <c r="P1006" t="s">
        <v>6</v>
      </c>
    </row>
    <row r="1007" spans="1:16" ht="13.2" x14ac:dyDescent="0.25">
      <c r="A1007" s="3" t="s">
        <v>5</v>
      </c>
      <c r="E1007" s="1" t="s">
        <v>1103</v>
      </c>
    </row>
    <row r="1008" spans="1:16" ht="92.4" x14ac:dyDescent="0.25">
      <c r="A1008" s="3" t="s">
        <v>3</v>
      </c>
      <c r="E1008" s="12" t="s">
        <v>1104</v>
      </c>
    </row>
    <row r="1009" spans="1:16" ht="13.2" x14ac:dyDescent="0.25">
      <c r="A1009" t="s">
        <v>1</v>
      </c>
      <c r="E1009" s="1" t="s">
        <v>1103</v>
      </c>
    </row>
    <row r="1010" spans="1:16" ht="13.2" x14ac:dyDescent="0.25">
      <c r="A1010" t="s">
        <v>11</v>
      </c>
      <c r="B1010" s="9" t="s">
        <v>156</v>
      </c>
      <c r="C1010" s="9" t="s">
        <v>1102</v>
      </c>
      <c r="D1010" s="3" t="s">
        <v>2</v>
      </c>
      <c r="E1010" s="8" t="s">
        <v>1100</v>
      </c>
      <c r="F1010" s="4" t="s">
        <v>542</v>
      </c>
      <c r="G1010" s="7">
        <v>80.887</v>
      </c>
      <c r="H1010" s="4">
        <v>1</v>
      </c>
      <c r="I1010" s="4">
        <f>ROUND(G1010*H1010,6)</f>
        <v>80.887</v>
      </c>
      <c r="L1010" s="6">
        <v>0</v>
      </c>
      <c r="M1010" s="5">
        <f>ROUND(ROUND(L1010,2)*ROUND(G1010,3),2)</f>
        <v>0</v>
      </c>
      <c r="N1010" s="4" t="s">
        <v>501</v>
      </c>
      <c r="O1010">
        <f>(M1010*21)/100</f>
        <v>0</v>
      </c>
      <c r="P1010" t="s">
        <v>6</v>
      </c>
    </row>
    <row r="1011" spans="1:16" ht="13.2" x14ac:dyDescent="0.25">
      <c r="A1011" s="3" t="s">
        <v>5</v>
      </c>
      <c r="E1011" s="1" t="s">
        <v>1100</v>
      </c>
    </row>
    <row r="1012" spans="1:16" ht="79.2" x14ac:dyDescent="0.25">
      <c r="A1012" s="3" t="s">
        <v>3</v>
      </c>
      <c r="E1012" s="12" t="s">
        <v>1101</v>
      </c>
    </row>
    <row r="1013" spans="1:16" ht="13.2" x14ac:dyDescent="0.25">
      <c r="A1013" t="s">
        <v>1</v>
      </c>
      <c r="E1013" s="1" t="s">
        <v>1100</v>
      </c>
    </row>
    <row r="1014" spans="1:16" ht="13.2" x14ac:dyDescent="0.25">
      <c r="A1014" t="s">
        <v>11</v>
      </c>
      <c r="B1014" s="9" t="s">
        <v>153</v>
      </c>
      <c r="C1014" s="9" t="s">
        <v>1099</v>
      </c>
      <c r="D1014" s="3" t="s">
        <v>2</v>
      </c>
      <c r="E1014" s="8" t="s">
        <v>1097</v>
      </c>
      <c r="F1014" s="4" t="s">
        <v>542</v>
      </c>
      <c r="G1014" s="7">
        <v>3.8210000000000002</v>
      </c>
      <c r="H1014" s="4">
        <v>1</v>
      </c>
      <c r="I1014" s="4">
        <f>ROUND(G1014*H1014,6)</f>
        <v>3.8210000000000002</v>
      </c>
      <c r="L1014" s="6">
        <v>0</v>
      </c>
      <c r="M1014" s="5">
        <f>ROUND(ROUND(L1014,2)*ROUND(G1014,3),2)</f>
        <v>0</v>
      </c>
      <c r="N1014" s="4" t="s">
        <v>501</v>
      </c>
      <c r="O1014">
        <f>(M1014*21)/100</f>
        <v>0</v>
      </c>
      <c r="P1014" t="s">
        <v>6</v>
      </c>
    </row>
    <row r="1015" spans="1:16" ht="13.2" x14ac:dyDescent="0.25">
      <c r="A1015" s="3" t="s">
        <v>5</v>
      </c>
      <c r="E1015" s="1" t="s">
        <v>1097</v>
      </c>
    </row>
    <row r="1016" spans="1:16" ht="132" x14ac:dyDescent="0.25">
      <c r="A1016" s="3" t="s">
        <v>3</v>
      </c>
      <c r="E1016" s="12" t="s">
        <v>1098</v>
      </c>
    </row>
    <row r="1017" spans="1:16" ht="13.2" x14ac:dyDescent="0.25">
      <c r="A1017" t="s">
        <v>1</v>
      </c>
      <c r="E1017" s="1" t="s">
        <v>1097</v>
      </c>
    </row>
    <row r="1018" spans="1:16" ht="13.2" x14ac:dyDescent="0.25">
      <c r="A1018" t="s">
        <v>11</v>
      </c>
      <c r="B1018" s="9" t="s">
        <v>150</v>
      </c>
      <c r="C1018" s="9" t="s">
        <v>1096</v>
      </c>
      <c r="D1018" s="3" t="s">
        <v>2</v>
      </c>
      <c r="E1018" s="8" t="s">
        <v>1094</v>
      </c>
      <c r="F1018" s="4" t="s">
        <v>542</v>
      </c>
      <c r="G1018" s="7">
        <v>0.86199999999999999</v>
      </c>
      <c r="H1018" s="4">
        <v>1</v>
      </c>
      <c r="I1018" s="4">
        <f>ROUND(G1018*H1018,6)</f>
        <v>0.86199999999999999</v>
      </c>
      <c r="L1018" s="6">
        <v>0</v>
      </c>
      <c r="M1018" s="5">
        <f>ROUND(ROUND(L1018,2)*ROUND(G1018,3),2)</f>
        <v>0</v>
      </c>
      <c r="N1018" s="4" t="s">
        <v>501</v>
      </c>
      <c r="O1018">
        <f>(M1018*21)/100</f>
        <v>0</v>
      </c>
      <c r="P1018" t="s">
        <v>6</v>
      </c>
    </row>
    <row r="1019" spans="1:16" ht="13.2" x14ac:dyDescent="0.25">
      <c r="A1019" s="3" t="s">
        <v>5</v>
      </c>
      <c r="E1019" s="1" t="s">
        <v>1094</v>
      </c>
    </row>
    <row r="1020" spans="1:16" ht="132" x14ac:dyDescent="0.25">
      <c r="A1020" s="3" t="s">
        <v>3</v>
      </c>
      <c r="E1020" s="12" t="s">
        <v>1095</v>
      </c>
    </row>
    <row r="1021" spans="1:16" ht="13.2" x14ac:dyDescent="0.25">
      <c r="A1021" t="s">
        <v>1</v>
      </c>
      <c r="E1021" s="1" t="s">
        <v>1094</v>
      </c>
    </row>
    <row r="1022" spans="1:16" ht="13.2" x14ac:dyDescent="0.25">
      <c r="A1022" t="s">
        <v>11</v>
      </c>
      <c r="B1022" s="9" t="s">
        <v>147</v>
      </c>
      <c r="C1022" s="9" t="s">
        <v>1093</v>
      </c>
      <c r="D1022" s="3" t="s">
        <v>2</v>
      </c>
      <c r="E1022" s="8" t="s">
        <v>1091</v>
      </c>
      <c r="F1022" s="4" t="s">
        <v>8</v>
      </c>
      <c r="G1022" s="7">
        <v>87.6</v>
      </c>
      <c r="H1022" s="4">
        <v>2.5000000000000001E-3</v>
      </c>
      <c r="I1022" s="4">
        <f>ROUND(G1022*H1022,6)</f>
        <v>0.219</v>
      </c>
      <c r="L1022" s="6">
        <v>0</v>
      </c>
      <c r="M1022" s="5">
        <f>ROUND(ROUND(L1022,2)*ROUND(G1022,3),2)</f>
        <v>0</v>
      </c>
      <c r="N1022" s="4" t="s">
        <v>501</v>
      </c>
      <c r="O1022">
        <f>(M1022*21)/100</f>
        <v>0</v>
      </c>
      <c r="P1022" t="s">
        <v>6</v>
      </c>
    </row>
    <row r="1023" spans="1:16" ht="13.2" x14ac:dyDescent="0.25">
      <c r="A1023" s="3" t="s">
        <v>5</v>
      </c>
      <c r="E1023" s="1" t="s">
        <v>1091</v>
      </c>
    </row>
    <row r="1024" spans="1:16" ht="39.6" x14ac:dyDescent="0.25">
      <c r="A1024" s="3" t="s">
        <v>3</v>
      </c>
      <c r="E1024" s="12" t="s">
        <v>1092</v>
      </c>
    </row>
    <row r="1025" spans="1:16" ht="13.2" x14ac:dyDescent="0.25">
      <c r="A1025" t="s">
        <v>1</v>
      </c>
      <c r="E1025" s="1" t="s">
        <v>1091</v>
      </c>
    </row>
    <row r="1026" spans="1:16" ht="13.2" x14ac:dyDescent="0.25">
      <c r="A1026" t="s">
        <v>11</v>
      </c>
      <c r="B1026" s="9" t="s">
        <v>144</v>
      </c>
      <c r="C1026" s="9" t="s">
        <v>1090</v>
      </c>
      <c r="D1026" s="3" t="s">
        <v>2</v>
      </c>
      <c r="E1026" s="8" t="s">
        <v>1088</v>
      </c>
      <c r="F1026" s="4" t="s">
        <v>8</v>
      </c>
      <c r="G1026" s="7">
        <v>288</v>
      </c>
      <c r="H1026" s="4">
        <v>8.0000000000000002E-3</v>
      </c>
      <c r="I1026" s="4">
        <f>ROUND(G1026*H1026,6)</f>
        <v>2.3039999999999998</v>
      </c>
      <c r="L1026" s="6">
        <v>0</v>
      </c>
      <c r="M1026" s="5">
        <f>ROUND(ROUND(L1026,2)*ROUND(G1026,3),2)</f>
        <v>0</v>
      </c>
      <c r="N1026" s="4" t="s">
        <v>501</v>
      </c>
      <c r="O1026">
        <f>(M1026*21)/100</f>
        <v>0</v>
      </c>
      <c r="P1026" t="s">
        <v>6</v>
      </c>
    </row>
    <row r="1027" spans="1:16" ht="13.2" x14ac:dyDescent="0.25">
      <c r="A1027" s="3" t="s">
        <v>5</v>
      </c>
      <c r="E1027" s="1" t="s">
        <v>1088</v>
      </c>
    </row>
    <row r="1028" spans="1:16" ht="39.6" x14ac:dyDescent="0.25">
      <c r="A1028" s="3" t="s">
        <v>3</v>
      </c>
      <c r="E1028" s="12" t="s">
        <v>1089</v>
      </c>
    </row>
    <row r="1029" spans="1:16" ht="13.2" x14ac:dyDescent="0.25">
      <c r="A1029" t="s">
        <v>1</v>
      </c>
      <c r="E1029" s="1" t="s">
        <v>1088</v>
      </c>
    </row>
    <row r="1030" spans="1:16" ht="26.4" x14ac:dyDescent="0.25">
      <c r="A1030" t="s">
        <v>11</v>
      </c>
      <c r="B1030" s="9" t="s">
        <v>141</v>
      </c>
      <c r="C1030" s="9" t="s">
        <v>1087</v>
      </c>
      <c r="D1030" s="3" t="s">
        <v>2</v>
      </c>
      <c r="E1030" s="8" t="s">
        <v>1085</v>
      </c>
      <c r="F1030" s="4" t="s">
        <v>1086</v>
      </c>
      <c r="G1030" s="7">
        <v>184832.46</v>
      </c>
      <c r="H1030" s="4">
        <v>5.0000000000000002E-5</v>
      </c>
      <c r="I1030" s="4">
        <f>ROUND(G1030*H1030,6)</f>
        <v>9.2416230000000006</v>
      </c>
      <c r="L1030" s="6">
        <v>0</v>
      </c>
      <c r="M1030" s="5">
        <f>ROUND(ROUND(L1030,2)*ROUND(G1030,3),2)</f>
        <v>0</v>
      </c>
      <c r="N1030" s="4" t="s">
        <v>501</v>
      </c>
      <c r="O1030">
        <f>(M1030*21)/100</f>
        <v>0</v>
      </c>
      <c r="P1030" t="s">
        <v>6</v>
      </c>
    </row>
    <row r="1031" spans="1:16" ht="26.4" x14ac:dyDescent="0.25">
      <c r="A1031" s="3" t="s">
        <v>5</v>
      </c>
      <c r="E1031" s="1" t="s">
        <v>1085</v>
      </c>
    </row>
    <row r="1032" spans="1:16" ht="26.4" x14ac:dyDescent="0.25">
      <c r="A1032" s="3" t="s">
        <v>3</v>
      </c>
      <c r="E1032" s="12" t="s">
        <v>1084</v>
      </c>
    </row>
    <row r="1033" spans="1:16" ht="26.4" x14ac:dyDescent="0.25">
      <c r="A1033" t="s">
        <v>1</v>
      </c>
      <c r="E1033" s="1" t="s">
        <v>1083</v>
      </c>
    </row>
    <row r="1034" spans="1:16" ht="39.6" x14ac:dyDescent="0.25">
      <c r="A1034" t="s">
        <v>11</v>
      </c>
      <c r="B1034" s="9" t="s">
        <v>138</v>
      </c>
      <c r="C1034" s="9" t="s">
        <v>1082</v>
      </c>
      <c r="D1034" s="3" t="s">
        <v>2</v>
      </c>
      <c r="E1034" s="8" t="s">
        <v>1081</v>
      </c>
      <c r="F1034" s="4" t="s">
        <v>542</v>
      </c>
      <c r="G1034" s="7">
        <v>233.57599999999999</v>
      </c>
      <c r="H1034" s="4">
        <v>0</v>
      </c>
      <c r="I1034" s="4">
        <f>ROUND(G1034*H1034,6)</f>
        <v>0</v>
      </c>
      <c r="L1034" s="6">
        <v>0</v>
      </c>
      <c r="M1034" s="5">
        <f>ROUND(ROUND(L1034,2)*ROUND(G1034,3),2)</f>
        <v>0</v>
      </c>
      <c r="N1034" s="4" t="s">
        <v>501</v>
      </c>
      <c r="O1034">
        <f>(M1034*21)/100</f>
        <v>0</v>
      </c>
      <c r="P1034" t="s">
        <v>6</v>
      </c>
    </row>
    <row r="1035" spans="1:16" ht="39.6" x14ac:dyDescent="0.25">
      <c r="A1035" s="3" t="s">
        <v>5</v>
      </c>
      <c r="E1035" s="1" t="s">
        <v>1081</v>
      </c>
    </row>
    <row r="1036" spans="1:16" ht="13.2" x14ac:dyDescent="0.25">
      <c r="A1036" s="3" t="s">
        <v>3</v>
      </c>
      <c r="E1036" s="2" t="s">
        <v>2</v>
      </c>
    </row>
    <row r="1037" spans="1:16" ht="145.19999999999999" x14ac:dyDescent="0.25">
      <c r="A1037" t="s">
        <v>1</v>
      </c>
      <c r="E1037" s="1" t="s">
        <v>1080</v>
      </c>
    </row>
    <row r="1038" spans="1:16" ht="13.2" x14ac:dyDescent="0.25">
      <c r="A1038" t="s">
        <v>11</v>
      </c>
      <c r="B1038" s="9" t="s">
        <v>135</v>
      </c>
      <c r="C1038" s="9" t="s">
        <v>1079</v>
      </c>
      <c r="D1038" s="3" t="s">
        <v>2</v>
      </c>
      <c r="E1038" s="8" t="s">
        <v>1078</v>
      </c>
      <c r="F1038" s="4" t="s">
        <v>542</v>
      </c>
      <c r="G1038" s="7">
        <v>1.6479999999999999</v>
      </c>
      <c r="H1038" s="4">
        <v>1</v>
      </c>
      <c r="I1038" s="4">
        <f>ROUND(G1038*H1038,6)</f>
        <v>1.6479999999999999</v>
      </c>
      <c r="L1038" s="6">
        <v>0</v>
      </c>
      <c r="M1038" s="5">
        <f>ROUND(ROUND(L1038,2)*ROUND(G1038,3),2)</f>
        <v>0</v>
      </c>
      <c r="N1038" s="4" t="s">
        <v>7</v>
      </c>
      <c r="O1038">
        <f>(M1038*21)/100</f>
        <v>0</v>
      </c>
      <c r="P1038" t="s">
        <v>6</v>
      </c>
    </row>
    <row r="1039" spans="1:16" ht="13.2" x14ac:dyDescent="0.25">
      <c r="A1039" s="3" t="s">
        <v>5</v>
      </c>
      <c r="E1039" s="1" t="s">
        <v>1078</v>
      </c>
    </row>
    <row r="1040" spans="1:16" ht="118.8" x14ac:dyDescent="0.25">
      <c r="A1040" s="3" t="s">
        <v>3</v>
      </c>
      <c r="E1040" s="12" t="s">
        <v>1077</v>
      </c>
    </row>
    <row r="1041" spans="1:16" ht="66" x14ac:dyDescent="0.25">
      <c r="A1041" t="s">
        <v>1</v>
      </c>
      <c r="E1041" s="1" t="s">
        <v>1076</v>
      </c>
    </row>
    <row r="1042" spans="1:16" ht="13.2" x14ac:dyDescent="0.25">
      <c r="A1042" t="s">
        <v>11</v>
      </c>
      <c r="B1042" s="9" t="s">
        <v>132</v>
      </c>
      <c r="C1042" s="9" t="s">
        <v>1075</v>
      </c>
      <c r="D1042" s="3" t="s">
        <v>2</v>
      </c>
      <c r="E1042" s="8" t="s">
        <v>1074</v>
      </c>
      <c r="F1042" s="4" t="s">
        <v>8</v>
      </c>
      <c r="G1042" s="7">
        <v>8.4</v>
      </c>
      <c r="H1042" s="4">
        <v>1.2999999999999999E-3</v>
      </c>
      <c r="I1042" s="4">
        <f>ROUND(G1042*H1042,6)</f>
        <v>1.0919999999999999E-2</v>
      </c>
      <c r="L1042" s="6">
        <v>0</v>
      </c>
      <c r="M1042" s="5">
        <f>ROUND(ROUND(L1042,2)*ROUND(G1042,3),2)</f>
        <v>0</v>
      </c>
      <c r="N1042" s="4" t="s">
        <v>7</v>
      </c>
      <c r="O1042">
        <f>(M1042*21)/100</f>
        <v>0</v>
      </c>
      <c r="P1042" t="s">
        <v>6</v>
      </c>
    </row>
    <row r="1043" spans="1:16" ht="13.2" x14ac:dyDescent="0.25">
      <c r="A1043" s="3" t="s">
        <v>5</v>
      </c>
      <c r="E1043" s="1" t="s">
        <v>1074</v>
      </c>
    </row>
    <row r="1044" spans="1:16" ht="26.4" x14ac:dyDescent="0.25">
      <c r="A1044" s="3" t="s">
        <v>3</v>
      </c>
      <c r="E1044" s="2" t="s">
        <v>1073</v>
      </c>
    </row>
    <row r="1045" spans="1:16" ht="66" x14ac:dyDescent="0.25">
      <c r="A1045" t="s">
        <v>1</v>
      </c>
      <c r="E1045" s="1" t="s">
        <v>1072</v>
      </c>
    </row>
    <row r="1046" spans="1:16" ht="13.2" x14ac:dyDescent="0.25">
      <c r="A1046" t="s">
        <v>50</v>
      </c>
      <c r="C1046" s="11" t="s">
        <v>684</v>
      </c>
      <c r="E1046" s="10" t="s">
        <v>683</v>
      </c>
      <c r="J1046" s="5">
        <f>0</f>
        <v>0</v>
      </c>
      <c r="K1046" s="5">
        <f>0</f>
        <v>0</v>
      </c>
      <c r="L1046" s="5">
        <f>0+L1047+L1051</f>
        <v>0</v>
      </c>
      <c r="M1046" s="5">
        <f>0+M1047+M1051</f>
        <v>0</v>
      </c>
    </row>
    <row r="1047" spans="1:16" ht="13.2" x14ac:dyDescent="0.25">
      <c r="A1047" t="s">
        <v>11</v>
      </c>
      <c r="B1047" s="9" t="s">
        <v>129</v>
      </c>
      <c r="C1047" s="9" t="s">
        <v>1071</v>
      </c>
      <c r="D1047" s="3" t="s">
        <v>2</v>
      </c>
      <c r="E1047" s="8" t="s">
        <v>1069</v>
      </c>
      <c r="F1047" s="4" t="s">
        <v>370</v>
      </c>
      <c r="G1047" s="7">
        <v>3442.1030000000001</v>
      </c>
      <c r="H1047" s="4">
        <v>0</v>
      </c>
      <c r="I1047" s="4">
        <f>ROUND(G1047*H1047,6)</f>
        <v>0</v>
      </c>
      <c r="L1047" s="6">
        <v>0</v>
      </c>
      <c r="M1047" s="5">
        <f>ROUND(ROUND(L1047,2)*ROUND(G1047,3),2)</f>
        <v>0</v>
      </c>
      <c r="N1047" s="4" t="s">
        <v>501</v>
      </c>
      <c r="O1047">
        <f>(M1047*21)/100</f>
        <v>0</v>
      </c>
      <c r="P1047" t="s">
        <v>6</v>
      </c>
    </row>
    <row r="1048" spans="1:16" ht="13.2" x14ac:dyDescent="0.25">
      <c r="A1048" s="3" t="s">
        <v>5</v>
      </c>
      <c r="E1048" s="1" t="s">
        <v>1069</v>
      </c>
    </row>
    <row r="1049" spans="1:16" ht="26.4" x14ac:dyDescent="0.25">
      <c r="A1049" s="3" t="s">
        <v>3</v>
      </c>
      <c r="E1049" s="12" t="s">
        <v>1070</v>
      </c>
    </row>
    <row r="1050" spans="1:16" ht="13.2" x14ac:dyDescent="0.25">
      <c r="A1050" t="s">
        <v>1</v>
      </c>
      <c r="E1050" s="1" t="s">
        <v>1069</v>
      </c>
    </row>
    <row r="1051" spans="1:16" ht="26.4" x14ac:dyDescent="0.25">
      <c r="A1051" t="s">
        <v>11</v>
      </c>
      <c r="B1051" s="9" t="s">
        <v>126</v>
      </c>
      <c r="C1051" s="9" t="s">
        <v>1068</v>
      </c>
      <c r="D1051" s="3" t="s">
        <v>2</v>
      </c>
      <c r="E1051" s="8" t="s">
        <v>1067</v>
      </c>
      <c r="F1051" s="4" t="s">
        <v>370</v>
      </c>
      <c r="G1051" s="7">
        <v>3442.1030000000001</v>
      </c>
      <c r="H1051" s="4">
        <v>1.7000000000000001E-4</v>
      </c>
      <c r="I1051" s="4">
        <f>ROUND(G1051*H1051,6)</f>
        <v>0.58515799999999996</v>
      </c>
      <c r="L1051" s="6">
        <v>0</v>
      </c>
      <c r="M1051" s="5">
        <f>ROUND(ROUND(L1051,2)*ROUND(G1051,3),2)</f>
        <v>0</v>
      </c>
      <c r="N1051" s="4" t="s">
        <v>501</v>
      </c>
      <c r="O1051">
        <f>(M1051*21)/100</f>
        <v>0</v>
      </c>
      <c r="P1051" t="s">
        <v>6</v>
      </c>
    </row>
    <row r="1052" spans="1:16" ht="26.4" x14ac:dyDescent="0.25">
      <c r="A1052" s="3" t="s">
        <v>5</v>
      </c>
      <c r="E1052" s="1" t="s">
        <v>1067</v>
      </c>
    </row>
    <row r="1053" spans="1:16" ht="13.2" x14ac:dyDescent="0.25">
      <c r="A1053" s="3" t="s">
        <v>3</v>
      </c>
      <c r="E1053" s="2" t="s">
        <v>2</v>
      </c>
    </row>
    <row r="1054" spans="1:16" ht="26.4" x14ac:dyDescent="0.25">
      <c r="A1054" t="s">
        <v>1</v>
      </c>
      <c r="E1054" s="1" t="s">
        <v>1067</v>
      </c>
    </row>
    <row r="1055" spans="1:16" ht="13.2" x14ac:dyDescent="0.25">
      <c r="A1055" t="s">
        <v>50</v>
      </c>
      <c r="C1055" s="11" t="s">
        <v>1066</v>
      </c>
      <c r="E1055" s="10" t="s">
        <v>1065</v>
      </c>
      <c r="J1055" s="5">
        <f>0</f>
        <v>0</v>
      </c>
      <c r="K1055" s="5">
        <f>0</f>
        <v>0</v>
      </c>
      <c r="L1055" s="5">
        <f>0+L1056</f>
        <v>0</v>
      </c>
      <c r="M1055" s="5">
        <f>0+M1056</f>
        <v>0</v>
      </c>
    </row>
    <row r="1056" spans="1:16" ht="39.6" x14ac:dyDescent="0.25">
      <c r="A1056" t="s">
        <v>11</v>
      </c>
      <c r="B1056" s="9" t="s">
        <v>123</v>
      </c>
      <c r="C1056" s="9" t="s">
        <v>1064</v>
      </c>
      <c r="D1056" s="3" t="s">
        <v>1063</v>
      </c>
      <c r="E1056" s="8" t="s">
        <v>1062</v>
      </c>
      <c r="F1056" s="4" t="s">
        <v>542</v>
      </c>
      <c r="G1056" s="7">
        <v>409.55099999999999</v>
      </c>
      <c r="H1056" s="4">
        <v>0</v>
      </c>
      <c r="I1056" s="4">
        <f>ROUND(G1056*H1056,6)</f>
        <v>0</v>
      </c>
      <c r="L1056" s="6">
        <v>0</v>
      </c>
      <c r="M1056" s="5">
        <f>ROUND(ROUND(L1056,2)*ROUND(G1056,3),2)</f>
        <v>0</v>
      </c>
      <c r="N1056" s="4" t="s">
        <v>7</v>
      </c>
      <c r="O1056">
        <f>(M1056*21)/100</f>
        <v>0</v>
      </c>
      <c r="P1056" t="s">
        <v>6</v>
      </c>
    </row>
    <row r="1057" spans="1:16" ht="13.2" x14ac:dyDescent="0.25">
      <c r="A1057" s="3" t="s">
        <v>5</v>
      </c>
      <c r="E1057" s="1" t="s">
        <v>1061</v>
      </c>
    </row>
    <row r="1058" spans="1:16" ht="26.4" x14ac:dyDescent="0.25">
      <c r="A1058" s="3" t="s">
        <v>3</v>
      </c>
      <c r="E1058" s="12" t="s">
        <v>1060</v>
      </c>
    </row>
    <row r="1059" spans="1:16" ht="92.4" x14ac:dyDescent="0.25">
      <c r="A1059" t="s">
        <v>1</v>
      </c>
      <c r="E1059" s="1" t="s">
        <v>1059</v>
      </c>
    </row>
    <row r="1060" spans="1:16" ht="13.2" x14ac:dyDescent="0.25">
      <c r="A1060" t="s">
        <v>50</v>
      </c>
      <c r="C1060" s="11" t="s">
        <v>668</v>
      </c>
      <c r="E1060" s="10" t="s">
        <v>667</v>
      </c>
      <c r="J1060" s="5">
        <f>0</f>
        <v>0</v>
      </c>
      <c r="K1060" s="5">
        <f>0</f>
        <v>0</v>
      </c>
      <c r="L1060" s="5">
        <f>0+L1061</f>
        <v>0</v>
      </c>
      <c r="M1060" s="5">
        <f>0+M1061</f>
        <v>0</v>
      </c>
    </row>
    <row r="1061" spans="1:16" ht="39.6" x14ac:dyDescent="0.25">
      <c r="A1061" t="s">
        <v>11</v>
      </c>
      <c r="B1061" s="9" t="s">
        <v>120</v>
      </c>
      <c r="C1061" s="9" t="s">
        <v>1058</v>
      </c>
      <c r="D1061" s="3" t="s">
        <v>2</v>
      </c>
      <c r="E1061" s="8" t="s">
        <v>664</v>
      </c>
      <c r="F1061" s="4" t="s">
        <v>542</v>
      </c>
      <c r="G1061" s="7">
        <v>2499.71</v>
      </c>
      <c r="H1061" s="4">
        <v>0</v>
      </c>
      <c r="I1061" s="4">
        <f>ROUND(G1061*H1061,6)</f>
        <v>0</v>
      </c>
      <c r="L1061" s="6">
        <v>0</v>
      </c>
      <c r="M1061" s="5">
        <f>ROUND(ROUND(L1061,2)*ROUND(G1061,3),2)</f>
        <v>0</v>
      </c>
      <c r="N1061" s="4" t="s">
        <v>501</v>
      </c>
      <c r="O1061">
        <f>(M1061*21)/100</f>
        <v>0</v>
      </c>
      <c r="P1061" t="s">
        <v>6</v>
      </c>
    </row>
    <row r="1062" spans="1:16" ht="39.6" x14ac:dyDescent="0.25">
      <c r="A1062" s="3" t="s">
        <v>5</v>
      </c>
      <c r="E1062" s="1" t="s">
        <v>1057</v>
      </c>
    </row>
    <row r="1063" spans="1:16" ht="13.2" x14ac:dyDescent="0.25">
      <c r="A1063" s="3" t="s">
        <v>3</v>
      </c>
      <c r="E1063" s="2" t="s">
        <v>2</v>
      </c>
    </row>
    <row r="1064" spans="1:16" ht="66" x14ac:dyDescent="0.25">
      <c r="A1064" t="s">
        <v>1</v>
      </c>
      <c r="E1064" s="1" t="s">
        <v>1056</v>
      </c>
    </row>
    <row r="1065" spans="1:16" ht="13.2" x14ac:dyDescent="0.25">
      <c r="A1065" t="s">
        <v>53</v>
      </c>
      <c r="C1065" s="11" t="s">
        <v>1055</v>
      </c>
      <c r="E1065" s="10" t="s">
        <v>1054</v>
      </c>
      <c r="J1065" s="5">
        <f>0+J1066+J1087+J1096+J1105+J1202+J1351+J1424+J1441+J1522+J1559+J1572+J1589+J1618+J1631+J1636+J1641</f>
        <v>0</v>
      </c>
      <c r="K1065" s="5">
        <f>0+K1066+K1087+K1096+K1105+K1202+K1351+K1424+K1441+K1522+K1559+K1572+K1589+K1618+K1631+K1636+K1641</f>
        <v>0</v>
      </c>
      <c r="L1065" s="5">
        <f>0+L1066+L1087+L1096+L1105+L1202+L1351+L1424+L1441+L1522+L1559+L1572+L1589+L1618+L1631+L1636+L1641</f>
        <v>0</v>
      </c>
      <c r="M1065" s="5">
        <f>0+M1066+M1087+M1096+M1105+M1202+M1351+M1424+M1441+M1522+M1559+M1572+M1589+M1618+M1631+M1636+M1641</f>
        <v>0</v>
      </c>
    </row>
    <row r="1066" spans="1:16" ht="13.2" x14ac:dyDescent="0.25">
      <c r="A1066" t="s">
        <v>50</v>
      </c>
      <c r="C1066" s="11" t="s">
        <v>48</v>
      </c>
      <c r="E1066" s="10" t="s">
        <v>49</v>
      </c>
      <c r="J1066" s="5">
        <f>0</f>
        <v>0</v>
      </c>
      <c r="K1066" s="5">
        <f>0</f>
        <v>0</v>
      </c>
      <c r="L1066" s="5">
        <f>0+L1067+L1071+L1075+L1079+L1083</f>
        <v>0</v>
      </c>
      <c r="M1066" s="5">
        <f>0+M1067+M1071+M1075+M1079+M1083</f>
        <v>0</v>
      </c>
    </row>
    <row r="1067" spans="1:16" ht="26.4" x14ac:dyDescent="0.25">
      <c r="A1067" t="s">
        <v>11</v>
      </c>
      <c r="B1067" s="9" t="s">
        <v>48</v>
      </c>
      <c r="C1067" s="9" t="s">
        <v>1053</v>
      </c>
      <c r="D1067" s="3" t="s">
        <v>2</v>
      </c>
      <c r="E1067" s="8" t="s">
        <v>1052</v>
      </c>
      <c r="F1067" s="4" t="s">
        <v>1032</v>
      </c>
      <c r="G1067" s="7">
        <v>190</v>
      </c>
      <c r="H1067" s="4">
        <v>0</v>
      </c>
      <c r="I1067" s="4">
        <f>ROUND(G1067*H1067,6)</f>
        <v>0</v>
      </c>
      <c r="L1067" s="6">
        <v>0</v>
      </c>
      <c r="M1067" s="5">
        <f>ROUND(ROUND(L1067,2)*ROUND(G1067,3),2)</f>
        <v>0</v>
      </c>
      <c r="N1067" s="4" t="s">
        <v>501</v>
      </c>
      <c r="O1067">
        <f>(M1067*21)/100</f>
        <v>0</v>
      </c>
      <c r="P1067" t="s">
        <v>6</v>
      </c>
    </row>
    <row r="1068" spans="1:16" ht="39.6" x14ac:dyDescent="0.25">
      <c r="A1068" s="3" t="s">
        <v>5</v>
      </c>
      <c r="E1068" s="1" t="s">
        <v>1051</v>
      </c>
    </row>
    <row r="1069" spans="1:16" ht="13.2" x14ac:dyDescent="0.25">
      <c r="A1069" s="3" t="s">
        <v>3</v>
      </c>
      <c r="E1069" s="2" t="s">
        <v>2</v>
      </c>
    </row>
    <row r="1070" spans="1:16" ht="13.2" x14ac:dyDescent="0.25">
      <c r="A1070" t="s">
        <v>1</v>
      </c>
      <c r="E1070" s="1" t="s">
        <v>2</v>
      </c>
    </row>
    <row r="1071" spans="1:16" ht="26.4" x14ac:dyDescent="0.25">
      <c r="A1071" t="s">
        <v>11</v>
      </c>
      <c r="B1071" s="9" t="s">
        <v>6</v>
      </c>
      <c r="C1071" s="9" t="s">
        <v>1050</v>
      </c>
      <c r="D1071" s="3" t="s">
        <v>2</v>
      </c>
      <c r="E1071" s="8" t="s">
        <v>1049</v>
      </c>
      <c r="F1071" s="4" t="s">
        <v>370</v>
      </c>
      <c r="G1071" s="7">
        <v>112</v>
      </c>
      <c r="H1071" s="4">
        <v>8.4999999999999995E-4</v>
      </c>
      <c r="I1071" s="4">
        <f>ROUND(G1071*H1071,6)</f>
        <v>9.5200000000000007E-2</v>
      </c>
      <c r="L1071" s="6">
        <v>0</v>
      </c>
      <c r="M1071" s="5">
        <f>ROUND(ROUND(L1071,2)*ROUND(G1071,3),2)</f>
        <v>0</v>
      </c>
      <c r="N1071" s="4" t="s">
        <v>501</v>
      </c>
      <c r="O1071">
        <f>(M1071*21)/100</f>
        <v>0</v>
      </c>
      <c r="P1071" t="s">
        <v>6</v>
      </c>
    </row>
    <row r="1072" spans="1:16" ht="26.4" x14ac:dyDescent="0.25">
      <c r="A1072" s="3" t="s">
        <v>5</v>
      </c>
      <c r="E1072" s="1" t="s">
        <v>1049</v>
      </c>
    </row>
    <row r="1073" spans="1:16" ht="13.2" x14ac:dyDescent="0.25">
      <c r="A1073" s="3" t="s">
        <v>3</v>
      </c>
      <c r="E1073" s="2" t="s">
        <v>2</v>
      </c>
    </row>
    <row r="1074" spans="1:16" ht="13.2" x14ac:dyDescent="0.25">
      <c r="A1074" t="s">
        <v>1</v>
      </c>
      <c r="E1074" s="1" t="s">
        <v>2</v>
      </c>
    </row>
    <row r="1075" spans="1:16" ht="26.4" x14ac:dyDescent="0.25">
      <c r="A1075" t="s">
        <v>11</v>
      </c>
      <c r="B1075" s="9" t="s">
        <v>43</v>
      </c>
      <c r="C1075" s="9" t="s">
        <v>1048</v>
      </c>
      <c r="D1075" s="3" t="s">
        <v>2</v>
      </c>
      <c r="E1075" s="8" t="s">
        <v>1047</v>
      </c>
      <c r="F1075" s="4" t="s">
        <v>370</v>
      </c>
      <c r="G1075" s="7">
        <v>112</v>
      </c>
      <c r="H1075" s="4">
        <v>0</v>
      </c>
      <c r="I1075" s="4">
        <f>ROUND(G1075*H1075,6)</f>
        <v>0</v>
      </c>
      <c r="L1075" s="6">
        <v>0</v>
      </c>
      <c r="M1075" s="5">
        <f>ROUND(ROUND(L1075,2)*ROUND(G1075,3),2)</f>
        <v>0</v>
      </c>
      <c r="N1075" s="4" t="s">
        <v>501</v>
      </c>
      <c r="O1075">
        <f>(M1075*21)/100</f>
        <v>0</v>
      </c>
      <c r="P1075" t="s">
        <v>6</v>
      </c>
    </row>
    <row r="1076" spans="1:16" ht="26.4" x14ac:dyDescent="0.25">
      <c r="A1076" s="3" t="s">
        <v>5</v>
      </c>
      <c r="E1076" s="1" t="s">
        <v>1047</v>
      </c>
    </row>
    <row r="1077" spans="1:16" ht="13.2" x14ac:dyDescent="0.25">
      <c r="A1077" s="3" t="s">
        <v>3</v>
      </c>
      <c r="E1077" s="2" t="s">
        <v>2</v>
      </c>
    </row>
    <row r="1078" spans="1:16" ht="13.2" x14ac:dyDescent="0.25">
      <c r="A1078" t="s">
        <v>1</v>
      </c>
      <c r="E1078" s="1" t="s">
        <v>2</v>
      </c>
    </row>
    <row r="1079" spans="1:16" ht="26.4" x14ac:dyDescent="0.25">
      <c r="A1079" t="s">
        <v>11</v>
      </c>
      <c r="B1079" s="9" t="s">
        <v>39</v>
      </c>
      <c r="C1079" s="9" t="s">
        <v>1046</v>
      </c>
      <c r="D1079" s="3" t="s">
        <v>2</v>
      </c>
      <c r="E1079" s="8" t="s">
        <v>1045</v>
      </c>
      <c r="F1079" s="4" t="s">
        <v>1032</v>
      </c>
      <c r="G1079" s="7">
        <v>64</v>
      </c>
      <c r="H1079" s="4">
        <v>0</v>
      </c>
      <c r="I1079" s="4">
        <f>ROUND(G1079*H1079,6)</f>
        <v>0</v>
      </c>
      <c r="L1079" s="6">
        <v>0</v>
      </c>
      <c r="M1079" s="5">
        <f>ROUND(ROUND(L1079,2)*ROUND(G1079,3),2)</f>
        <v>0</v>
      </c>
      <c r="N1079" s="4" t="s">
        <v>501</v>
      </c>
      <c r="O1079">
        <f>(M1079*21)/100</f>
        <v>0</v>
      </c>
      <c r="P1079" t="s">
        <v>6</v>
      </c>
    </row>
    <row r="1080" spans="1:16" ht="39.6" x14ac:dyDescent="0.25">
      <c r="A1080" s="3" t="s">
        <v>5</v>
      </c>
      <c r="E1080" s="1" t="s">
        <v>1044</v>
      </c>
    </row>
    <row r="1081" spans="1:16" ht="13.2" x14ac:dyDescent="0.25">
      <c r="A1081" s="3" t="s">
        <v>3</v>
      </c>
      <c r="E1081" s="2" t="s">
        <v>2</v>
      </c>
    </row>
    <row r="1082" spans="1:16" ht="13.2" x14ac:dyDescent="0.25">
      <c r="A1082" t="s">
        <v>1</v>
      </c>
      <c r="E1082" s="1" t="s">
        <v>2</v>
      </c>
    </row>
    <row r="1083" spans="1:16" ht="13.2" x14ac:dyDescent="0.25">
      <c r="A1083" t="s">
        <v>11</v>
      </c>
      <c r="B1083" s="9" t="s">
        <v>36</v>
      </c>
      <c r="C1083" s="9" t="s">
        <v>1043</v>
      </c>
      <c r="D1083" s="3" t="s">
        <v>2</v>
      </c>
      <c r="E1083" s="8" t="s">
        <v>1042</v>
      </c>
      <c r="F1083" s="4" t="s">
        <v>542</v>
      </c>
      <c r="G1083" s="7">
        <v>128</v>
      </c>
      <c r="H1083" s="4">
        <v>1</v>
      </c>
      <c r="I1083" s="4">
        <f>ROUND(G1083*H1083,6)</f>
        <v>128</v>
      </c>
      <c r="L1083" s="6">
        <v>0</v>
      </c>
      <c r="M1083" s="5">
        <f>ROUND(ROUND(L1083,2)*ROUND(G1083,3),2)</f>
        <v>0</v>
      </c>
      <c r="N1083" s="4" t="s">
        <v>501</v>
      </c>
      <c r="O1083">
        <f>(M1083*21)/100</f>
        <v>0</v>
      </c>
      <c r="P1083" t="s">
        <v>6</v>
      </c>
    </row>
    <row r="1084" spans="1:16" ht="13.2" x14ac:dyDescent="0.25">
      <c r="A1084" s="3" t="s">
        <v>5</v>
      </c>
      <c r="E1084" s="1" t="s">
        <v>1042</v>
      </c>
    </row>
    <row r="1085" spans="1:16" ht="13.2" x14ac:dyDescent="0.25">
      <c r="A1085" s="3" t="s">
        <v>3</v>
      </c>
      <c r="E1085" s="2" t="s">
        <v>2</v>
      </c>
    </row>
    <row r="1086" spans="1:16" ht="13.2" x14ac:dyDescent="0.25">
      <c r="A1086" t="s">
        <v>1</v>
      </c>
      <c r="E1086" s="1" t="s">
        <v>1042</v>
      </c>
    </row>
    <row r="1087" spans="1:16" ht="13.2" x14ac:dyDescent="0.25">
      <c r="A1087" t="s">
        <v>50</v>
      </c>
      <c r="C1087" s="11" t="s">
        <v>1041</v>
      </c>
      <c r="E1087" s="10" t="s">
        <v>1040</v>
      </c>
      <c r="J1087" s="5">
        <f>0</f>
        <v>0</v>
      </c>
      <c r="K1087" s="5">
        <f>0</f>
        <v>0</v>
      </c>
      <c r="L1087" s="5">
        <f>0+L1088+L1092</f>
        <v>0</v>
      </c>
      <c r="M1087" s="5">
        <f>0+M1088+M1092</f>
        <v>0</v>
      </c>
    </row>
    <row r="1088" spans="1:16" ht="13.2" x14ac:dyDescent="0.25">
      <c r="A1088" t="s">
        <v>11</v>
      </c>
      <c r="B1088" s="9" t="s">
        <v>33</v>
      </c>
      <c r="C1088" s="9" t="s">
        <v>1039</v>
      </c>
      <c r="D1088" s="3" t="s">
        <v>2</v>
      </c>
      <c r="E1088" s="8" t="s">
        <v>1037</v>
      </c>
      <c r="F1088" s="4" t="s">
        <v>1038</v>
      </c>
      <c r="G1088" s="7">
        <v>1</v>
      </c>
      <c r="H1088" s="4">
        <v>0</v>
      </c>
      <c r="I1088" s="4">
        <f>ROUND(G1088*H1088,6)</f>
        <v>0</v>
      </c>
      <c r="L1088" s="6">
        <v>0</v>
      </c>
      <c r="M1088" s="5">
        <f>ROUND(ROUND(L1088,2)*ROUND(G1088,3),2)</f>
        <v>0</v>
      </c>
      <c r="N1088" s="4" t="s">
        <v>501</v>
      </c>
      <c r="O1088">
        <f>(M1088*21)/100</f>
        <v>0</v>
      </c>
      <c r="P1088" t="s">
        <v>6</v>
      </c>
    </row>
    <row r="1089" spans="1:16" ht="13.2" x14ac:dyDescent="0.25">
      <c r="A1089" s="3" t="s">
        <v>5</v>
      </c>
      <c r="E1089" s="1" t="s">
        <v>1037</v>
      </c>
    </row>
    <row r="1090" spans="1:16" ht="13.2" x14ac:dyDescent="0.25">
      <c r="A1090" s="3" t="s">
        <v>3</v>
      </c>
      <c r="E1090" s="2" t="s">
        <v>2</v>
      </c>
    </row>
    <row r="1091" spans="1:16" ht="13.2" x14ac:dyDescent="0.25">
      <c r="A1091" t="s">
        <v>1</v>
      </c>
      <c r="E1091" s="1" t="s">
        <v>2</v>
      </c>
    </row>
    <row r="1092" spans="1:16" ht="13.2" x14ac:dyDescent="0.25">
      <c r="A1092" t="s">
        <v>11</v>
      </c>
      <c r="B1092" s="9" t="s">
        <v>30</v>
      </c>
      <c r="C1092" s="9" t="s">
        <v>1036</v>
      </c>
      <c r="D1092" s="3" t="s">
        <v>2</v>
      </c>
      <c r="E1092" s="8" t="s">
        <v>1035</v>
      </c>
      <c r="F1092" s="4" t="s">
        <v>8</v>
      </c>
      <c r="G1092" s="7">
        <v>174</v>
      </c>
      <c r="H1092" s="4">
        <v>0</v>
      </c>
      <c r="I1092" s="4">
        <f>ROUND(G1092*H1092,6)</f>
        <v>0</v>
      </c>
      <c r="L1092" s="6">
        <v>0</v>
      </c>
      <c r="M1092" s="5">
        <f>ROUND(ROUND(L1092,2)*ROUND(G1092,3),2)</f>
        <v>0</v>
      </c>
      <c r="N1092" s="4" t="s">
        <v>501</v>
      </c>
      <c r="O1092">
        <f>(M1092*21)/100</f>
        <v>0</v>
      </c>
      <c r="P1092" t="s">
        <v>6</v>
      </c>
    </row>
    <row r="1093" spans="1:16" ht="13.2" x14ac:dyDescent="0.25">
      <c r="A1093" s="3" t="s">
        <v>5</v>
      </c>
      <c r="E1093" s="1" t="s">
        <v>1035</v>
      </c>
    </row>
    <row r="1094" spans="1:16" ht="13.2" x14ac:dyDescent="0.25">
      <c r="A1094" s="3" t="s">
        <v>3</v>
      </c>
      <c r="E1094" s="2" t="s">
        <v>2</v>
      </c>
    </row>
    <row r="1095" spans="1:16" ht="13.2" x14ac:dyDescent="0.25">
      <c r="A1095" t="s">
        <v>1</v>
      </c>
      <c r="E1095" s="1" t="s">
        <v>2</v>
      </c>
    </row>
    <row r="1096" spans="1:16" ht="13.2" x14ac:dyDescent="0.25">
      <c r="A1096" t="s">
        <v>50</v>
      </c>
      <c r="C1096" s="11" t="s">
        <v>39</v>
      </c>
      <c r="E1096" s="10" t="s">
        <v>1034</v>
      </c>
      <c r="J1096" s="5">
        <f>0</f>
        <v>0</v>
      </c>
      <c r="K1096" s="5">
        <f>0</f>
        <v>0</v>
      </c>
      <c r="L1096" s="5">
        <f>0+L1097+L1101</f>
        <v>0</v>
      </c>
      <c r="M1096" s="5">
        <f>0+M1097+M1101</f>
        <v>0</v>
      </c>
    </row>
    <row r="1097" spans="1:16" ht="26.4" x14ac:dyDescent="0.25">
      <c r="A1097" t="s">
        <v>11</v>
      </c>
      <c r="B1097" s="9" t="s">
        <v>27</v>
      </c>
      <c r="C1097" s="9" t="s">
        <v>1033</v>
      </c>
      <c r="D1097" s="3" t="s">
        <v>2</v>
      </c>
      <c r="E1097" s="8" t="s">
        <v>1031</v>
      </c>
      <c r="F1097" s="4" t="s">
        <v>1032</v>
      </c>
      <c r="G1097" s="7">
        <v>15</v>
      </c>
      <c r="H1097" s="4">
        <v>1.8907700000000001</v>
      </c>
      <c r="I1097" s="4">
        <f>ROUND(G1097*H1097,6)</f>
        <v>28.361550000000001</v>
      </c>
      <c r="L1097" s="6">
        <v>0</v>
      </c>
      <c r="M1097" s="5">
        <f>ROUND(ROUND(L1097,2)*ROUND(G1097,3),2)</f>
        <v>0</v>
      </c>
      <c r="N1097" s="4" t="s">
        <v>501</v>
      </c>
      <c r="O1097">
        <f>(M1097*21)/100</f>
        <v>0</v>
      </c>
      <c r="P1097" t="s">
        <v>6</v>
      </c>
    </row>
    <row r="1098" spans="1:16" ht="26.4" x14ac:dyDescent="0.25">
      <c r="A1098" s="3" t="s">
        <v>5</v>
      </c>
      <c r="E1098" s="1" t="s">
        <v>1031</v>
      </c>
    </row>
    <row r="1099" spans="1:16" ht="13.2" x14ac:dyDescent="0.25">
      <c r="A1099" s="3" t="s">
        <v>3</v>
      </c>
      <c r="E1099" s="2" t="s">
        <v>2</v>
      </c>
    </row>
    <row r="1100" spans="1:16" ht="13.2" x14ac:dyDescent="0.25">
      <c r="A1100" t="s">
        <v>1</v>
      </c>
      <c r="E1100" s="1" t="s">
        <v>2</v>
      </c>
    </row>
    <row r="1101" spans="1:16" ht="13.2" x14ac:dyDescent="0.25">
      <c r="A1101" t="s">
        <v>11</v>
      </c>
      <c r="B1101" s="9" t="s">
        <v>24</v>
      </c>
      <c r="C1101" s="9" t="s">
        <v>1030</v>
      </c>
      <c r="D1101" s="3" t="s">
        <v>2</v>
      </c>
      <c r="E1101" s="8" t="s">
        <v>1029</v>
      </c>
      <c r="F1101" s="4" t="s">
        <v>13</v>
      </c>
      <c r="G1101" s="7">
        <v>1</v>
      </c>
      <c r="H1101" s="4">
        <v>3.49E-3</v>
      </c>
      <c r="I1101" s="4">
        <f>ROUND(G1101*H1101,6)</f>
        <v>3.49E-3</v>
      </c>
      <c r="L1101" s="6">
        <v>0</v>
      </c>
      <c r="M1101" s="5">
        <f>ROUND(ROUND(L1101,2)*ROUND(G1101,3),2)</f>
        <v>0</v>
      </c>
      <c r="N1101" s="4" t="s">
        <v>7</v>
      </c>
      <c r="O1101">
        <f>(M1101*21)/100</f>
        <v>0</v>
      </c>
      <c r="P1101" t="s">
        <v>6</v>
      </c>
    </row>
    <row r="1102" spans="1:16" ht="13.2" x14ac:dyDescent="0.25">
      <c r="A1102" s="3" t="s">
        <v>5</v>
      </c>
      <c r="E1102" s="1" t="s">
        <v>1029</v>
      </c>
    </row>
    <row r="1103" spans="1:16" ht="13.2" x14ac:dyDescent="0.25">
      <c r="A1103" s="3" t="s">
        <v>3</v>
      </c>
      <c r="E1103" s="2" t="s">
        <v>2</v>
      </c>
    </row>
    <row r="1104" spans="1:16" ht="66" x14ac:dyDescent="0.25">
      <c r="A1104" t="s">
        <v>1</v>
      </c>
      <c r="E1104" s="1" t="s">
        <v>1028</v>
      </c>
    </row>
    <row r="1105" spans="1:16" ht="13.2" x14ac:dyDescent="0.25">
      <c r="A1105" t="s">
        <v>50</v>
      </c>
      <c r="C1105" s="11" t="s">
        <v>1027</v>
      </c>
      <c r="E1105" s="10" t="s">
        <v>1026</v>
      </c>
      <c r="J1105" s="5">
        <f>0</f>
        <v>0</v>
      </c>
      <c r="K1105" s="5">
        <f>0</f>
        <v>0</v>
      </c>
      <c r="L1105" s="5">
        <f>0+L1106+L1110+L1114+L1118+L1122+L1126+L1130+L1134+L1138+L1142+L1146+L1150+L1154+L1158+L1162+L1166+L1170+L1174+L1178+L1182+L1186+L1190+L1194+L1198</f>
        <v>0</v>
      </c>
      <c r="M1105" s="5">
        <f>0+M1106+M1110+M1114+M1118+M1122+M1126+M1130+M1134+M1138+M1142+M1146+M1150+M1154+M1158+M1162+M1166+M1170+M1174+M1178+M1182+M1186+M1190+M1194+M1198</f>
        <v>0</v>
      </c>
    </row>
    <row r="1106" spans="1:16" ht="13.2" x14ac:dyDescent="0.25">
      <c r="A1106" t="s">
        <v>11</v>
      </c>
      <c r="B1106" s="9" t="s">
        <v>21</v>
      </c>
      <c r="C1106" s="9" t="s">
        <v>1025</v>
      </c>
      <c r="D1106" s="3" t="s">
        <v>2</v>
      </c>
      <c r="E1106" s="8" t="s">
        <v>1024</v>
      </c>
      <c r="F1106" s="4" t="s">
        <v>13</v>
      </c>
      <c r="G1106" s="7">
        <v>8</v>
      </c>
      <c r="H1106" s="4">
        <v>1.1299999999999999E-3</v>
      </c>
      <c r="I1106" s="4">
        <f>ROUND(G1106*H1106,6)</f>
        <v>9.0399999999999994E-3</v>
      </c>
      <c r="L1106" s="6">
        <v>0</v>
      </c>
      <c r="M1106" s="5">
        <f>ROUND(ROUND(L1106,2)*ROUND(G1106,3),2)</f>
        <v>0</v>
      </c>
      <c r="N1106" s="4" t="s">
        <v>501</v>
      </c>
      <c r="O1106">
        <f>(M1106*21)/100</f>
        <v>0</v>
      </c>
      <c r="P1106" t="s">
        <v>6</v>
      </c>
    </row>
    <row r="1107" spans="1:16" ht="13.2" x14ac:dyDescent="0.25">
      <c r="A1107" s="3" t="s">
        <v>5</v>
      </c>
      <c r="E1107" s="1" t="s">
        <v>1024</v>
      </c>
    </row>
    <row r="1108" spans="1:16" ht="13.2" x14ac:dyDescent="0.25">
      <c r="A1108" s="3" t="s">
        <v>3</v>
      </c>
      <c r="E1108" s="2" t="s">
        <v>2</v>
      </c>
    </row>
    <row r="1109" spans="1:16" ht="13.2" x14ac:dyDescent="0.25">
      <c r="A1109" t="s">
        <v>1</v>
      </c>
      <c r="E1109" s="1" t="s">
        <v>1024</v>
      </c>
    </row>
    <row r="1110" spans="1:16" ht="13.2" x14ac:dyDescent="0.25">
      <c r="A1110" t="s">
        <v>11</v>
      </c>
      <c r="B1110" s="9" t="s">
        <v>18</v>
      </c>
      <c r="C1110" s="9" t="s">
        <v>1023</v>
      </c>
      <c r="D1110" s="3" t="s">
        <v>2</v>
      </c>
      <c r="E1110" s="8" t="s">
        <v>1022</v>
      </c>
      <c r="F1110" s="4" t="s">
        <v>13</v>
      </c>
      <c r="G1110" s="7">
        <v>4</v>
      </c>
      <c r="H1110" s="4">
        <v>1.31E-3</v>
      </c>
      <c r="I1110" s="4">
        <f>ROUND(G1110*H1110,6)</f>
        <v>5.2399999999999999E-3</v>
      </c>
      <c r="L1110" s="6">
        <v>0</v>
      </c>
      <c r="M1110" s="5">
        <f>ROUND(ROUND(L1110,2)*ROUND(G1110,3),2)</f>
        <v>0</v>
      </c>
      <c r="N1110" s="4" t="s">
        <v>501</v>
      </c>
      <c r="O1110">
        <f>(M1110*21)/100</f>
        <v>0</v>
      </c>
      <c r="P1110" t="s">
        <v>6</v>
      </c>
    </row>
    <row r="1111" spans="1:16" ht="13.2" x14ac:dyDescent="0.25">
      <c r="A1111" s="3" t="s">
        <v>5</v>
      </c>
      <c r="E1111" s="1" t="s">
        <v>1022</v>
      </c>
    </row>
    <row r="1112" spans="1:16" ht="13.2" x14ac:dyDescent="0.25">
      <c r="A1112" s="3" t="s">
        <v>3</v>
      </c>
      <c r="E1112" s="2" t="s">
        <v>2</v>
      </c>
    </row>
    <row r="1113" spans="1:16" ht="13.2" x14ac:dyDescent="0.25">
      <c r="A1113" t="s">
        <v>1</v>
      </c>
      <c r="E1113" s="1" t="s">
        <v>1022</v>
      </c>
    </row>
    <row r="1114" spans="1:16" ht="13.2" x14ac:dyDescent="0.25">
      <c r="A1114" t="s">
        <v>11</v>
      </c>
      <c r="B1114" s="9" t="s">
        <v>15</v>
      </c>
      <c r="C1114" s="9" t="s">
        <v>1021</v>
      </c>
      <c r="D1114" s="3" t="s">
        <v>2</v>
      </c>
      <c r="E1114" s="8" t="s">
        <v>1020</v>
      </c>
      <c r="F1114" s="4" t="s">
        <v>8</v>
      </c>
      <c r="G1114" s="7">
        <v>20</v>
      </c>
      <c r="H1114" s="4">
        <v>1.42E-3</v>
      </c>
      <c r="I1114" s="4">
        <f>ROUND(G1114*H1114,6)</f>
        <v>2.8400000000000002E-2</v>
      </c>
      <c r="L1114" s="6">
        <v>0</v>
      </c>
      <c r="M1114" s="5">
        <f>ROUND(ROUND(L1114,2)*ROUND(G1114,3),2)</f>
        <v>0</v>
      </c>
      <c r="N1114" s="4" t="s">
        <v>501</v>
      </c>
      <c r="O1114">
        <f>(M1114*21)/100</f>
        <v>0</v>
      </c>
      <c r="P1114" t="s">
        <v>6</v>
      </c>
    </row>
    <row r="1115" spans="1:16" ht="13.2" x14ac:dyDescent="0.25">
      <c r="A1115" s="3" t="s">
        <v>5</v>
      </c>
      <c r="E1115" s="1" t="s">
        <v>1020</v>
      </c>
    </row>
    <row r="1116" spans="1:16" ht="13.2" x14ac:dyDescent="0.25">
      <c r="A1116" s="3" t="s">
        <v>3</v>
      </c>
      <c r="E1116" s="2" t="s">
        <v>2</v>
      </c>
    </row>
    <row r="1117" spans="1:16" ht="13.2" x14ac:dyDescent="0.25">
      <c r="A1117" t="s">
        <v>1</v>
      </c>
      <c r="E1117" s="1" t="s">
        <v>2</v>
      </c>
    </row>
    <row r="1118" spans="1:16" ht="13.2" x14ac:dyDescent="0.25">
      <c r="A1118" t="s">
        <v>11</v>
      </c>
      <c r="B1118" s="9" t="s">
        <v>10</v>
      </c>
      <c r="C1118" s="9" t="s">
        <v>1019</v>
      </c>
      <c r="D1118" s="3" t="s">
        <v>2</v>
      </c>
      <c r="E1118" s="8" t="s">
        <v>1018</v>
      </c>
      <c r="F1118" s="4" t="s">
        <v>8</v>
      </c>
      <c r="G1118" s="7">
        <v>4</v>
      </c>
      <c r="H1118" s="4">
        <v>1.97E-3</v>
      </c>
      <c r="I1118" s="4">
        <f>ROUND(G1118*H1118,6)</f>
        <v>7.8799999999999999E-3</v>
      </c>
      <c r="L1118" s="6">
        <v>0</v>
      </c>
      <c r="M1118" s="5">
        <f>ROUND(ROUND(L1118,2)*ROUND(G1118,3),2)</f>
        <v>0</v>
      </c>
      <c r="N1118" s="4" t="s">
        <v>501</v>
      </c>
      <c r="O1118">
        <f>(M1118*21)/100</f>
        <v>0</v>
      </c>
      <c r="P1118" t="s">
        <v>6</v>
      </c>
    </row>
    <row r="1119" spans="1:16" ht="13.2" x14ac:dyDescent="0.25">
      <c r="A1119" s="3" t="s">
        <v>5</v>
      </c>
      <c r="E1119" s="1" t="s">
        <v>1018</v>
      </c>
    </row>
    <row r="1120" spans="1:16" ht="13.2" x14ac:dyDescent="0.25">
      <c r="A1120" s="3" t="s">
        <v>3</v>
      </c>
      <c r="E1120" s="2" t="s">
        <v>2</v>
      </c>
    </row>
    <row r="1121" spans="1:16" ht="13.2" x14ac:dyDescent="0.25">
      <c r="A1121" t="s">
        <v>1</v>
      </c>
      <c r="E1121" s="1" t="s">
        <v>2</v>
      </c>
    </row>
    <row r="1122" spans="1:16" ht="13.2" x14ac:dyDescent="0.25">
      <c r="A1122" t="s">
        <v>11</v>
      </c>
      <c r="B1122" s="9" t="s">
        <v>280</v>
      </c>
      <c r="C1122" s="9" t="s">
        <v>1017</v>
      </c>
      <c r="D1122" s="3" t="s">
        <v>2</v>
      </c>
      <c r="E1122" s="8" t="s">
        <v>1016</v>
      </c>
      <c r="F1122" s="4" t="s">
        <v>8</v>
      </c>
      <c r="G1122" s="7">
        <v>90</v>
      </c>
      <c r="H1122" s="4">
        <v>3.0400000000000002E-3</v>
      </c>
      <c r="I1122" s="4">
        <f>ROUND(G1122*H1122,6)</f>
        <v>0.27360000000000001</v>
      </c>
      <c r="L1122" s="6">
        <v>0</v>
      </c>
      <c r="M1122" s="5">
        <f>ROUND(ROUND(L1122,2)*ROUND(G1122,3),2)</f>
        <v>0</v>
      </c>
      <c r="N1122" s="4" t="s">
        <v>501</v>
      </c>
      <c r="O1122">
        <f>(M1122*21)/100</f>
        <v>0</v>
      </c>
      <c r="P1122" t="s">
        <v>6</v>
      </c>
    </row>
    <row r="1123" spans="1:16" ht="13.2" x14ac:dyDescent="0.25">
      <c r="A1123" s="3" t="s">
        <v>5</v>
      </c>
      <c r="E1123" s="1" t="s">
        <v>1016</v>
      </c>
    </row>
    <row r="1124" spans="1:16" ht="13.2" x14ac:dyDescent="0.25">
      <c r="A1124" s="3" t="s">
        <v>3</v>
      </c>
      <c r="E1124" s="2" t="s">
        <v>2</v>
      </c>
    </row>
    <row r="1125" spans="1:16" ht="13.2" x14ac:dyDescent="0.25">
      <c r="A1125" t="s">
        <v>1</v>
      </c>
      <c r="E1125" s="1" t="s">
        <v>2</v>
      </c>
    </row>
    <row r="1126" spans="1:16" ht="13.2" x14ac:dyDescent="0.25">
      <c r="A1126" t="s">
        <v>11</v>
      </c>
      <c r="B1126" s="9" t="s">
        <v>277</v>
      </c>
      <c r="C1126" s="9" t="s">
        <v>1017</v>
      </c>
      <c r="D1126" s="3" t="s">
        <v>48</v>
      </c>
      <c r="E1126" s="8" t="s">
        <v>1016</v>
      </c>
      <c r="F1126" s="4" t="s">
        <v>8</v>
      </c>
      <c r="G1126" s="7">
        <v>8</v>
      </c>
      <c r="H1126" s="4">
        <v>3.0400000000000002E-3</v>
      </c>
      <c r="I1126" s="4">
        <f>ROUND(G1126*H1126,6)</f>
        <v>2.4320000000000001E-2</v>
      </c>
      <c r="L1126" s="6">
        <v>0</v>
      </c>
      <c r="M1126" s="5">
        <f>ROUND(ROUND(L1126,2)*ROUND(G1126,3),2)</f>
        <v>0</v>
      </c>
      <c r="N1126" s="4" t="s">
        <v>501</v>
      </c>
      <c r="O1126">
        <f>(M1126*21)/100</f>
        <v>0</v>
      </c>
      <c r="P1126" t="s">
        <v>6</v>
      </c>
    </row>
    <row r="1127" spans="1:16" ht="13.2" x14ac:dyDescent="0.25">
      <c r="A1127" s="3" t="s">
        <v>5</v>
      </c>
      <c r="E1127" s="1" t="s">
        <v>1016</v>
      </c>
    </row>
    <row r="1128" spans="1:16" ht="13.2" x14ac:dyDescent="0.25">
      <c r="A1128" s="3" t="s">
        <v>3</v>
      </c>
      <c r="E1128" s="2" t="s">
        <v>2</v>
      </c>
    </row>
    <row r="1129" spans="1:16" ht="13.2" x14ac:dyDescent="0.25">
      <c r="A1129" t="s">
        <v>1</v>
      </c>
      <c r="E1129" s="1" t="s">
        <v>2</v>
      </c>
    </row>
    <row r="1130" spans="1:16" ht="13.2" x14ac:dyDescent="0.25">
      <c r="A1130" t="s">
        <v>11</v>
      </c>
      <c r="B1130" s="9" t="s">
        <v>274</v>
      </c>
      <c r="C1130" s="9" t="s">
        <v>1015</v>
      </c>
      <c r="D1130" s="3" t="s">
        <v>2</v>
      </c>
      <c r="E1130" s="8" t="s">
        <v>1014</v>
      </c>
      <c r="F1130" s="4" t="s">
        <v>8</v>
      </c>
      <c r="G1130" s="7">
        <v>10</v>
      </c>
      <c r="H1130" s="4">
        <v>4.9199999999999999E-3</v>
      </c>
      <c r="I1130" s="4">
        <f>ROUND(G1130*H1130,6)</f>
        <v>4.9200000000000001E-2</v>
      </c>
      <c r="L1130" s="6">
        <v>0</v>
      </c>
      <c r="M1130" s="5">
        <f>ROUND(ROUND(L1130,2)*ROUND(G1130,3),2)</f>
        <v>0</v>
      </c>
      <c r="N1130" s="4" t="s">
        <v>501</v>
      </c>
      <c r="O1130">
        <f>(M1130*21)/100</f>
        <v>0</v>
      </c>
      <c r="P1130" t="s">
        <v>6</v>
      </c>
    </row>
    <row r="1131" spans="1:16" ht="13.2" x14ac:dyDescent="0.25">
      <c r="A1131" s="3" t="s">
        <v>5</v>
      </c>
      <c r="E1131" s="1" t="s">
        <v>1014</v>
      </c>
    </row>
    <row r="1132" spans="1:16" ht="13.2" x14ac:dyDescent="0.25">
      <c r="A1132" s="3" t="s">
        <v>3</v>
      </c>
      <c r="E1132" s="2" t="s">
        <v>2</v>
      </c>
    </row>
    <row r="1133" spans="1:16" ht="13.2" x14ac:dyDescent="0.25">
      <c r="A1133" t="s">
        <v>1</v>
      </c>
      <c r="E1133" s="1" t="s">
        <v>2</v>
      </c>
    </row>
    <row r="1134" spans="1:16" ht="13.2" x14ac:dyDescent="0.25">
      <c r="A1134" t="s">
        <v>11</v>
      </c>
      <c r="B1134" s="9" t="s">
        <v>271</v>
      </c>
      <c r="C1134" s="9" t="s">
        <v>1013</v>
      </c>
      <c r="D1134" s="3" t="s">
        <v>2</v>
      </c>
      <c r="E1134" s="8" t="s">
        <v>1012</v>
      </c>
      <c r="F1134" s="4" t="s">
        <v>8</v>
      </c>
      <c r="G1134" s="7">
        <v>25</v>
      </c>
      <c r="H1134" s="4">
        <v>1.5499999999999999E-3</v>
      </c>
      <c r="I1134" s="4">
        <f>ROUND(G1134*H1134,6)</f>
        <v>3.875E-2</v>
      </c>
      <c r="L1134" s="6">
        <v>0</v>
      </c>
      <c r="M1134" s="5">
        <f>ROUND(ROUND(L1134,2)*ROUND(G1134,3),2)</f>
        <v>0</v>
      </c>
      <c r="N1134" s="4" t="s">
        <v>501</v>
      </c>
      <c r="O1134">
        <f>(M1134*21)/100</f>
        <v>0</v>
      </c>
      <c r="P1134" t="s">
        <v>6</v>
      </c>
    </row>
    <row r="1135" spans="1:16" ht="13.2" x14ac:dyDescent="0.25">
      <c r="A1135" s="3" t="s">
        <v>5</v>
      </c>
      <c r="E1135" s="1" t="s">
        <v>1012</v>
      </c>
    </row>
    <row r="1136" spans="1:16" ht="13.2" x14ac:dyDescent="0.25">
      <c r="A1136" s="3" t="s">
        <v>3</v>
      </c>
      <c r="E1136" s="2" t="s">
        <v>2</v>
      </c>
    </row>
    <row r="1137" spans="1:16" ht="13.2" x14ac:dyDescent="0.25">
      <c r="A1137" t="s">
        <v>1</v>
      </c>
      <c r="E1137" s="1" t="s">
        <v>2</v>
      </c>
    </row>
    <row r="1138" spans="1:16" ht="13.2" x14ac:dyDescent="0.25">
      <c r="A1138" t="s">
        <v>11</v>
      </c>
      <c r="B1138" s="9" t="s">
        <v>268</v>
      </c>
      <c r="C1138" s="9" t="s">
        <v>1011</v>
      </c>
      <c r="D1138" s="3" t="s">
        <v>2</v>
      </c>
      <c r="E1138" s="8" t="s">
        <v>1010</v>
      </c>
      <c r="F1138" s="4" t="s">
        <v>8</v>
      </c>
      <c r="G1138" s="7">
        <v>5</v>
      </c>
      <c r="H1138" s="4">
        <v>2.0100000000000001E-3</v>
      </c>
      <c r="I1138" s="4">
        <f>ROUND(G1138*H1138,6)</f>
        <v>1.005E-2</v>
      </c>
      <c r="L1138" s="6">
        <v>0</v>
      </c>
      <c r="M1138" s="5">
        <f>ROUND(ROUND(L1138,2)*ROUND(G1138,3),2)</f>
        <v>0</v>
      </c>
      <c r="N1138" s="4" t="s">
        <v>501</v>
      </c>
      <c r="O1138">
        <f>(M1138*21)/100</f>
        <v>0</v>
      </c>
      <c r="P1138" t="s">
        <v>6</v>
      </c>
    </row>
    <row r="1139" spans="1:16" ht="13.2" x14ac:dyDescent="0.25">
      <c r="A1139" s="3" t="s">
        <v>5</v>
      </c>
      <c r="E1139" s="1" t="s">
        <v>1010</v>
      </c>
    </row>
    <row r="1140" spans="1:16" ht="13.2" x14ac:dyDescent="0.25">
      <c r="A1140" s="3" t="s">
        <v>3</v>
      </c>
      <c r="E1140" s="2" t="s">
        <v>2</v>
      </c>
    </row>
    <row r="1141" spans="1:16" ht="13.2" x14ac:dyDescent="0.25">
      <c r="A1141" t="s">
        <v>1</v>
      </c>
      <c r="E1141" s="1" t="s">
        <v>2</v>
      </c>
    </row>
    <row r="1142" spans="1:16" ht="13.2" x14ac:dyDescent="0.25">
      <c r="A1142" t="s">
        <v>11</v>
      </c>
      <c r="B1142" s="9" t="s">
        <v>265</v>
      </c>
      <c r="C1142" s="9" t="s">
        <v>1009</v>
      </c>
      <c r="D1142" s="3" t="s">
        <v>2</v>
      </c>
      <c r="E1142" s="8" t="s">
        <v>1008</v>
      </c>
      <c r="F1142" s="4" t="s">
        <v>8</v>
      </c>
      <c r="G1142" s="7">
        <v>8</v>
      </c>
      <c r="H1142" s="4">
        <v>4.0999999999999999E-4</v>
      </c>
      <c r="I1142" s="4">
        <f>ROUND(G1142*H1142,6)</f>
        <v>3.2799999999999999E-3</v>
      </c>
      <c r="L1142" s="6">
        <v>0</v>
      </c>
      <c r="M1142" s="5">
        <f>ROUND(ROUND(L1142,2)*ROUND(G1142,3),2)</f>
        <v>0</v>
      </c>
      <c r="N1142" s="4" t="s">
        <v>501</v>
      </c>
      <c r="O1142">
        <f>(M1142*21)/100</f>
        <v>0</v>
      </c>
      <c r="P1142" t="s">
        <v>6</v>
      </c>
    </row>
    <row r="1143" spans="1:16" ht="13.2" x14ac:dyDescent="0.25">
      <c r="A1143" s="3" t="s">
        <v>5</v>
      </c>
      <c r="E1143" s="1" t="s">
        <v>1008</v>
      </c>
    </row>
    <row r="1144" spans="1:16" ht="13.2" x14ac:dyDescent="0.25">
      <c r="A1144" s="3" t="s">
        <v>3</v>
      </c>
      <c r="E1144" s="2" t="s">
        <v>2</v>
      </c>
    </row>
    <row r="1145" spans="1:16" ht="13.2" x14ac:dyDescent="0.25">
      <c r="A1145" t="s">
        <v>1</v>
      </c>
      <c r="E1145" s="1" t="s">
        <v>2</v>
      </c>
    </row>
    <row r="1146" spans="1:16" ht="13.2" x14ac:dyDescent="0.25">
      <c r="A1146" t="s">
        <v>11</v>
      </c>
      <c r="B1146" s="9" t="s">
        <v>262</v>
      </c>
      <c r="C1146" s="9" t="s">
        <v>1007</v>
      </c>
      <c r="D1146" s="3" t="s">
        <v>2</v>
      </c>
      <c r="E1146" s="8" t="s">
        <v>1006</v>
      </c>
      <c r="F1146" s="4" t="s">
        <v>8</v>
      </c>
      <c r="G1146" s="7">
        <v>6</v>
      </c>
      <c r="H1146" s="4">
        <v>4.8000000000000001E-4</v>
      </c>
      <c r="I1146" s="4">
        <f>ROUND(G1146*H1146,6)</f>
        <v>2.8800000000000002E-3</v>
      </c>
      <c r="L1146" s="6">
        <v>0</v>
      </c>
      <c r="M1146" s="5">
        <f>ROUND(ROUND(L1146,2)*ROUND(G1146,3),2)</f>
        <v>0</v>
      </c>
      <c r="N1146" s="4" t="s">
        <v>501</v>
      </c>
      <c r="O1146">
        <f>(M1146*21)/100</f>
        <v>0</v>
      </c>
      <c r="P1146" t="s">
        <v>6</v>
      </c>
    </row>
    <row r="1147" spans="1:16" ht="13.2" x14ac:dyDescent="0.25">
      <c r="A1147" s="3" t="s">
        <v>5</v>
      </c>
      <c r="E1147" s="1" t="s">
        <v>1006</v>
      </c>
    </row>
    <row r="1148" spans="1:16" ht="13.2" x14ac:dyDescent="0.25">
      <c r="A1148" s="3" t="s">
        <v>3</v>
      </c>
      <c r="E1148" s="2" t="s">
        <v>2</v>
      </c>
    </row>
    <row r="1149" spans="1:16" ht="13.2" x14ac:dyDescent="0.25">
      <c r="A1149" t="s">
        <v>1</v>
      </c>
      <c r="E1149" s="1" t="s">
        <v>2</v>
      </c>
    </row>
    <row r="1150" spans="1:16" ht="13.2" x14ac:dyDescent="0.25">
      <c r="A1150" t="s">
        <v>11</v>
      </c>
      <c r="B1150" s="9" t="s">
        <v>259</v>
      </c>
      <c r="C1150" s="9" t="s">
        <v>1005</v>
      </c>
      <c r="D1150" s="3" t="s">
        <v>2</v>
      </c>
      <c r="E1150" s="8" t="s">
        <v>1004</v>
      </c>
      <c r="F1150" s="4" t="s">
        <v>8</v>
      </c>
      <c r="G1150" s="7">
        <v>2</v>
      </c>
      <c r="H1150" s="4">
        <v>7.1000000000000002E-4</v>
      </c>
      <c r="I1150" s="4">
        <f>ROUND(G1150*H1150,6)</f>
        <v>1.42E-3</v>
      </c>
      <c r="L1150" s="6">
        <v>0</v>
      </c>
      <c r="M1150" s="5">
        <f>ROUND(ROUND(L1150,2)*ROUND(G1150,3),2)</f>
        <v>0</v>
      </c>
      <c r="N1150" s="4" t="s">
        <v>501</v>
      </c>
      <c r="O1150">
        <f>(M1150*21)/100</f>
        <v>0</v>
      </c>
      <c r="P1150" t="s">
        <v>6</v>
      </c>
    </row>
    <row r="1151" spans="1:16" ht="13.2" x14ac:dyDescent="0.25">
      <c r="A1151" s="3" t="s">
        <v>5</v>
      </c>
      <c r="E1151" s="1" t="s">
        <v>1004</v>
      </c>
    </row>
    <row r="1152" spans="1:16" ht="13.2" x14ac:dyDescent="0.25">
      <c r="A1152" s="3" t="s">
        <v>3</v>
      </c>
      <c r="E1152" s="2" t="s">
        <v>2</v>
      </c>
    </row>
    <row r="1153" spans="1:16" ht="13.2" x14ac:dyDescent="0.25">
      <c r="A1153" t="s">
        <v>1</v>
      </c>
      <c r="E1153" s="1" t="s">
        <v>2</v>
      </c>
    </row>
    <row r="1154" spans="1:16" ht="13.2" x14ac:dyDescent="0.25">
      <c r="A1154" t="s">
        <v>11</v>
      </c>
      <c r="B1154" s="9" t="s">
        <v>255</v>
      </c>
      <c r="C1154" s="9" t="s">
        <v>1003</v>
      </c>
      <c r="D1154" s="3" t="s">
        <v>2</v>
      </c>
      <c r="E1154" s="8" t="s">
        <v>1002</v>
      </c>
      <c r="F1154" s="4" t="s">
        <v>8</v>
      </c>
      <c r="G1154" s="7">
        <v>4</v>
      </c>
      <c r="H1154" s="4">
        <v>2.2399999999999998E-3</v>
      </c>
      <c r="I1154" s="4">
        <f>ROUND(G1154*H1154,6)</f>
        <v>8.9599999999999992E-3</v>
      </c>
      <c r="L1154" s="6">
        <v>0</v>
      </c>
      <c r="M1154" s="5">
        <f>ROUND(ROUND(L1154,2)*ROUND(G1154,3),2)</f>
        <v>0</v>
      </c>
      <c r="N1154" s="4" t="s">
        <v>501</v>
      </c>
      <c r="O1154">
        <f>(M1154*21)/100</f>
        <v>0</v>
      </c>
      <c r="P1154" t="s">
        <v>6</v>
      </c>
    </row>
    <row r="1155" spans="1:16" ht="13.2" x14ac:dyDescent="0.25">
      <c r="A1155" s="3" t="s">
        <v>5</v>
      </c>
      <c r="E1155" s="1" t="s">
        <v>1002</v>
      </c>
    </row>
    <row r="1156" spans="1:16" ht="13.2" x14ac:dyDescent="0.25">
      <c r="A1156" s="3" t="s">
        <v>3</v>
      </c>
      <c r="E1156" s="2" t="s">
        <v>2</v>
      </c>
    </row>
    <row r="1157" spans="1:16" ht="13.2" x14ac:dyDescent="0.25">
      <c r="A1157" t="s">
        <v>1</v>
      </c>
      <c r="E1157" s="1" t="s">
        <v>2</v>
      </c>
    </row>
    <row r="1158" spans="1:16" ht="13.2" x14ac:dyDescent="0.25">
      <c r="A1158" t="s">
        <v>11</v>
      </c>
      <c r="B1158" s="9" t="s">
        <v>252</v>
      </c>
      <c r="C1158" s="9" t="s">
        <v>1001</v>
      </c>
      <c r="D1158" s="3" t="s">
        <v>2</v>
      </c>
      <c r="E1158" s="8" t="s">
        <v>1000</v>
      </c>
      <c r="F1158" s="4" t="s">
        <v>8</v>
      </c>
      <c r="G1158" s="7">
        <v>145</v>
      </c>
      <c r="H1158" s="4">
        <v>1.9300000000000001E-3</v>
      </c>
      <c r="I1158" s="4">
        <f>ROUND(G1158*H1158,6)</f>
        <v>0.27984999999999999</v>
      </c>
      <c r="L1158" s="6">
        <v>0</v>
      </c>
      <c r="M1158" s="5">
        <f>ROUND(ROUND(L1158,2)*ROUND(G1158,3),2)</f>
        <v>0</v>
      </c>
      <c r="N1158" s="4" t="s">
        <v>501</v>
      </c>
      <c r="O1158">
        <f>(M1158*21)/100</f>
        <v>0</v>
      </c>
      <c r="P1158" t="s">
        <v>6</v>
      </c>
    </row>
    <row r="1159" spans="1:16" ht="13.2" x14ac:dyDescent="0.25">
      <c r="A1159" s="3" t="s">
        <v>5</v>
      </c>
      <c r="E1159" s="1" t="s">
        <v>1000</v>
      </c>
    </row>
    <row r="1160" spans="1:16" ht="13.2" x14ac:dyDescent="0.25">
      <c r="A1160" s="3" t="s">
        <v>3</v>
      </c>
      <c r="E1160" s="2" t="s">
        <v>2</v>
      </c>
    </row>
    <row r="1161" spans="1:16" ht="13.2" x14ac:dyDescent="0.25">
      <c r="A1161" t="s">
        <v>1</v>
      </c>
      <c r="E1161" s="1" t="s">
        <v>2</v>
      </c>
    </row>
    <row r="1162" spans="1:16" ht="13.2" x14ac:dyDescent="0.25">
      <c r="A1162" t="s">
        <v>11</v>
      </c>
      <c r="B1162" s="9" t="s">
        <v>249</v>
      </c>
      <c r="C1162" s="9" t="s">
        <v>999</v>
      </c>
      <c r="D1162" s="3" t="s">
        <v>2</v>
      </c>
      <c r="E1162" s="8" t="s">
        <v>998</v>
      </c>
      <c r="F1162" s="4" t="s">
        <v>13</v>
      </c>
      <c r="G1162" s="7">
        <v>5</v>
      </c>
      <c r="H1162" s="4">
        <v>0</v>
      </c>
      <c r="I1162" s="4">
        <f>ROUND(G1162*H1162,6)</f>
        <v>0</v>
      </c>
      <c r="L1162" s="6">
        <v>0</v>
      </c>
      <c r="M1162" s="5">
        <f>ROUND(ROUND(L1162,2)*ROUND(G1162,3),2)</f>
        <v>0</v>
      </c>
      <c r="N1162" s="4" t="s">
        <v>501</v>
      </c>
      <c r="O1162">
        <f>(M1162*21)/100</f>
        <v>0</v>
      </c>
      <c r="P1162" t="s">
        <v>6</v>
      </c>
    </row>
    <row r="1163" spans="1:16" ht="13.2" x14ac:dyDescent="0.25">
      <c r="A1163" s="3" t="s">
        <v>5</v>
      </c>
      <c r="E1163" s="1" t="s">
        <v>998</v>
      </c>
    </row>
    <row r="1164" spans="1:16" ht="13.2" x14ac:dyDescent="0.25">
      <c r="A1164" s="3" t="s">
        <v>3</v>
      </c>
      <c r="E1164" s="2" t="s">
        <v>2</v>
      </c>
    </row>
    <row r="1165" spans="1:16" ht="13.2" x14ac:dyDescent="0.25">
      <c r="A1165" t="s">
        <v>1</v>
      </c>
      <c r="E1165" s="1" t="s">
        <v>2</v>
      </c>
    </row>
    <row r="1166" spans="1:16" ht="13.2" x14ac:dyDescent="0.25">
      <c r="A1166" t="s">
        <v>11</v>
      </c>
      <c r="B1166" s="9" t="s">
        <v>246</v>
      </c>
      <c r="C1166" s="9" t="s">
        <v>997</v>
      </c>
      <c r="D1166" s="3" t="s">
        <v>2</v>
      </c>
      <c r="E1166" s="8" t="s">
        <v>996</v>
      </c>
      <c r="F1166" s="4" t="s">
        <v>13</v>
      </c>
      <c r="G1166" s="7">
        <v>2</v>
      </c>
      <c r="H1166" s="4">
        <v>0</v>
      </c>
      <c r="I1166" s="4">
        <f>ROUND(G1166*H1166,6)</f>
        <v>0</v>
      </c>
      <c r="L1166" s="6">
        <v>0</v>
      </c>
      <c r="M1166" s="5">
        <f>ROUND(ROUND(L1166,2)*ROUND(G1166,3),2)</f>
        <v>0</v>
      </c>
      <c r="N1166" s="4" t="s">
        <v>501</v>
      </c>
      <c r="O1166">
        <f>(M1166*21)/100</f>
        <v>0</v>
      </c>
      <c r="P1166" t="s">
        <v>6</v>
      </c>
    </row>
    <row r="1167" spans="1:16" ht="13.2" x14ac:dyDescent="0.25">
      <c r="A1167" s="3" t="s">
        <v>5</v>
      </c>
      <c r="E1167" s="1" t="s">
        <v>996</v>
      </c>
    </row>
    <row r="1168" spans="1:16" ht="13.2" x14ac:dyDescent="0.25">
      <c r="A1168" s="3" t="s">
        <v>3</v>
      </c>
      <c r="E1168" s="2" t="s">
        <v>2</v>
      </c>
    </row>
    <row r="1169" spans="1:16" ht="13.2" x14ac:dyDescent="0.25">
      <c r="A1169" t="s">
        <v>1</v>
      </c>
      <c r="E1169" s="1" t="s">
        <v>2</v>
      </c>
    </row>
    <row r="1170" spans="1:16" ht="13.2" x14ac:dyDescent="0.25">
      <c r="A1170" t="s">
        <v>11</v>
      </c>
      <c r="B1170" s="9" t="s">
        <v>243</v>
      </c>
      <c r="C1170" s="9" t="s">
        <v>995</v>
      </c>
      <c r="D1170" s="3" t="s">
        <v>2</v>
      </c>
      <c r="E1170" s="8" t="s">
        <v>994</v>
      </c>
      <c r="F1170" s="4" t="s">
        <v>13</v>
      </c>
      <c r="G1170" s="7">
        <v>2</v>
      </c>
      <c r="H1170" s="4">
        <v>0</v>
      </c>
      <c r="I1170" s="4">
        <f>ROUND(G1170*H1170,6)</f>
        <v>0</v>
      </c>
      <c r="L1170" s="6">
        <v>0</v>
      </c>
      <c r="M1170" s="5">
        <f>ROUND(ROUND(L1170,2)*ROUND(G1170,3),2)</f>
        <v>0</v>
      </c>
      <c r="N1170" s="4" t="s">
        <v>501</v>
      </c>
      <c r="O1170">
        <f>(M1170*21)/100</f>
        <v>0</v>
      </c>
      <c r="P1170" t="s">
        <v>6</v>
      </c>
    </row>
    <row r="1171" spans="1:16" ht="13.2" x14ac:dyDescent="0.25">
      <c r="A1171" s="3" t="s">
        <v>5</v>
      </c>
      <c r="E1171" s="1" t="s">
        <v>994</v>
      </c>
    </row>
    <row r="1172" spans="1:16" ht="13.2" x14ac:dyDescent="0.25">
      <c r="A1172" s="3" t="s">
        <v>3</v>
      </c>
      <c r="E1172" s="2" t="s">
        <v>2</v>
      </c>
    </row>
    <row r="1173" spans="1:16" ht="13.2" x14ac:dyDescent="0.25">
      <c r="A1173" t="s">
        <v>1</v>
      </c>
      <c r="E1173" s="1" t="s">
        <v>2</v>
      </c>
    </row>
    <row r="1174" spans="1:16" ht="13.2" x14ac:dyDescent="0.25">
      <c r="A1174" t="s">
        <v>11</v>
      </c>
      <c r="B1174" s="9" t="s">
        <v>240</v>
      </c>
      <c r="C1174" s="9" t="s">
        <v>993</v>
      </c>
      <c r="D1174" s="3" t="s">
        <v>2</v>
      </c>
      <c r="E1174" s="8" t="s">
        <v>992</v>
      </c>
      <c r="F1174" s="4" t="s">
        <v>13</v>
      </c>
      <c r="G1174" s="7">
        <v>1</v>
      </c>
      <c r="H1174" s="4">
        <v>1.01E-3</v>
      </c>
      <c r="I1174" s="4">
        <f>ROUND(G1174*H1174,6)</f>
        <v>1.01E-3</v>
      </c>
      <c r="L1174" s="6">
        <v>0</v>
      </c>
      <c r="M1174" s="5">
        <f>ROUND(ROUND(L1174,2)*ROUND(G1174,3),2)</f>
        <v>0</v>
      </c>
      <c r="N1174" s="4" t="s">
        <v>501</v>
      </c>
      <c r="O1174">
        <f>(M1174*21)/100</f>
        <v>0</v>
      </c>
      <c r="P1174" t="s">
        <v>6</v>
      </c>
    </row>
    <row r="1175" spans="1:16" ht="13.2" x14ac:dyDescent="0.25">
      <c r="A1175" s="3" t="s">
        <v>5</v>
      </c>
      <c r="E1175" s="1" t="s">
        <v>992</v>
      </c>
    </row>
    <row r="1176" spans="1:16" ht="13.2" x14ac:dyDescent="0.25">
      <c r="A1176" s="3" t="s">
        <v>3</v>
      </c>
      <c r="E1176" s="2" t="s">
        <v>2</v>
      </c>
    </row>
    <row r="1177" spans="1:16" ht="13.2" x14ac:dyDescent="0.25">
      <c r="A1177" t="s">
        <v>1</v>
      </c>
      <c r="E1177" s="1" t="s">
        <v>2</v>
      </c>
    </row>
    <row r="1178" spans="1:16" ht="13.2" x14ac:dyDescent="0.25">
      <c r="A1178" t="s">
        <v>11</v>
      </c>
      <c r="B1178" s="9" t="s">
        <v>237</v>
      </c>
      <c r="C1178" s="9" t="s">
        <v>991</v>
      </c>
      <c r="D1178" s="3" t="s">
        <v>2</v>
      </c>
      <c r="E1178" s="8" t="s">
        <v>990</v>
      </c>
      <c r="F1178" s="4" t="s">
        <v>13</v>
      </c>
      <c r="G1178" s="7">
        <v>1</v>
      </c>
      <c r="H1178" s="4">
        <v>2.9E-4</v>
      </c>
      <c r="I1178" s="4">
        <f>ROUND(G1178*H1178,6)</f>
        <v>2.9E-4</v>
      </c>
      <c r="L1178" s="6">
        <v>0</v>
      </c>
      <c r="M1178" s="5">
        <f>ROUND(ROUND(L1178,2)*ROUND(G1178,3),2)</f>
        <v>0</v>
      </c>
      <c r="N1178" s="4" t="s">
        <v>501</v>
      </c>
      <c r="O1178">
        <f>(M1178*21)/100</f>
        <v>0</v>
      </c>
      <c r="P1178" t="s">
        <v>6</v>
      </c>
    </row>
    <row r="1179" spans="1:16" ht="13.2" x14ac:dyDescent="0.25">
      <c r="A1179" s="3" t="s">
        <v>5</v>
      </c>
      <c r="E1179" s="1" t="s">
        <v>990</v>
      </c>
    </row>
    <row r="1180" spans="1:16" ht="13.2" x14ac:dyDescent="0.25">
      <c r="A1180" s="3" t="s">
        <v>3</v>
      </c>
      <c r="E1180" s="2" t="s">
        <v>2</v>
      </c>
    </row>
    <row r="1181" spans="1:16" ht="13.2" x14ac:dyDescent="0.25">
      <c r="A1181" t="s">
        <v>1</v>
      </c>
      <c r="E1181" s="1" t="s">
        <v>2</v>
      </c>
    </row>
    <row r="1182" spans="1:16" ht="13.2" x14ac:dyDescent="0.25">
      <c r="A1182" t="s">
        <v>11</v>
      </c>
      <c r="B1182" s="9" t="s">
        <v>234</v>
      </c>
      <c r="C1182" s="9" t="s">
        <v>989</v>
      </c>
      <c r="D1182" s="3" t="s">
        <v>2</v>
      </c>
      <c r="E1182" s="8" t="s">
        <v>988</v>
      </c>
      <c r="F1182" s="4" t="s">
        <v>8</v>
      </c>
      <c r="G1182" s="7">
        <v>140</v>
      </c>
      <c r="H1182" s="4">
        <v>0</v>
      </c>
      <c r="I1182" s="4">
        <f>ROUND(G1182*H1182,6)</f>
        <v>0</v>
      </c>
      <c r="L1182" s="6">
        <v>0</v>
      </c>
      <c r="M1182" s="5">
        <f>ROUND(ROUND(L1182,2)*ROUND(G1182,3),2)</f>
        <v>0</v>
      </c>
      <c r="N1182" s="4" t="s">
        <v>501</v>
      </c>
      <c r="O1182">
        <f>(M1182*21)/100</f>
        <v>0</v>
      </c>
      <c r="P1182" t="s">
        <v>6</v>
      </c>
    </row>
    <row r="1183" spans="1:16" ht="13.2" x14ac:dyDescent="0.25">
      <c r="A1183" s="3" t="s">
        <v>5</v>
      </c>
      <c r="E1183" s="1" t="s">
        <v>988</v>
      </c>
    </row>
    <row r="1184" spans="1:16" ht="13.2" x14ac:dyDescent="0.25">
      <c r="A1184" s="3" t="s">
        <v>3</v>
      </c>
      <c r="E1184" s="2" t="s">
        <v>2</v>
      </c>
    </row>
    <row r="1185" spans="1:16" ht="13.2" x14ac:dyDescent="0.25">
      <c r="A1185" t="s">
        <v>1</v>
      </c>
      <c r="E1185" s="1" t="s">
        <v>2</v>
      </c>
    </row>
    <row r="1186" spans="1:16" ht="26.4" x14ac:dyDescent="0.25">
      <c r="A1186" t="s">
        <v>11</v>
      </c>
      <c r="B1186" s="9" t="s">
        <v>231</v>
      </c>
      <c r="C1186" s="9" t="s">
        <v>987</v>
      </c>
      <c r="D1186" s="3" t="s">
        <v>2</v>
      </c>
      <c r="E1186" s="8" t="s">
        <v>986</v>
      </c>
      <c r="F1186" s="4" t="s">
        <v>13</v>
      </c>
      <c r="G1186" s="7">
        <v>8</v>
      </c>
      <c r="H1186" s="4">
        <v>0</v>
      </c>
      <c r="I1186" s="4">
        <f>ROUND(G1186*H1186,6)</f>
        <v>0</v>
      </c>
      <c r="L1186" s="6">
        <v>0</v>
      </c>
      <c r="M1186" s="5">
        <f>ROUND(ROUND(L1186,2)*ROUND(G1186,3),2)</f>
        <v>0</v>
      </c>
      <c r="N1186" s="4" t="s">
        <v>501</v>
      </c>
      <c r="O1186">
        <f>(M1186*21)/100</f>
        <v>0</v>
      </c>
      <c r="P1186" t="s">
        <v>6</v>
      </c>
    </row>
    <row r="1187" spans="1:16" ht="26.4" x14ac:dyDescent="0.25">
      <c r="A1187" s="3" t="s">
        <v>5</v>
      </c>
      <c r="E1187" s="1" t="s">
        <v>986</v>
      </c>
    </row>
    <row r="1188" spans="1:16" ht="13.2" x14ac:dyDescent="0.25">
      <c r="A1188" s="3" t="s">
        <v>3</v>
      </c>
      <c r="E1188" s="2" t="s">
        <v>2</v>
      </c>
    </row>
    <row r="1189" spans="1:16" ht="13.2" x14ac:dyDescent="0.25">
      <c r="A1189" t="s">
        <v>1</v>
      </c>
      <c r="E1189" s="1" t="s">
        <v>2</v>
      </c>
    </row>
    <row r="1190" spans="1:16" ht="26.4" x14ac:dyDescent="0.25">
      <c r="A1190" t="s">
        <v>11</v>
      </c>
      <c r="B1190" s="9" t="s">
        <v>228</v>
      </c>
      <c r="C1190" s="9" t="s">
        <v>985</v>
      </c>
      <c r="D1190" s="3" t="s">
        <v>2</v>
      </c>
      <c r="E1190" s="8" t="s">
        <v>984</v>
      </c>
      <c r="F1190" s="4" t="s">
        <v>13</v>
      </c>
      <c r="G1190" s="7">
        <v>4</v>
      </c>
      <c r="H1190" s="4">
        <v>0</v>
      </c>
      <c r="I1190" s="4">
        <f>ROUND(G1190*H1190,6)</f>
        <v>0</v>
      </c>
      <c r="L1190" s="6">
        <v>0</v>
      </c>
      <c r="M1190" s="5">
        <f>ROUND(ROUND(L1190,2)*ROUND(G1190,3),2)</f>
        <v>0</v>
      </c>
      <c r="N1190" s="4" t="s">
        <v>501</v>
      </c>
      <c r="O1190">
        <f>(M1190*21)/100</f>
        <v>0</v>
      </c>
      <c r="P1190" t="s">
        <v>6</v>
      </c>
    </row>
    <row r="1191" spans="1:16" ht="26.4" x14ac:dyDescent="0.25">
      <c r="A1191" s="3" t="s">
        <v>5</v>
      </c>
      <c r="E1191" s="1" t="s">
        <v>984</v>
      </c>
    </row>
    <row r="1192" spans="1:16" ht="13.2" x14ac:dyDescent="0.25">
      <c r="A1192" s="3" t="s">
        <v>3</v>
      </c>
      <c r="E1192" s="2" t="s">
        <v>2</v>
      </c>
    </row>
    <row r="1193" spans="1:16" ht="13.2" x14ac:dyDescent="0.25">
      <c r="A1193" t="s">
        <v>1</v>
      </c>
      <c r="E1193" s="1" t="s">
        <v>2</v>
      </c>
    </row>
    <row r="1194" spans="1:16" ht="26.4" x14ac:dyDescent="0.25">
      <c r="A1194" t="s">
        <v>11</v>
      </c>
      <c r="B1194" s="9" t="s">
        <v>225</v>
      </c>
      <c r="C1194" s="9" t="s">
        <v>983</v>
      </c>
      <c r="D1194" s="3" t="s">
        <v>2</v>
      </c>
      <c r="E1194" s="8" t="s">
        <v>982</v>
      </c>
      <c r="F1194" s="4" t="s">
        <v>542</v>
      </c>
      <c r="G1194" s="7">
        <v>1.819</v>
      </c>
      <c r="H1194" s="4">
        <v>0</v>
      </c>
      <c r="I1194" s="4">
        <f>ROUND(G1194*H1194,6)</f>
        <v>0</v>
      </c>
      <c r="L1194" s="6">
        <v>0</v>
      </c>
      <c r="M1194" s="5">
        <f>ROUND(ROUND(L1194,2)*ROUND(G1194,3),2)</f>
        <v>0</v>
      </c>
      <c r="N1194" s="4" t="s">
        <v>501</v>
      </c>
      <c r="O1194">
        <f>(M1194*21)/100</f>
        <v>0</v>
      </c>
      <c r="P1194" t="s">
        <v>6</v>
      </c>
    </row>
    <row r="1195" spans="1:16" ht="26.4" x14ac:dyDescent="0.25">
      <c r="A1195" s="3" t="s">
        <v>5</v>
      </c>
      <c r="E1195" s="1" t="s">
        <v>982</v>
      </c>
    </row>
    <row r="1196" spans="1:16" ht="13.2" x14ac:dyDescent="0.25">
      <c r="A1196" s="3" t="s">
        <v>3</v>
      </c>
      <c r="E1196" s="2" t="s">
        <v>2</v>
      </c>
    </row>
    <row r="1197" spans="1:16" ht="13.2" x14ac:dyDescent="0.25">
      <c r="A1197" t="s">
        <v>1</v>
      </c>
      <c r="E1197" s="1" t="s">
        <v>2</v>
      </c>
    </row>
    <row r="1198" spans="1:16" ht="26.4" x14ac:dyDescent="0.25">
      <c r="A1198" t="s">
        <v>11</v>
      </c>
      <c r="B1198" s="9" t="s">
        <v>222</v>
      </c>
      <c r="C1198" s="9" t="s">
        <v>981</v>
      </c>
      <c r="D1198" s="3" t="s">
        <v>2</v>
      </c>
      <c r="E1198" s="8" t="s">
        <v>980</v>
      </c>
      <c r="F1198" s="4" t="s">
        <v>542</v>
      </c>
      <c r="G1198" s="7">
        <v>1.819</v>
      </c>
      <c r="H1198" s="4">
        <v>0</v>
      </c>
      <c r="I1198" s="4">
        <f>ROUND(G1198*H1198,6)</f>
        <v>0</v>
      </c>
      <c r="L1198" s="6">
        <v>0</v>
      </c>
      <c r="M1198" s="5">
        <f>ROUND(ROUND(L1198,2)*ROUND(G1198,3),2)</f>
        <v>0</v>
      </c>
      <c r="N1198" s="4" t="s">
        <v>501</v>
      </c>
      <c r="O1198">
        <f>(M1198*21)/100</f>
        <v>0</v>
      </c>
      <c r="P1198" t="s">
        <v>6</v>
      </c>
    </row>
    <row r="1199" spans="1:16" ht="39.6" x14ac:dyDescent="0.25">
      <c r="A1199" s="3" t="s">
        <v>5</v>
      </c>
      <c r="E1199" s="1" t="s">
        <v>979</v>
      </c>
    </row>
    <row r="1200" spans="1:16" ht="13.2" x14ac:dyDescent="0.25">
      <c r="A1200" s="3" t="s">
        <v>3</v>
      </c>
      <c r="E1200" s="2" t="s">
        <v>2</v>
      </c>
    </row>
    <row r="1201" spans="1:16" ht="13.2" x14ac:dyDescent="0.25">
      <c r="A1201" t="s">
        <v>1</v>
      </c>
      <c r="E1201" s="1" t="s">
        <v>2</v>
      </c>
    </row>
    <row r="1202" spans="1:16" ht="13.2" x14ac:dyDescent="0.25">
      <c r="A1202" t="s">
        <v>50</v>
      </c>
      <c r="C1202" s="11" t="s">
        <v>978</v>
      </c>
      <c r="E1202" s="10" t="s">
        <v>977</v>
      </c>
      <c r="J1202" s="5">
        <f>0</f>
        <v>0</v>
      </c>
      <c r="K1202" s="5">
        <f>0</f>
        <v>0</v>
      </c>
      <c r="L1202" s="5">
        <f>0+L1203+L1207+L1211+L1215+L1219+L1223+L1227+L1231+L1235+L1239+L1243+L1247+L1251+L1255+L1259+L1263+L1267+L1271+L1275+L1279+L1283+L1287+L1291+L1295+L1299+L1303+L1307+L1311+L1315+L1319+L1323+L1327+L1331+L1335+L1339+L1343+L1347</f>
        <v>0</v>
      </c>
      <c r="M1202" s="5">
        <f>0+M1203+M1207+M1211+M1215+M1219+M1223+M1227+M1231+M1235+M1239+M1243+M1247+M1251+M1255+M1259+M1263+M1267+M1271+M1275+M1279+M1283+M1287+M1291+M1295+M1299+M1303+M1307+M1311+M1315+M1319+M1323+M1327+M1331+M1335+M1339+M1343+M1347</f>
        <v>0</v>
      </c>
    </row>
    <row r="1203" spans="1:16" ht="13.2" x14ac:dyDescent="0.25">
      <c r="A1203" t="s">
        <v>11</v>
      </c>
      <c r="B1203" s="9" t="s">
        <v>219</v>
      </c>
      <c r="C1203" s="9" t="s">
        <v>976</v>
      </c>
      <c r="D1203" s="3" t="s">
        <v>2</v>
      </c>
      <c r="E1203" s="8" t="s">
        <v>975</v>
      </c>
      <c r="F1203" s="4" t="s">
        <v>8</v>
      </c>
      <c r="G1203" s="7">
        <v>9</v>
      </c>
      <c r="H1203" s="4">
        <v>1.8000000000000001E-4</v>
      </c>
      <c r="I1203" s="4">
        <f>ROUND(G1203*H1203,6)</f>
        <v>1.6199999999999999E-3</v>
      </c>
      <c r="L1203" s="6">
        <v>0</v>
      </c>
      <c r="M1203" s="5">
        <f>ROUND(ROUND(L1203,2)*ROUND(G1203,3),2)</f>
        <v>0</v>
      </c>
      <c r="N1203" s="4" t="s">
        <v>501</v>
      </c>
      <c r="O1203">
        <f>(M1203*21)/100</f>
        <v>0</v>
      </c>
      <c r="P1203" t="s">
        <v>6</v>
      </c>
    </row>
    <row r="1204" spans="1:16" ht="13.2" x14ac:dyDescent="0.25">
      <c r="A1204" s="3" t="s">
        <v>5</v>
      </c>
      <c r="E1204" s="1" t="s">
        <v>975</v>
      </c>
    </row>
    <row r="1205" spans="1:16" ht="13.2" x14ac:dyDescent="0.25">
      <c r="A1205" s="3" t="s">
        <v>3</v>
      </c>
      <c r="E1205" s="2" t="s">
        <v>974</v>
      </c>
    </row>
    <row r="1206" spans="1:16" ht="13.2" x14ac:dyDescent="0.25">
      <c r="A1206" t="s">
        <v>1</v>
      </c>
      <c r="E1206" s="1" t="s">
        <v>973</v>
      </c>
    </row>
    <row r="1207" spans="1:16" ht="13.2" x14ac:dyDescent="0.25">
      <c r="A1207" t="s">
        <v>11</v>
      </c>
      <c r="B1207" s="9" t="s">
        <v>216</v>
      </c>
      <c r="C1207" s="9" t="s">
        <v>972</v>
      </c>
      <c r="D1207" s="3" t="s">
        <v>2</v>
      </c>
      <c r="E1207" s="8" t="s">
        <v>971</v>
      </c>
      <c r="F1207" s="4" t="s">
        <v>8</v>
      </c>
      <c r="G1207" s="7">
        <v>50</v>
      </c>
      <c r="H1207" s="4">
        <v>1.57E-3</v>
      </c>
      <c r="I1207" s="4">
        <f>ROUND(G1207*H1207,6)</f>
        <v>7.85E-2</v>
      </c>
      <c r="L1207" s="6">
        <v>0</v>
      </c>
      <c r="M1207" s="5">
        <f>ROUND(ROUND(L1207,2)*ROUND(G1207,3),2)</f>
        <v>0</v>
      </c>
      <c r="N1207" s="4" t="s">
        <v>501</v>
      </c>
      <c r="O1207">
        <f>(M1207*21)/100</f>
        <v>0</v>
      </c>
      <c r="P1207" t="s">
        <v>6</v>
      </c>
    </row>
    <row r="1208" spans="1:16" ht="13.2" x14ac:dyDescent="0.25">
      <c r="A1208" s="3" t="s">
        <v>5</v>
      </c>
      <c r="E1208" s="1" t="s">
        <v>971</v>
      </c>
    </row>
    <row r="1209" spans="1:16" ht="13.2" x14ac:dyDescent="0.25">
      <c r="A1209" s="3" t="s">
        <v>3</v>
      </c>
      <c r="E1209" s="2" t="s">
        <v>2</v>
      </c>
    </row>
    <row r="1210" spans="1:16" ht="13.2" x14ac:dyDescent="0.25">
      <c r="A1210" t="s">
        <v>1</v>
      </c>
      <c r="E1210" s="1" t="s">
        <v>2</v>
      </c>
    </row>
    <row r="1211" spans="1:16" ht="13.2" x14ac:dyDescent="0.25">
      <c r="A1211" t="s">
        <v>11</v>
      </c>
      <c r="B1211" s="9" t="s">
        <v>213</v>
      </c>
      <c r="C1211" s="9" t="s">
        <v>970</v>
      </c>
      <c r="D1211" s="3" t="s">
        <v>2</v>
      </c>
      <c r="E1211" s="8" t="s">
        <v>969</v>
      </c>
      <c r="F1211" s="4" t="s">
        <v>8</v>
      </c>
      <c r="G1211" s="7">
        <v>45</v>
      </c>
      <c r="H1211" s="4">
        <v>2.4499999999999999E-3</v>
      </c>
      <c r="I1211" s="4">
        <f>ROUND(G1211*H1211,6)</f>
        <v>0.11025</v>
      </c>
      <c r="L1211" s="6">
        <v>0</v>
      </c>
      <c r="M1211" s="5">
        <f>ROUND(ROUND(L1211,2)*ROUND(G1211,3),2)</f>
        <v>0</v>
      </c>
      <c r="N1211" s="4" t="s">
        <v>501</v>
      </c>
      <c r="O1211">
        <f>(M1211*21)/100</f>
        <v>0</v>
      </c>
      <c r="P1211" t="s">
        <v>6</v>
      </c>
    </row>
    <row r="1212" spans="1:16" ht="13.2" x14ac:dyDescent="0.25">
      <c r="A1212" s="3" t="s">
        <v>5</v>
      </c>
      <c r="E1212" s="1" t="s">
        <v>969</v>
      </c>
    </row>
    <row r="1213" spans="1:16" ht="13.2" x14ac:dyDescent="0.25">
      <c r="A1213" s="3" t="s">
        <v>3</v>
      </c>
      <c r="E1213" s="2" t="s">
        <v>2</v>
      </c>
    </row>
    <row r="1214" spans="1:16" ht="13.2" x14ac:dyDescent="0.25">
      <c r="A1214" t="s">
        <v>1</v>
      </c>
      <c r="E1214" s="1" t="s">
        <v>2</v>
      </c>
    </row>
    <row r="1215" spans="1:16" ht="13.2" x14ac:dyDescent="0.25">
      <c r="A1215" t="s">
        <v>11</v>
      </c>
      <c r="B1215" s="9" t="s">
        <v>210</v>
      </c>
      <c r="C1215" s="9" t="s">
        <v>968</v>
      </c>
      <c r="D1215" s="3" t="s">
        <v>2</v>
      </c>
      <c r="E1215" s="8" t="s">
        <v>967</v>
      </c>
      <c r="F1215" s="4" t="s">
        <v>8</v>
      </c>
      <c r="G1215" s="7">
        <v>68</v>
      </c>
      <c r="H1215" s="4">
        <v>3.0899999999999999E-3</v>
      </c>
      <c r="I1215" s="4">
        <f>ROUND(G1215*H1215,6)</f>
        <v>0.21012</v>
      </c>
      <c r="L1215" s="6">
        <v>0</v>
      </c>
      <c r="M1215" s="5">
        <f>ROUND(ROUND(L1215,2)*ROUND(G1215,3),2)</f>
        <v>0</v>
      </c>
      <c r="N1215" s="4" t="s">
        <v>501</v>
      </c>
      <c r="O1215">
        <f>(M1215*21)/100</f>
        <v>0</v>
      </c>
      <c r="P1215" t="s">
        <v>6</v>
      </c>
    </row>
    <row r="1216" spans="1:16" ht="13.2" x14ac:dyDescent="0.25">
      <c r="A1216" s="3" t="s">
        <v>5</v>
      </c>
      <c r="E1216" s="1" t="s">
        <v>967</v>
      </c>
    </row>
    <row r="1217" spans="1:16" ht="13.2" x14ac:dyDescent="0.25">
      <c r="A1217" s="3" t="s">
        <v>3</v>
      </c>
      <c r="E1217" s="2" t="s">
        <v>2</v>
      </c>
    </row>
    <row r="1218" spans="1:16" ht="13.2" x14ac:dyDescent="0.25">
      <c r="A1218" t="s">
        <v>1</v>
      </c>
      <c r="E1218" s="1" t="s">
        <v>2</v>
      </c>
    </row>
    <row r="1219" spans="1:16" ht="13.2" x14ac:dyDescent="0.25">
      <c r="A1219" t="s">
        <v>11</v>
      </c>
      <c r="B1219" s="9" t="s">
        <v>207</v>
      </c>
      <c r="C1219" s="9" t="s">
        <v>966</v>
      </c>
      <c r="D1219" s="3" t="s">
        <v>2</v>
      </c>
      <c r="E1219" s="8" t="s">
        <v>965</v>
      </c>
      <c r="F1219" s="4" t="s">
        <v>8</v>
      </c>
      <c r="G1219" s="7">
        <v>16</v>
      </c>
      <c r="H1219" s="4">
        <v>4.5100000000000001E-3</v>
      </c>
      <c r="I1219" s="4">
        <f>ROUND(G1219*H1219,6)</f>
        <v>7.2160000000000002E-2</v>
      </c>
      <c r="L1219" s="6">
        <v>0</v>
      </c>
      <c r="M1219" s="5">
        <f>ROUND(ROUND(L1219,2)*ROUND(G1219,3),2)</f>
        <v>0</v>
      </c>
      <c r="N1219" s="4" t="s">
        <v>501</v>
      </c>
      <c r="O1219">
        <f>(M1219*21)/100</f>
        <v>0</v>
      </c>
      <c r="P1219" t="s">
        <v>6</v>
      </c>
    </row>
    <row r="1220" spans="1:16" ht="13.2" x14ac:dyDescent="0.25">
      <c r="A1220" s="3" t="s">
        <v>5</v>
      </c>
      <c r="E1220" s="1" t="s">
        <v>965</v>
      </c>
    </row>
    <row r="1221" spans="1:16" ht="13.2" x14ac:dyDescent="0.25">
      <c r="A1221" s="3" t="s">
        <v>3</v>
      </c>
      <c r="E1221" s="2" t="s">
        <v>2</v>
      </c>
    </row>
    <row r="1222" spans="1:16" ht="13.2" x14ac:dyDescent="0.25">
      <c r="A1222" t="s">
        <v>1</v>
      </c>
      <c r="E1222" s="1" t="s">
        <v>2</v>
      </c>
    </row>
    <row r="1223" spans="1:16" ht="13.2" x14ac:dyDescent="0.25">
      <c r="A1223" t="s">
        <v>11</v>
      </c>
      <c r="B1223" s="9" t="s">
        <v>204</v>
      </c>
      <c r="C1223" s="9" t="s">
        <v>964</v>
      </c>
      <c r="D1223" s="3" t="s">
        <v>2</v>
      </c>
      <c r="E1223" s="8" t="s">
        <v>963</v>
      </c>
      <c r="F1223" s="4" t="s">
        <v>8</v>
      </c>
      <c r="G1223" s="7">
        <v>9</v>
      </c>
      <c r="H1223" s="4">
        <v>5.1799999999999997E-3</v>
      </c>
      <c r="I1223" s="4">
        <f>ROUND(G1223*H1223,6)</f>
        <v>4.6620000000000002E-2</v>
      </c>
      <c r="L1223" s="6">
        <v>0</v>
      </c>
      <c r="M1223" s="5">
        <f>ROUND(ROUND(L1223,2)*ROUND(G1223,3),2)</f>
        <v>0</v>
      </c>
      <c r="N1223" s="4" t="s">
        <v>501</v>
      </c>
      <c r="O1223">
        <f>(M1223*21)/100</f>
        <v>0</v>
      </c>
      <c r="P1223" t="s">
        <v>6</v>
      </c>
    </row>
    <row r="1224" spans="1:16" ht="13.2" x14ac:dyDescent="0.25">
      <c r="A1224" s="3" t="s">
        <v>5</v>
      </c>
      <c r="E1224" s="1" t="s">
        <v>963</v>
      </c>
    </row>
    <row r="1225" spans="1:16" ht="13.2" x14ac:dyDescent="0.25">
      <c r="A1225" s="3" t="s">
        <v>3</v>
      </c>
      <c r="E1225" s="2" t="s">
        <v>2</v>
      </c>
    </row>
    <row r="1226" spans="1:16" ht="13.2" x14ac:dyDescent="0.25">
      <c r="A1226" t="s">
        <v>1</v>
      </c>
      <c r="E1226" s="1" t="s">
        <v>2</v>
      </c>
    </row>
    <row r="1227" spans="1:16" ht="26.4" x14ac:dyDescent="0.25">
      <c r="A1227" t="s">
        <v>11</v>
      </c>
      <c r="B1227" s="9" t="s">
        <v>201</v>
      </c>
      <c r="C1227" s="9" t="s">
        <v>962</v>
      </c>
      <c r="D1227" s="3" t="s">
        <v>2</v>
      </c>
      <c r="E1227" s="8" t="s">
        <v>961</v>
      </c>
      <c r="F1227" s="4" t="s">
        <v>8</v>
      </c>
      <c r="G1227" s="7">
        <v>2</v>
      </c>
      <c r="H1227" s="4">
        <v>3.0500000000000002E-3</v>
      </c>
      <c r="I1227" s="4">
        <f>ROUND(G1227*H1227,6)</f>
        <v>6.1000000000000004E-3</v>
      </c>
      <c r="L1227" s="6">
        <v>0</v>
      </c>
      <c r="M1227" s="5">
        <f>ROUND(ROUND(L1227,2)*ROUND(G1227,3),2)</f>
        <v>0</v>
      </c>
      <c r="N1227" s="4" t="s">
        <v>501</v>
      </c>
      <c r="O1227">
        <f>(M1227*21)/100</f>
        <v>0</v>
      </c>
      <c r="P1227" t="s">
        <v>6</v>
      </c>
    </row>
    <row r="1228" spans="1:16" ht="26.4" x14ac:dyDescent="0.25">
      <c r="A1228" s="3" t="s">
        <v>5</v>
      </c>
      <c r="E1228" s="1" t="s">
        <v>961</v>
      </c>
    </row>
    <row r="1229" spans="1:16" ht="13.2" x14ac:dyDescent="0.25">
      <c r="A1229" s="3" t="s">
        <v>3</v>
      </c>
      <c r="E1229" s="2" t="s">
        <v>2</v>
      </c>
    </row>
    <row r="1230" spans="1:16" ht="26.4" x14ac:dyDescent="0.25">
      <c r="A1230" t="s">
        <v>1</v>
      </c>
      <c r="E1230" s="1" t="s">
        <v>960</v>
      </c>
    </row>
    <row r="1231" spans="1:16" ht="26.4" x14ac:dyDescent="0.25">
      <c r="A1231" t="s">
        <v>11</v>
      </c>
      <c r="B1231" s="9" t="s">
        <v>198</v>
      </c>
      <c r="C1231" s="9" t="s">
        <v>959</v>
      </c>
      <c r="D1231" s="3" t="s">
        <v>2</v>
      </c>
      <c r="E1231" s="8" t="s">
        <v>958</v>
      </c>
      <c r="F1231" s="4" t="s">
        <v>8</v>
      </c>
      <c r="G1231" s="7">
        <v>78</v>
      </c>
      <c r="H1231" s="4">
        <v>5.1000000000000004E-4</v>
      </c>
      <c r="I1231" s="4">
        <f>ROUND(G1231*H1231,6)</f>
        <v>3.9780000000000003E-2</v>
      </c>
      <c r="L1231" s="6">
        <v>0</v>
      </c>
      <c r="M1231" s="5">
        <f>ROUND(ROUND(L1231,2)*ROUND(G1231,3),2)</f>
        <v>0</v>
      </c>
      <c r="N1231" s="4" t="s">
        <v>501</v>
      </c>
      <c r="O1231">
        <f>(M1231*21)/100</f>
        <v>0</v>
      </c>
      <c r="P1231" t="s">
        <v>6</v>
      </c>
    </row>
    <row r="1232" spans="1:16" ht="26.4" x14ac:dyDescent="0.25">
      <c r="A1232" s="3" t="s">
        <v>5</v>
      </c>
      <c r="E1232" s="1" t="s">
        <v>958</v>
      </c>
    </row>
    <row r="1233" spans="1:16" ht="13.2" x14ac:dyDescent="0.25">
      <c r="A1233" s="3" t="s">
        <v>3</v>
      </c>
      <c r="E1233" s="2" t="s">
        <v>2</v>
      </c>
    </row>
    <row r="1234" spans="1:16" ht="13.2" x14ac:dyDescent="0.25">
      <c r="A1234" t="s">
        <v>1</v>
      </c>
      <c r="E1234" s="1" t="s">
        <v>2</v>
      </c>
    </row>
    <row r="1235" spans="1:16" ht="26.4" x14ac:dyDescent="0.25">
      <c r="A1235" t="s">
        <v>11</v>
      </c>
      <c r="B1235" s="9" t="s">
        <v>195</v>
      </c>
      <c r="C1235" s="9" t="s">
        <v>957</v>
      </c>
      <c r="D1235" s="3" t="s">
        <v>2</v>
      </c>
      <c r="E1235" s="8" t="s">
        <v>956</v>
      </c>
      <c r="F1235" s="4" t="s">
        <v>8</v>
      </c>
      <c r="G1235" s="7">
        <v>6</v>
      </c>
      <c r="H1235" s="4">
        <v>8.4000000000000003E-4</v>
      </c>
      <c r="I1235" s="4">
        <f>ROUND(G1235*H1235,6)</f>
        <v>5.0400000000000002E-3</v>
      </c>
      <c r="L1235" s="6">
        <v>0</v>
      </c>
      <c r="M1235" s="5">
        <f>ROUND(ROUND(L1235,2)*ROUND(G1235,3),2)</f>
        <v>0</v>
      </c>
      <c r="N1235" s="4" t="s">
        <v>501</v>
      </c>
      <c r="O1235">
        <f>(M1235*21)/100</f>
        <v>0</v>
      </c>
      <c r="P1235" t="s">
        <v>6</v>
      </c>
    </row>
    <row r="1236" spans="1:16" ht="26.4" x14ac:dyDescent="0.25">
      <c r="A1236" s="3" t="s">
        <v>5</v>
      </c>
      <c r="E1236" s="1" t="s">
        <v>956</v>
      </c>
    </row>
    <row r="1237" spans="1:16" ht="13.2" x14ac:dyDescent="0.25">
      <c r="A1237" s="3" t="s">
        <v>3</v>
      </c>
      <c r="E1237" s="2" t="s">
        <v>2</v>
      </c>
    </row>
    <row r="1238" spans="1:16" ht="13.2" x14ac:dyDescent="0.25">
      <c r="A1238" t="s">
        <v>1</v>
      </c>
      <c r="E1238" s="1" t="s">
        <v>2</v>
      </c>
    </row>
    <row r="1239" spans="1:16" ht="26.4" x14ac:dyDescent="0.25">
      <c r="A1239" t="s">
        <v>11</v>
      </c>
      <c r="B1239" s="9" t="s">
        <v>192</v>
      </c>
      <c r="C1239" s="9" t="s">
        <v>955</v>
      </c>
      <c r="D1239" s="3" t="s">
        <v>2</v>
      </c>
      <c r="E1239" s="8" t="s">
        <v>954</v>
      </c>
      <c r="F1239" s="4" t="s">
        <v>8</v>
      </c>
      <c r="G1239" s="7">
        <v>65</v>
      </c>
      <c r="H1239" s="4">
        <v>1.16E-3</v>
      </c>
      <c r="I1239" s="4">
        <f>ROUND(G1239*H1239,6)</f>
        <v>7.5399999999999995E-2</v>
      </c>
      <c r="L1239" s="6">
        <v>0</v>
      </c>
      <c r="M1239" s="5">
        <f>ROUND(ROUND(L1239,2)*ROUND(G1239,3),2)</f>
        <v>0</v>
      </c>
      <c r="N1239" s="4" t="s">
        <v>501</v>
      </c>
      <c r="O1239">
        <f>(M1239*21)/100</f>
        <v>0</v>
      </c>
      <c r="P1239" t="s">
        <v>6</v>
      </c>
    </row>
    <row r="1240" spans="1:16" ht="26.4" x14ac:dyDescent="0.25">
      <c r="A1240" s="3" t="s">
        <v>5</v>
      </c>
      <c r="E1240" s="1" t="s">
        <v>954</v>
      </c>
    </row>
    <row r="1241" spans="1:16" ht="13.2" x14ac:dyDescent="0.25">
      <c r="A1241" s="3" t="s">
        <v>3</v>
      </c>
      <c r="E1241" s="2" t="s">
        <v>2</v>
      </c>
    </row>
    <row r="1242" spans="1:16" ht="13.2" x14ac:dyDescent="0.25">
      <c r="A1242" t="s">
        <v>1</v>
      </c>
      <c r="E1242" s="1" t="s">
        <v>2</v>
      </c>
    </row>
    <row r="1243" spans="1:16" ht="26.4" x14ac:dyDescent="0.25">
      <c r="A1243" t="s">
        <v>11</v>
      </c>
      <c r="B1243" s="9" t="s">
        <v>189</v>
      </c>
      <c r="C1243" s="9" t="s">
        <v>953</v>
      </c>
      <c r="D1243" s="3" t="s">
        <v>2</v>
      </c>
      <c r="E1243" s="8" t="s">
        <v>952</v>
      </c>
      <c r="F1243" s="4" t="s">
        <v>8</v>
      </c>
      <c r="G1243" s="7">
        <v>22</v>
      </c>
      <c r="H1243" s="4">
        <v>1.4400000000000001E-3</v>
      </c>
      <c r="I1243" s="4">
        <f>ROUND(G1243*H1243,6)</f>
        <v>3.168E-2</v>
      </c>
      <c r="L1243" s="6">
        <v>0</v>
      </c>
      <c r="M1243" s="5">
        <f>ROUND(ROUND(L1243,2)*ROUND(G1243,3),2)</f>
        <v>0</v>
      </c>
      <c r="N1243" s="4" t="s">
        <v>501</v>
      </c>
      <c r="O1243">
        <f>(M1243*21)/100</f>
        <v>0</v>
      </c>
      <c r="P1243" t="s">
        <v>6</v>
      </c>
    </row>
    <row r="1244" spans="1:16" ht="26.4" x14ac:dyDescent="0.25">
      <c r="A1244" s="3" t="s">
        <v>5</v>
      </c>
      <c r="E1244" s="1" t="s">
        <v>952</v>
      </c>
    </row>
    <row r="1245" spans="1:16" ht="13.2" x14ac:dyDescent="0.25">
      <c r="A1245" s="3" t="s">
        <v>3</v>
      </c>
      <c r="E1245" s="2" t="s">
        <v>2</v>
      </c>
    </row>
    <row r="1246" spans="1:16" ht="13.2" x14ac:dyDescent="0.25">
      <c r="A1246" t="s">
        <v>1</v>
      </c>
      <c r="E1246" s="1" t="s">
        <v>2</v>
      </c>
    </row>
    <row r="1247" spans="1:16" ht="26.4" x14ac:dyDescent="0.25">
      <c r="A1247" t="s">
        <v>11</v>
      </c>
      <c r="B1247" s="9" t="s">
        <v>186</v>
      </c>
      <c r="C1247" s="9" t="s">
        <v>951</v>
      </c>
      <c r="D1247" s="3" t="s">
        <v>2</v>
      </c>
      <c r="E1247" s="8" t="s">
        <v>950</v>
      </c>
      <c r="F1247" s="4" t="s">
        <v>8</v>
      </c>
      <c r="G1247" s="7">
        <v>52</v>
      </c>
      <c r="H1247" s="4">
        <v>4.0000000000000003E-5</v>
      </c>
      <c r="I1247" s="4">
        <f>ROUND(G1247*H1247,6)</f>
        <v>2.0799999999999998E-3</v>
      </c>
      <c r="L1247" s="6">
        <v>0</v>
      </c>
      <c r="M1247" s="5">
        <f>ROUND(ROUND(L1247,2)*ROUND(G1247,3),2)</f>
        <v>0</v>
      </c>
      <c r="N1247" s="4" t="s">
        <v>501</v>
      </c>
      <c r="O1247">
        <f>(M1247*21)/100</f>
        <v>0</v>
      </c>
      <c r="P1247" t="s">
        <v>6</v>
      </c>
    </row>
    <row r="1248" spans="1:16" ht="39.6" x14ac:dyDescent="0.25">
      <c r="A1248" s="3" t="s">
        <v>5</v>
      </c>
      <c r="E1248" s="1" t="s">
        <v>949</v>
      </c>
    </row>
    <row r="1249" spans="1:16" ht="13.2" x14ac:dyDescent="0.25">
      <c r="A1249" s="3" t="s">
        <v>3</v>
      </c>
      <c r="E1249" s="2" t="s">
        <v>2</v>
      </c>
    </row>
    <row r="1250" spans="1:16" ht="13.2" x14ac:dyDescent="0.25">
      <c r="A1250" t="s">
        <v>1</v>
      </c>
      <c r="E1250" s="1" t="s">
        <v>2</v>
      </c>
    </row>
    <row r="1251" spans="1:16" ht="26.4" x14ac:dyDescent="0.25">
      <c r="A1251" t="s">
        <v>11</v>
      </c>
      <c r="B1251" s="9" t="s">
        <v>183</v>
      </c>
      <c r="C1251" s="9" t="s">
        <v>948</v>
      </c>
      <c r="D1251" s="3" t="s">
        <v>2</v>
      </c>
      <c r="E1251" s="8" t="s">
        <v>944</v>
      </c>
      <c r="F1251" s="4" t="s">
        <v>8</v>
      </c>
      <c r="G1251" s="7">
        <v>180</v>
      </c>
      <c r="H1251" s="4">
        <v>6.9999999999999994E-5</v>
      </c>
      <c r="I1251" s="4">
        <f>ROUND(G1251*H1251,6)</f>
        <v>1.26E-2</v>
      </c>
      <c r="L1251" s="6">
        <v>0</v>
      </c>
      <c r="M1251" s="5">
        <f>ROUND(ROUND(L1251,2)*ROUND(G1251,3),2)</f>
        <v>0</v>
      </c>
      <c r="N1251" s="4" t="s">
        <v>501</v>
      </c>
      <c r="O1251">
        <f>(M1251*21)/100</f>
        <v>0</v>
      </c>
      <c r="P1251" t="s">
        <v>6</v>
      </c>
    </row>
    <row r="1252" spans="1:16" ht="39.6" x14ac:dyDescent="0.25">
      <c r="A1252" s="3" t="s">
        <v>5</v>
      </c>
      <c r="E1252" s="1" t="s">
        <v>947</v>
      </c>
    </row>
    <row r="1253" spans="1:16" ht="39.6" x14ac:dyDescent="0.25">
      <c r="A1253" s="3" t="s">
        <v>3</v>
      </c>
      <c r="E1253" s="2" t="s">
        <v>946</v>
      </c>
    </row>
    <row r="1254" spans="1:16" ht="13.2" x14ac:dyDescent="0.25">
      <c r="A1254" t="s">
        <v>1</v>
      </c>
      <c r="E1254" s="1" t="s">
        <v>2</v>
      </c>
    </row>
    <row r="1255" spans="1:16" ht="26.4" x14ac:dyDescent="0.25">
      <c r="A1255" t="s">
        <v>11</v>
      </c>
      <c r="B1255" s="9" t="s">
        <v>180</v>
      </c>
      <c r="C1255" s="9" t="s">
        <v>945</v>
      </c>
      <c r="D1255" s="3" t="s">
        <v>2</v>
      </c>
      <c r="E1255" s="8" t="s">
        <v>944</v>
      </c>
      <c r="F1255" s="4" t="s">
        <v>8</v>
      </c>
      <c r="G1255" s="7">
        <v>95</v>
      </c>
      <c r="H1255" s="4">
        <v>9.0000000000000006E-5</v>
      </c>
      <c r="I1255" s="4">
        <f>ROUND(G1255*H1255,6)</f>
        <v>8.5500000000000003E-3</v>
      </c>
      <c r="L1255" s="6">
        <v>0</v>
      </c>
      <c r="M1255" s="5">
        <f>ROUND(ROUND(L1255,2)*ROUND(G1255,3),2)</f>
        <v>0</v>
      </c>
      <c r="N1255" s="4" t="s">
        <v>501</v>
      </c>
      <c r="O1255">
        <f>(M1255*21)/100</f>
        <v>0</v>
      </c>
      <c r="P1255" t="s">
        <v>6</v>
      </c>
    </row>
    <row r="1256" spans="1:16" ht="39.6" x14ac:dyDescent="0.25">
      <c r="A1256" s="3" t="s">
        <v>5</v>
      </c>
      <c r="E1256" s="1" t="s">
        <v>943</v>
      </c>
    </row>
    <row r="1257" spans="1:16" ht="52.8" x14ac:dyDescent="0.25">
      <c r="A1257" s="3" t="s">
        <v>3</v>
      </c>
      <c r="E1257" s="2" t="s">
        <v>942</v>
      </c>
    </row>
    <row r="1258" spans="1:16" ht="13.2" x14ac:dyDescent="0.25">
      <c r="A1258" t="s">
        <v>1</v>
      </c>
      <c r="E1258" s="1" t="s">
        <v>2</v>
      </c>
    </row>
    <row r="1259" spans="1:16" ht="13.2" x14ac:dyDescent="0.25">
      <c r="A1259" t="s">
        <v>11</v>
      </c>
      <c r="B1259" s="9" t="s">
        <v>177</v>
      </c>
      <c r="C1259" s="9" t="s">
        <v>941</v>
      </c>
      <c r="D1259" s="3" t="s">
        <v>2</v>
      </c>
      <c r="E1259" s="8" t="s">
        <v>940</v>
      </c>
      <c r="F1259" s="4" t="s">
        <v>13</v>
      </c>
      <c r="G1259" s="7">
        <v>30</v>
      </c>
      <c r="H1259" s="4">
        <v>0</v>
      </c>
      <c r="I1259" s="4">
        <f>ROUND(G1259*H1259,6)</f>
        <v>0</v>
      </c>
      <c r="L1259" s="6">
        <v>0</v>
      </c>
      <c r="M1259" s="5">
        <f>ROUND(ROUND(L1259,2)*ROUND(G1259,3),2)</f>
        <v>0</v>
      </c>
      <c r="N1259" s="4" t="s">
        <v>501</v>
      </c>
      <c r="O1259">
        <f>(M1259*21)/100</f>
        <v>0</v>
      </c>
      <c r="P1259" t="s">
        <v>6</v>
      </c>
    </row>
    <row r="1260" spans="1:16" ht="13.2" x14ac:dyDescent="0.25">
      <c r="A1260" s="3" t="s">
        <v>5</v>
      </c>
      <c r="E1260" s="1" t="s">
        <v>940</v>
      </c>
    </row>
    <row r="1261" spans="1:16" ht="13.2" x14ac:dyDescent="0.25">
      <c r="A1261" s="3" t="s">
        <v>3</v>
      </c>
      <c r="E1261" s="2" t="s">
        <v>939</v>
      </c>
    </row>
    <row r="1262" spans="1:16" ht="13.2" x14ac:dyDescent="0.25">
      <c r="A1262" t="s">
        <v>1</v>
      </c>
      <c r="E1262" s="1" t="s">
        <v>2</v>
      </c>
    </row>
    <row r="1263" spans="1:16" ht="13.2" x14ac:dyDescent="0.25">
      <c r="A1263" t="s">
        <v>11</v>
      </c>
      <c r="B1263" s="9" t="s">
        <v>174</v>
      </c>
      <c r="C1263" s="9" t="s">
        <v>938</v>
      </c>
      <c r="D1263" s="3" t="s">
        <v>2</v>
      </c>
      <c r="E1263" s="8" t="s">
        <v>937</v>
      </c>
      <c r="F1263" s="4" t="s">
        <v>13</v>
      </c>
      <c r="G1263" s="7">
        <v>1</v>
      </c>
      <c r="H1263" s="4">
        <v>8.0099999999999998E-3</v>
      </c>
      <c r="I1263" s="4">
        <f>ROUND(G1263*H1263,6)</f>
        <v>8.0099999999999998E-3</v>
      </c>
      <c r="L1263" s="6">
        <v>0</v>
      </c>
      <c r="M1263" s="5">
        <f>ROUND(ROUND(L1263,2)*ROUND(G1263,3),2)</f>
        <v>0</v>
      </c>
      <c r="N1263" s="4" t="s">
        <v>501</v>
      </c>
      <c r="O1263">
        <f>(M1263*21)/100</f>
        <v>0</v>
      </c>
      <c r="P1263" t="s">
        <v>6</v>
      </c>
    </row>
    <row r="1264" spans="1:16" ht="13.2" x14ac:dyDescent="0.25">
      <c r="A1264" s="3" t="s">
        <v>5</v>
      </c>
      <c r="E1264" s="1" t="s">
        <v>937</v>
      </c>
    </row>
    <row r="1265" spans="1:16" ht="13.2" x14ac:dyDescent="0.25">
      <c r="A1265" s="3" t="s">
        <v>3</v>
      </c>
      <c r="E1265" s="2" t="s">
        <v>936</v>
      </c>
    </row>
    <row r="1266" spans="1:16" ht="13.2" x14ac:dyDescent="0.25">
      <c r="A1266" t="s">
        <v>1</v>
      </c>
      <c r="E1266" s="1" t="s">
        <v>2</v>
      </c>
    </row>
    <row r="1267" spans="1:16" ht="13.2" x14ac:dyDescent="0.25">
      <c r="A1267" t="s">
        <v>11</v>
      </c>
      <c r="B1267" s="9" t="s">
        <v>171</v>
      </c>
      <c r="C1267" s="9" t="s">
        <v>935</v>
      </c>
      <c r="D1267" s="3" t="s">
        <v>2</v>
      </c>
      <c r="E1267" s="8" t="s">
        <v>934</v>
      </c>
      <c r="F1267" s="4" t="s">
        <v>13</v>
      </c>
      <c r="G1267" s="7">
        <v>3</v>
      </c>
      <c r="H1267" s="4">
        <v>1.2999999999999999E-4</v>
      </c>
      <c r="I1267" s="4">
        <f>ROUND(G1267*H1267,6)</f>
        <v>3.8999999999999999E-4</v>
      </c>
      <c r="L1267" s="6">
        <v>0</v>
      </c>
      <c r="M1267" s="5">
        <f>ROUND(ROUND(L1267,2)*ROUND(G1267,3),2)</f>
        <v>0</v>
      </c>
      <c r="N1267" s="4" t="s">
        <v>501</v>
      </c>
      <c r="O1267">
        <f>(M1267*21)/100</f>
        <v>0</v>
      </c>
      <c r="P1267" t="s">
        <v>6</v>
      </c>
    </row>
    <row r="1268" spans="1:16" ht="13.2" x14ac:dyDescent="0.25">
      <c r="A1268" s="3" t="s">
        <v>5</v>
      </c>
      <c r="E1268" s="1" t="s">
        <v>934</v>
      </c>
    </row>
    <row r="1269" spans="1:16" ht="13.2" x14ac:dyDescent="0.25">
      <c r="A1269" s="3" t="s">
        <v>3</v>
      </c>
      <c r="E1269" s="2" t="s">
        <v>2</v>
      </c>
    </row>
    <row r="1270" spans="1:16" ht="13.2" x14ac:dyDescent="0.25">
      <c r="A1270" t="s">
        <v>1</v>
      </c>
      <c r="E1270" s="1" t="s">
        <v>2</v>
      </c>
    </row>
    <row r="1271" spans="1:16" ht="26.4" x14ac:dyDescent="0.25">
      <c r="A1271" t="s">
        <v>11</v>
      </c>
      <c r="B1271" s="9" t="s">
        <v>168</v>
      </c>
      <c r="C1271" s="9" t="s">
        <v>933</v>
      </c>
      <c r="D1271" s="3" t="s">
        <v>2</v>
      </c>
      <c r="E1271" s="8" t="s">
        <v>932</v>
      </c>
      <c r="F1271" s="4" t="s">
        <v>604</v>
      </c>
      <c r="G1271" s="7">
        <v>8</v>
      </c>
      <c r="H1271" s="4">
        <v>2.1000000000000001E-4</v>
      </c>
      <c r="I1271" s="4">
        <f>ROUND(G1271*H1271,6)</f>
        <v>1.6800000000000001E-3</v>
      </c>
      <c r="L1271" s="6">
        <v>0</v>
      </c>
      <c r="M1271" s="5">
        <f>ROUND(ROUND(L1271,2)*ROUND(G1271,3),2)</f>
        <v>0</v>
      </c>
      <c r="N1271" s="4" t="s">
        <v>501</v>
      </c>
      <c r="O1271">
        <f>(M1271*21)/100</f>
        <v>0</v>
      </c>
      <c r="P1271" t="s">
        <v>6</v>
      </c>
    </row>
    <row r="1272" spans="1:16" ht="26.4" x14ac:dyDescent="0.25">
      <c r="A1272" s="3" t="s">
        <v>5</v>
      </c>
      <c r="E1272" s="1" t="s">
        <v>932</v>
      </c>
    </row>
    <row r="1273" spans="1:16" ht="13.2" x14ac:dyDescent="0.25">
      <c r="A1273" s="3" t="s">
        <v>3</v>
      </c>
      <c r="E1273" s="2" t="s">
        <v>2</v>
      </c>
    </row>
    <row r="1274" spans="1:16" ht="13.2" x14ac:dyDescent="0.25">
      <c r="A1274" t="s">
        <v>1</v>
      </c>
      <c r="E1274" s="1" t="s">
        <v>2</v>
      </c>
    </row>
    <row r="1275" spans="1:16" ht="13.2" x14ac:dyDescent="0.25">
      <c r="A1275" t="s">
        <v>11</v>
      </c>
      <c r="B1275" s="9" t="s">
        <v>165</v>
      </c>
      <c r="C1275" s="9" t="s">
        <v>931</v>
      </c>
      <c r="D1275" s="3" t="s">
        <v>2</v>
      </c>
      <c r="E1275" s="8" t="s">
        <v>930</v>
      </c>
      <c r="F1275" s="4" t="s">
        <v>13</v>
      </c>
      <c r="G1275" s="7">
        <v>1</v>
      </c>
      <c r="H1275" s="4">
        <v>1.7000000000000001E-4</v>
      </c>
      <c r="I1275" s="4">
        <f>ROUND(G1275*H1275,6)</f>
        <v>1.7000000000000001E-4</v>
      </c>
      <c r="L1275" s="6">
        <v>0</v>
      </c>
      <c r="M1275" s="5">
        <f>ROUND(ROUND(L1275,2)*ROUND(G1275,3),2)</f>
        <v>0</v>
      </c>
      <c r="N1275" s="4" t="s">
        <v>501</v>
      </c>
      <c r="O1275">
        <f>(M1275*21)/100</f>
        <v>0</v>
      </c>
      <c r="P1275" t="s">
        <v>6</v>
      </c>
    </row>
    <row r="1276" spans="1:16" ht="13.2" x14ac:dyDescent="0.25">
      <c r="A1276" s="3" t="s">
        <v>5</v>
      </c>
      <c r="E1276" s="1" t="s">
        <v>930</v>
      </c>
    </row>
    <row r="1277" spans="1:16" ht="13.2" x14ac:dyDescent="0.25">
      <c r="A1277" s="3" t="s">
        <v>3</v>
      </c>
      <c r="E1277" s="2" t="s">
        <v>2</v>
      </c>
    </row>
    <row r="1278" spans="1:16" ht="13.2" x14ac:dyDescent="0.25">
      <c r="A1278" t="s">
        <v>1</v>
      </c>
      <c r="E1278" s="1" t="s">
        <v>2</v>
      </c>
    </row>
    <row r="1279" spans="1:16" ht="13.2" x14ac:dyDescent="0.25">
      <c r="A1279" t="s">
        <v>11</v>
      </c>
      <c r="B1279" s="9" t="s">
        <v>162</v>
      </c>
      <c r="C1279" s="9" t="s">
        <v>929</v>
      </c>
      <c r="D1279" s="3" t="s">
        <v>2</v>
      </c>
      <c r="E1279" s="8" t="s">
        <v>928</v>
      </c>
      <c r="F1279" s="4" t="s">
        <v>13</v>
      </c>
      <c r="G1279" s="7">
        <v>1</v>
      </c>
      <c r="H1279" s="4">
        <v>5.1999999999999995E-4</v>
      </c>
      <c r="I1279" s="4">
        <f>ROUND(G1279*H1279,6)</f>
        <v>5.1999999999999995E-4</v>
      </c>
      <c r="L1279" s="6">
        <v>0</v>
      </c>
      <c r="M1279" s="5">
        <f>ROUND(ROUND(L1279,2)*ROUND(G1279,3),2)</f>
        <v>0</v>
      </c>
      <c r="N1279" s="4" t="s">
        <v>501</v>
      </c>
      <c r="O1279">
        <f>(M1279*21)/100</f>
        <v>0</v>
      </c>
      <c r="P1279" t="s">
        <v>6</v>
      </c>
    </row>
    <row r="1280" spans="1:16" ht="13.2" x14ac:dyDescent="0.25">
      <c r="A1280" s="3" t="s">
        <v>5</v>
      </c>
      <c r="E1280" s="1" t="s">
        <v>928</v>
      </c>
    </row>
    <row r="1281" spans="1:16" ht="13.2" x14ac:dyDescent="0.25">
      <c r="A1281" s="3" t="s">
        <v>3</v>
      </c>
      <c r="E1281" s="2" t="s">
        <v>2</v>
      </c>
    </row>
    <row r="1282" spans="1:16" ht="13.2" x14ac:dyDescent="0.25">
      <c r="A1282" t="s">
        <v>1</v>
      </c>
      <c r="E1282" s="1" t="s">
        <v>2</v>
      </c>
    </row>
    <row r="1283" spans="1:16" ht="13.2" x14ac:dyDescent="0.25">
      <c r="A1283" t="s">
        <v>11</v>
      </c>
      <c r="B1283" s="9" t="s">
        <v>159</v>
      </c>
      <c r="C1283" s="9" t="s">
        <v>927</v>
      </c>
      <c r="D1283" s="3" t="s">
        <v>2</v>
      </c>
      <c r="E1283" s="8" t="s">
        <v>926</v>
      </c>
      <c r="F1283" s="4" t="s">
        <v>13</v>
      </c>
      <c r="G1283" s="7">
        <v>1</v>
      </c>
      <c r="H1283" s="4">
        <v>3.4000000000000002E-4</v>
      </c>
      <c r="I1283" s="4">
        <f>ROUND(G1283*H1283,6)</f>
        <v>3.4000000000000002E-4</v>
      </c>
      <c r="L1283" s="6">
        <v>0</v>
      </c>
      <c r="M1283" s="5">
        <f>ROUND(ROUND(L1283,2)*ROUND(G1283,3),2)</f>
        <v>0</v>
      </c>
      <c r="N1283" s="4" t="s">
        <v>501</v>
      </c>
      <c r="O1283">
        <f>(M1283*21)/100</f>
        <v>0</v>
      </c>
      <c r="P1283" t="s">
        <v>6</v>
      </c>
    </row>
    <row r="1284" spans="1:16" ht="13.2" x14ac:dyDescent="0.25">
      <c r="A1284" s="3" t="s">
        <v>5</v>
      </c>
      <c r="E1284" s="1" t="s">
        <v>926</v>
      </c>
    </row>
    <row r="1285" spans="1:16" ht="13.2" x14ac:dyDescent="0.25">
      <c r="A1285" s="3" t="s">
        <v>3</v>
      </c>
      <c r="E1285" s="2" t="s">
        <v>2</v>
      </c>
    </row>
    <row r="1286" spans="1:16" ht="13.2" x14ac:dyDescent="0.25">
      <c r="A1286" t="s">
        <v>1</v>
      </c>
      <c r="E1286" s="1" t="s">
        <v>2</v>
      </c>
    </row>
    <row r="1287" spans="1:16" ht="13.2" x14ac:dyDescent="0.25">
      <c r="A1287" t="s">
        <v>11</v>
      </c>
      <c r="B1287" s="9" t="s">
        <v>156</v>
      </c>
      <c r="C1287" s="9" t="s">
        <v>925</v>
      </c>
      <c r="D1287" s="3" t="s">
        <v>2</v>
      </c>
      <c r="E1287" s="8" t="s">
        <v>924</v>
      </c>
      <c r="F1287" s="4" t="s">
        <v>13</v>
      </c>
      <c r="G1287" s="7">
        <v>3</v>
      </c>
      <c r="H1287" s="4">
        <v>5.0000000000000001E-4</v>
      </c>
      <c r="I1287" s="4">
        <f>ROUND(G1287*H1287,6)</f>
        <v>1.5E-3</v>
      </c>
      <c r="L1287" s="6">
        <v>0</v>
      </c>
      <c r="M1287" s="5">
        <f>ROUND(ROUND(L1287,2)*ROUND(G1287,3),2)</f>
        <v>0</v>
      </c>
      <c r="N1287" s="4" t="s">
        <v>501</v>
      </c>
      <c r="O1287">
        <f>(M1287*21)/100</f>
        <v>0</v>
      </c>
      <c r="P1287" t="s">
        <v>6</v>
      </c>
    </row>
    <row r="1288" spans="1:16" ht="13.2" x14ac:dyDescent="0.25">
      <c r="A1288" s="3" t="s">
        <v>5</v>
      </c>
      <c r="E1288" s="1" t="s">
        <v>924</v>
      </c>
    </row>
    <row r="1289" spans="1:16" ht="13.2" x14ac:dyDescent="0.25">
      <c r="A1289" s="3" t="s">
        <v>3</v>
      </c>
      <c r="E1289" s="2" t="s">
        <v>2</v>
      </c>
    </row>
    <row r="1290" spans="1:16" ht="13.2" x14ac:dyDescent="0.25">
      <c r="A1290" t="s">
        <v>1</v>
      </c>
      <c r="E1290" s="1" t="s">
        <v>2</v>
      </c>
    </row>
    <row r="1291" spans="1:16" ht="13.2" x14ac:dyDescent="0.25">
      <c r="A1291" t="s">
        <v>11</v>
      </c>
      <c r="B1291" s="9" t="s">
        <v>153</v>
      </c>
      <c r="C1291" s="9" t="s">
        <v>923</v>
      </c>
      <c r="D1291" s="3" t="s">
        <v>2</v>
      </c>
      <c r="E1291" s="8" t="s">
        <v>922</v>
      </c>
      <c r="F1291" s="4" t="s">
        <v>13</v>
      </c>
      <c r="G1291" s="7">
        <v>1</v>
      </c>
      <c r="H1291" s="4">
        <v>6.9999999999999999E-4</v>
      </c>
      <c r="I1291" s="4">
        <f>ROUND(G1291*H1291,6)</f>
        <v>6.9999999999999999E-4</v>
      </c>
      <c r="L1291" s="6">
        <v>0</v>
      </c>
      <c r="M1291" s="5">
        <f>ROUND(ROUND(L1291,2)*ROUND(G1291,3),2)</f>
        <v>0</v>
      </c>
      <c r="N1291" s="4" t="s">
        <v>501</v>
      </c>
      <c r="O1291">
        <f>(M1291*21)/100</f>
        <v>0</v>
      </c>
      <c r="P1291" t="s">
        <v>6</v>
      </c>
    </row>
    <row r="1292" spans="1:16" ht="13.2" x14ac:dyDescent="0.25">
      <c r="A1292" s="3" t="s">
        <v>5</v>
      </c>
      <c r="E1292" s="1" t="s">
        <v>922</v>
      </c>
    </row>
    <row r="1293" spans="1:16" ht="13.2" x14ac:dyDescent="0.25">
      <c r="A1293" s="3" t="s">
        <v>3</v>
      </c>
      <c r="E1293" s="2" t="s">
        <v>2</v>
      </c>
    </row>
    <row r="1294" spans="1:16" ht="13.2" x14ac:dyDescent="0.25">
      <c r="A1294" t="s">
        <v>1</v>
      </c>
      <c r="E1294" s="1" t="s">
        <v>2</v>
      </c>
    </row>
    <row r="1295" spans="1:16" ht="26.4" x14ac:dyDescent="0.25">
      <c r="A1295" t="s">
        <v>11</v>
      </c>
      <c r="B1295" s="9" t="s">
        <v>150</v>
      </c>
      <c r="C1295" s="9" t="s">
        <v>921</v>
      </c>
      <c r="D1295" s="3" t="s">
        <v>2</v>
      </c>
      <c r="E1295" s="8" t="s">
        <v>920</v>
      </c>
      <c r="F1295" s="4" t="s">
        <v>13</v>
      </c>
      <c r="G1295" s="7">
        <v>12</v>
      </c>
      <c r="H1295" s="4">
        <v>2.7E-4</v>
      </c>
      <c r="I1295" s="4">
        <f>ROUND(G1295*H1295,6)</f>
        <v>3.2399999999999998E-3</v>
      </c>
      <c r="L1295" s="6">
        <v>0</v>
      </c>
      <c r="M1295" s="5">
        <f>ROUND(ROUND(L1295,2)*ROUND(G1295,3),2)</f>
        <v>0</v>
      </c>
      <c r="N1295" s="4" t="s">
        <v>501</v>
      </c>
      <c r="O1295">
        <f>(M1295*21)/100</f>
        <v>0</v>
      </c>
      <c r="P1295" t="s">
        <v>6</v>
      </c>
    </row>
    <row r="1296" spans="1:16" ht="26.4" x14ac:dyDescent="0.25">
      <c r="A1296" s="3" t="s">
        <v>5</v>
      </c>
      <c r="E1296" s="1" t="s">
        <v>920</v>
      </c>
    </row>
    <row r="1297" spans="1:16" ht="13.2" x14ac:dyDescent="0.25">
      <c r="A1297" s="3" t="s">
        <v>3</v>
      </c>
      <c r="E1297" s="2" t="s">
        <v>2</v>
      </c>
    </row>
    <row r="1298" spans="1:16" ht="13.2" x14ac:dyDescent="0.25">
      <c r="A1298" t="s">
        <v>1</v>
      </c>
      <c r="E1298" s="1" t="s">
        <v>2</v>
      </c>
    </row>
    <row r="1299" spans="1:16" ht="13.2" x14ac:dyDescent="0.25">
      <c r="A1299" t="s">
        <v>11</v>
      </c>
      <c r="B1299" s="9" t="s">
        <v>147</v>
      </c>
      <c r="C1299" s="9" t="s">
        <v>919</v>
      </c>
      <c r="D1299" s="3" t="s">
        <v>2</v>
      </c>
      <c r="E1299" s="8" t="s">
        <v>918</v>
      </c>
      <c r="F1299" s="4" t="s">
        <v>13</v>
      </c>
      <c r="G1299" s="7">
        <v>1</v>
      </c>
      <c r="H1299" s="4">
        <v>2.2000000000000001E-4</v>
      </c>
      <c r="I1299" s="4">
        <f>ROUND(G1299*H1299,6)</f>
        <v>2.2000000000000001E-4</v>
      </c>
      <c r="L1299" s="6">
        <v>0</v>
      </c>
      <c r="M1299" s="5">
        <f>ROUND(ROUND(L1299,2)*ROUND(G1299,3),2)</f>
        <v>0</v>
      </c>
      <c r="N1299" s="4" t="s">
        <v>501</v>
      </c>
      <c r="O1299">
        <f>(M1299*21)/100</f>
        <v>0</v>
      </c>
      <c r="P1299" t="s">
        <v>6</v>
      </c>
    </row>
    <row r="1300" spans="1:16" ht="13.2" x14ac:dyDescent="0.25">
      <c r="A1300" s="3" t="s">
        <v>5</v>
      </c>
      <c r="E1300" s="1" t="s">
        <v>918</v>
      </c>
    </row>
    <row r="1301" spans="1:16" ht="13.2" x14ac:dyDescent="0.25">
      <c r="A1301" s="3" t="s">
        <v>3</v>
      </c>
      <c r="E1301" s="2" t="s">
        <v>2</v>
      </c>
    </row>
    <row r="1302" spans="1:16" ht="13.2" x14ac:dyDescent="0.25">
      <c r="A1302" t="s">
        <v>1</v>
      </c>
      <c r="E1302" s="1" t="s">
        <v>2</v>
      </c>
    </row>
    <row r="1303" spans="1:16" ht="13.2" x14ac:dyDescent="0.25">
      <c r="A1303" t="s">
        <v>11</v>
      </c>
      <c r="B1303" s="9" t="s">
        <v>144</v>
      </c>
      <c r="C1303" s="9" t="s">
        <v>917</v>
      </c>
      <c r="D1303" s="3" t="s">
        <v>2</v>
      </c>
      <c r="E1303" s="8" t="s">
        <v>916</v>
      </c>
      <c r="F1303" s="4" t="s">
        <v>13</v>
      </c>
      <c r="G1303" s="7">
        <v>3</v>
      </c>
      <c r="H1303" s="4">
        <v>6.8999999999999997E-4</v>
      </c>
      <c r="I1303" s="4">
        <f>ROUND(G1303*H1303,6)</f>
        <v>2.0699999999999998E-3</v>
      </c>
      <c r="L1303" s="6">
        <v>0</v>
      </c>
      <c r="M1303" s="5">
        <f>ROUND(ROUND(L1303,2)*ROUND(G1303,3),2)</f>
        <v>0</v>
      </c>
      <c r="N1303" s="4" t="s">
        <v>501</v>
      </c>
      <c r="O1303">
        <f>(M1303*21)/100</f>
        <v>0</v>
      </c>
      <c r="P1303" t="s">
        <v>6</v>
      </c>
    </row>
    <row r="1304" spans="1:16" ht="13.2" x14ac:dyDescent="0.25">
      <c r="A1304" s="3" t="s">
        <v>5</v>
      </c>
      <c r="E1304" s="1" t="s">
        <v>916</v>
      </c>
    </row>
    <row r="1305" spans="1:16" ht="13.2" x14ac:dyDescent="0.25">
      <c r="A1305" s="3" t="s">
        <v>3</v>
      </c>
      <c r="E1305" s="2" t="s">
        <v>2</v>
      </c>
    </row>
    <row r="1306" spans="1:16" ht="13.2" x14ac:dyDescent="0.25">
      <c r="A1306" t="s">
        <v>1</v>
      </c>
      <c r="E1306" s="1" t="s">
        <v>2</v>
      </c>
    </row>
    <row r="1307" spans="1:16" ht="26.4" x14ac:dyDescent="0.25">
      <c r="A1307" t="s">
        <v>11</v>
      </c>
      <c r="B1307" s="9" t="s">
        <v>141</v>
      </c>
      <c r="C1307" s="9" t="s">
        <v>915</v>
      </c>
      <c r="D1307" s="3" t="s">
        <v>2</v>
      </c>
      <c r="E1307" s="8" t="s">
        <v>914</v>
      </c>
      <c r="F1307" s="4" t="s">
        <v>604</v>
      </c>
      <c r="G1307" s="7">
        <v>3</v>
      </c>
      <c r="H1307" s="4">
        <v>2.92E-2</v>
      </c>
      <c r="I1307" s="4">
        <f>ROUND(G1307*H1307,6)</f>
        <v>8.7599999999999997E-2</v>
      </c>
      <c r="L1307" s="6">
        <v>0</v>
      </c>
      <c r="M1307" s="5">
        <f>ROUND(ROUND(L1307,2)*ROUND(G1307,3),2)</f>
        <v>0</v>
      </c>
      <c r="N1307" s="4" t="s">
        <v>501</v>
      </c>
      <c r="O1307">
        <f>(M1307*21)/100</f>
        <v>0</v>
      </c>
      <c r="P1307" t="s">
        <v>6</v>
      </c>
    </row>
    <row r="1308" spans="1:16" ht="26.4" x14ac:dyDescent="0.25">
      <c r="A1308" s="3" t="s">
        <v>5</v>
      </c>
      <c r="E1308" s="1" t="s">
        <v>914</v>
      </c>
    </row>
    <row r="1309" spans="1:16" ht="13.2" x14ac:dyDescent="0.25">
      <c r="A1309" s="3" t="s">
        <v>3</v>
      </c>
      <c r="E1309" s="2" t="s">
        <v>2</v>
      </c>
    </row>
    <row r="1310" spans="1:16" ht="13.2" x14ac:dyDescent="0.25">
      <c r="A1310" t="s">
        <v>1</v>
      </c>
      <c r="E1310" s="1" t="s">
        <v>2</v>
      </c>
    </row>
    <row r="1311" spans="1:16" ht="26.4" x14ac:dyDescent="0.25">
      <c r="A1311" t="s">
        <v>11</v>
      </c>
      <c r="B1311" s="9" t="s">
        <v>138</v>
      </c>
      <c r="C1311" s="9" t="s">
        <v>913</v>
      </c>
      <c r="D1311" s="3" t="s">
        <v>2</v>
      </c>
      <c r="E1311" s="8" t="s">
        <v>912</v>
      </c>
      <c r="F1311" s="4" t="s">
        <v>604</v>
      </c>
      <c r="G1311" s="7">
        <v>3</v>
      </c>
      <c r="H1311" s="4">
        <v>3.0200000000000001E-2</v>
      </c>
      <c r="I1311" s="4">
        <f>ROUND(G1311*H1311,6)</f>
        <v>9.06E-2</v>
      </c>
      <c r="L1311" s="6">
        <v>0</v>
      </c>
      <c r="M1311" s="5">
        <f>ROUND(ROUND(L1311,2)*ROUND(G1311,3),2)</f>
        <v>0</v>
      </c>
      <c r="N1311" s="4" t="s">
        <v>501</v>
      </c>
      <c r="O1311">
        <f>(M1311*21)/100</f>
        <v>0</v>
      </c>
      <c r="P1311" t="s">
        <v>6</v>
      </c>
    </row>
    <row r="1312" spans="1:16" ht="26.4" x14ac:dyDescent="0.25">
      <c r="A1312" s="3" t="s">
        <v>5</v>
      </c>
      <c r="E1312" s="1" t="s">
        <v>912</v>
      </c>
    </row>
    <row r="1313" spans="1:16" ht="13.2" x14ac:dyDescent="0.25">
      <c r="A1313" s="3" t="s">
        <v>3</v>
      </c>
      <c r="E1313" s="2" t="s">
        <v>2</v>
      </c>
    </row>
    <row r="1314" spans="1:16" ht="13.2" x14ac:dyDescent="0.25">
      <c r="A1314" t="s">
        <v>1</v>
      </c>
      <c r="E1314" s="1" t="s">
        <v>2</v>
      </c>
    </row>
    <row r="1315" spans="1:16" ht="26.4" x14ac:dyDescent="0.25">
      <c r="A1315" t="s">
        <v>11</v>
      </c>
      <c r="B1315" s="9" t="s">
        <v>135</v>
      </c>
      <c r="C1315" s="9" t="s">
        <v>911</v>
      </c>
      <c r="D1315" s="3" t="s">
        <v>2</v>
      </c>
      <c r="E1315" s="8" t="s">
        <v>910</v>
      </c>
      <c r="F1315" s="4" t="s">
        <v>604</v>
      </c>
      <c r="G1315" s="7">
        <v>3</v>
      </c>
      <c r="H1315" s="4">
        <v>1.188E-2</v>
      </c>
      <c r="I1315" s="4">
        <f>ROUND(G1315*H1315,6)</f>
        <v>3.5639999999999998E-2</v>
      </c>
      <c r="L1315" s="6">
        <v>0</v>
      </c>
      <c r="M1315" s="5">
        <f>ROUND(ROUND(L1315,2)*ROUND(G1315,3),2)</f>
        <v>0</v>
      </c>
      <c r="N1315" s="4" t="s">
        <v>501</v>
      </c>
      <c r="O1315">
        <f>(M1315*21)/100</f>
        <v>0</v>
      </c>
      <c r="P1315" t="s">
        <v>6</v>
      </c>
    </row>
    <row r="1316" spans="1:16" ht="26.4" x14ac:dyDescent="0.25">
      <c r="A1316" s="3" t="s">
        <v>5</v>
      </c>
      <c r="E1316" s="1" t="s">
        <v>910</v>
      </c>
    </row>
    <row r="1317" spans="1:16" ht="13.2" x14ac:dyDescent="0.25">
      <c r="A1317" s="3" t="s">
        <v>3</v>
      </c>
      <c r="E1317" s="2" t="s">
        <v>2</v>
      </c>
    </row>
    <row r="1318" spans="1:16" ht="13.2" x14ac:dyDescent="0.25">
      <c r="A1318" t="s">
        <v>1</v>
      </c>
      <c r="E1318" s="1" t="s">
        <v>2</v>
      </c>
    </row>
    <row r="1319" spans="1:16" ht="13.2" x14ac:dyDescent="0.25">
      <c r="A1319" t="s">
        <v>11</v>
      </c>
      <c r="B1319" s="9" t="s">
        <v>132</v>
      </c>
      <c r="C1319" s="9" t="s">
        <v>909</v>
      </c>
      <c r="D1319" s="3" t="s">
        <v>2</v>
      </c>
      <c r="E1319" s="8" t="s">
        <v>908</v>
      </c>
      <c r="F1319" s="4" t="s">
        <v>604</v>
      </c>
      <c r="G1319" s="7">
        <v>1</v>
      </c>
      <c r="H1319" s="4">
        <v>2E-3</v>
      </c>
      <c r="I1319" s="4">
        <f>ROUND(G1319*H1319,6)</f>
        <v>2E-3</v>
      </c>
      <c r="L1319" s="6">
        <v>0</v>
      </c>
      <c r="M1319" s="5">
        <f>ROUND(ROUND(L1319,2)*ROUND(G1319,3),2)</f>
        <v>0</v>
      </c>
      <c r="N1319" s="4" t="s">
        <v>501</v>
      </c>
      <c r="O1319">
        <f>(M1319*21)/100</f>
        <v>0</v>
      </c>
      <c r="P1319" t="s">
        <v>6</v>
      </c>
    </row>
    <row r="1320" spans="1:16" ht="13.2" x14ac:dyDescent="0.25">
      <c r="A1320" s="3" t="s">
        <v>5</v>
      </c>
      <c r="E1320" s="1" t="s">
        <v>908</v>
      </c>
    </row>
    <row r="1321" spans="1:16" ht="13.2" x14ac:dyDescent="0.25">
      <c r="A1321" s="3" t="s">
        <v>3</v>
      </c>
      <c r="E1321" s="2" t="s">
        <v>2</v>
      </c>
    </row>
    <row r="1322" spans="1:16" ht="13.2" x14ac:dyDescent="0.25">
      <c r="A1322" t="s">
        <v>1</v>
      </c>
      <c r="E1322" s="1" t="s">
        <v>2</v>
      </c>
    </row>
    <row r="1323" spans="1:16" ht="26.4" x14ac:dyDescent="0.25">
      <c r="A1323" t="s">
        <v>11</v>
      </c>
      <c r="B1323" s="9" t="s">
        <v>129</v>
      </c>
      <c r="C1323" s="9" t="s">
        <v>907</v>
      </c>
      <c r="D1323" s="3" t="s">
        <v>2</v>
      </c>
      <c r="E1323" s="8" t="s">
        <v>906</v>
      </c>
      <c r="F1323" s="4" t="s">
        <v>8</v>
      </c>
      <c r="G1323" s="7">
        <v>187</v>
      </c>
      <c r="H1323" s="4">
        <v>4.0000000000000002E-4</v>
      </c>
      <c r="I1323" s="4">
        <f>ROUND(G1323*H1323,6)</f>
        <v>7.4800000000000005E-2</v>
      </c>
      <c r="L1323" s="6">
        <v>0</v>
      </c>
      <c r="M1323" s="5">
        <f>ROUND(ROUND(L1323,2)*ROUND(G1323,3),2)</f>
        <v>0</v>
      </c>
      <c r="N1323" s="4" t="s">
        <v>501</v>
      </c>
      <c r="O1323">
        <f>(M1323*21)/100</f>
        <v>0</v>
      </c>
      <c r="P1323" t="s">
        <v>6</v>
      </c>
    </row>
    <row r="1324" spans="1:16" ht="26.4" x14ac:dyDescent="0.25">
      <c r="A1324" s="3" t="s">
        <v>5</v>
      </c>
      <c r="E1324" s="1" t="s">
        <v>906</v>
      </c>
    </row>
    <row r="1325" spans="1:16" ht="13.2" x14ac:dyDescent="0.25">
      <c r="A1325" s="3" t="s">
        <v>3</v>
      </c>
      <c r="E1325" s="2" t="s">
        <v>2</v>
      </c>
    </row>
    <row r="1326" spans="1:16" ht="13.2" x14ac:dyDescent="0.25">
      <c r="A1326" t="s">
        <v>1</v>
      </c>
      <c r="E1326" s="1" t="s">
        <v>2</v>
      </c>
    </row>
    <row r="1327" spans="1:16" ht="26.4" x14ac:dyDescent="0.25">
      <c r="A1327" t="s">
        <v>11</v>
      </c>
      <c r="B1327" s="9" t="s">
        <v>126</v>
      </c>
      <c r="C1327" s="9" t="s">
        <v>905</v>
      </c>
      <c r="D1327" s="3" t="s">
        <v>2</v>
      </c>
      <c r="E1327" s="8" t="s">
        <v>904</v>
      </c>
      <c r="F1327" s="4" t="s">
        <v>8</v>
      </c>
      <c r="G1327" s="7">
        <v>187</v>
      </c>
      <c r="H1327" s="4">
        <v>1.0000000000000001E-5</v>
      </c>
      <c r="I1327" s="4">
        <f>ROUND(G1327*H1327,6)</f>
        <v>1.8699999999999999E-3</v>
      </c>
      <c r="L1327" s="6">
        <v>0</v>
      </c>
      <c r="M1327" s="5">
        <f>ROUND(ROUND(L1327,2)*ROUND(G1327,3),2)</f>
        <v>0</v>
      </c>
      <c r="N1327" s="4" t="s">
        <v>501</v>
      </c>
      <c r="O1327">
        <f>(M1327*21)/100</f>
        <v>0</v>
      </c>
      <c r="P1327" t="s">
        <v>6</v>
      </c>
    </row>
    <row r="1328" spans="1:16" ht="26.4" x14ac:dyDescent="0.25">
      <c r="A1328" s="3" t="s">
        <v>5</v>
      </c>
      <c r="E1328" s="1" t="s">
        <v>904</v>
      </c>
    </row>
    <row r="1329" spans="1:16" ht="13.2" x14ac:dyDescent="0.25">
      <c r="A1329" s="3" t="s">
        <v>3</v>
      </c>
      <c r="E1329" s="2" t="s">
        <v>2</v>
      </c>
    </row>
    <row r="1330" spans="1:16" ht="13.2" x14ac:dyDescent="0.25">
      <c r="A1330" t="s">
        <v>1</v>
      </c>
      <c r="E1330" s="1" t="s">
        <v>2</v>
      </c>
    </row>
    <row r="1331" spans="1:16" ht="13.2" x14ac:dyDescent="0.25">
      <c r="A1331" t="s">
        <v>11</v>
      </c>
      <c r="B1331" s="9" t="s">
        <v>123</v>
      </c>
      <c r="C1331" s="9" t="s">
        <v>795</v>
      </c>
      <c r="D1331" s="3" t="s">
        <v>2</v>
      </c>
      <c r="E1331" s="8" t="s">
        <v>794</v>
      </c>
      <c r="F1331" s="4" t="s">
        <v>604</v>
      </c>
      <c r="G1331" s="7">
        <v>18</v>
      </c>
      <c r="H1331" s="4">
        <v>2.4000000000000001E-4</v>
      </c>
      <c r="I1331" s="4">
        <f>ROUND(G1331*H1331,6)</f>
        <v>4.3200000000000001E-3</v>
      </c>
      <c r="L1331" s="6">
        <v>0</v>
      </c>
      <c r="M1331" s="5">
        <f>ROUND(ROUND(L1331,2)*ROUND(G1331,3),2)</f>
        <v>0</v>
      </c>
      <c r="N1331" s="4" t="s">
        <v>501</v>
      </c>
      <c r="O1331">
        <f>(M1331*21)/100</f>
        <v>0</v>
      </c>
      <c r="P1331" t="s">
        <v>6</v>
      </c>
    </row>
    <row r="1332" spans="1:16" ht="13.2" x14ac:dyDescent="0.25">
      <c r="A1332" s="3" t="s">
        <v>5</v>
      </c>
      <c r="E1332" s="1" t="s">
        <v>794</v>
      </c>
    </row>
    <row r="1333" spans="1:16" ht="13.2" x14ac:dyDescent="0.25">
      <c r="A1333" s="3" t="s">
        <v>3</v>
      </c>
      <c r="E1333" s="2" t="s">
        <v>2</v>
      </c>
    </row>
    <row r="1334" spans="1:16" ht="13.2" x14ac:dyDescent="0.25">
      <c r="A1334" t="s">
        <v>1</v>
      </c>
      <c r="E1334" s="1" t="s">
        <v>2</v>
      </c>
    </row>
    <row r="1335" spans="1:16" ht="26.4" x14ac:dyDescent="0.25">
      <c r="A1335" t="s">
        <v>11</v>
      </c>
      <c r="B1335" s="9" t="s">
        <v>120</v>
      </c>
      <c r="C1335" s="9" t="s">
        <v>903</v>
      </c>
      <c r="D1335" s="3" t="s">
        <v>2</v>
      </c>
      <c r="E1335" s="8" t="s">
        <v>902</v>
      </c>
      <c r="F1335" s="4" t="s">
        <v>542</v>
      </c>
      <c r="G1335" s="7">
        <v>1.1879999999999999</v>
      </c>
      <c r="H1335" s="4">
        <v>0</v>
      </c>
      <c r="I1335" s="4">
        <f>ROUND(G1335*H1335,6)</f>
        <v>0</v>
      </c>
      <c r="L1335" s="6">
        <v>0</v>
      </c>
      <c r="M1335" s="5">
        <f>ROUND(ROUND(L1335,2)*ROUND(G1335,3),2)</f>
        <v>0</v>
      </c>
      <c r="N1335" s="4" t="s">
        <v>501</v>
      </c>
      <c r="O1335">
        <f>(M1335*21)/100</f>
        <v>0</v>
      </c>
      <c r="P1335" t="s">
        <v>6</v>
      </c>
    </row>
    <row r="1336" spans="1:16" ht="26.4" x14ac:dyDescent="0.25">
      <c r="A1336" s="3" t="s">
        <v>5</v>
      </c>
      <c r="E1336" s="1" t="s">
        <v>902</v>
      </c>
    </row>
    <row r="1337" spans="1:16" ht="13.2" x14ac:dyDescent="0.25">
      <c r="A1337" s="3" t="s">
        <v>3</v>
      </c>
      <c r="E1337" s="2" t="s">
        <v>2</v>
      </c>
    </row>
    <row r="1338" spans="1:16" ht="13.2" x14ac:dyDescent="0.25">
      <c r="A1338" t="s">
        <v>1</v>
      </c>
      <c r="E1338" s="1" t="s">
        <v>2</v>
      </c>
    </row>
    <row r="1339" spans="1:16" ht="26.4" x14ac:dyDescent="0.25">
      <c r="A1339" t="s">
        <v>11</v>
      </c>
      <c r="B1339" s="9" t="s">
        <v>117</v>
      </c>
      <c r="C1339" s="9" t="s">
        <v>901</v>
      </c>
      <c r="D1339" s="3" t="s">
        <v>2</v>
      </c>
      <c r="E1339" s="8" t="s">
        <v>900</v>
      </c>
      <c r="F1339" s="4" t="s">
        <v>542</v>
      </c>
      <c r="G1339" s="7">
        <v>1.1879999999999999</v>
      </c>
      <c r="H1339" s="4">
        <v>0</v>
      </c>
      <c r="I1339" s="4">
        <f>ROUND(G1339*H1339,6)</f>
        <v>0</v>
      </c>
      <c r="L1339" s="6">
        <v>0</v>
      </c>
      <c r="M1339" s="5">
        <f>ROUND(ROUND(L1339,2)*ROUND(G1339,3),2)</f>
        <v>0</v>
      </c>
      <c r="N1339" s="4" t="s">
        <v>501</v>
      </c>
      <c r="O1339">
        <f>(M1339*21)/100</f>
        <v>0</v>
      </c>
      <c r="P1339" t="s">
        <v>6</v>
      </c>
    </row>
    <row r="1340" spans="1:16" ht="39.6" x14ac:dyDescent="0.25">
      <c r="A1340" s="3" t="s">
        <v>5</v>
      </c>
      <c r="E1340" s="1" t="s">
        <v>899</v>
      </c>
    </row>
    <row r="1341" spans="1:16" ht="13.2" x14ac:dyDescent="0.25">
      <c r="A1341" s="3" t="s">
        <v>3</v>
      </c>
      <c r="E1341" s="2" t="s">
        <v>2</v>
      </c>
    </row>
    <row r="1342" spans="1:16" ht="13.2" x14ac:dyDescent="0.25">
      <c r="A1342" t="s">
        <v>1</v>
      </c>
      <c r="E1342" s="1" t="s">
        <v>2</v>
      </c>
    </row>
    <row r="1343" spans="1:16" ht="13.2" x14ac:dyDescent="0.25">
      <c r="A1343" t="s">
        <v>11</v>
      </c>
      <c r="B1343" s="9" t="s">
        <v>114</v>
      </c>
      <c r="C1343" s="9" t="s">
        <v>898</v>
      </c>
      <c r="D1343" s="3" t="s">
        <v>2</v>
      </c>
      <c r="E1343" s="8" t="s">
        <v>897</v>
      </c>
      <c r="F1343" s="4" t="s">
        <v>604</v>
      </c>
      <c r="G1343" s="7">
        <v>30</v>
      </c>
      <c r="H1343" s="4">
        <v>5.4099999999999999E-3</v>
      </c>
      <c r="I1343" s="4">
        <f>ROUND(G1343*H1343,6)</f>
        <v>0.1623</v>
      </c>
      <c r="L1343" s="6">
        <v>0</v>
      </c>
      <c r="M1343" s="5">
        <f>ROUND(ROUND(L1343,2)*ROUND(G1343,3),2)</f>
        <v>0</v>
      </c>
      <c r="N1343" s="4" t="s">
        <v>7</v>
      </c>
      <c r="O1343">
        <f>(M1343*21)/100</f>
        <v>0</v>
      </c>
      <c r="P1343" t="s">
        <v>6</v>
      </c>
    </row>
    <row r="1344" spans="1:16" ht="13.2" x14ac:dyDescent="0.25">
      <c r="A1344" s="3" t="s">
        <v>5</v>
      </c>
      <c r="E1344" s="1" t="s">
        <v>897</v>
      </c>
    </row>
    <row r="1345" spans="1:16" ht="13.2" x14ac:dyDescent="0.25">
      <c r="A1345" s="3" t="s">
        <v>3</v>
      </c>
      <c r="E1345" s="2" t="s">
        <v>2</v>
      </c>
    </row>
    <row r="1346" spans="1:16" ht="66" x14ac:dyDescent="0.25">
      <c r="A1346" t="s">
        <v>1</v>
      </c>
      <c r="E1346" s="1" t="s">
        <v>896</v>
      </c>
    </row>
    <row r="1347" spans="1:16" ht="13.2" x14ac:dyDescent="0.25">
      <c r="A1347" t="s">
        <v>11</v>
      </c>
      <c r="B1347" s="9" t="s">
        <v>109</v>
      </c>
      <c r="C1347" s="9" t="s">
        <v>895</v>
      </c>
      <c r="D1347" s="3" t="s">
        <v>2</v>
      </c>
      <c r="E1347" s="8" t="s">
        <v>894</v>
      </c>
      <c r="F1347" s="4" t="s">
        <v>13</v>
      </c>
      <c r="G1347" s="7">
        <v>1</v>
      </c>
      <c r="H1347" s="4">
        <v>1.188E-2</v>
      </c>
      <c r="I1347" s="4">
        <f>ROUND(G1347*H1347,6)</f>
        <v>1.188E-2</v>
      </c>
      <c r="L1347" s="6">
        <v>0</v>
      </c>
      <c r="M1347" s="5">
        <f>ROUND(ROUND(L1347,2)*ROUND(G1347,3),2)</f>
        <v>0</v>
      </c>
      <c r="N1347" s="4" t="s">
        <v>7</v>
      </c>
      <c r="O1347">
        <f>(M1347*21)/100</f>
        <v>0</v>
      </c>
      <c r="P1347" t="s">
        <v>6</v>
      </c>
    </row>
    <row r="1348" spans="1:16" ht="13.2" x14ac:dyDescent="0.25">
      <c r="A1348" s="3" t="s">
        <v>5</v>
      </c>
      <c r="E1348" s="1" t="s">
        <v>894</v>
      </c>
    </row>
    <row r="1349" spans="1:16" ht="13.2" x14ac:dyDescent="0.25">
      <c r="A1349" s="3" t="s">
        <v>3</v>
      </c>
      <c r="E1349" s="2" t="s">
        <v>2</v>
      </c>
    </row>
    <row r="1350" spans="1:16" ht="66" x14ac:dyDescent="0.25">
      <c r="A1350" t="s">
        <v>1</v>
      </c>
      <c r="E1350" s="1" t="s">
        <v>893</v>
      </c>
    </row>
    <row r="1351" spans="1:16" ht="13.2" x14ac:dyDescent="0.25">
      <c r="A1351" t="s">
        <v>50</v>
      </c>
      <c r="C1351" s="11" t="s">
        <v>892</v>
      </c>
      <c r="E1351" s="10" t="s">
        <v>891</v>
      </c>
      <c r="J1351" s="5">
        <f>0</f>
        <v>0</v>
      </c>
      <c r="K1351" s="5">
        <f>0</f>
        <v>0</v>
      </c>
      <c r="L1351" s="5">
        <f>0+L1352+L1356+L1360+L1364+L1368+L1372+L1376+L1380+L1384+L1388+L1392+L1396+L1400+L1404+L1408+L1412+L1416+L1420</f>
        <v>0</v>
      </c>
      <c r="M1351" s="5">
        <f>0+M1352+M1356+M1360+M1364+M1368+M1372+M1376+M1380+M1384+M1388+M1392+M1396+M1400+M1404+M1408+M1412+M1416+M1420</f>
        <v>0</v>
      </c>
    </row>
    <row r="1352" spans="1:16" ht="26.4" x14ac:dyDescent="0.25">
      <c r="A1352" t="s">
        <v>11</v>
      </c>
      <c r="B1352" s="9" t="s">
        <v>106</v>
      </c>
      <c r="C1352" s="9" t="s">
        <v>890</v>
      </c>
      <c r="D1352" s="3" t="s">
        <v>2</v>
      </c>
      <c r="E1352" s="8" t="s">
        <v>889</v>
      </c>
      <c r="F1352" s="4" t="s">
        <v>8</v>
      </c>
      <c r="G1352" s="7">
        <v>32</v>
      </c>
      <c r="H1352" s="4">
        <v>1.8500000000000001E-3</v>
      </c>
      <c r="I1352" s="4">
        <f>ROUND(G1352*H1352,6)</f>
        <v>5.9200000000000003E-2</v>
      </c>
      <c r="L1352" s="6">
        <v>0</v>
      </c>
      <c r="M1352" s="5">
        <f>ROUND(ROUND(L1352,2)*ROUND(G1352,3),2)</f>
        <v>0</v>
      </c>
      <c r="N1352" s="4" t="s">
        <v>501</v>
      </c>
      <c r="O1352">
        <f>(M1352*21)/100</f>
        <v>0</v>
      </c>
      <c r="P1352" t="s">
        <v>6</v>
      </c>
    </row>
    <row r="1353" spans="1:16" ht="26.4" x14ac:dyDescent="0.25">
      <c r="A1353" s="3" t="s">
        <v>5</v>
      </c>
      <c r="E1353" s="1" t="s">
        <v>889</v>
      </c>
    </row>
    <row r="1354" spans="1:16" ht="13.2" x14ac:dyDescent="0.25">
      <c r="A1354" s="3" t="s">
        <v>3</v>
      </c>
      <c r="E1354" s="2" t="s">
        <v>2</v>
      </c>
    </row>
    <row r="1355" spans="1:16" ht="13.2" x14ac:dyDescent="0.25">
      <c r="A1355" t="s">
        <v>1</v>
      </c>
      <c r="E1355" s="1" t="s">
        <v>2</v>
      </c>
    </row>
    <row r="1356" spans="1:16" ht="26.4" x14ac:dyDescent="0.25">
      <c r="A1356" t="s">
        <v>11</v>
      </c>
      <c r="B1356" s="9" t="s">
        <v>103</v>
      </c>
      <c r="C1356" s="9" t="s">
        <v>888</v>
      </c>
      <c r="D1356" s="3" t="s">
        <v>2</v>
      </c>
      <c r="E1356" s="8" t="s">
        <v>887</v>
      </c>
      <c r="F1356" s="4" t="s">
        <v>8</v>
      </c>
      <c r="G1356" s="7">
        <v>42</v>
      </c>
      <c r="H1356" s="4">
        <v>2.7000000000000001E-3</v>
      </c>
      <c r="I1356" s="4">
        <f>ROUND(G1356*H1356,6)</f>
        <v>0.1134</v>
      </c>
      <c r="L1356" s="6">
        <v>0</v>
      </c>
      <c r="M1356" s="5">
        <f>ROUND(ROUND(L1356,2)*ROUND(G1356,3),2)</f>
        <v>0</v>
      </c>
      <c r="N1356" s="4" t="s">
        <v>501</v>
      </c>
      <c r="O1356">
        <f>(M1356*21)/100</f>
        <v>0</v>
      </c>
      <c r="P1356" t="s">
        <v>6</v>
      </c>
    </row>
    <row r="1357" spans="1:16" ht="26.4" x14ac:dyDescent="0.25">
      <c r="A1357" s="3" t="s">
        <v>5</v>
      </c>
      <c r="E1357" s="1" t="s">
        <v>887</v>
      </c>
    </row>
    <row r="1358" spans="1:16" ht="13.2" x14ac:dyDescent="0.25">
      <c r="A1358" s="3" t="s">
        <v>3</v>
      </c>
      <c r="E1358" s="2" t="s">
        <v>2</v>
      </c>
    </row>
    <row r="1359" spans="1:16" ht="13.2" x14ac:dyDescent="0.25">
      <c r="A1359" t="s">
        <v>1</v>
      </c>
      <c r="E1359" s="1" t="s">
        <v>2</v>
      </c>
    </row>
    <row r="1360" spans="1:16" ht="26.4" x14ac:dyDescent="0.25">
      <c r="A1360" t="s">
        <v>11</v>
      </c>
      <c r="B1360" s="9" t="s">
        <v>100</v>
      </c>
      <c r="C1360" s="9" t="s">
        <v>886</v>
      </c>
      <c r="D1360" s="3" t="s">
        <v>2</v>
      </c>
      <c r="E1360" s="8" t="s">
        <v>885</v>
      </c>
      <c r="F1360" s="4" t="s">
        <v>8</v>
      </c>
      <c r="G1360" s="7">
        <v>32</v>
      </c>
      <c r="H1360" s="4">
        <v>2.2000000000000001E-3</v>
      </c>
      <c r="I1360" s="4">
        <f>ROUND(G1360*H1360,6)</f>
        <v>7.0400000000000004E-2</v>
      </c>
      <c r="L1360" s="6">
        <v>0</v>
      </c>
      <c r="M1360" s="5">
        <f>ROUND(ROUND(L1360,2)*ROUND(G1360,3),2)</f>
        <v>0</v>
      </c>
      <c r="N1360" s="4" t="s">
        <v>501</v>
      </c>
      <c r="O1360">
        <f>(M1360*21)/100</f>
        <v>0</v>
      </c>
      <c r="P1360" t="s">
        <v>6</v>
      </c>
    </row>
    <row r="1361" spans="1:16" ht="26.4" x14ac:dyDescent="0.25">
      <c r="A1361" s="3" t="s">
        <v>5</v>
      </c>
      <c r="E1361" s="1" t="s">
        <v>885</v>
      </c>
    </row>
    <row r="1362" spans="1:16" ht="13.2" x14ac:dyDescent="0.25">
      <c r="A1362" s="3" t="s">
        <v>3</v>
      </c>
      <c r="E1362" s="2" t="s">
        <v>2</v>
      </c>
    </row>
    <row r="1363" spans="1:16" ht="13.2" x14ac:dyDescent="0.25">
      <c r="A1363" t="s">
        <v>1</v>
      </c>
      <c r="E1363" s="1" t="s">
        <v>2</v>
      </c>
    </row>
    <row r="1364" spans="1:16" ht="26.4" x14ac:dyDescent="0.25">
      <c r="A1364" t="s">
        <v>11</v>
      </c>
      <c r="B1364" s="9" t="s">
        <v>97</v>
      </c>
      <c r="C1364" s="9" t="s">
        <v>884</v>
      </c>
      <c r="D1364" s="3" t="s">
        <v>2</v>
      </c>
      <c r="E1364" s="8" t="s">
        <v>883</v>
      </c>
      <c r="F1364" s="4" t="s">
        <v>8</v>
      </c>
      <c r="G1364" s="7">
        <v>54</v>
      </c>
      <c r="H1364" s="4">
        <v>6.7999999999999996E-3</v>
      </c>
      <c r="I1364" s="4">
        <f>ROUND(G1364*H1364,6)</f>
        <v>0.36720000000000003</v>
      </c>
      <c r="L1364" s="6">
        <v>0</v>
      </c>
      <c r="M1364" s="5">
        <f>ROUND(ROUND(L1364,2)*ROUND(G1364,3),2)</f>
        <v>0</v>
      </c>
      <c r="N1364" s="4" t="s">
        <v>501</v>
      </c>
      <c r="O1364">
        <f>(M1364*21)/100</f>
        <v>0</v>
      </c>
      <c r="P1364" t="s">
        <v>6</v>
      </c>
    </row>
    <row r="1365" spans="1:16" ht="26.4" x14ac:dyDescent="0.25">
      <c r="A1365" s="3" t="s">
        <v>5</v>
      </c>
      <c r="E1365" s="1" t="s">
        <v>883</v>
      </c>
    </row>
    <row r="1366" spans="1:16" ht="13.2" x14ac:dyDescent="0.25">
      <c r="A1366" s="3" t="s">
        <v>3</v>
      </c>
      <c r="E1366" s="2" t="s">
        <v>2</v>
      </c>
    </row>
    <row r="1367" spans="1:16" ht="13.2" x14ac:dyDescent="0.25">
      <c r="A1367" t="s">
        <v>1</v>
      </c>
      <c r="E1367" s="1" t="s">
        <v>2</v>
      </c>
    </row>
    <row r="1368" spans="1:16" ht="26.4" x14ac:dyDescent="0.25">
      <c r="A1368" t="s">
        <v>11</v>
      </c>
      <c r="B1368" s="9" t="s">
        <v>94</v>
      </c>
      <c r="C1368" s="9" t="s">
        <v>882</v>
      </c>
      <c r="D1368" s="3" t="s">
        <v>2</v>
      </c>
      <c r="E1368" s="8" t="s">
        <v>881</v>
      </c>
      <c r="F1368" s="4" t="s">
        <v>8</v>
      </c>
      <c r="G1368" s="7">
        <v>25</v>
      </c>
      <c r="H1368" s="4">
        <v>8.8800000000000007E-3</v>
      </c>
      <c r="I1368" s="4">
        <f>ROUND(G1368*H1368,6)</f>
        <v>0.222</v>
      </c>
      <c r="L1368" s="6">
        <v>0</v>
      </c>
      <c r="M1368" s="5">
        <f>ROUND(ROUND(L1368,2)*ROUND(G1368,3),2)</f>
        <v>0</v>
      </c>
      <c r="N1368" s="4" t="s">
        <v>501</v>
      </c>
      <c r="O1368">
        <f>(M1368*21)/100</f>
        <v>0</v>
      </c>
      <c r="P1368" t="s">
        <v>6</v>
      </c>
    </row>
    <row r="1369" spans="1:16" ht="26.4" x14ac:dyDescent="0.25">
      <c r="A1369" s="3" t="s">
        <v>5</v>
      </c>
      <c r="E1369" s="1" t="s">
        <v>881</v>
      </c>
    </row>
    <row r="1370" spans="1:16" ht="13.2" x14ac:dyDescent="0.25">
      <c r="A1370" s="3" t="s">
        <v>3</v>
      </c>
      <c r="E1370" s="2" t="s">
        <v>2</v>
      </c>
    </row>
    <row r="1371" spans="1:16" ht="13.2" x14ac:dyDescent="0.25">
      <c r="A1371" t="s">
        <v>1</v>
      </c>
      <c r="E1371" s="1" t="s">
        <v>2</v>
      </c>
    </row>
    <row r="1372" spans="1:16" ht="26.4" x14ac:dyDescent="0.25">
      <c r="A1372" t="s">
        <v>11</v>
      </c>
      <c r="B1372" s="9" t="s">
        <v>91</v>
      </c>
      <c r="C1372" s="9" t="s">
        <v>880</v>
      </c>
      <c r="D1372" s="3" t="s">
        <v>2</v>
      </c>
      <c r="E1372" s="8" t="s">
        <v>879</v>
      </c>
      <c r="F1372" s="4" t="s">
        <v>604</v>
      </c>
      <c r="G1372" s="7">
        <v>5</v>
      </c>
      <c r="H1372" s="4">
        <v>3.5E-4</v>
      </c>
      <c r="I1372" s="4">
        <f>ROUND(G1372*H1372,6)</f>
        <v>1.75E-3</v>
      </c>
      <c r="L1372" s="6">
        <v>0</v>
      </c>
      <c r="M1372" s="5">
        <f>ROUND(ROUND(L1372,2)*ROUND(G1372,3),2)</f>
        <v>0</v>
      </c>
      <c r="N1372" s="4" t="s">
        <v>501</v>
      </c>
      <c r="O1372">
        <f>(M1372*21)/100</f>
        <v>0</v>
      </c>
      <c r="P1372" t="s">
        <v>6</v>
      </c>
    </row>
    <row r="1373" spans="1:16" ht="26.4" x14ac:dyDescent="0.25">
      <c r="A1373" s="3" t="s">
        <v>5</v>
      </c>
      <c r="E1373" s="1" t="s">
        <v>879</v>
      </c>
    </row>
    <row r="1374" spans="1:16" ht="13.2" x14ac:dyDescent="0.25">
      <c r="A1374" s="3" t="s">
        <v>3</v>
      </c>
      <c r="E1374" s="2" t="s">
        <v>2</v>
      </c>
    </row>
    <row r="1375" spans="1:16" ht="13.2" x14ac:dyDescent="0.25">
      <c r="A1375" t="s">
        <v>1</v>
      </c>
      <c r="E1375" s="1" t="s">
        <v>2</v>
      </c>
    </row>
    <row r="1376" spans="1:16" ht="26.4" x14ac:dyDescent="0.25">
      <c r="A1376" t="s">
        <v>11</v>
      </c>
      <c r="B1376" s="9" t="s">
        <v>87</v>
      </c>
      <c r="C1376" s="9" t="s">
        <v>878</v>
      </c>
      <c r="D1376" s="3" t="s">
        <v>2</v>
      </c>
      <c r="E1376" s="8" t="s">
        <v>877</v>
      </c>
      <c r="F1376" s="4" t="s">
        <v>13</v>
      </c>
      <c r="G1376" s="7">
        <v>5</v>
      </c>
      <c r="H1376" s="4">
        <v>2.3000000000000001E-4</v>
      </c>
      <c r="I1376" s="4">
        <f>ROUND(G1376*H1376,6)</f>
        <v>1.15E-3</v>
      </c>
      <c r="L1376" s="6">
        <v>0</v>
      </c>
      <c r="M1376" s="5">
        <f>ROUND(ROUND(L1376,2)*ROUND(G1376,3),2)</f>
        <v>0</v>
      </c>
      <c r="N1376" s="4" t="s">
        <v>501</v>
      </c>
      <c r="O1376">
        <f>(M1376*21)/100</f>
        <v>0</v>
      </c>
      <c r="P1376" t="s">
        <v>6</v>
      </c>
    </row>
    <row r="1377" spans="1:16" ht="26.4" x14ac:dyDescent="0.25">
      <c r="A1377" s="3" t="s">
        <v>5</v>
      </c>
      <c r="E1377" s="1" t="s">
        <v>877</v>
      </c>
    </row>
    <row r="1378" spans="1:16" ht="13.2" x14ac:dyDescent="0.25">
      <c r="A1378" s="3" t="s">
        <v>3</v>
      </c>
      <c r="E1378" s="2" t="s">
        <v>2</v>
      </c>
    </row>
    <row r="1379" spans="1:16" ht="13.2" x14ac:dyDescent="0.25">
      <c r="A1379" t="s">
        <v>1</v>
      </c>
      <c r="E1379" s="1" t="s">
        <v>2</v>
      </c>
    </row>
    <row r="1380" spans="1:16" ht="26.4" x14ac:dyDescent="0.25">
      <c r="A1380" t="s">
        <v>11</v>
      </c>
      <c r="B1380" s="9" t="s">
        <v>84</v>
      </c>
      <c r="C1380" s="9" t="s">
        <v>878</v>
      </c>
      <c r="D1380" s="3" t="s">
        <v>48</v>
      </c>
      <c r="E1380" s="8" t="s">
        <v>877</v>
      </c>
      <c r="F1380" s="4" t="s">
        <v>13</v>
      </c>
      <c r="G1380" s="7">
        <v>5</v>
      </c>
      <c r="H1380" s="4">
        <v>2.3000000000000001E-4</v>
      </c>
      <c r="I1380" s="4">
        <f>ROUND(G1380*H1380,6)</f>
        <v>1.15E-3</v>
      </c>
      <c r="L1380" s="6">
        <v>0</v>
      </c>
      <c r="M1380" s="5">
        <f>ROUND(ROUND(L1380,2)*ROUND(G1380,3),2)</f>
        <v>0</v>
      </c>
      <c r="N1380" s="4" t="s">
        <v>501</v>
      </c>
      <c r="O1380">
        <f>(M1380*21)/100</f>
        <v>0</v>
      </c>
      <c r="P1380" t="s">
        <v>6</v>
      </c>
    </row>
    <row r="1381" spans="1:16" ht="26.4" x14ac:dyDescent="0.25">
      <c r="A1381" s="3" t="s">
        <v>5</v>
      </c>
      <c r="E1381" s="1" t="s">
        <v>877</v>
      </c>
    </row>
    <row r="1382" spans="1:16" ht="13.2" x14ac:dyDescent="0.25">
      <c r="A1382" s="3" t="s">
        <v>3</v>
      </c>
      <c r="E1382" s="2" t="s">
        <v>2</v>
      </c>
    </row>
    <row r="1383" spans="1:16" ht="13.2" x14ac:dyDescent="0.25">
      <c r="A1383" t="s">
        <v>1</v>
      </c>
      <c r="E1383" s="1" t="s">
        <v>2</v>
      </c>
    </row>
    <row r="1384" spans="1:16" ht="13.2" x14ac:dyDescent="0.25">
      <c r="A1384" t="s">
        <v>11</v>
      </c>
      <c r="B1384" s="9" t="s">
        <v>81</v>
      </c>
      <c r="C1384" s="9" t="s">
        <v>876</v>
      </c>
      <c r="D1384" s="3" t="s">
        <v>2</v>
      </c>
      <c r="E1384" s="8" t="s">
        <v>875</v>
      </c>
      <c r="F1384" s="4" t="s">
        <v>8</v>
      </c>
      <c r="G1384" s="7">
        <v>39</v>
      </c>
      <c r="H1384" s="4">
        <v>0</v>
      </c>
      <c r="I1384" s="4">
        <f>ROUND(G1384*H1384,6)</f>
        <v>0</v>
      </c>
      <c r="L1384" s="6">
        <v>0</v>
      </c>
      <c r="M1384" s="5">
        <f>ROUND(ROUND(L1384,2)*ROUND(G1384,3),2)</f>
        <v>0</v>
      </c>
      <c r="N1384" s="4" t="s">
        <v>501</v>
      </c>
      <c r="O1384">
        <f>(M1384*21)/100</f>
        <v>0</v>
      </c>
      <c r="P1384" t="s">
        <v>6</v>
      </c>
    </row>
    <row r="1385" spans="1:16" ht="13.2" x14ac:dyDescent="0.25">
      <c r="A1385" s="3" t="s">
        <v>5</v>
      </c>
      <c r="E1385" s="1" t="s">
        <v>875</v>
      </c>
    </row>
    <row r="1386" spans="1:16" ht="13.2" x14ac:dyDescent="0.25">
      <c r="A1386" s="3" t="s">
        <v>3</v>
      </c>
      <c r="E1386" s="2" t="s">
        <v>2</v>
      </c>
    </row>
    <row r="1387" spans="1:16" ht="13.2" x14ac:dyDescent="0.25">
      <c r="A1387" t="s">
        <v>1</v>
      </c>
      <c r="E1387" s="1" t="s">
        <v>2</v>
      </c>
    </row>
    <row r="1388" spans="1:16" ht="26.4" x14ac:dyDescent="0.25">
      <c r="A1388" t="s">
        <v>11</v>
      </c>
      <c r="B1388" s="9" t="s">
        <v>874</v>
      </c>
      <c r="C1388" s="9" t="s">
        <v>873</v>
      </c>
      <c r="D1388" s="3" t="s">
        <v>2</v>
      </c>
      <c r="E1388" s="8" t="s">
        <v>872</v>
      </c>
      <c r="F1388" s="4" t="s">
        <v>13</v>
      </c>
      <c r="G1388" s="7">
        <v>7</v>
      </c>
      <c r="H1388" s="4">
        <v>5.0000000000000001E-4</v>
      </c>
      <c r="I1388" s="4">
        <f>ROUND(G1388*H1388,6)</f>
        <v>3.5000000000000001E-3</v>
      </c>
      <c r="L1388" s="6">
        <v>0</v>
      </c>
      <c r="M1388" s="5">
        <f>ROUND(ROUND(L1388,2)*ROUND(G1388,3),2)</f>
        <v>0</v>
      </c>
      <c r="N1388" s="4" t="s">
        <v>501</v>
      </c>
      <c r="O1388">
        <f>(M1388*21)/100</f>
        <v>0</v>
      </c>
      <c r="P1388" t="s">
        <v>6</v>
      </c>
    </row>
    <row r="1389" spans="1:16" ht="26.4" x14ac:dyDescent="0.25">
      <c r="A1389" s="3" t="s">
        <v>5</v>
      </c>
      <c r="E1389" s="1" t="s">
        <v>872</v>
      </c>
    </row>
    <row r="1390" spans="1:16" ht="13.2" x14ac:dyDescent="0.25">
      <c r="A1390" s="3" t="s">
        <v>3</v>
      </c>
      <c r="E1390" s="2" t="s">
        <v>2</v>
      </c>
    </row>
    <row r="1391" spans="1:16" ht="13.2" x14ac:dyDescent="0.25">
      <c r="A1391" t="s">
        <v>1</v>
      </c>
      <c r="E1391" s="1" t="s">
        <v>2</v>
      </c>
    </row>
    <row r="1392" spans="1:16" ht="13.2" x14ac:dyDescent="0.25">
      <c r="A1392" t="s">
        <v>11</v>
      </c>
      <c r="B1392" s="9" t="s">
        <v>871</v>
      </c>
      <c r="C1392" s="9" t="s">
        <v>870</v>
      </c>
      <c r="D1392" s="3" t="s">
        <v>2</v>
      </c>
      <c r="E1392" s="8" t="s">
        <v>869</v>
      </c>
      <c r="F1392" s="4" t="s">
        <v>13</v>
      </c>
      <c r="G1392" s="7">
        <v>7</v>
      </c>
      <c r="H1392" s="4">
        <v>0</v>
      </c>
      <c r="I1392" s="4">
        <f>ROUND(G1392*H1392,6)</f>
        <v>0</v>
      </c>
      <c r="L1392" s="6">
        <v>0</v>
      </c>
      <c r="M1392" s="5">
        <f>ROUND(ROUND(L1392,2)*ROUND(G1392,3),2)</f>
        <v>0</v>
      </c>
      <c r="N1392" s="4" t="s">
        <v>501</v>
      </c>
      <c r="O1392">
        <f>(M1392*21)/100</f>
        <v>0</v>
      </c>
      <c r="P1392" t="s">
        <v>6</v>
      </c>
    </row>
    <row r="1393" spans="1:16" ht="13.2" x14ac:dyDescent="0.25">
      <c r="A1393" s="3" t="s">
        <v>5</v>
      </c>
      <c r="E1393" s="1" t="s">
        <v>869</v>
      </c>
    </row>
    <row r="1394" spans="1:16" ht="13.2" x14ac:dyDescent="0.25">
      <c r="A1394" s="3" t="s">
        <v>3</v>
      </c>
      <c r="E1394" s="2" t="s">
        <v>2</v>
      </c>
    </row>
    <row r="1395" spans="1:16" ht="13.2" x14ac:dyDescent="0.25">
      <c r="A1395" t="s">
        <v>1</v>
      </c>
      <c r="E1395" s="1" t="s">
        <v>2</v>
      </c>
    </row>
    <row r="1396" spans="1:16" ht="13.2" x14ac:dyDescent="0.25">
      <c r="A1396" t="s">
        <v>11</v>
      </c>
      <c r="B1396" s="9" t="s">
        <v>868</v>
      </c>
      <c r="C1396" s="9" t="s">
        <v>867</v>
      </c>
      <c r="D1396" s="3" t="s">
        <v>2</v>
      </c>
      <c r="E1396" s="8" t="s">
        <v>866</v>
      </c>
      <c r="F1396" s="4" t="s">
        <v>13</v>
      </c>
      <c r="G1396" s="7">
        <v>1</v>
      </c>
      <c r="H1396" s="4">
        <v>0</v>
      </c>
      <c r="I1396" s="4">
        <f>ROUND(G1396*H1396,6)</f>
        <v>0</v>
      </c>
      <c r="L1396" s="6">
        <v>0</v>
      </c>
      <c r="M1396" s="5">
        <f>ROUND(ROUND(L1396,2)*ROUND(G1396,3),2)</f>
        <v>0</v>
      </c>
      <c r="N1396" s="4" t="s">
        <v>501</v>
      </c>
      <c r="O1396">
        <f>(M1396*21)/100</f>
        <v>0</v>
      </c>
      <c r="P1396" t="s">
        <v>6</v>
      </c>
    </row>
    <row r="1397" spans="1:16" ht="13.2" x14ac:dyDescent="0.25">
      <c r="A1397" s="3" t="s">
        <v>5</v>
      </c>
      <c r="E1397" s="1" t="s">
        <v>866</v>
      </c>
    </row>
    <row r="1398" spans="1:16" ht="13.2" x14ac:dyDescent="0.25">
      <c r="A1398" s="3" t="s">
        <v>3</v>
      </c>
      <c r="E1398" s="2" t="s">
        <v>2</v>
      </c>
    </row>
    <row r="1399" spans="1:16" ht="13.2" x14ac:dyDescent="0.25">
      <c r="A1399" t="s">
        <v>1</v>
      </c>
      <c r="E1399" s="1" t="s">
        <v>2</v>
      </c>
    </row>
    <row r="1400" spans="1:16" ht="26.4" x14ac:dyDescent="0.25">
      <c r="A1400" t="s">
        <v>11</v>
      </c>
      <c r="B1400" s="9" t="s">
        <v>865</v>
      </c>
      <c r="C1400" s="9" t="s">
        <v>864</v>
      </c>
      <c r="D1400" s="3" t="s">
        <v>2</v>
      </c>
      <c r="E1400" s="8" t="s">
        <v>863</v>
      </c>
      <c r="F1400" s="4" t="s">
        <v>13</v>
      </c>
      <c r="G1400" s="7">
        <v>5</v>
      </c>
      <c r="H1400" s="4">
        <v>1.98E-3</v>
      </c>
      <c r="I1400" s="4">
        <f>ROUND(G1400*H1400,6)</f>
        <v>9.9000000000000008E-3</v>
      </c>
      <c r="L1400" s="6">
        <v>0</v>
      </c>
      <c r="M1400" s="5">
        <f>ROUND(ROUND(L1400,2)*ROUND(G1400,3),2)</f>
        <v>0</v>
      </c>
      <c r="N1400" s="4" t="s">
        <v>501</v>
      </c>
      <c r="O1400">
        <f>(M1400*21)/100</f>
        <v>0</v>
      </c>
      <c r="P1400" t="s">
        <v>6</v>
      </c>
    </row>
    <row r="1401" spans="1:16" ht="26.4" x14ac:dyDescent="0.25">
      <c r="A1401" s="3" t="s">
        <v>5</v>
      </c>
      <c r="E1401" s="1" t="s">
        <v>863</v>
      </c>
    </row>
    <row r="1402" spans="1:16" ht="13.2" x14ac:dyDescent="0.25">
      <c r="A1402" s="3" t="s">
        <v>3</v>
      </c>
      <c r="E1402" s="2" t="s">
        <v>2</v>
      </c>
    </row>
    <row r="1403" spans="1:16" ht="13.2" x14ac:dyDescent="0.25">
      <c r="A1403" t="s">
        <v>1</v>
      </c>
      <c r="E1403" s="1" t="s">
        <v>2</v>
      </c>
    </row>
    <row r="1404" spans="1:16" ht="26.4" x14ac:dyDescent="0.25">
      <c r="A1404" t="s">
        <v>11</v>
      </c>
      <c r="B1404" s="9" t="s">
        <v>862</v>
      </c>
      <c r="C1404" s="9" t="s">
        <v>861</v>
      </c>
      <c r="D1404" s="3" t="s">
        <v>2</v>
      </c>
      <c r="E1404" s="8" t="s">
        <v>860</v>
      </c>
      <c r="F1404" s="4" t="s">
        <v>542</v>
      </c>
      <c r="G1404" s="7">
        <v>0.85</v>
      </c>
      <c r="H1404" s="4">
        <v>0</v>
      </c>
      <c r="I1404" s="4">
        <f>ROUND(G1404*H1404,6)</f>
        <v>0</v>
      </c>
      <c r="L1404" s="6">
        <v>0</v>
      </c>
      <c r="M1404" s="5">
        <f>ROUND(ROUND(L1404,2)*ROUND(G1404,3),2)</f>
        <v>0</v>
      </c>
      <c r="N1404" s="4" t="s">
        <v>501</v>
      </c>
      <c r="O1404">
        <f>(M1404*21)/100</f>
        <v>0</v>
      </c>
      <c r="P1404" t="s">
        <v>6</v>
      </c>
    </row>
    <row r="1405" spans="1:16" ht="26.4" x14ac:dyDescent="0.25">
      <c r="A1405" s="3" t="s">
        <v>5</v>
      </c>
      <c r="E1405" s="1" t="s">
        <v>860</v>
      </c>
    </row>
    <row r="1406" spans="1:16" ht="13.2" x14ac:dyDescent="0.25">
      <c r="A1406" s="3" t="s">
        <v>3</v>
      </c>
      <c r="E1406" s="2" t="s">
        <v>2</v>
      </c>
    </row>
    <row r="1407" spans="1:16" ht="13.2" x14ac:dyDescent="0.25">
      <c r="A1407" t="s">
        <v>1</v>
      </c>
      <c r="E1407" s="1" t="s">
        <v>2</v>
      </c>
    </row>
    <row r="1408" spans="1:16" ht="26.4" x14ac:dyDescent="0.25">
      <c r="A1408" t="s">
        <v>11</v>
      </c>
      <c r="B1408" s="9" t="s">
        <v>859</v>
      </c>
      <c r="C1408" s="9" t="s">
        <v>858</v>
      </c>
      <c r="D1408" s="3" t="s">
        <v>2</v>
      </c>
      <c r="E1408" s="8" t="s">
        <v>857</v>
      </c>
      <c r="F1408" s="4" t="s">
        <v>542</v>
      </c>
      <c r="G1408" s="7">
        <v>0.85</v>
      </c>
      <c r="H1408" s="4">
        <v>0</v>
      </c>
      <c r="I1408" s="4">
        <f>ROUND(G1408*H1408,6)</f>
        <v>0</v>
      </c>
      <c r="L1408" s="6">
        <v>0</v>
      </c>
      <c r="M1408" s="5">
        <f>ROUND(ROUND(L1408,2)*ROUND(G1408,3),2)</f>
        <v>0</v>
      </c>
      <c r="N1408" s="4" t="s">
        <v>501</v>
      </c>
      <c r="O1408">
        <f>(M1408*21)/100</f>
        <v>0</v>
      </c>
      <c r="P1408" t="s">
        <v>6</v>
      </c>
    </row>
    <row r="1409" spans="1:16" ht="39.6" x14ac:dyDescent="0.25">
      <c r="A1409" s="3" t="s">
        <v>5</v>
      </c>
      <c r="E1409" s="1" t="s">
        <v>856</v>
      </c>
    </row>
    <row r="1410" spans="1:16" ht="13.2" x14ac:dyDescent="0.25">
      <c r="A1410" s="3" t="s">
        <v>3</v>
      </c>
      <c r="E1410" s="2" t="s">
        <v>2</v>
      </c>
    </row>
    <row r="1411" spans="1:16" ht="13.2" x14ac:dyDescent="0.25">
      <c r="A1411" t="s">
        <v>1</v>
      </c>
      <c r="E1411" s="1" t="s">
        <v>2</v>
      </c>
    </row>
    <row r="1412" spans="1:16" ht="13.2" x14ac:dyDescent="0.25">
      <c r="A1412" t="s">
        <v>11</v>
      </c>
      <c r="B1412" s="9" t="s">
        <v>855</v>
      </c>
      <c r="C1412" s="9" t="s">
        <v>854</v>
      </c>
      <c r="D1412" s="3" t="s">
        <v>2</v>
      </c>
      <c r="E1412" s="8" t="s">
        <v>853</v>
      </c>
      <c r="F1412" s="4" t="s">
        <v>13</v>
      </c>
      <c r="G1412" s="7">
        <v>1</v>
      </c>
      <c r="H1412" s="4">
        <v>2.0000000000000001E-4</v>
      </c>
      <c r="I1412" s="4">
        <f>ROUND(G1412*H1412,6)</f>
        <v>2.0000000000000001E-4</v>
      </c>
      <c r="L1412" s="6">
        <v>0</v>
      </c>
      <c r="M1412" s="5">
        <f>ROUND(ROUND(L1412,2)*ROUND(G1412,3),2)</f>
        <v>0</v>
      </c>
      <c r="N1412" s="4" t="s">
        <v>7</v>
      </c>
      <c r="O1412">
        <f>(M1412*21)/100</f>
        <v>0</v>
      </c>
      <c r="P1412" t="s">
        <v>6</v>
      </c>
    </row>
    <row r="1413" spans="1:16" ht="13.2" x14ac:dyDescent="0.25">
      <c r="A1413" s="3" t="s">
        <v>5</v>
      </c>
      <c r="E1413" s="1" t="s">
        <v>853</v>
      </c>
    </row>
    <row r="1414" spans="1:16" ht="13.2" x14ac:dyDescent="0.25">
      <c r="A1414" s="3" t="s">
        <v>3</v>
      </c>
      <c r="E1414" s="2" t="s">
        <v>2</v>
      </c>
    </row>
    <row r="1415" spans="1:16" ht="66" x14ac:dyDescent="0.25">
      <c r="A1415" t="s">
        <v>1</v>
      </c>
      <c r="E1415" s="1" t="s">
        <v>852</v>
      </c>
    </row>
    <row r="1416" spans="1:16" ht="13.2" x14ac:dyDescent="0.25">
      <c r="A1416" t="s">
        <v>11</v>
      </c>
      <c r="B1416" s="9" t="s">
        <v>851</v>
      </c>
      <c r="C1416" s="9" t="s">
        <v>850</v>
      </c>
      <c r="D1416" s="3" t="s">
        <v>2</v>
      </c>
      <c r="E1416" s="8" t="s">
        <v>849</v>
      </c>
      <c r="F1416" s="4" t="s">
        <v>13</v>
      </c>
      <c r="G1416" s="7">
        <v>1</v>
      </c>
      <c r="H1416" s="4">
        <v>0</v>
      </c>
      <c r="I1416" s="4">
        <f>ROUND(G1416*H1416,6)</f>
        <v>0</v>
      </c>
      <c r="L1416" s="6">
        <v>0</v>
      </c>
      <c r="M1416" s="5">
        <f>ROUND(ROUND(L1416,2)*ROUND(G1416,3),2)</f>
        <v>0</v>
      </c>
      <c r="N1416" s="4" t="s">
        <v>7</v>
      </c>
      <c r="O1416">
        <f>(M1416*21)/100</f>
        <v>0</v>
      </c>
      <c r="P1416" t="s">
        <v>6</v>
      </c>
    </row>
    <row r="1417" spans="1:16" ht="13.2" x14ac:dyDescent="0.25">
      <c r="A1417" s="3" t="s">
        <v>5</v>
      </c>
      <c r="E1417" s="1" t="s">
        <v>849</v>
      </c>
    </row>
    <row r="1418" spans="1:16" ht="13.2" x14ac:dyDescent="0.25">
      <c r="A1418" s="3" t="s">
        <v>3</v>
      </c>
      <c r="E1418" s="2" t="s">
        <v>2</v>
      </c>
    </row>
    <row r="1419" spans="1:16" ht="52.8" x14ac:dyDescent="0.25">
      <c r="A1419" t="s">
        <v>1</v>
      </c>
      <c r="E1419" s="1" t="s">
        <v>848</v>
      </c>
    </row>
    <row r="1420" spans="1:16" ht="13.2" x14ac:dyDescent="0.25">
      <c r="A1420" t="s">
        <v>11</v>
      </c>
      <c r="B1420" s="9" t="s">
        <v>847</v>
      </c>
      <c r="C1420" s="9" t="s">
        <v>846</v>
      </c>
      <c r="D1420" s="3" t="s">
        <v>2</v>
      </c>
      <c r="E1420" s="8" t="s">
        <v>845</v>
      </c>
      <c r="F1420" s="4" t="s">
        <v>13</v>
      </c>
      <c r="G1420" s="7">
        <v>12</v>
      </c>
      <c r="H1420" s="4">
        <v>0</v>
      </c>
      <c r="I1420" s="4">
        <f>ROUND(G1420*H1420,6)</f>
        <v>0</v>
      </c>
      <c r="L1420" s="6">
        <v>0</v>
      </c>
      <c r="M1420" s="5">
        <f>ROUND(ROUND(L1420,2)*ROUND(G1420,3),2)</f>
        <v>0</v>
      </c>
      <c r="N1420" s="4" t="s">
        <v>7</v>
      </c>
      <c r="O1420">
        <f>(M1420*21)/100</f>
        <v>0</v>
      </c>
      <c r="P1420" t="s">
        <v>6</v>
      </c>
    </row>
    <row r="1421" spans="1:16" ht="13.2" x14ac:dyDescent="0.25">
      <c r="A1421" s="3" t="s">
        <v>5</v>
      </c>
      <c r="E1421" s="1" t="s">
        <v>845</v>
      </c>
    </row>
    <row r="1422" spans="1:16" ht="13.2" x14ac:dyDescent="0.25">
      <c r="A1422" s="3" t="s">
        <v>3</v>
      </c>
      <c r="E1422" s="2" t="s">
        <v>2</v>
      </c>
    </row>
    <row r="1423" spans="1:16" ht="66" x14ac:dyDescent="0.25">
      <c r="A1423" t="s">
        <v>1</v>
      </c>
      <c r="E1423" s="1" t="s">
        <v>844</v>
      </c>
    </row>
    <row r="1424" spans="1:16" ht="13.2" x14ac:dyDescent="0.25">
      <c r="A1424" t="s">
        <v>50</v>
      </c>
      <c r="C1424" s="11" t="s">
        <v>843</v>
      </c>
      <c r="E1424" s="10" t="s">
        <v>842</v>
      </c>
      <c r="J1424" s="5">
        <f>0</f>
        <v>0</v>
      </c>
      <c r="K1424" s="5">
        <f>0</f>
        <v>0</v>
      </c>
      <c r="L1424" s="5">
        <f>0+L1425+L1429+L1433+L1437</f>
        <v>0</v>
      </c>
      <c r="M1424" s="5">
        <f>0+M1425+M1429+M1433+M1437</f>
        <v>0</v>
      </c>
    </row>
    <row r="1425" spans="1:16" ht="13.2" x14ac:dyDescent="0.25">
      <c r="A1425" t="s">
        <v>11</v>
      </c>
      <c r="B1425" s="9" t="s">
        <v>841</v>
      </c>
      <c r="C1425" s="9" t="s">
        <v>840</v>
      </c>
      <c r="D1425" s="3" t="s">
        <v>2</v>
      </c>
      <c r="E1425" s="8" t="s">
        <v>839</v>
      </c>
      <c r="F1425" s="4" t="s">
        <v>604</v>
      </c>
      <c r="G1425" s="7">
        <v>1</v>
      </c>
      <c r="H1425" s="4">
        <v>2.7640000000000001E-2</v>
      </c>
      <c r="I1425" s="4">
        <f>ROUND(G1425*H1425,6)</f>
        <v>2.7640000000000001E-2</v>
      </c>
      <c r="L1425" s="6">
        <v>0</v>
      </c>
      <c r="M1425" s="5">
        <f>ROUND(ROUND(L1425,2)*ROUND(G1425,3),2)</f>
        <v>0</v>
      </c>
      <c r="N1425" s="4" t="s">
        <v>501</v>
      </c>
      <c r="O1425">
        <f>(M1425*21)/100</f>
        <v>0</v>
      </c>
      <c r="P1425" t="s">
        <v>6</v>
      </c>
    </row>
    <row r="1426" spans="1:16" ht="13.2" x14ac:dyDescent="0.25">
      <c r="A1426" s="3" t="s">
        <v>5</v>
      </c>
      <c r="E1426" s="1" t="s">
        <v>839</v>
      </c>
    </row>
    <row r="1427" spans="1:16" ht="13.2" x14ac:dyDescent="0.25">
      <c r="A1427" s="3" t="s">
        <v>3</v>
      </c>
      <c r="E1427" s="2" t="s">
        <v>2</v>
      </c>
    </row>
    <row r="1428" spans="1:16" ht="13.2" x14ac:dyDescent="0.25">
      <c r="A1428" t="s">
        <v>1</v>
      </c>
      <c r="E1428" s="1" t="s">
        <v>2</v>
      </c>
    </row>
    <row r="1429" spans="1:16" ht="26.4" x14ac:dyDescent="0.25">
      <c r="A1429" t="s">
        <v>11</v>
      </c>
      <c r="B1429" s="9" t="s">
        <v>838</v>
      </c>
      <c r="C1429" s="9" t="s">
        <v>837</v>
      </c>
      <c r="D1429" s="3" t="s">
        <v>2</v>
      </c>
      <c r="E1429" s="8" t="s">
        <v>836</v>
      </c>
      <c r="F1429" s="4" t="s">
        <v>542</v>
      </c>
      <c r="G1429" s="7">
        <v>2.8000000000000001E-2</v>
      </c>
      <c r="H1429" s="4">
        <v>0</v>
      </c>
      <c r="I1429" s="4">
        <f>ROUND(G1429*H1429,6)</f>
        <v>0</v>
      </c>
      <c r="L1429" s="6">
        <v>0</v>
      </c>
      <c r="M1429" s="5">
        <f>ROUND(ROUND(L1429,2)*ROUND(G1429,3),2)</f>
        <v>0</v>
      </c>
      <c r="N1429" s="4" t="s">
        <v>501</v>
      </c>
      <c r="O1429">
        <f>(M1429*21)/100</f>
        <v>0</v>
      </c>
      <c r="P1429" t="s">
        <v>6</v>
      </c>
    </row>
    <row r="1430" spans="1:16" ht="26.4" x14ac:dyDescent="0.25">
      <c r="A1430" s="3" t="s">
        <v>5</v>
      </c>
      <c r="E1430" s="1" t="s">
        <v>836</v>
      </c>
    </row>
    <row r="1431" spans="1:16" ht="13.2" x14ac:dyDescent="0.25">
      <c r="A1431" s="3" t="s">
        <v>3</v>
      </c>
      <c r="E1431" s="2" t="s">
        <v>2</v>
      </c>
    </row>
    <row r="1432" spans="1:16" ht="13.2" x14ac:dyDescent="0.25">
      <c r="A1432" t="s">
        <v>1</v>
      </c>
      <c r="E1432" s="1" t="s">
        <v>2</v>
      </c>
    </row>
    <row r="1433" spans="1:16" ht="26.4" x14ac:dyDescent="0.25">
      <c r="A1433" t="s">
        <v>11</v>
      </c>
      <c r="B1433" s="9" t="s">
        <v>835</v>
      </c>
      <c r="C1433" s="9" t="s">
        <v>834</v>
      </c>
      <c r="D1433" s="3" t="s">
        <v>2</v>
      </c>
      <c r="E1433" s="8" t="s">
        <v>833</v>
      </c>
      <c r="F1433" s="4" t="s">
        <v>542</v>
      </c>
      <c r="G1433" s="7">
        <v>2.8000000000000001E-2</v>
      </c>
      <c r="H1433" s="4">
        <v>0</v>
      </c>
      <c r="I1433" s="4">
        <f>ROUND(G1433*H1433,6)</f>
        <v>0</v>
      </c>
      <c r="L1433" s="6">
        <v>0</v>
      </c>
      <c r="M1433" s="5">
        <f>ROUND(ROUND(L1433,2)*ROUND(G1433,3),2)</f>
        <v>0</v>
      </c>
      <c r="N1433" s="4" t="s">
        <v>501</v>
      </c>
      <c r="O1433">
        <f>(M1433*21)/100</f>
        <v>0</v>
      </c>
      <c r="P1433" t="s">
        <v>6</v>
      </c>
    </row>
    <row r="1434" spans="1:16" ht="39.6" x14ac:dyDescent="0.25">
      <c r="A1434" s="3" t="s">
        <v>5</v>
      </c>
      <c r="E1434" s="1" t="s">
        <v>832</v>
      </c>
    </row>
    <row r="1435" spans="1:16" ht="13.2" x14ac:dyDescent="0.25">
      <c r="A1435" s="3" t="s">
        <v>3</v>
      </c>
      <c r="E1435" s="2" t="s">
        <v>2</v>
      </c>
    </row>
    <row r="1436" spans="1:16" ht="13.2" x14ac:dyDescent="0.25">
      <c r="A1436" t="s">
        <v>1</v>
      </c>
      <c r="E1436" s="1" t="s">
        <v>2</v>
      </c>
    </row>
    <row r="1437" spans="1:16" ht="13.2" x14ac:dyDescent="0.25">
      <c r="A1437" t="s">
        <v>11</v>
      </c>
      <c r="B1437" s="9" t="s">
        <v>831</v>
      </c>
      <c r="C1437" s="9" t="s">
        <v>830</v>
      </c>
      <c r="D1437" s="3" t="s">
        <v>2</v>
      </c>
      <c r="E1437" s="8" t="s">
        <v>829</v>
      </c>
      <c r="F1437" s="4" t="s">
        <v>604</v>
      </c>
      <c r="G1437" s="7">
        <v>3</v>
      </c>
      <c r="H1437" s="4">
        <v>0</v>
      </c>
      <c r="I1437" s="4">
        <f>ROUND(G1437*H1437,6)</f>
        <v>0</v>
      </c>
      <c r="L1437" s="6">
        <v>0</v>
      </c>
      <c r="M1437" s="5">
        <f>ROUND(ROUND(L1437,2)*ROUND(G1437,3),2)</f>
        <v>0</v>
      </c>
      <c r="N1437" s="4" t="s">
        <v>7</v>
      </c>
      <c r="O1437">
        <f>(M1437*21)/100</f>
        <v>0</v>
      </c>
      <c r="P1437" t="s">
        <v>6</v>
      </c>
    </row>
    <row r="1438" spans="1:16" ht="13.2" x14ac:dyDescent="0.25">
      <c r="A1438" s="3" t="s">
        <v>5</v>
      </c>
      <c r="E1438" s="1" t="s">
        <v>829</v>
      </c>
    </row>
    <row r="1439" spans="1:16" ht="13.2" x14ac:dyDescent="0.25">
      <c r="A1439" s="3" t="s">
        <v>3</v>
      </c>
      <c r="E1439" s="2" t="s">
        <v>2</v>
      </c>
    </row>
    <row r="1440" spans="1:16" ht="66" x14ac:dyDescent="0.25">
      <c r="A1440" t="s">
        <v>1</v>
      </c>
      <c r="E1440" s="1" t="s">
        <v>828</v>
      </c>
    </row>
    <row r="1441" spans="1:16" ht="13.2" x14ac:dyDescent="0.25">
      <c r="A1441" t="s">
        <v>50</v>
      </c>
      <c r="C1441" s="11" t="s">
        <v>827</v>
      </c>
      <c r="E1441" s="10" t="s">
        <v>826</v>
      </c>
      <c r="J1441" s="5">
        <f>0</f>
        <v>0</v>
      </c>
      <c r="K1441" s="5">
        <f>0</f>
        <v>0</v>
      </c>
      <c r="L1441" s="5">
        <f>0+L1442+L1446+L1450+L1454+L1458+L1462+L1466+L1470+L1474+L1478+L1482+L1486+L1490+L1494+L1498+L1502+L1506+L1510+L1514+L1518</f>
        <v>0</v>
      </c>
      <c r="M1441" s="5">
        <f>0+M1442+M1446+M1450+M1454+M1458+M1462+M1466+M1470+M1474+M1478+M1482+M1486+M1490+M1494+M1498+M1502+M1506+M1510+M1514+M1518</f>
        <v>0</v>
      </c>
    </row>
    <row r="1442" spans="1:16" ht="13.2" x14ac:dyDescent="0.25">
      <c r="A1442" t="s">
        <v>11</v>
      </c>
      <c r="B1442" s="9" t="s">
        <v>825</v>
      </c>
      <c r="C1442" s="9" t="s">
        <v>824</v>
      </c>
      <c r="D1442" s="3" t="s">
        <v>2</v>
      </c>
      <c r="E1442" s="8" t="s">
        <v>823</v>
      </c>
      <c r="F1442" s="4" t="s">
        <v>13</v>
      </c>
      <c r="G1442" s="7">
        <v>1</v>
      </c>
      <c r="H1442" s="4">
        <v>4.4999999999999997E-3</v>
      </c>
      <c r="I1442" s="4">
        <f>ROUND(G1442*H1442,6)</f>
        <v>4.4999999999999997E-3</v>
      </c>
      <c r="L1442" s="6">
        <v>0</v>
      </c>
      <c r="M1442" s="5">
        <f>ROUND(ROUND(L1442,2)*ROUND(G1442,3),2)</f>
        <v>0</v>
      </c>
      <c r="N1442" s="4" t="s">
        <v>501</v>
      </c>
      <c r="O1442">
        <f>(M1442*21)/100</f>
        <v>0</v>
      </c>
      <c r="P1442" t="s">
        <v>6</v>
      </c>
    </row>
    <row r="1443" spans="1:16" ht="13.2" x14ac:dyDescent="0.25">
      <c r="A1443" s="3" t="s">
        <v>5</v>
      </c>
      <c r="E1443" s="1" t="s">
        <v>823</v>
      </c>
    </row>
    <row r="1444" spans="1:16" ht="13.2" x14ac:dyDescent="0.25">
      <c r="A1444" s="3" t="s">
        <v>3</v>
      </c>
      <c r="E1444" s="2" t="s">
        <v>2</v>
      </c>
    </row>
    <row r="1445" spans="1:16" ht="13.2" x14ac:dyDescent="0.25">
      <c r="A1445" t="s">
        <v>1</v>
      </c>
      <c r="E1445" s="1" t="s">
        <v>823</v>
      </c>
    </row>
    <row r="1446" spans="1:16" ht="13.2" x14ac:dyDescent="0.25">
      <c r="A1446" t="s">
        <v>11</v>
      </c>
      <c r="B1446" s="9" t="s">
        <v>673</v>
      </c>
      <c r="C1446" s="9" t="s">
        <v>822</v>
      </c>
      <c r="D1446" s="3" t="s">
        <v>2</v>
      </c>
      <c r="E1446" s="8" t="s">
        <v>821</v>
      </c>
      <c r="F1446" s="4" t="s">
        <v>13</v>
      </c>
      <c r="G1446" s="7">
        <v>2</v>
      </c>
      <c r="H1446" s="4">
        <v>6.1999999999999998E-3</v>
      </c>
      <c r="I1446" s="4">
        <f>ROUND(G1446*H1446,6)</f>
        <v>1.24E-2</v>
      </c>
      <c r="L1446" s="6">
        <v>0</v>
      </c>
      <c r="M1446" s="5">
        <f>ROUND(ROUND(L1446,2)*ROUND(G1446,3),2)</f>
        <v>0</v>
      </c>
      <c r="N1446" s="4" t="s">
        <v>501</v>
      </c>
      <c r="O1446">
        <f>(M1446*21)/100</f>
        <v>0</v>
      </c>
      <c r="P1446" t="s">
        <v>6</v>
      </c>
    </row>
    <row r="1447" spans="1:16" ht="13.2" x14ac:dyDescent="0.25">
      <c r="A1447" s="3" t="s">
        <v>5</v>
      </c>
      <c r="E1447" s="1" t="s">
        <v>821</v>
      </c>
    </row>
    <row r="1448" spans="1:16" ht="13.2" x14ac:dyDescent="0.25">
      <c r="A1448" s="3" t="s">
        <v>3</v>
      </c>
      <c r="E1448" s="2" t="s">
        <v>2</v>
      </c>
    </row>
    <row r="1449" spans="1:16" ht="13.2" x14ac:dyDescent="0.25">
      <c r="A1449" t="s">
        <v>1</v>
      </c>
      <c r="E1449" s="1" t="s">
        <v>821</v>
      </c>
    </row>
    <row r="1450" spans="1:16" ht="13.2" x14ac:dyDescent="0.25">
      <c r="A1450" t="s">
        <v>11</v>
      </c>
      <c r="B1450" s="9" t="s">
        <v>820</v>
      </c>
      <c r="C1450" s="9" t="s">
        <v>819</v>
      </c>
      <c r="D1450" s="3" t="s">
        <v>2</v>
      </c>
      <c r="E1450" s="8" t="s">
        <v>818</v>
      </c>
      <c r="F1450" s="4" t="s">
        <v>13</v>
      </c>
      <c r="G1450" s="7">
        <v>3</v>
      </c>
      <c r="H1450" s="4">
        <v>1.2E-2</v>
      </c>
      <c r="I1450" s="4">
        <f>ROUND(G1450*H1450,6)</f>
        <v>3.5999999999999997E-2</v>
      </c>
      <c r="L1450" s="6">
        <v>0</v>
      </c>
      <c r="M1450" s="5">
        <f>ROUND(ROUND(L1450,2)*ROUND(G1450,3),2)</f>
        <v>0</v>
      </c>
      <c r="N1450" s="4" t="s">
        <v>501</v>
      </c>
      <c r="O1450">
        <f>(M1450*21)/100</f>
        <v>0</v>
      </c>
      <c r="P1450" t="s">
        <v>6</v>
      </c>
    </row>
    <row r="1451" spans="1:16" ht="13.2" x14ac:dyDescent="0.25">
      <c r="A1451" s="3" t="s">
        <v>5</v>
      </c>
      <c r="E1451" s="1" t="s">
        <v>818</v>
      </c>
    </row>
    <row r="1452" spans="1:16" ht="13.2" x14ac:dyDescent="0.25">
      <c r="A1452" s="3" t="s">
        <v>3</v>
      </c>
      <c r="E1452" s="2" t="s">
        <v>2</v>
      </c>
    </row>
    <row r="1453" spans="1:16" ht="13.2" x14ac:dyDescent="0.25">
      <c r="A1453" t="s">
        <v>1</v>
      </c>
      <c r="E1453" s="1" t="s">
        <v>818</v>
      </c>
    </row>
    <row r="1454" spans="1:16" ht="13.2" x14ac:dyDescent="0.25">
      <c r="A1454" t="s">
        <v>11</v>
      </c>
      <c r="B1454" s="9" t="s">
        <v>817</v>
      </c>
      <c r="C1454" s="9" t="s">
        <v>816</v>
      </c>
      <c r="D1454" s="3" t="s">
        <v>2</v>
      </c>
      <c r="E1454" s="8" t="s">
        <v>815</v>
      </c>
      <c r="F1454" s="4" t="s">
        <v>13</v>
      </c>
      <c r="G1454" s="7">
        <v>15</v>
      </c>
      <c r="H1454" s="4">
        <v>1.4999999999999999E-4</v>
      </c>
      <c r="I1454" s="4">
        <f>ROUND(G1454*H1454,6)</f>
        <v>2.2499999999999998E-3</v>
      </c>
      <c r="L1454" s="6">
        <v>0</v>
      </c>
      <c r="M1454" s="5">
        <f>ROUND(ROUND(L1454,2)*ROUND(G1454,3),2)</f>
        <v>0</v>
      </c>
      <c r="N1454" s="4" t="s">
        <v>501</v>
      </c>
      <c r="O1454">
        <f>(M1454*21)/100</f>
        <v>0</v>
      </c>
      <c r="P1454" t="s">
        <v>6</v>
      </c>
    </row>
    <row r="1455" spans="1:16" ht="13.2" x14ac:dyDescent="0.25">
      <c r="A1455" s="3" t="s">
        <v>5</v>
      </c>
      <c r="E1455" s="1" t="s">
        <v>815</v>
      </c>
    </row>
    <row r="1456" spans="1:16" ht="13.2" x14ac:dyDescent="0.25">
      <c r="A1456" s="3" t="s">
        <v>3</v>
      </c>
      <c r="E1456" s="2" t="s">
        <v>2</v>
      </c>
    </row>
    <row r="1457" spans="1:16" ht="13.2" x14ac:dyDescent="0.25">
      <c r="A1457" t="s">
        <v>1</v>
      </c>
      <c r="E1457" s="1" t="s">
        <v>2</v>
      </c>
    </row>
    <row r="1458" spans="1:16" ht="26.4" x14ac:dyDescent="0.25">
      <c r="A1458" t="s">
        <v>11</v>
      </c>
      <c r="B1458" s="9" t="s">
        <v>814</v>
      </c>
      <c r="C1458" s="9" t="s">
        <v>813</v>
      </c>
      <c r="D1458" s="3" t="s">
        <v>2</v>
      </c>
      <c r="E1458" s="8" t="s">
        <v>812</v>
      </c>
      <c r="F1458" s="4" t="s">
        <v>604</v>
      </c>
      <c r="G1458" s="7">
        <v>1</v>
      </c>
      <c r="H1458" s="4">
        <v>1.6969999999999999E-2</v>
      </c>
      <c r="I1458" s="4">
        <f>ROUND(G1458*H1458,6)</f>
        <v>1.6969999999999999E-2</v>
      </c>
      <c r="L1458" s="6">
        <v>0</v>
      </c>
      <c r="M1458" s="5">
        <f>ROUND(ROUND(L1458,2)*ROUND(G1458,3),2)</f>
        <v>0</v>
      </c>
      <c r="N1458" s="4" t="s">
        <v>501</v>
      </c>
      <c r="O1458">
        <f>(M1458*21)/100</f>
        <v>0</v>
      </c>
      <c r="P1458" t="s">
        <v>6</v>
      </c>
    </row>
    <row r="1459" spans="1:16" ht="26.4" x14ac:dyDescent="0.25">
      <c r="A1459" s="3" t="s">
        <v>5</v>
      </c>
      <c r="E1459" s="1" t="s">
        <v>812</v>
      </c>
    </row>
    <row r="1460" spans="1:16" ht="13.2" x14ac:dyDescent="0.25">
      <c r="A1460" s="3" t="s">
        <v>3</v>
      </c>
      <c r="E1460" s="2" t="s">
        <v>2</v>
      </c>
    </row>
    <row r="1461" spans="1:16" ht="13.2" x14ac:dyDescent="0.25">
      <c r="A1461" t="s">
        <v>1</v>
      </c>
      <c r="E1461" s="1" t="s">
        <v>2</v>
      </c>
    </row>
    <row r="1462" spans="1:16" ht="13.2" x14ac:dyDescent="0.25">
      <c r="A1462" t="s">
        <v>11</v>
      </c>
      <c r="B1462" s="9" t="s">
        <v>811</v>
      </c>
      <c r="C1462" s="9" t="s">
        <v>810</v>
      </c>
      <c r="D1462" s="3" t="s">
        <v>2</v>
      </c>
      <c r="E1462" s="8" t="s">
        <v>809</v>
      </c>
      <c r="F1462" s="4" t="s">
        <v>604</v>
      </c>
      <c r="G1462" s="7">
        <v>1</v>
      </c>
      <c r="H1462" s="4">
        <v>1.8079999999999999E-2</v>
      </c>
      <c r="I1462" s="4">
        <f>ROUND(G1462*H1462,6)</f>
        <v>1.8079999999999999E-2</v>
      </c>
      <c r="L1462" s="6">
        <v>0</v>
      </c>
      <c r="M1462" s="5">
        <f>ROUND(ROUND(L1462,2)*ROUND(G1462,3),2)</f>
        <v>0</v>
      </c>
      <c r="N1462" s="4" t="s">
        <v>501</v>
      </c>
      <c r="O1462">
        <f>(M1462*21)/100</f>
        <v>0</v>
      </c>
      <c r="P1462" t="s">
        <v>6</v>
      </c>
    </row>
    <row r="1463" spans="1:16" ht="13.2" x14ac:dyDescent="0.25">
      <c r="A1463" s="3" t="s">
        <v>5</v>
      </c>
      <c r="E1463" s="1" t="s">
        <v>809</v>
      </c>
    </row>
    <row r="1464" spans="1:16" ht="13.2" x14ac:dyDescent="0.25">
      <c r="A1464" s="3" t="s">
        <v>3</v>
      </c>
      <c r="E1464" s="2" t="s">
        <v>2</v>
      </c>
    </row>
    <row r="1465" spans="1:16" ht="13.2" x14ac:dyDescent="0.25">
      <c r="A1465" t="s">
        <v>1</v>
      </c>
      <c r="E1465" s="1" t="s">
        <v>2</v>
      </c>
    </row>
    <row r="1466" spans="1:16" ht="13.2" x14ac:dyDescent="0.25">
      <c r="A1466" t="s">
        <v>11</v>
      </c>
      <c r="B1466" s="9" t="s">
        <v>808</v>
      </c>
      <c r="C1466" s="9" t="s">
        <v>807</v>
      </c>
      <c r="D1466" s="3" t="s">
        <v>2</v>
      </c>
      <c r="E1466" s="8" t="s">
        <v>806</v>
      </c>
      <c r="F1466" s="4" t="s">
        <v>604</v>
      </c>
      <c r="G1466" s="7">
        <v>5</v>
      </c>
      <c r="H1466" s="4">
        <v>1.73E-3</v>
      </c>
      <c r="I1466" s="4">
        <f>ROUND(G1466*H1466,6)</f>
        <v>8.6499999999999997E-3</v>
      </c>
      <c r="L1466" s="6">
        <v>0</v>
      </c>
      <c r="M1466" s="5">
        <f>ROUND(ROUND(L1466,2)*ROUND(G1466,3),2)</f>
        <v>0</v>
      </c>
      <c r="N1466" s="4" t="s">
        <v>501</v>
      </c>
      <c r="O1466">
        <f>(M1466*21)/100</f>
        <v>0</v>
      </c>
      <c r="P1466" t="s">
        <v>6</v>
      </c>
    </row>
    <row r="1467" spans="1:16" ht="13.2" x14ac:dyDescent="0.25">
      <c r="A1467" s="3" t="s">
        <v>5</v>
      </c>
      <c r="E1467" s="1" t="s">
        <v>806</v>
      </c>
    </row>
    <row r="1468" spans="1:16" ht="13.2" x14ac:dyDescent="0.25">
      <c r="A1468" s="3" t="s">
        <v>3</v>
      </c>
      <c r="E1468" s="2" t="s">
        <v>2</v>
      </c>
    </row>
    <row r="1469" spans="1:16" ht="13.2" x14ac:dyDescent="0.25">
      <c r="A1469" t="s">
        <v>1</v>
      </c>
      <c r="E1469" s="1" t="s">
        <v>2</v>
      </c>
    </row>
    <row r="1470" spans="1:16" ht="13.2" x14ac:dyDescent="0.25">
      <c r="A1470" t="s">
        <v>11</v>
      </c>
      <c r="B1470" s="9" t="s">
        <v>805</v>
      </c>
      <c r="C1470" s="9" t="s">
        <v>804</v>
      </c>
      <c r="D1470" s="3" t="s">
        <v>2</v>
      </c>
      <c r="E1470" s="8" t="s">
        <v>803</v>
      </c>
      <c r="F1470" s="4" t="s">
        <v>604</v>
      </c>
      <c r="G1470" s="7">
        <v>1</v>
      </c>
      <c r="H1470" s="4">
        <v>4.2999999999999999E-4</v>
      </c>
      <c r="I1470" s="4">
        <f>ROUND(G1470*H1470,6)</f>
        <v>4.2999999999999999E-4</v>
      </c>
      <c r="L1470" s="6">
        <v>0</v>
      </c>
      <c r="M1470" s="5">
        <f>ROUND(ROUND(L1470,2)*ROUND(G1470,3),2)</f>
        <v>0</v>
      </c>
      <c r="N1470" s="4" t="s">
        <v>501</v>
      </c>
      <c r="O1470">
        <f>(M1470*21)/100</f>
        <v>0</v>
      </c>
      <c r="P1470" t="s">
        <v>6</v>
      </c>
    </row>
    <row r="1471" spans="1:16" ht="13.2" x14ac:dyDescent="0.25">
      <c r="A1471" s="3" t="s">
        <v>5</v>
      </c>
      <c r="E1471" s="1" t="s">
        <v>803</v>
      </c>
    </row>
    <row r="1472" spans="1:16" ht="13.2" x14ac:dyDescent="0.25">
      <c r="A1472" s="3" t="s">
        <v>3</v>
      </c>
      <c r="E1472" s="2" t="s">
        <v>2</v>
      </c>
    </row>
    <row r="1473" spans="1:16" ht="13.2" x14ac:dyDescent="0.25">
      <c r="A1473" t="s">
        <v>1</v>
      </c>
      <c r="E1473" s="1" t="s">
        <v>2</v>
      </c>
    </row>
    <row r="1474" spans="1:16" ht="26.4" x14ac:dyDescent="0.25">
      <c r="A1474" t="s">
        <v>11</v>
      </c>
      <c r="B1474" s="9" t="s">
        <v>802</v>
      </c>
      <c r="C1474" s="9" t="s">
        <v>801</v>
      </c>
      <c r="D1474" s="3" t="s">
        <v>2</v>
      </c>
      <c r="E1474" s="8" t="s">
        <v>800</v>
      </c>
      <c r="F1474" s="4" t="s">
        <v>604</v>
      </c>
      <c r="G1474" s="7">
        <v>1</v>
      </c>
      <c r="H1474" s="4">
        <v>1.4749999999999999E-2</v>
      </c>
      <c r="I1474" s="4">
        <f>ROUND(G1474*H1474,6)</f>
        <v>1.4749999999999999E-2</v>
      </c>
      <c r="L1474" s="6">
        <v>0</v>
      </c>
      <c r="M1474" s="5">
        <f>ROUND(ROUND(L1474,2)*ROUND(G1474,3),2)</f>
        <v>0</v>
      </c>
      <c r="N1474" s="4" t="s">
        <v>501</v>
      </c>
      <c r="O1474">
        <f>(M1474*21)/100</f>
        <v>0</v>
      </c>
      <c r="P1474" t="s">
        <v>6</v>
      </c>
    </row>
    <row r="1475" spans="1:16" ht="26.4" x14ac:dyDescent="0.25">
      <c r="A1475" s="3" t="s">
        <v>5</v>
      </c>
      <c r="E1475" s="1" t="s">
        <v>800</v>
      </c>
    </row>
    <row r="1476" spans="1:16" ht="13.2" x14ac:dyDescent="0.25">
      <c r="A1476" s="3" t="s">
        <v>3</v>
      </c>
      <c r="E1476" s="2" t="s">
        <v>2</v>
      </c>
    </row>
    <row r="1477" spans="1:16" ht="13.2" x14ac:dyDescent="0.25">
      <c r="A1477" t="s">
        <v>1</v>
      </c>
      <c r="E1477" s="1" t="s">
        <v>2</v>
      </c>
    </row>
    <row r="1478" spans="1:16" ht="26.4" x14ac:dyDescent="0.25">
      <c r="A1478" t="s">
        <v>11</v>
      </c>
      <c r="B1478" s="9" t="s">
        <v>799</v>
      </c>
      <c r="C1478" s="9" t="s">
        <v>798</v>
      </c>
      <c r="D1478" s="3" t="s">
        <v>2</v>
      </c>
      <c r="E1478" s="8" t="s">
        <v>797</v>
      </c>
      <c r="F1478" s="4" t="s">
        <v>604</v>
      </c>
      <c r="G1478" s="7">
        <v>1</v>
      </c>
      <c r="H1478" s="4">
        <v>4.6339999999999999E-2</v>
      </c>
      <c r="I1478" s="4">
        <f>ROUND(G1478*H1478,6)</f>
        <v>4.6339999999999999E-2</v>
      </c>
      <c r="L1478" s="6">
        <v>0</v>
      </c>
      <c r="M1478" s="5">
        <f>ROUND(ROUND(L1478,2)*ROUND(G1478,3),2)</f>
        <v>0</v>
      </c>
      <c r="N1478" s="4" t="s">
        <v>501</v>
      </c>
      <c r="O1478">
        <f>(M1478*21)/100</f>
        <v>0</v>
      </c>
      <c r="P1478" t="s">
        <v>6</v>
      </c>
    </row>
    <row r="1479" spans="1:16" ht="26.4" x14ac:dyDescent="0.25">
      <c r="A1479" s="3" t="s">
        <v>5</v>
      </c>
      <c r="E1479" s="1" t="s">
        <v>797</v>
      </c>
    </row>
    <row r="1480" spans="1:16" ht="13.2" x14ac:dyDescent="0.25">
      <c r="A1480" s="3" t="s">
        <v>3</v>
      </c>
      <c r="E1480" s="2" t="s">
        <v>2</v>
      </c>
    </row>
    <row r="1481" spans="1:16" ht="13.2" x14ac:dyDescent="0.25">
      <c r="A1481" t="s">
        <v>1</v>
      </c>
      <c r="E1481" s="1" t="s">
        <v>2</v>
      </c>
    </row>
    <row r="1482" spans="1:16" ht="13.2" x14ac:dyDescent="0.25">
      <c r="A1482" t="s">
        <v>11</v>
      </c>
      <c r="B1482" s="9" t="s">
        <v>796</v>
      </c>
      <c r="C1482" s="9" t="s">
        <v>795</v>
      </c>
      <c r="D1482" s="3" t="s">
        <v>2</v>
      </c>
      <c r="E1482" s="8" t="s">
        <v>794</v>
      </c>
      <c r="F1482" s="4" t="s">
        <v>604</v>
      </c>
      <c r="G1482" s="7">
        <v>15</v>
      </c>
      <c r="H1482" s="4">
        <v>2.4000000000000001E-4</v>
      </c>
      <c r="I1482" s="4">
        <f>ROUND(G1482*H1482,6)</f>
        <v>3.5999999999999999E-3</v>
      </c>
      <c r="L1482" s="6">
        <v>0</v>
      </c>
      <c r="M1482" s="5">
        <f>ROUND(ROUND(L1482,2)*ROUND(G1482,3),2)</f>
        <v>0</v>
      </c>
      <c r="N1482" s="4" t="s">
        <v>501</v>
      </c>
      <c r="O1482">
        <f>(M1482*21)/100</f>
        <v>0</v>
      </c>
      <c r="P1482" t="s">
        <v>6</v>
      </c>
    </row>
    <row r="1483" spans="1:16" ht="13.2" x14ac:dyDescent="0.25">
      <c r="A1483" s="3" t="s">
        <v>5</v>
      </c>
      <c r="E1483" s="1" t="s">
        <v>794</v>
      </c>
    </row>
    <row r="1484" spans="1:16" ht="13.2" x14ac:dyDescent="0.25">
      <c r="A1484" s="3" t="s">
        <v>3</v>
      </c>
      <c r="E1484" s="2" t="s">
        <v>2</v>
      </c>
    </row>
    <row r="1485" spans="1:16" ht="13.2" x14ac:dyDescent="0.25">
      <c r="A1485" t="s">
        <v>1</v>
      </c>
      <c r="E1485" s="1" t="s">
        <v>2</v>
      </c>
    </row>
    <row r="1486" spans="1:16" ht="26.4" x14ac:dyDescent="0.25">
      <c r="A1486" t="s">
        <v>11</v>
      </c>
      <c r="B1486" s="9" t="s">
        <v>793</v>
      </c>
      <c r="C1486" s="9" t="s">
        <v>792</v>
      </c>
      <c r="D1486" s="3" t="s">
        <v>2</v>
      </c>
      <c r="E1486" s="8" t="s">
        <v>791</v>
      </c>
      <c r="F1486" s="4" t="s">
        <v>604</v>
      </c>
      <c r="G1486" s="7">
        <v>1</v>
      </c>
      <c r="H1486" s="4">
        <v>1.72E-3</v>
      </c>
      <c r="I1486" s="4">
        <f>ROUND(G1486*H1486,6)</f>
        <v>1.72E-3</v>
      </c>
      <c r="L1486" s="6">
        <v>0</v>
      </c>
      <c r="M1486" s="5">
        <f>ROUND(ROUND(L1486,2)*ROUND(G1486,3),2)</f>
        <v>0</v>
      </c>
      <c r="N1486" s="4" t="s">
        <v>501</v>
      </c>
      <c r="O1486">
        <f>(M1486*21)/100</f>
        <v>0</v>
      </c>
      <c r="P1486" t="s">
        <v>6</v>
      </c>
    </row>
    <row r="1487" spans="1:16" ht="26.4" x14ac:dyDescent="0.25">
      <c r="A1487" s="3" t="s">
        <v>5</v>
      </c>
      <c r="E1487" s="1" t="s">
        <v>791</v>
      </c>
    </row>
    <row r="1488" spans="1:16" ht="13.2" x14ac:dyDescent="0.25">
      <c r="A1488" s="3" t="s">
        <v>3</v>
      </c>
      <c r="E1488" s="2" t="s">
        <v>790</v>
      </c>
    </row>
    <row r="1489" spans="1:16" ht="13.2" x14ac:dyDescent="0.25">
      <c r="A1489" t="s">
        <v>1</v>
      </c>
      <c r="E1489" s="1" t="s">
        <v>2</v>
      </c>
    </row>
    <row r="1490" spans="1:16" ht="13.2" x14ac:dyDescent="0.25">
      <c r="A1490" t="s">
        <v>11</v>
      </c>
      <c r="B1490" s="9" t="s">
        <v>789</v>
      </c>
      <c r="C1490" s="9" t="s">
        <v>788</v>
      </c>
      <c r="D1490" s="3" t="s">
        <v>2</v>
      </c>
      <c r="E1490" s="8" t="s">
        <v>787</v>
      </c>
      <c r="F1490" s="4" t="s">
        <v>604</v>
      </c>
      <c r="G1490" s="7">
        <v>1</v>
      </c>
      <c r="H1490" s="4">
        <v>1.8E-3</v>
      </c>
      <c r="I1490" s="4">
        <f>ROUND(G1490*H1490,6)</f>
        <v>1.8E-3</v>
      </c>
      <c r="L1490" s="6">
        <v>0</v>
      </c>
      <c r="M1490" s="5">
        <f>ROUND(ROUND(L1490,2)*ROUND(G1490,3),2)</f>
        <v>0</v>
      </c>
      <c r="N1490" s="4" t="s">
        <v>501</v>
      </c>
      <c r="O1490">
        <f>(M1490*21)/100</f>
        <v>0</v>
      </c>
      <c r="P1490" t="s">
        <v>6</v>
      </c>
    </row>
    <row r="1491" spans="1:16" ht="13.2" x14ac:dyDescent="0.25">
      <c r="A1491" s="3" t="s">
        <v>5</v>
      </c>
      <c r="E1491" s="1" t="s">
        <v>787</v>
      </c>
    </row>
    <row r="1492" spans="1:16" ht="13.2" x14ac:dyDescent="0.25">
      <c r="A1492" s="3" t="s">
        <v>3</v>
      </c>
      <c r="E1492" s="2" t="s">
        <v>2</v>
      </c>
    </row>
    <row r="1493" spans="1:16" ht="13.2" x14ac:dyDescent="0.25">
      <c r="A1493" t="s">
        <v>1</v>
      </c>
      <c r="E1493" s="1" t="s">
        <v>2</v>
      </c>
    </row>
    <row r="1494" spans="1:16" ht="13.2" x14ac:dyDescent="0.25">
      <c r="A1494" t="s">
        <v>11</v>
      </c>
      <c r="B1494" s="9" t="s">
        <v>786</v>
      </c>
      <c r="C1494" s="9" t="s">
        <v>785</v>
      </c>
      <c r="D1494" s="3" t="s">
        <v>2</v>
      </c>
      <c r="E1494" s="8" t="s">
        <v>784</v>
      </c>
      <c r="F1494" s="4" t="s">
        <v>604</v>
      </c>
      <c r="G1494" s="7">
        <v>5</v>
      </c>
      <c r="H1494" s="4">
        <v>1.8E-3</v>
      </c>
      <c r="I1494" s="4">
        <f>ROUND(G1494*H1494,6)</f>
        <v>8.9999999999999993E-3</v>
      </c>
      <c r="L1494" s="6">
        <v>0</v>
      </c>
      <c r="M1494" s="5">
        <f>ROUND(ROUND(L1494,2)*ROUND(G1494,3),2)</f>
        <v>0</v>
      </c>
      <c r="N1494" s="4" t="s">
        <v>501</v>
      </c>
      <c r="O1494">
        <f>(M1494*21)/100</f>
        <v>0</v>
      </c>
      <c r="P1494" t="s">
        <v>6</v>
      </c>
    </row>
    <row r="1495" spans="1:16" ht="13.2" x14ac:dyDescent="0.25">
      <c r="A1495" s="3" t="s">
        <v>5</v>
      </c>
      <c r="E1495" s="1" t="s">
        <v>784</v>
      </c>
    </row>
    <row r="1496" spans="1:16" ht="13.2" x14ac:dyDescent="0.25">
      <c r="A1496" s="3" t="s">
        <v>3</v>
      </c>
      <c r="E1496" s="2" t="s">
        <v>2</v>
      </c>
    </row>
    <row r="1497" spans="1:16" ht="13.2" x14ac:dyDescent="0.25">
      <c r="A1497" t="s">
        <v>1</v>
      </c>
      <c r="E1497" s="1" t="s">
        <v>2</v>
      </c>
    </row>
    <row r="1498" spans="1:16" ht="13.2" x14ac:dyDescent="0.25">
      <c r="A1498" t="s">
        <v>11</v>
      </c>
      <c r="B1498" s="9" t="s">
        <v>783</v>
      </c>
      <c r="C1498" s="9" t="s">
        <v>782</v>
      </c>
      <c r="D1498" s="3" t="s">
        <v>2</v>
      </c>
      <c r="E1498" s="8" t="s">
        <v>781</v>
      </c>
      <c r="F1498" s="4" t="s">
        <v>604</v>
      </c>
      <c r="G1498" s="7">
        <v>1</v>
      </c>
      <c r="H1498" s="4">
        <v>1.8400000000000001E-3</v>
      </c>
      <c r="I1498" s="4">
        <f>ROUND(G1498*H1498,6)</f>
        <v>1.8400000000000001E-3</v>
      </c>
      <c r="L1498" s="6">
        <v>0</v>
      </c>
      <c r="M1498" s="5">
        <f>ROUND(ROUND(L1498,2)*ROUND(G1498,3),2)</f>
        <v>0</v>
      </c>
      <c r="N1498" s="4" t="s">
        <v>501</v>
      </c>
      <c r="O1498">
        <f>(M1498*21)/100</f>
        <v>0</v>
      </c>
      <c r="P1498" t="s">
        <v>6</v>
      </c>
    </row>
    <row r="1499" spans="1:16" ht="13.2" x14ac:dyDescent="0.25">
      <c r="A1499" s="3" t="s">
        <v>5</v>
      </c>
      <c r="E1499" s="1" t="s">
        <v>781</v>
      </c>
    </row>
    <row r="1500" spans="1:16" ht="13.2" x14ac:dyDescent="0.25">
      <c r="A1500" s="3" t="s">
        <v>3</v>
      </c>
      <c r="E1500" s="2" t="s">
        <v>2</v>
      </c>
    </row>
    <row r="1501" spans="1:16" ht="13.2" x14ac:dyDescent="0.25">
      <c r="A1501" t="s">
        <v>1</v>
      </c>
      <c r="E1501" s="1" t="s">
        <v>2</v>
      </c>
    </row>
    <row r="1502" spans="1:16" ht="13.2" x14ac:dyDescent="0.25">
      <c r="A1502" t="s">
        <v>11</v>
      </c>
      <c r="B1502" s="9" t="s">
        <v>780</v>
      </c>
      <c r="C1502" s="9" t="s">
        <v>779</v>
      </c>
      <c r="D1502" s="3" t="s">
        <v>2</v>
      </c>
      <c r="E1502" s="8" t="s">
        <v>778</v>
      </c>
      <c r="F1502" s="4" t="s">
        <v>13</v>
      </c>
      <c r="G1502" s="7">
        <v>5</v>
      </c>
      <c r="H1502" s="4">
        <v>2.4000000000000001E-4</v>
      </c>
      <c r="I1502" s="4">
        <f>ROUND(G1502*H1502,6)</f>
        <v>1.1999999999999999E-3</v>
      </c>
      <c r="L1502" s="6">
        <v>0</v>
      </c>
      <c r="M1502" s="5">
        <f>ROUND(ROUND(L1502,2)*ROUND(G1502,3),2)</f>
        <v>0</v>
      </c>
      <c r="N1502" s="4" t="s">
        <v>501</v>
      </c>
      <c r="O1502">
        <f>(M1502*21)/100</f>
        <v>0</v>
      </c>
      <c r="P1502" t="s">
        <v>6</v>
      </c>
    </row>
    <row r="1503" spans="1:16" ht="13.2" x14ac:dyDescent="0.25">
      <c r="A1503" s="3" t="s">
        <v>5</v>
      </c>
      <c r="E1503" s="1" t="s">
        <v>778</v>
      </c>
    </row>
    <row r="1504" spans="1:16" ht="13.2" x14ac:dyDescent="0.25">
      <c r="A1504" s="3" t="s">
        <v>3</v>
      </c>
      <c r="E1504" s="2" t="s">
        <v>2</v>
      </c>
    </row>
    <row r="1505" spans="1:16" ht="13.2" x14ac:dyDescent="0.25">
      <c r="A1505" t="s">
        <v>1</v>
      </c>
      <c r="E1505" s="1" t="s">
        <v>2</v>
      </c>
    </row>
    <row r="1506" spans="1:16" ht="26.4" x14ac:dyDescent="0.25">
      <c r="A1506" t="s">
        <v>11</v>
      </c>
      <c r="B1506" s="9" t="s">
        <v>777</v>
      </c>
      <c r="C1506" s="9" t="s">
        <v>776</v>
      </c>
      <c r="D1506" s="3" t="s">
        <v>2</v>
      </c>
      <c r="E1506" s="8" t="s">
        <v>775</v>
      </c>
      <c r="F1506" s="4" t="s">
        <v>13</v>
      </c>
      <c r="G1506" s="7">
        <v>1</v>
      </c>
      <c r="H1506" s="4">
        <v>4.6999999999999999E-4</v>
      </c>
      <c r="I1506" s="4">
        <f>ROUND(G1506*H1506,6)</f>
        <v>4.6999999999999999E-4</v>
      </c>
      <c r="L1506" s="6">
        <v>0</v>
      </c>
      <c r="M1506" s="5">
        <f>ROUND(ROUND(L1506,2)*ROUND(G1506,3),2)</f>
        <v>0</v>
      </c>
      <c r="N1506" s="4" t="s">
        <v>501</v>
      </c>
      <c r="O1506">
        <f>(M1506*21)/100</f>
        <v>0</v>
      </c>
      <c r="P1506" t="s">
        <v>6</v>
      </c>
    </row>
    <row r="1507" spans="1:16" ht="26.4" x14ac:dyDescent="0.25">
      <c r="A1507" s="3" t="s">
        <v>5</v>
      </c>
      <c r="E1507" s="1" t="s">
        <v>775</v>
      </c>
    </row>
    <row r="1508" spans="1:16" ht="13.2" x14ac:dyDescent="0.25">
      <c r="A1508" s="3" t="s">
        <v>3</v>
      </c>
      <c r="E1508" s="2" t="s">
        <v>2</v>
      </c>
    </row>
    <row r="1509" spans="1:16" ht="13.2" x14ac:dyDescent="0.25">
      <c r="A1509" t="s">
        <v>1</v>
      </c>
      <c r="E1509" s="1" t="s">
        <v>2</v>
      </c>
    </row>
    <row r="1510" spans="1:16" ht="13.2" x14ac:dyDescent="0.25">
      <c r="A1510" t="s">
        <v>11</v>
      </c>
      <c r="B1510" s="9" t="s">
        <v>774</v>
      </c>
      <c r="C1510" s="9" t="s">
        <v>773</v>
      </c>
      <c r="D1510" s="3" t="s">
        <v>2</v>
      </c>
      <c r="E1510" s="8" t="s">
        <v>772</v>
      </c>
      <c r="F1510" s="4" t="s">
        <v>13</v>
      </c>
      <c r="G1510" s="7">
        <v>10</v>
      </c>
      <c r="H1510" s="4">
        <v>3.1E-4</v>
      </c>
      <c r="I1510" s="4">
        <f>ROUND(G1510*H1510,6)</f>
        <v>3.0999999999999999E-3</v>
      </c>
      <c r="L1510" s="6">
        <v>0</v>
      </c>
      <c r="M1510" s="5">
        <f>ROUND(ROUND(L1510,2)*ROUND(G1510,3),2)</f>
        <v>0</v>
      </c>
      <c r="N1510" s="4" t="s">
        <v>501</v>
      </c>
      <c r="O1510">
        <f>(M1510*21)/100</f>
        <v>0</v>
      </c>
      <c r="P1510" t="s">
        <v>6</v>
      </c>
    </row>
    <row r="1511" spans="1:16" ht="13.2" x14ac:dyDescent="0.25">
      <c r="A1511" s="3" t="s">
        <v>5</v>
      </c>
      <c r="E1511" s="1" t="s">
        <v>772</v>
      </c>
    </row>
    <row r="1512" spans="1:16" ht="13.2" x14ac:dyDescent="0.25">
      <c r="A1512" s="3" t="s">
        <v>3</v>
      </c>
      <c r="E1512" s="2" t="s">
        <v>771</v>
      </c>
    </row>
    <row r="1513" spans="1:16" ht="13.2" x14ac:dyDescent="0.25">
      <c r="A1513" t="s">
        <v>1</v>
      </c>
      <c r="E1513" s="1" t="s">
        <v>2</v>
      </c>
    </row>
    <row r="1514" spans="1:16" ht="26.4" x14ac:dyDescent="0.25">
      <c r="A1514" t="s">
        <v>11</v>
      </c>
      <c r="B1514" s="9" t="s">
        <v>770</v>
      </c>
      <c r="C1514" s="9" t="s">
        <v>769</v>
      </c>
      <c r="D1514" s="3" t="s">
        <v>2</v>
      </c>
      <c r="E1514" s="8" t="s">
        <v>768</v>
      </c>
      <c r="F1514" s="4" t="s">
        <v>542</v>
      </c>
      <c r="G1514" s="7">
        <v>0.183</v>
      </c>
      <c r="H1514" s="4">
        <v>0</v>
      </c>
      <c r="I1514" s="4">
        <f>ROUND(G1514*H1514,6)</f>
        <v>0</v>
      </c>
      <c r="L1514" s="6">
        <v>0</v>
      </c>
      <c r="M1514" s="5">
        <f>ROUND(ROUND(L1514,2)*ROUND(G1514,3),2)</f>
        <v>0</v>
      </c>
      <c r="N1514" s="4" t="s">
        <v>501</v>
      </c>
      <c r="O1514">
        <f>(M1514*21)/100</f>
        <v>0</v>
      </c>
      <c r="P1514" t="s">
        <v>6</v>
      </c>
    </row>
    <row r="1515" spans="1:16" ht="26.4" x14ac:dyDescent="0.25">
      <c r="A1515" s="3" t="s">
        <v>5</v>
      </c>
      <c r="E1515" s="1" t="s">
        <v>768</v>
      </c>
    </row>
    <row r="1516" spans="1:16" ht="13.2" x14ac:dyDescent="0.25">
      <c r="A1516" s="3" t="s">
        <v>3</v>
      </c>
      <c r="E1516" s="2" t="s">
        <v>2</v>
      </c>
    </row>
    <row r="1517" spans="1:16" ht="13.2" x14ac:dyDescent="0.25">
      <c r="A1517" t="s">
        <v>1</v>
      </c>
      <c r="E1517" s="1" t="s">
        <v>2</v>
      </c>
    </row>
    <row r="1518" spans="1:16" ht="39.6" x14ac:dyDescent="0.25">
      <c r="A1518" t="s">
        <v>11</v>
      </c>
      <c r="B1518" s="9" t="s">
        <v>767</v>
      </c>
      <c r="C1518" s="9" t="s">
        <v>766</v>
      </c>
      <c r="D1518" s="3" t="s">
        <v>2</v>
      </c>
      <c r="E1518" s="8" t="s">
        <v>765</v>
      </c>
      <c r="F1518" s="4" t="s">
        <v>542</v>
      </c>
      <c r="G1518" s="7">
        <v>0.183</v>
      </c>
      <c r="H1518" s="4">
        <v>0</v>
      </c>
      <c r="I1518" s="4">
        <f>ROUND(G1518*H1518,6)</f>
        <v>0</v>
      </c>
      <c r="L1518" s="6">
        <v>0</v>
      </c>
      <c r="M1518" s="5">
        <f>ROUND(ROUND(L1518,2)*ROUND(G1518,3),2)</f>
        <v>0</v>
      </c>
      <c r="N1518" s="4" t="s">
        <v>501</v>
      </c>
      <c r="O1518">
        <f>(M1518*21)/100</f>
        <v>0</v>
      </c>
      <c r="P1518" t="s">
        <v>6</v>
      </c>
    </row>
    <row r="1519" spans="1:16" ht="39.6" x14ac:dyDescent="0.25">
      <c r="A1519" s="3" t="s">
        <v>5</v>
      </c>
      <c r="E1519" s="1" t="s">
        <v>764</v>
      </c>
    </row>
    <row r="1520" spans="1:16" ht="13.2" x14ac:dyDescent="0.25">
      <c r="A1520" s="3" t="s">
        <v>3</v>
      </c>
      <c r="E1520" s="2" t="s">
        <v>2</v>
      </c>
    </row>
    <row r="1521" spans="1:16" ht="13.2" x14ac:dyDescent="0.25">
      <c r="A1521" t="s">
        <v>1</v>
      </c>
      <c r="E1521" s="1" t="s">
        <v>2</v>
      </c>
    </row>
    <row r="1522" spans="1:16" ht="13.2" x14ac:dyDescent="0.25">
      <c r="A1522" t="s">
        <v>50</v>
      </c>
      <c r="C1522" s="11" t="s">
        <v>763</v>
      </c>
      <c r="E1522" s="10" t="s">
        <v>762</v>
      </c>
      <c r="J1522" s="5">
        <f>0</f>
        <v>0</v>
      </c>
      <c r="K1522" s="5">
        <f>0</f>
        <v>0</v>
      </c>
      <c r="L1522" s="5">
        <f>0+L1523+L1527+L1531+L1535+L1539+L1543+L1547+L1551+L1555</f>
        <v>0</v>
      </c>
      <c r="M1522" s="5">
        <f>0+M1523+M1527+M1531+M1535+M1539+M1543+M1547+M1551+M1555</f>
        <v>0</v>
      </c>
    </row>
    <row r="1523" spans="1:16" ht="13.2" x14ac:dyDescent="0.25">
      <c r="A1523" t="s">
        <v>11</v>
      </c>
      <c r="B1523" s="9" t="s">
        <v>761</v>
      </c>
      <c r="C1523" s="9" t="s">
        <v>760</v>
      </c>
      <c r="D1523" s="3" t="s">
        <v>2</v>
      </c>
      <c r="E1523" s="8" t="s">
        <v>759</v>
      </c>
      <c r="F1523" s="4" t="s">
        <v>13</v>
      </c>
      <c r="G1523" s="7">
        <v>1</v>
      </c>
      <c r="H1523" s="4">
        <v>5.0000000000000001E-4</v>
      </c>
      <c r="I1523" s="4">
        <f>ROUND(G1523*H1523,6)</f>
        <v>5.0000000000000001E-4</v>
      </c>
      <c r="L1523" s="6">
        <v>0</v>
      </c>
      <c r="M1523" s="5">
        <f>ROUND(ROUND(L1523,2)*ROUND(G1523,3),2)</f>
        <v>0</v>
      </c>
      <c r="N1523" s="4" t="s">
        <v>501</v>
      </c>
      <c r="O1523">
        <f>(M1523*21)/100</f>
        <v>0</v>
      </c>
      <c r="P1523" t="s">
        <v>6</v>
      </c>
    </row>
    <row r="1524" spans="1:16" ht="13.2" x14ac:dyDescent="0.25">
      <c r="A1524" s="3" t="s">
        <v>5</v>
      </c>
      <c r="E1524" s="1" t="s">
        <v>759</v>
      </c>
    </row>
    <row r="1525" spans="1:16" ht="13.2" x14ac:dyDescent="0.25">
      <c r="A1525" s="3" t="s">
        <v>3</v>
      </c>
      <c r="E1525" s="2" t="s">
        <v>2</v>
      </c>
    </row>
    <row r="1526" spans="1:16" ht="13.2" x14ac:dyDescent="0.25">
      <c r="A1526" t="s">
        <v>1</v>
      </c>
      <c r="E1526" s="1" t="s">
        <v>759</v>
      </c>
    </row>
    <row r="1527" spans="1:16" ht="26.4" x14ac:dyDescent="0.25">
      <c r="A1527" t="s">
        <v>11</v>
      </c>
      <c r="B1527" s="9" t="s">
        <v>758</v>
      </c>
      <c r="C1527" s="9" t="s">
        <v>757</v>
      </c>
      <c r="D1527" s="3" t="s">
        <v>2</v>
      </c>
      <c r="E1527" s="8" t="s">
        <v>756</v>
      </c>
      <c r="F1527" s="4" t="s">
        <v>604</v>
      </c>
      <c r="G1527" s="7">
        <v>5</v>
      </c>
      <c r="H1527" s="4">
        <v>1.2E-2</v>
      </c>
      <c r="I1527" s="4">
        <f>ROUND(G1527*H1527,6)</f>
        <v>0.06</v>
      </c>
      <c r="L1527" s="6">
        <v>0</v>
      </c>
      <c r="M1527" s="5">
        <f>ROUND(ROUND(L1527,2)*ROUND(G1527,3),2)</f>
        <v>0</v>
      </c>
      <c r="N1527" s="4" t="s">
        <v>501</v>
      </c>
      <c r="O1527">
        <f>(M1527*21)/100</f>
        <v>0</v>
      </c>
      <c r="P1527" t="s">
        <v>6</v>
      </c>
    </row>
    <row r="1528" spans="1:16" ht="26.4" x14ac:dyDescent="0.25">
      <c r="A1528" s="3" t="s">
        <v>5</v>
      </c>
      <c r="E1528" s="1" t="s">
        <v>756</v>
      </c>
    </row>
    <row r="1529" spans="1:16" ht="13.2" x14ac:dyDescent="0.25">
      <c r="A1529" s="3" t="s">
        <v>3</v>
      </c>
      <c r="E1529" s="2" t="s">
        <v>2</v>
      </c>
    </row>
    <row r="1530" spans="1:16" ht="13.2" x14ac:dyDescent="0.25">
      <c r="A1530" t="s">
        <v>1</v>
      </c>
      <c r="E1530" s="1" t="s">
        <v>2</v>
      </c>
    </row>
    <row r="1531" spans="1:16" ht="26.4" x14ac:dyDescent="0.25">
      <c r="A1531" t="s">
        <v>11</v>
      </c>
      <c r="B1531" s="9" t="s">
        <v>755</v>
      </c>
      <c r="C1531" s="9" t="s">
        <v>754</v>
      </c>
      <c r="D1531" s="3" t="s">
        <v>2</v>
      </c>
      <c r="E1531" s="8" t="s">
        <v>753</v>
      </c>
      <c r="F1531" s="4" t="s">
        <v>604</v>
      </c>
      <c r="G1531" s="7">
        <v>1</v>
      </c>
      <c r="H1531" s="4">
        <v>1.5599999999999999E-2</v>
      </c>
      <c r="I1531" s="4">
        <f>ROUND(G1531*H1531,6)</f>
        <v>1.5599999999999999E-2</v>
      </c>
      <c r="L1531" s="6">
        <v>0</v>
      </c>
      <c r="M1531" s="5">
        <f>ROUND(ROUND(L1531,2)*ROUND(G1531,3),2)</f>
        <v>0</v>
      </c>
      <c r="N1531" s="4" t="s">
        <v>501</v>
      </c>
      <c r="O1531">
        <f>(M1531*21)/100</f>
        <v>0</v>
      </c>
      <c r="P1531" t="s">
        <v>6</v>
      </c>
    </row>
    <row r="1532" spans="1:16" ht="26.4" x14ac:dyDescent="0.25">
      <c r="A1532" s="3" t="s">
        <v>5</v>
      </c>
      <c r="E1532" s="1" t="s">
        <v>753</v>
      </c>
    </row>
    <row r="1533" spans="1:16" ht="13.2" x14ac:dyDescent="0.25">
      <c r="A1533" s="3" t="s">
        <v>3</v>
      </c>
      <c r="E1533" s="2" t="s">
        <v>2</v>
      </c>
    </row>
    <row r="1534" spans="1:16" ht="13.2" x14ac:dyDescent="0.25">
      <c r="A1534" t="s">
        <v>1</v>
      </c>
      <c r="E1534" s="1" t="s">
        <v>2</v>
      </c>
    </row>
    <row r="1535" spans="1:16" ht="26.4" x14ac:dyDescent="0.25">
      <c r="A1535" t="s">
        <v>11</v>
      </c>
      <c r="B1535" s="9" t="s">
        <v>752</v>
      </c>
      <c r="C1535" s="9" t="s">
        <v>751</v>
      </c>
      <c r="D1535" s="3" t="s">
        <v>2</v>
      </c>
      <c r="E1535" s="8" t="s">
        <v>750</v>
      </c>
      <c r="F1535" s="4" t="s">
        <v>604</v>
      </c>
      <c r="G1535" s="7">
        <v>1</v>
      </c>
      <c r="H1535" s="4">
        <v>1.6650000000000002E-2</v>
      </c>
      <c r="I1535" s="4">
        <f>ROUND(G1535*H1535,6)</f>
        <v>1.6650000000000002E-2</v>
      </c>
      <c r="L1535" s="6">
        <v>0</v>
      </c>
      <c r="M1535" s="5">
        <f>ROUND(ROUND(L1535,2)*ROUND(G1535,3),2)</f>
        <v>0</v>
      </c>
      <c r="N1535" s="4" t="s">
        <v>501</v>
      </c>
      <c r="O1535">
        <f>(M1535*21)/100</f>
        <v>0</v>
      </c>
      <c r="P1535" t="s">
        <v>6</v>
      </c>
    </row>
    <row r="1536" spans="1:16" ht="26.4" x14ac:dyDescent="0.25">
      <c r="A1536" s="3" t="s">
        <v>5</v>
      </c>
      <c r="E1536" s="1" t="s">
        <v>750</v>
      </c>
    </row>
    <row r="1537" spans="1:16" ht="13.2" x14ac:dyDescent="0.25">
      <c r="A1537" s="3" t="s">
        <v>3</v>
      </c>
      <c r="E1537" s="2" t="s">
        <v>2</v>
      </c>
    </row>
    <row r="1538" spans="1:16" ht="13.2" x14ac:dyDescent="0.25">
      <c r="A1538" t="s">
        <v>1</v>
      </c>
      <c r="E1538" s="1" t="s">
        <v>2</v>
      </c>
    </row>
    <row r="1539" spans="1:16" ht="13.2" x14ac:dyDescent="0.25">
      <c r="A1539" t="s">
        <v>11</v>
      </c>
      <c r="B1539" s="9" t="s">
        <v>749</v>
      </c>
      <c r="C1539" s="9" t="s">
        <v>748</v>
      </c>
      <c r="D1539" s="3" t="s">
        <v>2</v>
      </c>
      <c r="E1539" s="8" t="s">
        <v>747</v>
      </c>
      <c r="F1539" s="4" t="s">
        <v>604</v>
      </c>
      <c r="G1539" s="7">
        <v>2</v>
      </c>
      <c r="H1539" s="4">
        <v>1.4999999999999999E-4</v>
      </c>
      <c r="I1539" s="4">
        <f>ROUND(G1539*H1539,6)</f>
        <v>2.9999999999999997E-4</v>
      </c>
      <c r="L1539" s="6">
        <v>0</v>
      </c>
      <c r="M1539" s="5">
        <f>ROUND(ROUND(L1539,2)*ROUND(G1539,3),2)</f>
        <v>0</v>
      </c>
      <c r="N1539" s="4" t="s">
        <v>501</v>
      </c>
      <c r="O1539">
        <f>(M1539*21)/100</f>
        <v>0</v>
      </c>
      <c r="P1539" t="s">
        <v>6</v>
      </c>
    </row>
    <row r="1540" spans="1:16" ht="13.2" x14ac:dyDescent="0.25">
      <c r="A1540" s="3" t="s">
        <v>5</v>
      </c>
      <c r="E1540" s="1" t="s">
        <v>747</v>
      </c>
    </row>
    <row r="1541" spans="1:16" ht="13.2" x14ac:dyDescent="0.25">
      <c r="A1541" s="3" t="s">
        <v>3</v>
      </c>
      <c r="E1541" s="2" t="s">
        <v>2</v>
      </c>
    </row>
    <row r="1542" spans="1:16" ht="13.2" x14ac:dyDescent="0.25">
      <c r="A1542" t="s">
        <v>1</v>
      </c>
      <c r="E1542" s="1" t="s">
        <v>2</v>
      </c>
    </row>
    <row r="1543" spans="1:16" ht="39.6" x14ac:dyDescent="0.25">
      <c r="A1543" t="s">
        <v>11</v>
      </c>
      <c r="B1543" s="9" t="s">
        <v>746</v>
      </c>
      <c r="C1543" s="9" t="s">
        <v>745</v>
      </c>
      <c r="D1543" s="3" t="s">
        <v>2</v>
      </c>
      <c r="E1543" s="8" t="s">
        <v>744</v>
      </c>
      <c r="F1543" s="4" t="s">
        <v>542</v>
      </c>
      <c r="G1543" s="7">
        <v>0.113</v>
      </c>
      <c r="H1543" s="4">
        <v>0</v>
      </c>
      <c r="I1543" s="4">
        <f>ROUND(G1543*H1543,6)</f>
        <v>0</v>
      </c>
      <c r="L1543" s="6">
        <v>0</v>
      </c>
      <c r="M1543" s="5">
        <f>ROUND(ROUND(L1543,2)*ROUND(G1543,3),2)</f>
        <v>0</v>
      </c>
      <c r="N1543" s="4" t="s">
        <v>501</v>
      </c>
      <c r="O1543">
        <f>(M1543*21)/100</f>
        <v>0</v>
      </c>
      <c r="P1543" t="s">
        <v>6</v>
      </c>
    </row>
    <row r="1544" spans="1:16" ht="39.6" x14ac:dyDescent="0.25">
      <c r="A1544" s="3" t="s">
        <v>5</v>
      </c>
      <c r="E1544" s="1" t="s">
        <v>744</v>
      </c>
    </row>
    <row r="1545" spans="1:16" ht="13.2" x14ac:dyDescent="0.25">
      <c r="A1545" s="3" t="s">
        <v>3</v>
      </c>
      <c r="E1545" s="2" t="s">
        <v>2</v>
      </c>
    </row>
    <row r="1546" spans="1:16" ht="13.2" x14ac:dyDescent="0.25">
      <c r="A1546" t="s">
        <v>1</v>
      </c>
      <c r="E1546" s="1" t="s">
        <v>2</v>
      </c>
    </row>
    <row r="1547" spans="1:16" ht="39.6" x14ac:dyDescent="0.25">
      <c r="A1547" t="s">
        <v>11</v>
      </c>
      <c r="B1547" s="9" t="s">
        <v>743</v>
      </c>
      <c r="C1547" s="9" t="s">
        <v>742</v>
      </c>
      <c r="D1547" s="3" t="s">
        <v>2</v>
      </c>
      <c r="E1547" s="8" t="s">
        <v>741</v>
      </c>
      <c r="F1547" s="4" t="s">
        <v>542</v>
      </c>
      <c r="G1547" s="7">
        <v>0.113</v>
      </c>
      <c r="H1547" s="4">
        <v>0</v>
      </c>
      <c r="I1547" s="4">
        <f>ROUND(G1547*H1547,6)</f>
        <v>0</v>
      </c>
      <c r="L1547" s="6">
        <v>0</v>
      </c>
      <c r="M1547" s="5">
        <f>ROUND(ROUND(L1547,2)*ROUND(G1547,3),2)</f>
        <v>0</v>
      </c>
      <c r="N1547" s="4" t="s">
        <v>501</v>
      </c>
      <c r="O1547">
        <f>(M1547*21)/100</f>
        <v>0</v>
      </c>
      <c r="P1547" t="s">
        <v>6</v>
      </c>
    </row>
    <row r="1548" spans="1:16" ht="39.6" x14ac:dyDescent="0.25">
      <c r="A1548" s="3" t="s">
        <v>5</v>
      </c>
      <c r="E1548" s="1" t="s">
        <v>740</v>
      </c>
    </row>
    <row r="1549" spans="1:16" ht="13.2" x14ac:dyDescent="0.25">
      <c r="A1549" s="3" t="s">
        <v>3</v>
      </c>
      <c r="E1549" s="2" t="s">
        <v>2</v>
      </c>
    </row>
    <row r="1550" spans="1:16" ht="13.2" x14ac:dyDescent="0.25">
      <c r="A1550" t="s">
        <v>1</v>
      </c>
      <c r="E1550" s="1" t="s">
        <v>2</v>
      </c>
    </row>
    <row r="1551" spans="1:16" ht="13.2" x14ac:dyDescent="0.25">
      <c r="A1551" t="s">
        <v>11</v>
      </c>
      <c r="B1551" s="9" t="s">
        <v>739</v>
      </c>
      <c r="C1551" s="9" t="s">
        <v>738</v>
      </c>
      <c r="D1551" s="3" t="s">
        <v>2</v>
      </c>
      <c r="E1551" s="8" t="s">
        <v>737</v>
      </c>
      <c r="F1551" s="4" t="s">
        <v>604</v>
      </c>
      <c r="G1551" s="7">
        <v>1</v>
      </c>
      <c r="H1551" s="4">
        <v>1.2E-2</v>
      </c>
      <c r="I1551" s="4">
        <f>ROUND(G1551*H1551,6)</f>
        <v>1.2E-2</v>
      </c>
      <c r="L1551" s="6">
        <v>0</v>
      </c>
      <c r="M1551" s="5">
        <f>ROUND(ROUND(L1551,2)*ROUND(G1551,3),2)</f>
        <v>0</v>
      </c>
      <c r="N1551" s="4" t="s">
        <v>7</v>
      </c>
      <c r="O1551">
        <f>(M1551*21)/100</f>
        <v>0</v>
      </c>
      <c r="P1551" t="s">
        <v>6</v>
      </c>
    </row>
    <row r="1552" spans="1:16" ht="13.2" x14ac:dyDescent="0.25">
      <c r="A1552" s="3" t="s">
        <v>5</v>
      </c>
      <c r="E1552" s="1" t="s">
        <v>737</v>
      </c>
    </row>
    <row r="1553" spans="1:16" ht="13.2" x14ac:dyDescent="0.25">
      <c r="A1553" s="3" t="s">
        <v>3</v>
      </c>
      <c r="E1553" s="2" t="s">
        <v>2</v>
      </c>
    </row>
    <row r="1554" spans="1:16" ht="66" x14ac:dyDescent="0.25">
      <c r="A1554" t="s">
        <v>1</v>
      </c>
      <c r="E1554" s="1" t="s">
        <v>736</v>
      </c>
    </row>
    <row r="1555" spans="1:16" ht="13.2" x14ac:dyDescent="0.25">
      <c r="A1555" t="s">
        <v>11</v>
      </c>
      <c r="B1555" s="9" t="s">
        <v>735</v>
      </c>
      <c r="C1555" s="9" t="s">
        <v>734</v>
      </c>
      <c r="D1555" s="3" t="s">
        <v>2</v>
      </c>
      <c r="E1555" s="8" t="s">
        <v>733</v>
      </c>
      <c r="F1555" s="4" t="s">
        <v>604</v>
      </c>
      <c r="G1555" s="7">
        <v>1</v>
      </c>
      <c r="H1555" s="4">
        <v>8.0000000000000002E-3</v>
      </c>
      <c r="I1555" s="4">
        <f>ROUND(G1555*H1555,6)</f>
        <v>8.0000000000000002E-3</v>
      </c>
      <c r="L1555" s="6">
        <v>0</v>
      </c>
      <c r="M1555" s="5">
        <f>ROUND(ROUND(L1555,2)*ROUND(G1555,3),2)</f>
        <v>0</v>
      </c>
      <c r="N1555" s="4" t="s">
        <v>7</v>
      </c>
      <c r="O1555">
        <f>(M1555*21)/100</f>
        <v>0</v>
      </c>
      <c r="P1555" t="s">
        <v>6</v>
      </c>
    </row>
    <row r="1556" spans="1:16" ht="13.2" x14ac:dyDescent="0.25">
      <c r="A1556" s="3" t="s">
        <v>5</v>
      </c>
      <c r="E1556" s="1" t="s">
        <v>733</v>
      </c>
    </row>
    <row r="1557" spans="1:16" ht="13.2" x14ac:dyDescent="0.25">
      <c r="A1557" s="3" t="s">
        <v>3</v>
      </c>
      <c r="E1557" s="2" t="s">
        <v>2</v>
      </c>
    </row>
    <row r="1558" spans="1:16" ht="66" x14ac:dyDescent="0.25">
      <c r="A1558" t="s">
        <v>1</v>
      </c>
      <c r="E1558" s="1" t="s">
        <v>732</v>
      </c>
    </row>
    <row r="1559" spans="1:16" ht="13.2" x14ac:dyDescent="0.25">
      <c r="A1559" t="s">
        <v>50</v>
      </c>
      <c r="C1559" s="11" t="s">
        <v>613</v>
      </c>
      <c r="E1559" s="10" t="s">
        <v>612</v>
      </c>
      <c r="J1559" s="5">
        <f>0</f>
        <v>0</v>
      </c>
      <c r="K1559" s="5">
        <f>0</f>
        <v>0</v>
      </c>
      <c r="L1559" s="5">
        <f>0+L1560+L1564+L1568</f>
        <v>0</v>
      </c>
      <c r="M1559" s="5">
        <f>0+M1560+M1564+M1568</f>
        <v>0</v>
      </c>
    </row>
    <row r="1560" spans="1:16" ht="26.4" x14ac:dyDescent="0.25">
      <c r="A1560" t="s">
        <v>11</v>
      </c>
      <c r="B1560" s="9" t="s">
        <v>731</v>
      </c>
      <c r="C1560" s="9" t="s">
        <v>730</v>
      </c>
      <c r="D1560" s="3" t="s">
        <v>2</v>
      </c>
      <c r="E1560" s="8" t="s">
        <v>729</v>
      </c>
      <c r="F1560" s="4" t="s">
        <v>604</v>
      </c>
      <c r="G1560" s="7">
        <v>1</v>
      </c>
      <c r="H1560" s="4">
        <v>3.9199999999999999E-3</v>
      </c>
      <c r="I1560" s="4">
        <f>ROUND(G1560*H1560,6)</f>
        <v>3.9199999999999999E-3</v>
      </c>
      <c r="L1560" s="6">
        <v>0</v>
      </c>
      <c r="M1560" s="5">
        <f>ROUND(ROUND(L1560,2)*ROUND(G1560,3),2)</f>
        <v>0</v>
      </c>
      <c r="N1560" s="4" t="s">
        <v>501</v>
      </c>
      <c r="O1560">
        <f>(M1560*21)/100</f>
        <v>0</v>
      </c>
      <c r="P1560" t="s">
        <v>6</v>
      </c>
    </row>
    <row r="1561" spans="1:16" ht="26.4" x14ac:dyDescent="0.25">
      <c r="A1561" s="3" t="s">
        <v>5</v>
      </c>
      <c r="E1561" s="1" t="s">
        <v>729</v>
      </c>
    </row>
    <row r="1562" spans="1:16" ht="13.2" x14ac:dyDescent="0.25">
      <c r="A1562" s="3" t="s">
        <v>3</v>
      </c>
      <c r="E1562" s="2" t="s">
        <v>2</v>
      </c>
    </row>
    <row r="1563" spans="1:16" ht="13.2" x14ac:dyDescent="0.25">
      <c r="A1563" t="s">
        <v>1</v>
      </c>
      <c r="E1563" s="1" t="s">
        <v>2</v>
      </c>
    </row>
    <row r="1564" spans="1:16" ht="26.4" x14ac:dyDescent="0.25">
      <c r="A1564" t="s">
        <v>11</v>
      </c>
      <c r="B1564" s="9" t="s">
        <v>728</v>
      </c>
      <c r="C1564" s="9" t="s">
        <v>727</v>
      </c>
      <c r="D1564" s="3" t="s">
        <v>2</v>
      </c>
      <c r="E1564" s="8" t="s">
        <v>726</v>
      </c>
      <c r="F1564" s="4" t="s">
        <v>542</v>
      </c>
      <c r="G1564" s="7">
        <v>4.0000000000000001E-3</v>
      </c>
      <c r="H1564" s="4">
        <v>0</v>
      </c>
      <c r="I1564" s="4">
        <f>ROUND(G1564*H1564,6)</f>
        <v>0</v>
      </c>
      <c r="L1564" s="6">
        <v>0</v>
      </c>
      <c r="M1564" s="5">
        <f>ROUND(ROUND(L1564,2)*ROUND(G1564,3),2)</f>
        <v>0</v>
      </c>
      <c r="N1564" s="4" t="s">
        <v>501</v>
      </c>
      <c r="O1564">
        <f>(M1564*21)/100</f>
        <v>0</v>
      </c>
      <c r="P1564" t="s">
        <v>6</v>
      </c>
    </row>
    <row r="1565" spans="1:16" ht="26.4" x14ac:dyDescent="0.25">
      <c r="A1565" s="3" t="s">
        <v>5</v>
      </c>
      <c r="E1565" s="1" t="s">
        <v>726</v>
      </c>
    </row>
    <row r="1566" spans="1:16" ht="13.2" x14ac:dyDescent="0.25">
      <c r="A1566" s="3" t="s">
        <v>3</v>
      </c>
      <c r="E1566" s="2" t="s">
        <v>2</v>
      </c>
    </row>
    <row r="1567" spans="1:16" ht="13.2" x14ac:dyDescent="0.25">
      <c r="A1567" t="s">
        <v>1</v>
      </c>
      <c r="E1567" s="1" t="s">
        <v>2</v>
      </c>
    </row>
    <row r="1568" spans="1:16" ht="26.4" x14ac:dyDescent="0.25">
      <c r="A1568" t="s">
        <v>11</v>
      </c>
      <c r="B1568" s="9" t="s">
        <v>725</v>
      </c>
      <c r="C1568" s="9" t="s">
        <v>724</v>
      </c>
      <c r="D1568" s="3" t="s">
        <v>2</v>
      </c>
      <c r="E1568" s="8" t="s">
        <v>723</v>
      </c>
      <c r="F1568" s="4" t="s">
        <v>542</v>
      </c>
      <c r="G1568" s="7">
        <v>4.0000000000000001E-3</v>
      </c>
      <c r="H1568" s="4">
        <v>0</v>
      </c>
      <c r="I1568" s="4">
        <f>ROUND(G1568*H1568,6)</f>
        <v>0</v>
      </c>
      <c r="L1568" s="6">
        <v>0</v>
      </c>
      <c r="M1568" s="5">
        <f>ROUND(ROUND(L1568,2)*ROUND(G1568,3),2)</f>
        <v>0</v>
      </c>
      <c r="N1568" s="4" t="s">
        <v>501</v>
      </c>
      <c r="O1568">
        <f>(M1568*21)/100</f>
        <v>0</v>
      </c>
      <c r="P1568" t="s">
        <v>6</v>
      </c>
    </row>
    <row r="1569" spans="1:16" ht="26.4" x14ac:dyDescent="0.25">
      <c r="A1569" s="3" t="s">
        <v>5</v>
      </c>
      <c r="E1569" s="1" t="s">
        <v>722</v>
      </c>
    </row>
    <row r="1570" spans="1:16" ht="13.2" x14ac:dyDescent="0.25">
      <c r="A1570" s="3" t="s">
        <v>3</v>
      </c>
      <c r="E1570" s="2" t="s">
        <v>2</v>
      </c>
    </row>
    <row r="1571" spans="1:16" ht="13.2" x14ac:dyDescent="0.25">
      <c r="A1571" t="s">
        <v>1</v>
      </c>
      <c r="E1571" s="1" t="s">
        <v>2</v>
      </c>
    </row>
    <row r="1572" spans="1:16" ht="13.2" x14ac:dyDescent="0.25">
      <c r="A1572" t="s">
        <v>50</v>
      </c>
      <c r="C1572" s="11" t="s">
        <v>568</v>
      </c>
      <c r="E1572" s="10" t="s">
        <v>567</v>
      </c>
      <c r="J1572" s="5">
        <f>0</f>
        <v>0</v>
      </c>
      <c r="K1572" s="5">
        <f>0</f>
        <v>0</v>
      </c>
      <c r="L1572" s="5">
        <f>0+L1573+L1577+L1581+L1585</f>
        <v>0</v>
      </c>
      <c r="M1572" s="5">
        <f>0+M1573+M1577+M1581+M1585</f>
        <v>0</v>
      </c>
    </row>
    <row r="1573" spans="1:16" ht="13.2" x14ac:dyDescent="0.25">
      <c r="A1573" t="s">
        <v>11</v>
      </c>
      <c r="B1573" s="9" t="s">
        <v>721</v>
      </c>
      <c r="C1573" s="9" t="s">
        <v>720</v>
      </c>
      <c r="D1573" s="3" t="s">
        <v>2</v>
      </c>
      <c r="E1573" s="8" t="s">
        <v>719</v>
      </c>
      <c r="F1573" s="4" t="s">
        <v>13</v>
      </c>
      <c r="G1573" s="7">
        <v>1</v>
      </c>
      <c r="H1573" s="4">
        <v>2.5000000000000001E-4</v>
      </c>
      <c r="I1573" s="4">
        <f>ROUND(G1573*H1573,6)</f>
        <v>2.5000000000000001E-4</v>
      </c>
      <c r="L1573" s="6">
        <v>0</v>
      </c>
      <c r="M1573" s="5">
        <f>ROUND(ROUND(L1573,2)*ROUND(G1573,3),2)</f>
        <v>0</v>
      </c>
      <c r="N1573" s="4" t="s">
        <v>501</v>
      </c>
      <c r="O1573">
        <f>(M1573*21)/100</f>
        <v>0</v>
      </c>
      <c r="P1573" t="s">
        <v>6</v>
      </c>
    </row>
    <row r="1574" spans="1:16" ht="13.2" x14ac:dyDescent="0.25">
      <c r="A1574" s="3" t="s">
        <v>5</v>
      </c>
      <c r="E1574" s="1" t="s">
        <v>719</v>
      </c>
    </row>
    <row r="1575" spans="1:16" ht="13.2" x14ac:dyDescent="0.25">
      <c r="A1575" s="3" t="s">
        <v>3</v>
      </c>
      <c r="E1575" s="2" t="s">
        <v>2</v>
      </c>
    </row>
    <row r="1576" spans="1:16" ht="13.2" x14ac:dyDescent="0.25">
      <c r="A1576" t="s">
        <v>1</v>
      </c>
      <c r="E1576" s="1" t="s">
        <v>2</v>
      </c>
    </row>
    <row r="1577" spans="1:16" ht="26.4" x14ac:dyDescent="0.25">
      <c r="A1577" t="s">
        <v>11</v>
      </c>
      <c r="B1577" s="9" t="s">
        <v>718</v>
      </c>
      <c r="C1577" s="9" t="s">
        <v>545</v>
      </c>
      <c r="D1577" s="3" t="s">
        <v>2</v>
      </c>
      <c r="E1577" s="8" t="s">
        <v>544</v>
      </c>
      <c r="F1577" s="4" t="s">
        <v>542</v>
      </c>
      <c r="G1577" s="7">
        <v>1.2E-2</v>
      </c>
      <c r="H1577" s="4">
        <v>0</v>
      </c>
      <c r="I1577" s="4">
        <f>ROUND(G1577*H1577,6)</f>
        <v>0</v>
      </c>
      <c r="L1577" s="6">
        <v>0</v>
      </c>
      <c r="M1577" s="5">
        <f>ROUND(ROUND(L1577,2)*ROUND(G1577,3),2)</f>
        <v>0</v>
      </c>
      <c r="N1577" s="4" t="s">
        <v>501</v>
      </c>
      <c r="O1577">
        <f>(M1577*21)/100</f>
        <v>0</v>
      </c>
      <c r="P1577" t="s">
        <v>6</v>
      </c>
    </row>
    <row r="1578" spans="1:16" ht="26.4" x14ac:dyDescent="0.25">
      <c r="A1578" s="3" t="s">
        <v>5</v>
      </c>
      <c r="E1578" s="1" t="s">
        <v>544</v>
      </c>
    </row>
    <row r="1579" spans="1:16" ht="13.2" x14ac:dyDescent="0.25">
      <c r="A1579" s="3" t="s">
        <v>3</v>
      </c>
      <c r="E1579" s="2" t="s">
        <v>2</v>
      </c>
    </row>
    <row r="1580" spans="1:16" ht="13.2" x14ac:dyDescent="0.25">
      <c r="A1580" t="s">
        <v>1</v>
      </c>
      <c r="E1580" s="1" t="s">
        <v>2</v>
      </c>
    </row>
    <row r="1581" spans="1:16" ht="26.4" x14ac:dyDescent="0.25">
      <c r="A1581" t="s">
        <v>11</v>
      </c>
      <c r="B1581" s="9" t="s">
        <v>717</v>
      </c>
      <c r="C1581" s="9" t="s">
        <v>716</v>
      </c>
      <c r="D1581" s="3" t="s">
        <v>2</v>
      </c>
      <c r="E1581" s="8" t="s">
        <v>715</v>
      </c>
      <c r="F1581" s="4" t="s">
        <v>542</v>
      </c>
      <c r="G1581" s="7">
        <v>1.2E-2</v>
      </c>
      <c r="H1581" s="4">
        <v>0</v>
      </c>
      <c r="I1581" s="4">
        <f>ROUND(G1581*H1581,6)</f>
        <v>0</v>
      </c>
      <c r="L1581" s="6">
        <v>0</v>
      </c>
      <c r="M1581" s="5">
        <f>ROUND(ROUND(L1581,2)*ROUND(G1581,3),2)</f>
        <v>0</v>
      </c>
      <c r="N1581" s="4" t="s">
        <v>501</v>
      </c>
      <c r="O1581">
        <f>(M1581*21)/100</f>
        <v>0</v>
      </c>
      <c r="P1581" t="s">
        <v>6</v>
      </c>
    </row>
    <row r="1582" spans="1:16" ht="26.4" x14ac:dyDescent="0.25">
      <c r="A1582" s="3" t="s">
        <v>5</v>
      </c>
      <c r="E1582" s="1" t="s">
        <v>714</v>
      </c>
    </row>
    <row r="1583" spans="1:16" ht="13.2" x14ac:dyDescent="0.25">
      <c r="A1583" s="3" t="s">
        <v>3</v>
      </c>
      <c r="E1583" s="2" t="s">
        <v>2</v>
      </c>
    </row>
    <row r="1584" spans="1:16" ht="13.2" x14ac:dyDescent="0.25">
      <c r="A1584" t="s">
        <v>1</v>
      </c>
      <c r="E1584" s="1" t="s">
        <v>2</v>
      </c>
    </row>
    <row r="1585" spans="1:16" ht="13.2" x14ac:dyDescent="0.25">
      <c r="A1585" t="s">
        <v>11</v>
      </c>
      <c r="B1585" s="9" t="s">
        <v>713</v>
      </c>
      <c r="C1585" s="9" t="s">
        <v>712</v>
      </c>
      <c r="D1585" s="3" t="s">
        <v>2</v>
      </c>
      <c r="E1585" s="8" t="s">
        <v>711</v>
      </c>
      <c r="F1585" s="4" t="s">
        <v>13</v>
      </c>
      <c r="G1585" s="7">
        <v>4</v>
      </c>
      <c r="H1585" s="4">
        <v>2.97E-3</v>
      </c>
      <c r="I1585" s="4">
        <f>ROUND(G1585*H1585,6)</f>
        <v>1.188E-2</v>
      </c>
      <c r="L1585" s="6">
        <v>0</v>
      </c>
      <c r="M1585" s="5">
        <f>ROUND(ROUND(L1585,2)*ROUND(G1585,3),2)</f>
        <v>0</v>
      </c>
      <c r="N1585" s="4" t="s">
        <v>7</v>
      </c>
      <c r="O1585">
        <f>(M1585*21)/100</f>
        <v>0</v>
      </c>
      <c r="P1585" t="s">
        <v>6</v>
      </c>
    </row>
    <row r="1586" spans="1:16" ht="13.2" x14ac:dyDescent="0.25">
      <c r="A1586" s="3" t="s">
        <v>5</v>
      </c>
      <c r="E1586" s="1" t="s">
        <v>711</v>
      </c>
    </row>
    <row r="1587" spans="1:16" ht="13.2" x14ac:dyDescent="0.25">
      <c r="A1587" s="3" t="s">
        <v>3</v>
      </c>
      <c r="E1587" s="2" t="s">
        <v>2</v>
      </c>
    </row>
    <row r="1588" spans="1:16" ht="66" x14ac:dyDescent="0.25">
      <c r="A1588" t="s">
        <v>1</v>
      </c>
      <c r="E1588" s="1" t="s">
        <v>710</v>
      </c>
    </row>
    <row r="1589" spans="1:16" ht="13.2" x14ac:dyDescent="0.25">
      <c r="A1589" t="s">
        <v>50</v>
      </c>
      <c r="C1589" s="11" t="s">
        <v>460</v>
      </c>
      <c r="E1589" s="10" t="s">
        <v>459</v>
      </c>
      <c r="J1589" s="5">
        <f>0</f>
        <v>0</v>
      </c>
      <c r="K1589" s="5">
        <f>0</f>
        <v>0</v>
      </c>
      <c r="L1589" s="5">
        <f>0+L1590+L1594+L1598+L1602+L1606+L1610+L1614</f>
        <v>0</v>
      </c>
      <c r="M1589" s="5">
        <f>0+M1590+M1594+M1598+M1602+M1606+M1610+M1614</f>
        <v>0</v>
      </c>
    </row>
    <row r="1590" spans="1:16" ht="13.2" x14ac:dyDescent="0.25">
      <c r="A1590" t="s">
        <v>11</v>
      </c>
      <c r="B1590" s="9" t="s">
        <v>709</v>
      </c>
      <c r="C1590" s="9" t="s">
        <v>708</v>
      </c>
      <c r="D1590" s="3" t="s">
        <v>2</v>
      </c>
      <c r="E1590" s="8" t="s">
        <v>707</v>
      </c>
      <c r="F1590" s="4" t="s">
        <v>13</v>
      </c>
      <c r="G1590" s="7">
        <v>1</v>
      </c>
      <c r="H1590" s="4">
        <v>1.0200000000000001E-2</v>
      </c>
      <c r="I1590" s="4">
        <f>ROUND(G1590*H1590,6)</f>
        <v>1.0200000000000001E-2</v>
      </c>
      <c r="L1590" s="6">
        <v>0</v>
      </c>
      <c r="M1590" s="5">
        <f>ROUND(ROUND(L1590,2)*ROUND(G1590,3),2)</f>
        <v>0</v>
      </c>
      <c r="N1590" s="4" t="s">
        <v>501</v>
      </c>
      <c r="O1590">
        <f>(M1590*21)/100</f>
        <v>0</v>
      </c>
      <c r="P1590" t="s">
        <v>6</v>
      </c>
    </row>
    <row r="1591" spans="1:16" ht="13.2" x14ac:dyDescent="0.25">
      <c r="A1591" s="3" t="s">
        <v>5</v>
      </c>
      <c r="E1591" s="1" t="s">
        <v>707</v>
      </c>
    </row>
    <row r="1592" spans="1:16" ht="13.2" x14ac:dyDescent="0.25">
      <c r="A1592" s="3" t="s">
        <v>3</v>
      </c>
      <c r="E1592" s="2" t="s">
        <v>2</v>
      </c>
    </row>
    <row r="1593" spans="1:16" ht="13.2" x14ac:dyDescent="0.25">
      <c r="A1593" t="s">
        <v>1</v>
      </c>
      <c r="E1593" s="1" t="s">
        <v>707</v>
      </c>
    </row>
    <row r="1594" spans="1:16" ht="13.2" x14ac:dyDescent="0.25">
      <c r="A1594" t="s">
        <v>11</v>
      </c>
      <c r="B1594" s="9" t="s">
        <v>706</v>
      </c>
      <c r="C1594" s="9" t="s">
        <v>705</v>
      </c>
      <c r="D1594" s="3" t="s">
        <v>2</v>
      </c>
      <c r="E1594" s="8" t="s">
        <v>704</v>
      </c>
      <c r="F1594" s="4" t="s">
        <v>13</v>
      </c>
      <c r="G1594" s="7">
        <v>2</v>
      </c>
      <c r="H1594" s="4">
        <v>6.9999999999999994E-5</v>
      </c>
      <c r="I1594" s="4">
        <f>ROUND(G1594*H1594,6)</f>
        <v>1.3999999999999999E-4</v>
      </c>
      <c r="L1594" s="6">
        <v>0</v>
      </c>
      <c r="M1594" s="5">
        <f>ROUND(ROUND(L1594,2)*ROUND(G1594,3),2)</f>
        <v>0</v>
      </c>
      <c r="N1594" s="4" t="s">
        <v>7</v>
      </c>
      <c r="O1594">
        <f>(M1594*21)/100</f>
        <v>0</v>
      </c>
      <c r="P1594" t="s">
        <v>6</v>
      </c>
    </row>
    <row r="1595" spans="1:16" ht="13.2" x14ac:dyDescent="0.25">
      <c r="A1595" s="3" t="s">
        <v>5</v>
      </c>
      <c r="E1595" s="1" t="s">
        <v>704</v>
      </c>
    </row>
    <row r="1596" spans="1:16" ht="13.2" x14ac:dyDescent="0.25">
      <c r="A1596" s="3" t="s">
        <v>3</v>
      </c>
      <c r="E1596" s="2" t="s">
        <v>2</v>
      </c>
    </row>
    <row r="1597" spans="1:16" ht="13.2" x14ac:dyDescent="0.25">
      <c r="A1597" t="s">
        <v>1</v>
      </c>
      <c r="E1597" s="1" t="s">
        <v>704</v>
      </c>
    </row>
    <row r="1598" spans="1:16" ht="26.4" x14ac:dyDescent="0.25">
      <c r="A1598" t="s">
        <v>11</v>
      </c>
      <c r="B1598" s="9" t="s">
        <v>703</v>
      </c>
      <c r="C1598" s="9" t="s">
        <v>702</v>
      </c>
      <c r="D1598" s="3" t="s">
        <v>2</v>
      </c>
      <c r="E1598" s="8" t="s">
        <v>701</v>
      </c>
      <c r="F1598" s="4" t="s">
        <v>8</v>
      </c>
      <c r="G1598" s="7">
        <v>174</v>
      </c>
      <c r="H1598" s="4">
        <v>0</v>
      </c>
      <c r="I1598" s="4">
        <f>ROUND(G1598*H1598,6)</f>
        <v>0</v>
      </c>
      <c r="L1598" s="6">
        <v>0</v>
      </c>
      <c r="M1598" s="5">
        <f>ROUND(ROUND(L1598,2)*ROUND(G1598,3),2)</f>
        <v>0</v>
      </c>
      <c r="N1598" s="4" t="s">
        <v>501</v>
      </c>
      <c r="O1598">
        <f>(M1598*21)/100</f>
        <v>0</v>
      </c>
      <c r="P1598" t="s">
        <v>6</v>
      </c>
    </row>
    <row r="1599" spans="1:16" ht="26.4" x14ac:dyDescent="0.25">
      <c r="A1599" s="3" t="s">
        <v>5</v>
      </c>
      <c r="E1599" s="1" t="s">
        <v>701</v>
      </c>
    </row>
    <row r="1600" spans="1:16" ht="39.6" x14ac:dyDescent="0.25">
      <c r="A1600" s="3" t="s">
        <v>3</v>
      </c>
      <c r="E1600" s="2" t="s">
        <v>700</v>
      </c>
    </row>
    <row r="1601" spans="1:16" ht="13.2" x14ac:dyDescent="0.25">
      <c r="A1601" t="s">
        <v>1</v>
      </c>
      <c r="E1601" s="1" t="s">
        <v>2</v>
      </c>
    </row>
    <row r="1602" spans="1:16" ht="26.4" x14ac:dyDescent="0.25">
      <c r="A1602" t="s">
        <v>11</v>
      </c>
      <c r="B1602" s="9" t="s">
        <v>699</v>
      </c>
      <c r="C1602" s="9" t="s">
        <v>698</v>
      </c>
      <c r="D1602" s="3" t="s">
        <v>2</v>
      </c>
      <c r="E1602" s="8" t="s">
        <v>697</v>
      </c>
      <c r="F1602" s="4" t="s">
        <v>542</v>
      </c>
      <c r="G1602" s="7">
        <v>5.5E-2</v>
      </c>
      <c r="H1602" s="4">
        <v>0</v>
      </c>
      <c r="I1602" s="4">
        <f>ROUND(G1602*H1602,6)</f>
        <v>0</v>
      </c>
      <c r="L1602" s="6">
        <v>0</v>
      </c>
      <c r="M1602" s="5">
        <f>ROUND(ROUND(L1602,2)*ROUND(G1602,3),2)</f>
        <v>0</v>
      </c>
      <c r="N1602" s="4" t="s">
        <v>501</v>
      </c>
      <c r="O1602">
        <f>(M1602*21)/100</f>
        <v>0</v>
      </c>
      <c r="P1602" t="s">
        <v>6</v>
      </c>
    </row>
    <row r="1603" spans="1:16" ht="26.4" x14ac:dyDescent="0.25">
      <c r="A1603" s="3" t="s">
        <v>5</v>
      </c>
      <c r="E1603" s="1" t="s">
        <v>697</v>
      </c>
    </row>
    <row r="1604" spans="1:16" ht="13.2" x14ac:dyDescent="0.25">
      <c r="A1604" s="3" t="s">
        <v>3</v>
      </c>
      <c r="E1604" s="2" t="s">
        <v>2</v>
      </c>
    </row>
    <row r="1605" spans="1:16" ht="13.2" x14ac:dyDescent="0.25">
      <c r="A1605" t="s">
        <v>1</v>
      </c>
      <c r="E1605" s="1" t="s">
        <v>2</v>
      </c>
    </row>
    <row r="1606" spans="1:16" ht="39.6" x14ac:dyDescent="0.25">
      <c r="A1606" t="s">
        <v>11</v>
      </c>
      <c r="B1606" s="9" t="s">
        <v>696</v>
      </c>
      <c r="C1606" s="9" t="s">
        <v>695</v>
      </c>
      <c r="D1606" s="3" t="s">
        <v>2</v>
      </c>
      <c r="E1606" s="8" t="s">
        <v>694</v>
      </c>
      <c r="F1606" s="4" t="s">
        <v>542</v>
      </c>
      <c r="G1606" s="7">
        <v>5.5E-2</v>
      </c>
      <c r="H1606" s="4">
        <v>0</v>
      </c>
      <c r="I1606" s="4">
        <f>ROUND(G1606*H1606,6)</f>
        <v>0</v>
      </c>
      <c r="L1606" s="6">
        <v>0</v>
      </c>
      <c r="M1606" s="5">
        <f>ROUND(ROUND(L1606,2)*ROUND(G1606,3),2)</f>
        <v>0</v>
      </c>
      <c r="N1606" s="4" t="s">
        <v>501</v>
      </c>
      <c r="O1606">
        <f>(M1606*21)/100</f>
        <v>0</v>
      </c>
      <c r="P1606" t="s">
        <v>6</v>
      </c>
    </row>
    <row r="1607" spans="1:16" ht="39.6" x14ac:dyDescent="0.25">
      <c r="A1607" s="3" t="s">
        <v>5</v>
      </c>
      <c r="E1607" s="1" t="s">
        <v>693</v>
      </c>
    </row>
    <row r="1608" spans="1:16" ht="13.2" x14ac:dyDescent="0.25">
      <c r="A1608" s="3" t="s">
        <v>3</v>
      </c>
      <c r="E1608" s="2" t="s">
        <v>2</v>
      </c>
    </row>
    <row r="1609" spans="1:16" ht="13.2" x14ac:dyDescent="0.25">
      <c r="A1609" t="s">
        <v>1</v>
      </c>
      <c r="E1609" s="1" t="s">
        <v>2</v>
      </c>
    </row>
    <row r="1610" spans="1:16" ht="13.2" x14ac:dyDescent="0.25">
      <c r="A1610" t="s">
        <v>11</v>
      </c>
      <c r="B1610" s="9" t="s">
        <v>692</v>
      </c>
      <c r="C1610" s="9" t="s">
        <v>691</v>
      </c>
      <c r="D1610" s="3" t="s">
        <v>2</v>
      </c>
      <c r="E1610" s="8" t="s">
        <v>690</v>
      </c>
      <c r="F1610" s="4" t="s">
        <v>8</v>
      </c>
      <c r="G1610" s="7">
        <v>105</v>
      </c>
      <c r="H1610" s="4">
        <v>2.3000000000000001E-4</v>
      </c>
      <c r="I1610" s="4">
        <f>ROUND(G1610*H1610,6)</f>
        <v>2.4150000000000001E-2</v>
      </c>
      <c r="L1610" s="6">
        <v>0</v>
      </c>
      <c r="M1610" s="5">
        <f>ROUND(ROUND(L1610,2)*ROUND(G1610,3),2)</f>
        <v>0</v>
      </c>
      <c r="N1610" s="4" t="s">
        <v>7</v>
      </c>
      <c r="O1610">
        <f>(M1610*21)/100</f>
        <v>0</v>
      </c>
      <c r="P1610" t="s">
        <v>6</v>
      </c>
    </row>
    <row r="1611" spans="1:16" ht="13.2" x14ac:dyDescent="0.25">
      <c r="A1611" s="3" t="s">
        <v>5</v>
      </c>
      <c r="E1611" s="1" t="s">
        <v>690</v>
      </c>
    </row>
    <row r="1612" spans="1:16" ht="13.2" x14ac:dyDescent="0.25">
      <c r="A1612" s="3" t="s">
        <v>3</v>
      </c>
      <c r="E1612" s="2" t="s">
        <v>2</v>
      </c>
    </row>
    <row r="1613" spans="1:16" ht="66" x14ac:dyDescent="0.25">
      <c r="A1613" t="s">
        <v>1</v>
      </c>
      <c r="E1613" s="1" t="s">
        <v>689</v>
      </c>
    </row>
    <row r="1614" spans="1:16" ht="13.2" x14ac:dyDescent="0.25">
      <c r="A1614" t="s">
        <v>11</v>
      </c>
      <c r="B1614" s="9" t="s">
        <v>688</v>
      </c>
      <c r="C1614" s="9" t="s">
        <v>687</v>
      </c>
      <c r="D1614" s="3" t="s">
        <v>2</v>
      </c>
      <c r="E1614" s="8" t="s">
        <v>686</v>
      </c>
      <c r="F1614" s="4" t="s">
        <v>8</v>
      </c>
      <c r="G1614" s="7">
        <v>69</v>
      </c>
      <c r="H1614" s="4">
        <v>2.9999999999999997E-4</v>
      </c>
      <c r="I1614" s="4">
        <f>ROUND(G1614*H1614,6)</f>
        <v>2.07E-2</v>
      </c>
      <c r="L1614" s="6">
        <v>0</v>
      </c>
      <c r="M1614" s="5">
        <f>ROUND(ROUND(L1614,2)*ROUND(G1614,3),2)</f>
        <v>0</v>
      </c>
      <c r="N1614" s="4" t="s">
        <v>7</v>
      </c>
      <c r="O1614">
        <f>(M1614*21)/100</f>
        <v>0</v>
      </c>
      <c r="P1614" t="s">
        <v>6</v>
      </c>
    </row>
    <row r="1615" spans="1:16" ht="13.2" x14ac:dyDescent="0.25">
      <c r="A1615" s="3" t="s">
        <v>5</v>
      </c>
      <c r="E1615" s="1" t="s">
        <v>686</v>
      </c>
    </row>
    <row r="1616" spans="1:16" ht="13.2" x14ac:dyDescent="0.25">
      <c r="A1616" s="3" t="s">
        <v>3</v>
      </c>
      <c r="E1616" s="2" t="s">
        <v>2</v>
      </c>
    </row>
    <row r="1617" spans="1:16" ht="66" x14ac:dyDescent="0.25">
      <c r="A1617" t="s">
        <v>1</v>
      </c>
      <c r="E1617" s="1" t="s">
        <v>685</v>
      </c>
    </row>
    <row r="1618" spans="1:16" ht="13.2" x14ac:dyDescent="0.25">
      <c r="A1618" t="s">
        <v>50</v>
      </c>
      <c r="C1618" s="11" t="s">
        <v>684</v>
      </c>
      <c r="E1618" s="10" t="s">
        <v>683</v>
      </c>
      <c r="J1618" s="5">
        <f>0</f>
        <v>0</v>
      </c>
      <c r="K1618" s="5">
        <f>0</f>
        <v>0</v>
      </c>
      <c r="L1618" s="5">
        <f>0+L1619+L1623+L1627</f>
        <v>0</v>
      </c>
      <c r="M1618" s="5">
        <f>0+M1619+M1623+M1627</f>
        <v>0</v>
      </c>
    </row>
    <row r="1619" spans="1:16" ht="26.4" x14ac:dyDescent="0.25">
      <c r="A1619" t="s">
        <v>11</v>
      </c>
      <c r="B1619" s="9" t="s">
        <v>682</v>
      </c>
      <c r="C1619" s="9" t="s">
        <v>681</v>
      </c>
      <c r="D1619" s="3" t="s">
        <v>2</v>
      </c>
      <c r="E1619" s="8" t="s">
        <v>680</v>
      </c>
      <c r="F1619" s="4" t="s">
        <v>8</v>
      </c>
      <c r="G1619" s="7">
        <v>189</v>
      </c>
      <c r="H1619" s="4">
        <v>3.0000000000000001E-5</v>
      </c>
      <c r="I1619" s="4">
        <f>ROUND(G1619*H1619,6)</f>
        <v>5.6699999999999997E-3</v>
      </c>
      <c r="L1619" s="6">
        <v>0</v>
      </c>
      <c r="M1619" s="5">
        <f>ROUND(ROUND(L1619,2)*ROUND(G1619,3),2)</f>
        <v>0</v>
      </c>
      <c r="N1619" s="4" t="s">
        <v>501</v>
      </c>
      <c r="O1619">
        <f>(M1619*21)/100</f>
        <v>0</v>
      </c>
      <c r="P1619" t="s">
        <v>6</v>
      </c>
    </row>
    <row r="1620" spans="1:16" ht="26.4" x14ac:dyDescent="0.25">
      <c r="A1620" s="3" t="s">
        <v>5</v>
      </c>
      <c r="E1620" s="1" t="s">
        <v>680</v>
      </c>
    </row>
    <row r="1621" spans="1:16" ht="13.2" x14ac:dyDescent="0.25">
      <c r="A1621" s="3" t="s">
        <v>3</v>
      </c>
      <c r="E1621" s="2" t="s">
        <v>2</v>
      </c>
    </row>
    <row r="1622" spans="1:16" ht="13.2" x14ac:dyDescent="0.25">
      <c r="A1622" t="s">
        <v>1</v>
      </c>
      <c r="E1622" s="1" t="s">
        <v>2</v>
      </c>
    </row>
    <row r="1623" spans="1:16" ht="26.4" x14ac:dyDescent="0.25">
      <c r="A1623" t="s">
        <v>11</v>
      </c>
      <c r="B1623" s="9" t="s">
        <v>679</v>
      </c>
      <c r="C1623" s="9" t="s">
        <v>678</v>
      </c>
      <c r="D1623" s="3" t="s">
        <v>2</v>
      </c>
      <c r="E1623" s="8" t="s">
        <v>677</v>
      </c>
      <c r="F1623" s="4" t="s">
        <v>8</v>
      </c>
      <c r="G1623" s="7">
        <v>189</v>
      </c>
      <c r="H1623" s="4">
        <v>4.0000000000000003E-5</v>
      </c>
      <c r="I1623" s="4">
        <f>ROUND(G1623*H1623,6)</f>
        <v>7.5599999999999999E-3</v>
      </c>
      <c r="L1623" s="6">
        <v>0</v>
      </c>
      <c r="M1623" s="5">
        <f>ROUND(ROUND(L1623,2)*ROUND(G1623,3),2)</f>
        <v>0</v>
      </c>
      <c r="N1623" s="4" t="s">
        <v>501</v>
      </c>
      <c r="O1623">
        <f>(M1623*21)/100</f>
        <v>0</v>
      </c>
      <c r="P1623" t="s">
        <v>6</v>
      </c>
    </row>
    <row r="1624" spans="1:16" ht="26.4" x14ac:dyDescent="0.25">
      <c r="A1624" s="3" t="s">
        <v>5</v>
      </c>
      <c r="E1624" s="1" t="s">
        <v>677</v>
      </c>
    </row>
    <row r="1625" spans="1:16" ht="13.2" x14ac:dyDescent="0.25">
      <c r="A1625" s="3" t="s">
        <v>3</v>
      </c>
      <c r="E1625" s="2" t="s">
        <v>2</v>
      </c>
    </row>
    <row r="1626" spans="1:16" ht="13.2" x14ac:dyDescent="0.25">
      <c r="A1626" t="s">
        <v>1</v>
      </c>
      <c r="E1626" s="1" t="s">
        <v>2</v>
      </c>
    </row>
    <row r="1627" spans="1:16" ht="26.4" x14ac:dyDescent="0.25">
      <c r="A1627" t="s">
        <v>11</v>
      </c>
      <c r="B1627" s="9" t="s">
        <v>676</v>
      </c>
      <c r="C1627" s="9" t="s">
        <v>675</v>
      </c>
      <c r="D1627" s="3" t="s">
        <v>2</v>
      </c>
      <c r="E1627" s="8" t="s">
        <v>674</v>
      </c>
      <c r="F1627" s="4" t="s">
        <v>8</v>
      </c>
      <c r="G1627" s="7">
        <v>189</v>
      </c>
      <c r="H1627" s="4">
        <v>8.0000000000000007E-5</v>
      </c>
      <c r="I1627" s="4">
        <f>ROUND(G1627*H1627,6)</f>
        <v>1.512E-2</v>
      </c>
      <c r="L1627" s="6">
        <v>0</v>
      </c>
      <c r="M1627" s="5">
        <f>ROUND(ROUND(L1627,2)*ROUND(G1627,3),2)</f>
        <v>0</v>
      </c>
      <c r="N1627" s="4" t="s">
        <v>501</v>
      </c>
      <c r="O1627">
        <f>(M1627*21)/100</f>
        <v>0</v>
      </c>
      <c r="P1627" t="s">
        <v>6</v>
      </c>
    </row>
    <row r="1628" spans="1:16" ht="26.4" x14ac:dyDescent="0.25">
      <c r="A1628" s="3" t="s">
        <v>5</v>
      </c>
      <c r="E1628" s="1" t="s">
        <v>674</v>
      </c>
    </row>
    <row r="1629" spans="1:16" ht="13.2" x14ac:dyDescent="0.25">
      <c r="A1629" s="3" t="s">
        <v>3</v>
      </c>
      <c r="E1629" s="2" t="s">
        <v>2</v>
      </c>
    </row>
    <row r="1630" spans="1:16" ht="13.2" x14ac:dyDescent="0.25">
      <c r="A1630" t="s">
        <v>1</v>
      </c>
      <c r="E1630" s="1" t="s">
        <v>2</v>
      </c>
    </row>
    <row r="1631" spans="1:16" ht="13.2" x14ac:dyDescent="0.25">
      <c r="A1631" t="s">
        <v>50</v>
      </c>
      <c r="C1631" s="11" t="s">
        <v>673</v>
      </c>
      <c r="E1631" s="10" t="s">
        <v>672</v>
      </c>
      <c r="J1631" s="5">
        <f>0</f>
        <v>0</v>
      </c>
      <c r="K1631" s="5">
        <f>0</f>
        <v>0</v>
      </c>
      <c r="L1631" s="5">
        <f>0+L1632</f>
        <v>0</v>
      </c>
      <c r="M1631" s="5">
        <f>0+M1632</f>
        <v>0</v>
      </c>
    </row>
    <row r="1632" spans="1:16" ht="26.4" x14ac:dyDescent="0.25">
      <c r="A1632" t="s">
        <v>11</v>
      </c>
      <c r="B1632" s="9" t="s">
        <v>671</v>
      </c>
      <c r="C1632" s="9" t="s">
        <v>670</v>
      </c>
      <c r="D1632" s="3" t="s">
        <v>2</v>
      </c>
      <c r="E1632" s="8" t="s">
        <v>669</v>
      </c>
      <c r="F1632" s="4" t="s">
        <v>370</v>
      </c>
      <c r="G1632" s="7">
        <v>112</v>
      </c>
      <c r="H1632" s="4">
        <v>2.1000000000000001E-4</v>
      </c>
      <c r="I1632" s="4">
        <f>ROUND(G1632*H1632,6)</f>
        <v>2.3519999999999999E-2</v>
      </c>
      <c r="L1632" s="6">
        <v>0</v>
      </c>
      <c r="M1632" s="5">
        <f>ROUND(ROUND(L1632,2)*ROUND(G1632,3),2)</f>
        <v>0</v>
      </c>
      <c r="N1632" s="4" t="s">
        <v>501</v>
      </c>
      <c r="O1632">
        <f>(M1632*21)/100</f>
        <v>0</v>
      </c>
      <c r="P1632" t="s">
        <v>6</v>
      </c>
    </row>
    <row r="1633" spans="1:16" ht="26.4" x14ac:dyDescent="0.25">
      <c r="A1633" s="3" t="s">
        <v>5</v>
      </c>
      <c r="E1633" s="1" t="s">
        <v>669</v>
      </c>
    </row>
    <row r="1634" spans="1:16" ht="13.2" x14ac:dyDescent="0.25">
      <c r="A1634" s="3" t="s">
        <v>3</v>
      </c>
      <c r="E1634" s="2" t="s">
        <v>2</v>
      </c>
    </row>
    <row r="1635" spans="1:16" ht="13.2" x14ac:dyDescent="0.25">
      <c r="A1635" t="s">
        <v>1</v>
      </c>
      <c r="E1635" s="1" t="s">
        <v>2</v>
      </c>
    </row>
    <row r="1636" spans="1:16" ht="13.2" x14ac:dyDescent="0.25">
      <c r="A1636" t="s">
        <v>50</v>
      </c>
      <c r="C1636" s="11" t="s">
        <v>668</v>
      </c>
      <c r="E1636" s="10" t="s">
        <v>667</v>
      </c>
      <c r="J1636" s="5">
        <f>0</f>
        <v>0</v>
      </c>
      <c r="K1636" s="5">
        <f>0</f>
        <v>0</v>
      </c>
      <c r="L1636" s="5">
        <f>0+L1637</f>
        <v>0</v>
      </c>
      <c r="M1636" s="5">
        <f>0+M1637</f>
        <v>0</v>
      </c>
    </row>
    <row r="1637" spans="1:16" ht="39.6" x14ac:dyDescent="0.25">
      <c r="A1637" t="s">
        <v>11</v>
      </c>
      <c r="B1637" s="9" t="s">
        <v>666</v>
      </c>
      <c r="C1637" s="9" t="s">
        <v>665</v>
      </c>
      <c r="D1637" s="3" t="s">
        <v>2</v>
      </c>
      <c r="E1637" s="8" t="s">
        <v>664</v>
      </c>
      <c r="F1637" s="4" t="s">
        <v>542</v>
      </c>
      <c r="G1637" s="7">
        <v>156.489</v>
      </c>
      <c r="H1637" s="4">
        <v>0</v>
      </c>
      <c r="I1637" s="4">
        <f>ROUND(G1637*H1637,6)</f>
        <v>0</v>
      </c>
      <c r="L1637" s="6">
        <v>0</v>
      </c>
      <c r="M1637" s="5">
        <f>ROUND(ROUND(L1637,2)*ROUND(G1637,3),2)</f>
        <v>0</v>
      </c>
      <c r="N1637" s="4" t="s">
        <v>501</v>
      </c>
      <c r="O1637">
        <f>(M1637*21)/100</f>
        <v>0</v>
      </c>
      <c r="P1637" t="s">
        <v>6</v>
      </c>
    </row>
    <row r="1638" spans="1:16" ht="39.6" x14ac:dyDescent="0.25">
      <c r="A1638" s="3" t="s">
        <v>5</v>
      </c>
      <c r="E1638" s="1" t="s">
        <v>663</v>
      </c>
    </row>
    <row r="1639" spans="1:16" ht="13.2" x14ac:dyDescent="0.25">
      <c r="A1639" s="3" t="s">
        <v>3</v>
      </c>
      <c r="E1639" s="2" t="s">
        <v>2</v>
      </c>
    </row>
    <row r="1640" spans="1:16" ht="13.2" x14ac:dyDescent="0.25">
      <c r="A1640" t="s">
        <v>1</v>
      </c>
      <c r="E1640" s="1" t="s">
        <v>2</v>
      </c>
    </row>
    <row r="1641" spans="1:16" ht="13.2" x14ac:dyDescent="0.25">
      <c r="A1641" t="s">
        <v>50</v>
      </c>
      <c r="C1641" s="11" t="s">
        <v>662</v>
      </c>
      <c r="E1641" s="10" t="s">
        <v>661</v>
      </c>
      <c r="J1641" s="5">
        <f>0</f>
        <v>0</v>
      </c>
      <c r="K1641" s="5">
        <f>0</f>
        <v>0</v>
      </c>
      <c r="L1641" s="5">
        <f>0+L1642+L1646</f>
        <v>0</v>
      </c>
      <c r="M1641" s="5">
        <f>0+M1642+M1646</f>
        <v>0</v>
      </c>
    </row>
    <row r="1642" spans="1:16" ht="26.4" x14ac:dyDescent="0.25">
      <c r="A1642" t="s">
        <v>11</v>
      </c>
      <c r="B1642" s="9" t="s">
        <v>660</v>
      </c>
      <c r="C1642" s="9" t="s">
        <v>659</v>
      </c>
      <c r="D1642" s="3" t="s">
        <v>2</v>
      </c>
      <c r="E1642" s="8" t="s">
        <v>658</v>
      </c>
      <c r="F1642" s="4" t="s">
        <v>655</v>
      </c>
      <c r="G1642" s="7">
        <v>8</v>
      </c>
      <c r="H1642" s="4">
        <v>0</v>
      </c>
      <c r="I1642" s="4">
        <f>ROUND(G1642*H1642,6)</f>
        <v>0</v>
      </c>
      <c r="L1642" s="6">
        <v>0</v>
      </c>
      <c r="M1642" s="5">
        <f>ROUND(ROUND(L1642,2)*ROUND(G1642,3),2)</f>
        <v>0</v>
      </c>
      <c r="N1642" s="4" t="s">
        <v>501</v>
      </c>
      <c r="O1642">
        <f>(M1642*21)/100</f>
        <v>0</v>
      </c>
      <c r="P1642" t="s">
        <v>6</v>
      </c>
    </row>
    <row r="1643" spans="1:16" ht="26.4" x14ac:dyDescent="0.25">
      <c r="A1643" s="3" t="s">
        <v>5</v>
      </c>
      <c r="E1643" s="1" t="s">
        <v>658</v>
      </c>
    </row>
    <row r="1644" spans="1:16" ht="13.2" x14ac:dyDescent="0.25">
      <c r="A1644" s="3" t="s">
        <v>3</v>
      </c>
      <c r="E1644" s="2" t="s">
        <v>2</v>
      </c>
    </row>
    <row r="1645" spans="1:16" ht="13.2" x14ac:dyDescent="0.25">
      <c r="A1645" t="s">
        <v>1</v>
      </c>
      <c r="E1645" s="1" t="s">
        <v>2</v>
      </c>
    </row>
    <row r="1646" spans="1:16" ht="26.4" x14ac:dyDescent="0.25">
      <c r="A1646" t="s">
        <v>11</v>
      </c>
      <c r="B1646" s="9" t="s">
        <v>657</v>
      </c>
      <c r="C1646" s="9" t="s">
        <v>656</v>
      </c>
      <c r="D1646" s="3" t="s">
        <v>2</v>
      </c>
      <c r="E1646" s="8" t="s">
        <v>654</v>
      </c>
      <c r="F1646" s="4" t="s">
        <v>655</v>
      </c>
      <c r="G1646" s="7">
        <v>16</v>
      </c>
      <c r="H1646" s="4">
        <v>0</v>
      </c>
      <c r="I1646" s="4">
        <f>ROUND(G1646*H1646,6)</f>
        <v>0</v>
      </c>
      <c r="L1646" s="6">
        <v>0</v>
      </c>
      <c r="M1646" s="5">
        <f>ROUND(ROUND(L1646,2)*ROUND(G1646,3),2)</f>
        <v>0</v>
      </c>
      <c r="N1646" s="4" t="s">
        <v>501</v>
      </c>
      <c r="O1646">
        <f>(M1646*21)/100</f>
        <v>0</v>
      </c>
      <c r="P1646" t="s">
        <v>6</v>
      </c>
    </row>
    <row r="1647" spans="1:16" ht="26.4" x14ac:dyDescent="0.25">
      <c r="A1647" s="3" t="s">
        <v>5</v>
      </c>
      <c r="E1647" s="1" t="s">
        <v>654</v>
      </c>
    </row>
    <row r="1648" spans="1:16" ht="13.2" x14ac:dyDescent="0.25">
      <c r="A1648" s="3" t="s">
        <v>3</v>
      </c>
      <c r="E1648" s="2" t="s">
        <v>2</v>
      </c>
    </row>
    <row r="1649" spans="1:16" ht="13.2" x14ac:dyDescent="0.25">
      <c r="A1649" t="s">
        <v>1</v>
      </c>
      <c r="E1649" s="1" t="s">
        <v>2</v>
      </c>
    </row>
    <row r="1650" spans="1:16" ht="13.2" x14ac:dyDescent="0.25">
      <c r="A1650" t="s">
        <v>53</v>
      </c>
      <c r="C1650" s="11" t="s">
        <v>653</v>
      </c>
      <c r="E1650" s="10" t="s">
        <v>652</v>
      </c>
      <c r="J1650" s="5">
        <f>0+J1651+J1704+J1721+J1762+J1811</f>
        <v>0</v>
      </c>
      <c r="K1650" s="5">
        <f>0+K1651+K1704+K1721+K1762+K1811</f>
        <v>0</v>
      </c>
      <c r="L1650" s="5">
        <f>0+L1651+L1704+L1721+L1762+L1811</f>
        <v>0</v>
      </c>
      <c r="M1650" s="5">
        <f>0+M1651+M1704+M1721+M1762+M1811</f>
        <v>0</v>
      </c>
    </row>
    <row r="1651" spans="1:16" ht="13.2" x14ac:dyDescent="0.25">
      <c r="A1651" t="s">
        <v>50</v>
      </c>
      <c r="C1651" s="11" t="s">
        <v>651</v>
      </c>
      <c r="E1651" s="10" t="s">
        <v>650</v>
      </c>
      <c r="J1651" s="5">
        <f>0</f>
        <v>0</v>
      </c>
      <c r="K1651" s="5">
        <f>0</f>
        <v>0</v>
      </c>
      <c r="L1651" s="5">
        <f>0+L1652+L1656+L1660+L1664+L1668+L1672+L1676+L1680+L1684+L1688+L1692+L1696+L1700</f>
        <v>0</v>
      </c>
      <c r="M1651" s="5">
        <f>0+M1652+M1656+M1660+M1664+M1668+M1672+M1676+M1680+M1684+M1688+M1692+M1696+M1700</f>
        <v>0</v>
      </c>
    </row>
    <row r="1652" spans="1:16" ht="26.4" x14ac:dyDescent="0.25">
      <c r="A1652" t="s">
        <v>11</v>
      </c>
      <c r="B1652" s="9" t="s">
        <v>48</v>
      </c>
      <c r="C1652" s="9" t="s">
        <v>649</v>
      </c>
      <c r="D1652" s="3" t="s">
        <v>2</v>
      </c>
      <c r="E1652" s="8" t="s">
        <v>648</v>
      </c>
      <c r="F1652" s="4" t="s">
        <v>604</v>
      </c>
      <c r="G1652" s="7">
        <v>1</v>
      </c>
      <c r="H1652" s="4">
        <v>2.49E-3</v>
      </c>
      <c r="I1652" s="4">
        <f>ROUND(G1652*H1652,6)</f>
        <v>2.49E-3</v>
      </c>
      <c r="L1652" s="6">
        <v>0</v>
      </c>
      <c r="M1652" s="5">
        <f>ROUND(ROUND(L1652,2)*ROUND(G1652,3),2)</f>
        <v>0</v>
      </c>
      <c r="N1652" s="4" t="s">
        <v>501</v>
      </c>
      <c r="O1652">
        <f>(M1652*21)/100</f>
        <v>0</v>
      </c>
      <c r="P1652" t="s">
        <v>6</v>
      </c>
    </row>
    <row r="1653" spans="1:16" ht="26.4" x14ac:dyDescent="0.25">
      <c r="A1653" s="3" t="s">
        <v>5</v>
      </c>
      <c r="E1653" s="1" t="s">
        <v>648</v>
      </c>
    </row>
    <row r="1654" spans="1:16" ht="13.2" x14ac:dyDescent="0.25">
      <c r="A1654" s="3" t="s">
        <v>3</v>
      </c>
      <c r="E1654" s="2" t="s">
        <v>602</v>
      </c>
    </row>
    <row r="1655" spans="1:16" ht="13.2" x14ac:dyDescent="0.25">
      <c r="A1655" t="s">
        <v>1</v>
      </c>
      <c r="E1655" s="1" t="s">
        <v>2</v>
      </c>
    </row>
    <row r="1656" spans="1:16" ht="26.4" x14ac:dyDescent="0.25">
      <c r="A1656" t="s">
        <v>11</v>
      </c>
      <c r="B1656" s="9" t="s">
        <v>6</v>
      </c>
      <c r="C1656" s="9" t="s">
        <v>647</v>
      </c>
      <c r="D1656" s="3" t="s">
        <v>2</v>
      </c>
      <c r="E1656" s="8" t="s">
        <v>646</v>
      </c>
      <c r="F1656" s="4" t="s">
        <v>502</v>
      </c>
      <c r="G1656" s="7">
        <v>611.5</v>
      </c>
      <c r="H1656" s="4">
        <v>0</v>
      </c>
      <c r="I1656" s="4">
        <f>ROUND(G1656*H1656,6)</f>
        <v>0</v>
      </c>
      <c r="L1656" s="6">
        <v>0</v>
      </c>
      <c r="M1656" s="5">
        <f>ROUND(ROUND(L1656,2)*ROUND(G1656,3),2)</f>
        <v>0</v>
      </c>
      <c r="N1656" s="4" t="s">
        <v>501</v>
      </c>
      <c r="O1656">
        <f>(M1656*21)/100</f>
        <v>0</v>
      </c>
      <c r="P1656" t="s">
        <v>6</v>
      </c>
    </row>
    <row r="1657" spans="1:16" ht="26.4" x14ac:dyDescent="0.25">
      <c r="A1657" s="3" t="s">
        <v>5</v>
      </c>
      <c r="E1657" s="1" t="s">
        <v>646</v>
      </c>
    </row>
    <row r="1658" spans="1:16" ht="13.2" x14ac:dyDescent="0.25">
      <c r="A1658" s="3" t="s">
        <v>3</v>
      </c>
      <c r="E1658" s="2" t="s">
        <v>2</v>
      </c>
    </row>
    <row r="1659" spans="1:16" ht="13.2" x14ac:dyDescent="0.25">
      <c r="A1659" t="s">
        <v>1</v>
      </c>
      <c r="E1659" s="1" t="s">
        <v>2</v>
      </c>
    </row>
    <row r="1660" spans="1:16" ht="26.4" x14ac:dyDescent="0.25">
      <c r="A1660" t="s">
        <v>11</v>
      </c>
      <c r="B1660" s="9" t="s">
        <v>43</v>
      </c>
      <c r="C1660" s="9" t="s">
        <v>645</v>
      </c>
      <c r="D1660" s="3" t="s">
        <v>2</v>
      </c>
      <c r="E1660" s="8" t="s">
        <v>644</v>
      </c>
      <c r="F1660" s="4" t="s">
        <v>502</v>
      </c>
      <c r="G1660" s="7">
        <v>611.5</v>
      </c>
      <c r="H1660" s="4">
        <v>0</v>
      </c>
      <c r="I1660" s="4">
        <f>ROUND(G1660*H1660,6)</f>
        <v>0</v>
      </c>
      <c r="L1660" s="6">
        <v>0</v>
      </c>
      <c r="M1660" s="5">
        <f>ROUND(ROUND(L1660,2)*ROUND(G1660,3),2)</f>
        <v>0</v>
      </c>
      <c r="N1660" s="4" t="s">
        <v>501</v>
      </c>
      <c r="O1660">
        <f>(M1660*21)/100</f>
        <v>0</v>
      </c>
      <c r="P1660" t="s">
        <v>6</v>
      </c>
    </row>
    <row r="1661" spans="1:16" ht="26.4" x14ac:dyDescent="0.25">
      <c r="A1661" s="3" t="s">
        <v>5</v>
      </c>
      <c r="E1661" s="1" t="s">
        <v>644</v>
      </c>
    </row>
    <row r="1662" spans="1:16" ht="13.2" x14ac:dyDescent="0.25">
      <c r="A1662" s="3" t="s">
        <v>3</v>
      </c>
      <c r="E1662" s="2" t="s">
        <v>2</v>
      </c>
    </row>
    <row r="1663" spans="1:16" ht="13.2" x14ac:dyDescent="0.25">
      <c r="A1663" t="s">
        <v>1</v>
      </c>
      <c r="E1663" s="1" t="s">
        <v>2</v>
      </c>
    </row>
    <row r="1664" spans="1:16" ht="26.4" x14ac:dyDescent="0.25">
      <c r="A1664" t="s">
        <v>11</v>
      </c>
      <c r="B1664" s="9" t="s">
        <v>39</v>
      </c>
      <c r="C1664" s="9" t="s">
        <v>643</v>
      </c>
      <c r="D1664" s="3" t="s">
        <v>2</v>
      </c>
      <c r="E1664" s="8" t="s">
        <v>642</v>
      </c>
      <c r="F1664" s="4" t="s">
        <v>604</v>
      </c>
      <c r="G1664" s="7">
        <v>1</v>
      </c>
      <c r="H1664" s="4">
        <v>2.6099999999999999E-3</v>
      </c>
      <c r="I1664" s="4">
        <f>ROUND(G1664*H1664,6)</f>
        <v>2.6099999999999999E-3</v>
      </c>
      <c r="L1664" s="6">
        <v>0</v>
      </c>
      <c r="M1664" s="5">
        <f>ROUND(ROUND(L1664,2)*ROUND(G1664,3),2)</f>
        <v>0</v>
      </c>
      <c r="N1664" s="4" t="s">
        <v>7</v>
      </c>
      <c r="O1664">
        <f>(M1664*21)/100</f>
        <v>0</v>
      </c>
      <c r="P1664" t="s">
        <v>6</v>
      </c>
    </row>
    <row r="1665" spans="1:16" ht="26.4" x14ac:dyDescent="0.25">
      <c r="A1665" s="3" t="s">
        <v>5</v>
      </c>
      <c r="E1665" s="1" t="s">
        <v>642</v>
      </c>
    </row>
    <row r="1666" spans="1:16" ht="13.2" x14ac:dyDescent="0.25">
      <c r="A1666" s="3" t="s">
        <v>3</v>
      </c>
      <c r="E1666" s="2" t="s">
        <v>602</v>
      </c>
    </row>
    <row r="1667" spans="1:16" ht="79.2" x14ac:dyDescent="0.25">
      <c r="A1667" t="s">
        <v>1</v>
      </c>
      <c r="E1667" s="1" t="s">
        <v>641</v>
      </c>
    </row>
    <row r="1668" spans="1:16" ht="13.2" x14ac:dyDescent="0.25">
      <c r="A1668" t="s">
        <v>11</v>
      </c>
      <c r="B1668" s="9" t="s">
        <v>36</v>
      </c>
      <c r="C1668" s="9" t="s">
        <v>640</v>
      </c>
      <c r="D1668" s="3" t="s">
        <v>2</v>
      </c>
      <c r="E1668" s="8" t="s">
        <v>639</v>
      </c>
      <c r="F1668" s="4" t="s">
        <v>604</v>
      </c>
      <c r="G1668" s="7">
        <v>1</v>
      </c>
      <c r="H1668" s="4">
        <v>2.6099999999999999E-3</v>
      </c>
      <c r="I1668" s="4">
        <f>ROUND(G1668*H1668,6)</f>
        <v>2.6099999999999999E-3</v>
      </c>
      <c r="L1668" s="6">
        <v>0</v>
      </c>
      <c r="M1668" s="5">
        <f>ROUND(ROUND(L1668,2)*ROUND(G1668,3),2)</f>
        <v>0</v>
      </c>
      <c r="N1668" s="4" t="s">
        <v>7</v>
      </c>
      <c r="O1668">
        <f>(M1668*21)/100</f>
        <v>0</v>
      </c>
      <c r="P1668" t="s">
        <v>6</v>
      </c>
    </row>
    <row r="1669" spans="1:16" ht="13.2" x14ac:dyDescent="0.25">
      <c r="A1669" s="3" t="s">
        <v>5</v>
      </c>
      <c r="E1669" s="1" t="s">
        <v>639</v>
      </c>
    </row>
    <row r="1670" spans="1:16" ht="13.2" x14ac:dyDescent="0.25">
      <c r="A1670" s="3" t="s">
        <v>3</v>
      </c>
      <c r="E1670" s="2" t="s">
        <v>602</v>
      </c>
    </row>
    <row r="1671" spans="1:16" ht="66" x14ac:dyDescent="0.25">
      <c r="A1671" t="s">
        <v>1</v>
      </c>
      <c r="E1671" s="1" t="s">
        <v>638</v>
      </c>
    </row>
    <row r="1672" spans="1:16" ht="13.2" x14ac:dyDescent="0.25">
      <c r="A1672" t="s">
        <v>11</v>
      </c>
      <c r="B1672" s="9" t="s">
        <v>33</v>
      </c>
      <c r="C1672" s="9" t="s">
        <v>637</v>
      </c>
      <c r="D1672" s="3" t="s">
        <v>2</v>
      </c>
      <c r="E1672" s="8" t="s">
        <v>636</v>
      </c>
      <c r="F1672" s="4" t="s">
        <v>604</v>
      </c>
      <c r="G1672" s="7">
        <v>1</v>
      </c>
      <c r="H1672" s="4">
        <v>2.6099999999999999E-3</v>
      </c>
      <c r="I1672" s="4">
        <f>ROUND(G1672*H1672,6)</f>
        <v>2.6099999999999999E-3</v>
      </c>
      <c r="L1672" s="6">
        <v>0</v>
      </c>
      <c r="M1672" s="5">
        <f>ROUND(ROUND(L1672,2)*ROUND(G1672,3),2)</f>
        <v>0</v>
      </c>
      <c r="N1672" s="4" t="s">
        <v>7</v>
      </c>
      <c r="O1672">
        <f>(M1672*21)/100</f>
        <v>0</v>
      </c>
      <c r="P1672" t="s">
        <v>6</v>
      </c>
    </row>
    <row r="1673" spans="1:16" ht="13.2" x14ac:dyDescent="0.25">
      <c r="A1673" s="3" t="s">
        <v>5</v>
      </c>
      <c r="E1673" s="1" t="s">
        <v>636</v>
      </c>
    </row>
    <row r="1674" spans="1:16" ht="13.2" x14ac:dyDescent="0.25">
      <c r="A1674" s="3" t="s">
        <v>3</v>
      </c>
      <c r="E1674" s="2" t="s">
        <v>602</v>
      </c>
    </row>
    <row r="1675" spans="1:16" ht="66" x14ac:dyDescent="0.25">
      <c r="A1675" t="s">
        <v>1</v>
      </c>
      <c r="E1675" s="1" t="s">
        <v>635</v>
      </c>
    </row>
    <row r="1676" spans="1:16" ht="13.2" x14ac:dyDescent="0.25">
      <c r="A1676" t="s">
        <v>11</v>
      </c>
      <c r="B1676" s="9" t="s">
        <v>30</v>
      </c>
      <c r="C1676" s="9" t="s">
        <v>634</v>
      </c>
      <c r="D1676" s="3" t="s">
        <v>2</v>
      </c>
      <c r="E1676" s="8" t="s">
        <v>633</v>
      </c>
      <c r="F1676" s="4" t="s">
        <v>604</v>
      </c>
      <c r="G1676" s="7">
        <v>1</v>
      </c>
      <c r="H1676" s="4">
        <v>2.6099999999999999E-3</v>
      </c>
      <c r="I1676" s="4">
        <f>ROUND(G1676*H1676,6)</f>
        <v>2.6099999999999999E-3</v>
      </c>
      <c r="L1676" s="6">
        <v>0</v>
      </c>
      <c r="M1676" s="5">
        <f>ROUND(ROUND(L1676,2)*ROUND(G1676,3),2)</f>
        <v>0</v>
      </c>
      <c r="N1676" s="4" t="s">
        <v>7</v>
      </c>
      <c r="O1676">
        <f>(M1676*21)/100</f>
        <v>0</v>
      </c>
      <c r="P1676" t="s">
        <v>6</v>
      </c>
    </row>
    <row r="1677" spans="1:16" ht="13.2" x14ac:dyDescent="0.25">
      <c r="A1677" s="3" t="s">
        <v>5</v>
      </c>
      <c r="E1677" s="1" t="s">
        <v>633</v>
      </c>
    </row>
    <row r="1678" spans="1:16" ht="13.2" x14ac:dyDescent="0.25">
      <c r="A1678" s="3" t="s">
        <v>3</v>
      </c>
      <c r="E1678" s="2" t="s">
        <v>602</v>
      </c>
    </row>
    <row r="1679" spans="1:16" ht="66" x14ac:dyDescent="0.25">
      <c r="A1679" t="s">
        <v>1</v>
      </c>
      <c r="E1679" s="1" t="s">
        <v>632</v>
      </c>
    </row>
    <row r="1680" spans="1:16" ht="13.2" x14ac:dyDescent="0.25">
      <c r="A1680" t="s">
        <v>11</v>
      </c>
      <c r="B1680" s="9" t="s">
        <v>27</v>
      </c>
      <c r="C1680" s="9" t="s">
        <v>631</v>
      </c>
      <c r="D1680" s="3" t="s">
        <v>2</v>
      </c>
      <c r="E1680" s="8" t="s">
        <v>630</v>
      </c>
      <c r="F1680" s="4" t="s">
        <v>604</v>
      </c>
      <c r="G1680" s="7">
        <v>1</v>
      </c>
      <c r="H1680" s="4">
        <v>2.6099999999999999E-3</v>
      </c>
      <c r="I1680" s="4">
        <f>ROUND(G1680*H1680,6)</f>
        <v>2.6099999999999999E-3</v>
      </c>
      <c r="L1680" s="6">
        <v>0</v>
      </c>
      <c r="M1680" s="5">
        <f>ROUND(ROUND(L1680,2)*ROUND(G1680,3),2)</f>
        <v>0</v>
      </c>
      <c r="N1680" s="4" t="s">
        <v>7</v>
      </c>
      <c r="O1680">
        <f>(M1680*21)/100</f>
        <v>0</v>
      </c>
      <c r="P1680" t="s">
        <v>6</v>
      </c>
    </row>
    <row r="1681" spans="1:16" ht="13.2" x14ac:dyDescent="0.25">
      <c r="A1681" s="3" t="s">
        <v>5</v>
      </c>
      <c r="E1681" s="1" t="s">
        <v>630</v>
      </c>
    </row>
    <row r="1682" spans="1:16" ht="13.2" x14ac:dyDescent="0.25">
      <c r="A1682" s="3" t="s">
        <v>3</v>
      </c>
      <c r="E1682" s="2" t="s">
        <v>602</v>
      </c>
    </row>
    <row r="1683" spans="1:16" ht="66" x14ac:dyDescent="0.25">
      <c r="A1683" t="s">
        <v>1</v>
      </c>
      <c r="E1683" s="1" t="s">
        <v>629</v>
      </c>
    </row>
    <row r="1684" spans="1:16" ht="13.2" x14ac:dyDescent="0.25">
      <c r="A1684" t="s">
        <v>11</v>
      </c>
      <c r="B1684" s="9" t="s">
        <v>24</v>
      </c>
      <c r="C1684" s="9" t="s">
        <v>628</v>
      </c>
      <c r="D1684" s="3" t="s">
        <v>2</v>
      </c>
      <c r="E1684" s="8" t="s">
        <v>627</v>
      </c>
      <c r="F1684" s="4" t="s">
        <v>604</v>
      </c>
      <c r="G1684" s="7">
        <v>1</v>
      </c>
      <c r="H1684" s="4">
        <v>2.6099999999999999E-3</v>
      </c>
      <c r="I1684" s="4">
        <f>ROUND(G1684*H1684,6)</f>
        <v>2.6099999999999999E-3</v>
      </c>
      <c r="L1684" s="6">
        <v>0</v>
      </c>
      <c r="M1684" s="5">
        <f>ROUND(ROUND(L1684,2)*ROUND(G1684,3),2)</f>
        <v>0</v>
      </c>
      <c r="N1684" s="4" t="s">
        <v>7</v>
      </c>
      <c r="O1684">
        <f>(M1684*21)/100</f>
        <v>0</v>
      </c>
      <c r="P1684" t="s">
        <v>6</v>
      </c>
    </row>
    <row r="1685" spans="1:16" ht="13.2" x14ac:dyDescent="0.25">
      <c r="A1685" s="3" t="s">
        <v>5</v>
      </c>
      <c r="E1685" s="1" t="s">
        <v>627</v>
      </c>
    </row>
    <row r="1686" spans="1:16" ht="13.2" x14ac:dyDescent="0.25">
      <c r="A1686" s="3" t="s">
        <v>3</v>
      </c>
      <c r="E1686" s="2" t="s">
        <v>602</v>
      </c>
    </row>
    <row r="1687" spans="1:16" ht="66" x14ac:dyDescent="0.25">
      <c r="A1687" t="s">
        <v>1</v>
      </c>
      <c r="E1687" s="1" t="s">
        <v>626</v>
      </c>
    </row>
    <row r="1688" spans="1:16" ht="13.2" x14ac:dyDescent="0.25">
      <c r="A1688" t="s">
        <v>11</v>
      </c>
      <c r="B1688" s="9" t="s">
        <v>21</v>
      </c>
      <c r="C1688" s="9" t="s">
        <v>625</v>
      </c>
      <c r="D1688" s="3" t="s">
        <v>2</v>
      </c>
      <c r="E1688" s="8" t="s">
        <v>624</v>
      </c>
      <c r="F1688" s="4" t="s">
        <v>604</v>
      </c>
      <c r="G1688" s="7">
        <v>1</v>
      </c>
      <c r="H1688" s="4">
        <v>2.6099999999999999E-3</v>
      </c>
      <c r="I1688" s="4">
        <f>ROUND(G1688*H1688,6)</f>
        <v>2.6099999999999999E-3</v>
      </c>
      <c r="L1688" s="6">
        <v>0</v>
      </c>
      <c r="M1688" s="5">
        <f>ROUND(ROUND(L1688,2)*ROUND(G1688,3),2)</f>
        <v>0</v>
      </c>
      <c r="N1688" s="4" t="s">
        <v>7</v>
      </c>
      <c r="O1688">
        <f>(M1688*21)/100</f>
        <v>0</v>
      </c>
      <c r="P1688" t="s">
        <v>6</v>
      </c>
    </row>
    <row r="1689" spans="1:16" ht="13.2" x14ac:dyDescent="0.25">
      <c r="A1689" s="3" t="s">
        <v>5</v>
      </c>
      <c r="E1689" s="1" t="s">
        <v>624</v>
      </c>
    </row>
    <row r="1690" spans="1:16" ht="13.2" x14ac:dyDescent="0.25">
      <c r="A1690" s="3" t="s">
        <v>3</v>
      </c>
      <c r="E1690" s="2" t="s">
        <v>602</v>
      </c>
    </row>
    <row r="1691" spans="1:16" ht="66" x14ac:dyDescent="0.25">
      <c r="A1691" t="s">
        <v>1</v>
      </c>
      <c r="E1691" s="1" t="s">
        <v>623</v>
      </c>
    </row>
    <row r="1692" spans="1:16" ht="13.2" x14ac:dyDescent="0.25">
      <c r="A1692" t="s">
        <v>11</v>
      </c>
      <c r="B1692" s="9" t="s">
        <v>18</v>
      </c>
      <c r="C1692" s="9" t="s">
        <v>622</v>
      </c>
      <c r="D1692" s="3" t="s">
        <v>2</v>
      </c>
      <c r="E1692" s="8" t="s">
        <v>621</v>
      </c>
      <c r="F1692" s="4" t="s">
        <v>604</v>
      </c>
      <c r="G1692" s="7">
        <v>1</v>
      </c>
      <c r="H1692" s="4">
        <v>2.6099999999999999E-3</v>
      </c>
      <c r="I1692" s="4">
        <f>ROUND(G1692*H1692,6)</f>
        <v>2.6099999999999999E-3</v>
      </c>
      <c r="L1692" s="6">
        <v>0</v>
      </c>
      <c r="M1692" s="5">
        <f>ROUND(ROUND(L1692,2)*ROUND(G1692,3),2)</f>
        <v>0</v>
      </c>
      <c r="N1692" s="4" t="s">
        <v>7</v>
      </c>
      <c r="O1692">
        <f>(M1692*21)/100</f>
        <v>0</v>
      </c>
      <c r="P1692" t="s">
        <v>6</v>
      </c>
    </row>
    <row r="1693" spans="1:16" ht="13.2" x14ac:dyDescent="0.25">
      <c r="A1693" s="3" t="s">
        <v>5</v>
      </c>
      <c r="E1693" s="1" t="s">
        <v>621</v>
      </c>
    </row>
    <row r="1694" spans="1:16" ht="13.2" x14ac:dyDescent="0.25">
      <c r="A1694" s="3" t="s">
        <v>3</v>
      </c>
      <c r="E1694" s="2" t="s">
        <v>602</v>
      </c>
    </row>
    <row r="1695" spans="1:16" ht="66" x14ac:dyDescent="0.25">
      <c r="A1695" t="s">
        <v>1</v>
      </c>
      <c r="E1695" s="1" t="s">
        <v>620</v>
      </c>
    </row>
    <row r="1696" spans="1:16" ht="13.2" x14ac:dyDescent="0.25">
      <c r="A1696" t="s">
        <v>11</v>
      </c>
      <c r="B1696" s="9" t="s">
        <v>15</v>
      </c>
      <c r="C1696" s="9" t="s">
        <v>619</v>
      </c>
      <c r="D1696" s="3" t="s">
        <v>2</v>
      </c>
      <c r="E1696" s="8" t="s">
        <v>618</v>
      </c>
      <c r="F1696" s="4" t="s">
        <v>604</v>
      </c>
      <c r="G1696" s="7">
        <v>1</v>
      </c>
      <c r="H1696" s="4">
        <v>2.6099999999999999E-3</v>
      </c>
      <c r="I1696" s="4">
        <f>ROUND(G1696*H1696,6)</f>
        <v>2.6099999999999999E-3</v>
      </c>
      <c r="L1696" s="6">
        <v>0</v>
      </c>
      <c r="M1696" s="5">
        <f>ROUND(ROUND(L1696,2)*ROUND(G1696,3),2)</f>
        <v>0</v>
      </c>
      <c r="N1696" s="4" t="s">
        <v>7</v>
      </c>
      <c r="O1696">
        <f>(M1696*21)/100</f>
        <v>0</v>
      </c>
      <c r="P1696" t="s">
        <v>6</v>
      </c>
    </row>
    <row r="1697" spans="1:16" ht="13.2" x14ac:dyDescent="0.25">
      <c r="A1697" s="3" t="s">
        <v>5</v>
      </c>
      <c r="E1697" s="1" t="s">
        <v>618</v>
      </c>
    </row>
    <row r="1698" spans="1:16" ht="13.2" x14ac:dyDescent="0.25">
      <c r="A1698" s="3" t="s">
        <v>3</v>
      </c>
      <c r="E1698" s="2" t="s">
        <v>602</v>
      </c>
    </row>
    <row r="1699" spans="1:16" ht="66" x14ac:dyDescent="0.25">
      <c r="A1699" t="s">
        <v>1</v>
      </c>
      <c r="E1699" s="1" t="s">
        <v>617</v>
      </c>
    </row>
    <row r="1700" spans="1:16" ht="13.2" x14ac:dyDescent="0.25">
      <c r="A1700" t="s">
        <v>11</v>
      </c>
      <c r="B1700" s="9" t="s">
        <v>10</v>
      </c>
      <c r="C1700" s="9" t="s">
        <v>616</v>
      </c>
      <c r="D1700" s="3" t="s">
        <v>2</v>
      </c>
      <c r="E1700" s="8" t="s">
        <v>615</v>
      </c>
      <c r="F1700" s="4" t="s">
        <v>604</v>
      </c>
      <c r="G1700" s="7">
        <v>1</v>
      </c>
      <c r="H1700" s="4">
        <v>2.6099999999999999E-3</v>
      </c>
      <c r="I1700" s="4">
        <f>ROUND(G1700*H1700,6)</f>
        <v>2.6099999999999999E-3</v>
      </c>
      <c r="L1700" s="6">
        <v>0</v>
      </c>
      <c r="M1700" s="5">
        <f>ROUND(ROUND(L1700,2)*ROUND(G1700,3),2)</f>
        <v>0</v>
      </c>
      <c r="N1700" s="4" t="s">
        <v>7</v>
      </c>
      <c r="O1700">
        <f>(M1700*21)/100</f>
        <v>0</v>
      </c>
      <c r="P1700" t="s">
        <v>6</v>
      </c>
    </row>
    <row r="1701" spans="1:16" ht="13.2" x14ac:dyDescent="0.25">
      <c r="A1701" s="3" t="s">
        <v>5</v>
      </c>
      <c r="E1701" s="1" t="s">
        <v>615</v>
      </c>
    </row>
    <row r="1702" spans="1:16" ht="13.2" x14ac:dyDescent="0.25">
      <c r="A1702" s="3" t="s">
        <v>3</v>
      </c>
      <c r="E1702" s="2" t="s">
        <v>602</v>
      </c>
    </row>
    <row r="1703" spans="1:16" ht="52.8" x14ac:dyDescent="0.25">
      <c r="A1703" t="s">
        <v>1</v>
      </c>
      <c r="E1703" s="1" t="s">
        <v>614</v>
      </c>
    </row>
    <row r="1704" spans="1:16" ht="13.2" x14ac:dyDescent="0.25">
      <c r="A1704" t="s">
        <v>50</v>
      </c>
      <c r="C1704" s="11" t="s">
        <v>613</v>
      </c>
      <c r="E1704" s="10" t="s">
        <v>612</v>
      </c>
      <c r="J1704" s="5">
        <f>0</f>
        <v>0</v>
      </c>
      <c r="K1704" s="5">
        <f>0</f>
        <v>0</v>
      </c>
      <c r="L1704" s="5">
        <f>0+L1705+L1709+L1713+L1717</f>
        <v>0</v>
      </c>
      <c r="M1704" s="5">
        <f>0+M1705+M1709+M1713+M1717</f>
        <v>0</v>
      </c>
    </row>
    <row r="1705" spans="1:16" ht="13.2" x14ac:dyDescent="0.25">
      <c r="A1705" t="s">
        <v>11</v>
      </c>
      <c r="B1705" s="9" t="s">
        <v>280</v>
      </c>
      <c r="C1705" s="9" t="s">
        <v>611</v>
      </c>
      <c r="D1705" s="3" t="s">
        <v>2</v>
      </c>
      <c r="E1705" s="8" t="s">
        <v>610</v>
      </c>
      <c r="F1705" s="4" t="s">
        <v>604</v>
      </c>
      <c r="G1705" s="7">
        <v>1</v>
      </c>
      <c r="H1705" s="4">
        <v>1.24E-3</v>
      </c>
      <c r="I1705" s="4">
        <f>ROUND(G1705*H1705,6)</f>
        <v>1.24E-3</v>
      </c>
      <c r="L1705" s="6">
        <v>0</v>
      </c>
      <c r="M1705" s="5">
        <f>ROUND(ROUND(L1705,2)*ROUND(G1705,3),2)</f>
        <v>0</v>
      </c>
      <c r="N1705" s="4" t="s">
        <v>501</v>
      </c>
      <c r="O1705">
        <f>(M1705*21)/100</f>
        <v>0</v>
      </c>
      <c r="P1705" t="s">
        <v>6</v>
      </c>
    </row>
    <row r="1706" spans="1:16" ht="13.2" x14ac:dyDescent="0.25">
      <c r="A1706" s="3" t="s">
        <v>5</v>
      </c>
      <c r="E1706" s="1" t="s">
        <v>610</v>
      </c>
    </row>
    <row r="1707" spans="1:16" ht="13.2" x14ac:dyDescent="0.25">
      <c r="A1707" s="3" t="s">
        <v>3</v>
      </c>
      <c r="E1707" s="2" t="s">
        <v>602</v>
      </c>
    </row>
    <row r="1708" spans="1:16" ht="13.2" x14ac:dyDescent="0.25">
      <c r="A1708" t="s">
        <v>1</v>
      </c>
      <c r="E1708" s="1" t="s">
        <v>2</v>
      </c>
    </row>
    <row r="1709" spans="1:16" ht="26.4" x14ac:dyDescent="0.25">
      <c r="A1709" t="s">
        <v>11</v>
      </c>
      <c r="B1709" s="9" t="s">
        <v>277</v>
      </c>
      <c r="C1709" s="9" t="s">
        <v>609</v>
      </c>
      <c r="D1709" s="3" t="s">
        <v>2</v>
      </c>
      <c r="E1709" s="8" t="s">
        <v>608</v>
      </c>
      <c r="F1709" s="4" t="s">
        <v>502</v>
      </c>
      <c r="G1709" s="7">
        <v>155.69999999999999</v>
      </c>
      <c r="H1709" s="4">
        <v>0</v>
      </c>
      <c r="I1709" s="4">
        <f>ROUND(G1709*H1709,6)</f>
        <v>0</v>
      </c>
      <c r="L1709" s="6">
        <v>0</v>
      </c>
      <c r="M1709" s="5">
        <f>ROUND(ROUND(L1709,2)*ROUND(G1709,3),2)</f>
        <v>0</v>
      </c>
      <c r="N1709" s="4" t="s">
        <v>501</v>
      </c>
      <c r="O1709">
        <f>(M1709*21)/100</f>
        <v>0</v>
      </c>
      <c r="P1709" t="s">
        <v>6</v>
      </c>
    </row>
    <row r="1710" spans="1:16" ht="26.4" x14ac:dyDescent="0.25">
      <c r="A1710" s="3" t="s">
        <v>5</v>
      </c>
      <c r="E1710" s="1" t="s">
        <v>608</v>
      </c>
    </row>
    <row r="1711" spans="1:16" ht="13.2" x14ac:dyDescent="0.25">
      <c r="A1711" s="3" t="s">
        <v>3</v>
      </c>
      <c r="E1711" s="2" t="s">
        <v>2</v>
      </c>
    </row>
    <row r="1712" spans="1:16" ht="13.2" x14ac:dyDescent="0.25">
      <c r="A1712" t="s">
        <v>1</v>
      </c>
      <c r="E1712" s="1" t="s">
        <v>2</v>
      </c>
    </row>
    <row r="1713" spans="1:16" ht="26.4" x14ac:dyDescent="0.25">
      <c r="A1713" t="s">
        <v>11</v>
      </c>
      <c r="B1713" s="9" t="s">
        <v>274</v>
      </c>
      <c r="C1713" s="9" t="s">
        <v>607</v>
      </c>
      <c r="D1713" s="3" t="s">
        <v>2</v>
      </c>
      <c r="E1713" s="8" t="s">
        <v>606</v>
      </c>
      <c r="F1713" s="4" t="s">
        <v>502</v>
      </c>
      <c r="G1713" s="7">
        <v>155.69999999999999</v>
      </c>
      <c r="H1713" s="4">
        <v>0</v>
      </c>
      <c r="I1713" s="4">
        <f>ROUND(G1713*H1713,6)</f>
        <v>0</v>
      </c>
      <c r="L1713" s="6">
        <v>0</v>
      </c>
      <c r="M1713" s="5">
        <f>ROUND(ROUND(L1713,2)*ROUND(G1713,3),2)</f>
        <v>0</v>
      </c>
      <c r="N1713" s="4" t="s">
        <v>501</v>
      </c>
      <c r="O1713">
        <f>(M1713*21)/100</f>
        <v>0</v>
      </c>
      <c r="P1713" t="s">
        <v>6</v>
      </c>
    </row>
    <row r="1714" spans="1:16" ht="26.4" x14ac:dyDescent="0.25">
      <c r="A1714" s="3" t="s">
        <v>5</v>
      </c>
      <c r="E1714" s="1" t="s">
        <v>606</v>
      </c>
    </row>
    <row r="1715" spans="1:16" ht="13.2" x14ac:dyDescent="0.25">
      <c r="A1715" s="3" t="s">
        <v>3</v>
      </c>
      <c r="E1715" s="2" t="s">
        <v>2</v>
      </c>
    </row>
    <row r="1716" spans="1:16" ht="13.2" x14ac:dyDescent="0.25">
      <c r="A1716" t="s">
        <v>1</v>
      </c>
      <c r="E1716" s="1" t="s">
        <v>2</v>
      </c>
    </row>
    <row r="1717" spans="1:16" ht="13.2" x14ac:dyDescent="0.25">
      <c r="A1717" t="s">
        <v>11</v>
      </c>
      <c r="B1717" s="9" t="s">
        <v>271</v>
      </c>
      <c r="C1717" s="9" t="s">
        <v>605</v>
      </c>
      <c r="D1717" s="3" t="s">
        <v>2</v>
      </c>
      <c r="E1717" s="8" t="s">
        <v>603</v>
      </c>
      <c r="F1717" s="4" t="s">
        <v>604</v>
      </c>
      <c r="G1717" s="7">
        <v>1</v>
      </c>
      <c r="H1717" s="4">
        <v>8.2400000000000001E-2</v>
      </c>
      <c r="I1717" s="4">
        <f>ROUND(G1717*H1717,6)</f>
        <v>8.2400000000000001E-2</v>
      </c>
      <c r="L1717" s="6">
        <v>0</v>
      </c>
      <c r="M1717" s="5">
        <f>ROUND(ROUND(L1717,2)*ROUND(G1717,3),2)</f>
        <v>0</v>
      </c>
      <c r="N1717" s="4" t="s">
        <v>7</v>
      </c>
      <c r="O1717">
        <f>(M1717*21)/100</f>
        <v>0</v>
      </c>
      <c r="P1717" t="s">
        <v>6</v>
      </c>
    </row>
    <row r="1718" spans="1:16" ht="13.2" x14ac:dyDescent="0.25">
      <c r="A1718" s="3" t="s">
        <v>5</v>
      </c>
      <c r="E1718" s="1" t="s">
        <v>603</v>
      </c>
    </row>
    <row r="1719" spans="1:16" ht="13.2" x14ac:dyDescent="0.25">
      <c r="A1719" s="3" t="s">
        <v>3</v>
      </c>
      <c r="E1719" s="2" t="s">
        <v>602</v>
      </c>
    </row>
    <row r="1720" spans="1:16" ht="66" x14ac:dyDescent="0.25">
      <c r="A1720" t="s">
        <v>1</v>
      </c>
      <c r="E1720" s="1" t="s">
        <v>601</v>
      </c>
    </row>
    <row r="1721" spans="1:16" ht="13.2" x14ac:dyDescent="0.25">
      <c r="A1721" t="s">
        <v>50</v>
      </c>
      <c r="C1721" s="11" t="s">
        <v>600</v>
      </c>
      <c r="E1721" s="10" t="s">
        <v>599</v>
      </c>
      <c r="J1721" s="5">
        <f>0</f>
        <v>0</v>
      </c>
      <c r="K1721" s="5">
        <f>0</f>
        <v>0</v>
      </c>
      <c r="L1721" s="5">
        <f>0+L1722+L1726+L1730+L1734+L1738+L1742+L1746+L1750+L1754+L1758</f>
        <v>0</v>
      </c>
      <c r="M1721" s="5">
        <f>0+M1722+M1726+M1730+M1734+M1738+M1742+M1746+M1750+M1754+M1758</f>
        <v>0</v>
      </c>
    </row>
    <row r="1722" spans="1:16" ht="13.2" x14ac:dyDescent="0.25">
      <c r="A1722" t="s">
        <v>11</v>
      </c>
      <c r="B1722" s="9" t="s">
        <v>268</v>
      </c>
      <c r="C1722" s="9" t="s">
        <v>598</v>
      </c>
      <c r="D1722" s="3" t="s">
        <v>2</v>
      </c>
      <c r="E1722" s="8" t="s">
        <v>597</v>
      </c>
      <c r="F1722" s="4" t="s">
        <v>8</v>
      </c>
      <c r="G1722" s="7">
        <v>60</v>
      </c>
      <c r="H1722" s="4">
        <v>4.8000000000000001E-4</v>
      </c>
      <c r="I1722" s="4">
        <f>ROUND(G1722*H1722,6)</f>
        <v>2.8799999999999999E-2</v>
      </c>
      <c r="L1722" s="6">
        <v>0</v>
      </c>
      <c r="M1722" s="5">
        <f>ROUND(ROUND(L1722,2)*ROUND(G1722,3),2)</f>
        <v>0</v>
      </c>
      <c r="N1722" s="4" t="s">
        <v>501</v>
      </c>
      <c r="O1722">
        <f>(M1722*21)/100</f>
        <v>0</v>
      </c>
      <c r="P1722" t="s">
        <v>6</v>
      </c>
    </row>
    <row r="1723" spans="1:16" ht="13.2" x14ac:dyDescent="0.25">
      <c r="A1723" s="3" t="s">
        <v>5</v>
      </c>
      <c r="E1723" s="1" t="s">
        <v>597</v>
      </c>
    </row>
    <row r="1724" spans="1:16" ht="13.2" x14ac:dyDescent="0.25">
      <c r="A1724" s="3" t="s">
        <v>3</v>
      </c>
      <c r="E1724" s="2" t="s">
        <v>596</v>
      </c>
    </row>
    <row r="1725" spans="1:16" ht="13.2" x14ac:dyDescent="0.25">
      <c r="A1725" t="s">
        <v>1</v>
      </c>
      <c r="E1725" s="1" t="s">
        <v>2</v>
      </c>
    </row>
    <row r="1726" spans="1:16" ht="13.2" x14ac:dyDescent="0.25">
      <c r="A1726" t="s">
        <v>11</v>
      </c>
      <c r="B1726" s="9" t="s">
        <v>265</v>
      </c>
      <c r="C1726" s="9" t="s">
        <v>595</v>
      </c>
      <c r="D1726" s="3" t="s">
        <v>2</v>
      </c>
      <c r="E1726" s="8" t="s">
        <v>594</v>
      </c>
      <c r="F1726" s="4" t="s">
        <v>8</v>
      </c>
      <c r="G1726" s="7">
        <v>38</v>
      </c>
      <c r="H1726" s="4">
        <v>5.9000000000000003E-4</v>
      </c>
      <c r="I1726" s="4">
        <f>ROUND(G1726*H1726,6)</f>
        <v>2.2419999999999999E-2</v>
      </c>
      <c r="L1726" s="6">
        <v>0</v>
      </c>
      <c r="M1726" s="5">
        <f>ROUND(ROUND(L1726,2)*ROUND(G1726,3),2)</f>
        <v>0</v>
      </c>
      <c r="N1726" s="4" t="s">
        <v>501</v>
      </c>
      <c r="O1726">
        <f>(M1726*21)/100</f>
        <v>0</v>
      </c>
      <c r="P1726" t="s">
        <v>6</v>
      </c>
    </row>
    <row r="1727" spans="1:16" ht="13.2" x14ac:dyDescent="0.25">
      <c r="A1727" s="3" t="s">
        <v>5</v>
      </c>
      <c r="E1727" s="1" t="s">
        <v>594</v>
      </c>
    </row>
    <row r="1728" spans="1:16" ht="13.2" x14ac:dyDescent="0.25">
      <c r="A1728" s="3" t="s">
        <v>3</v>
      </c>
      <c r="E1728" s="2" t="s">
        <v>593</v>
      </c>
    </row>
    <row r="1729" spans="1:16" ht="13.2" x14ac:dyDescent="0.25">
      <c r="A1729" t="s">
        <v>1</v>
      </c>
      <c r="E1729" s="1" t="s">
        <v>2</v>
      </c>
    </row>
    <row r="1730" spans="1:16" ht="13.2" x14ac:dyDescent="0.25">
      <c r="A1730" t="s">
        <v>11</v>
      </c>
      <c r="B1730" s="9" t="s">
        <v>262</v>
      </c>
      <c r="C1730" s="9" t="s">
        <v>592</v>
      </c>
      <c r="D1730" s="3" t="s">
        <v>2</v>
      </c>
      <c r="E1730" s="8" t="s">
        <v>591</v>
      </c>
      <c r="F1730" s="4" t="s">
        <v>8</v>
      </c>
      <c r="G1730" s="7">
        <v>12</v>
      </c>
      <c r="H1730" s="4">
        <v>7.5000000000000002E-4</v>
      </c>
      <c r="I1730" s="4">
        <f>ROUND(G1730*H1730,6)</f>
        <v>8.9999999999999993E-3</v>
      </c>
      <c r="L1730" s="6">
        <v>0</v>
      </c>
      <c r="M1730" s="5">
        <f>ROUND(ROUND(L1730,2)*ROUND(G1730,3),2)</f>
        <v>0</v>
      </c>
      <c r="N1730" s="4" t="s">
        <v>501</v>
      </c>
      <c r="O1730">
        <f>(M1730*21)/100</f>
        <v>0</v>
      </c>
      <c r="P1730" t="s">
        <v>6</v>
      </c>
    </row>
    <row r="1731" spans="1:16" ht="13.2" x14ac:dyDescent="0.25">
      <c r="A1731" s="3" t="s">
        <v>5</v>
      </c>
      <c r="E1731" s="1" t="s">
        <v>591</v>
      </c>
    </row>
    <row r="1732" spans="1:16" ht="13.2" x14ac:dyDescent="0.25">
      <c r="A1732" s="3" t="s">
        <v>3</v>
      </c>
      <c r="E1732" s="2" t="s">
        <v>590</v>
      </c>
    </row>
    <row r="1733" spans="1:16" ht="13.2" x14ac:dyDescent="0.25">
      <c r="A1733" t="s">
        <v>1</v>
      </c>
      <c r="E1733" s="1" t="s">
        <v>2</v>
      </c>
    </row>
    <row r="1734" spans="1:16" ht="13.2" x14ac:dyDescent="0.25">
      <c r="A1734" t="s">
        <v>11</v>
      </c>
      <c r="B1734" s="9" t="s">
        <v>259</v>
      </c>
      <c r="C1734" s="9" t="s">
        <v>589</v>
      </c>
      <c r="D1734" s="3" t="s">
        <v>2</v>
      </c>
      <c r="E1734" s="8" t="s">
        <v>588</v>
      </c>
      <c r="F1734" s="4" t="s">
        <v>8</v>
      </c>
      <c r="G1734" s="7">
        <v>34</v>
      </c>
      <c r="H1734" s="4">
        <v>1.2899999999999999E-3</v>
      </c>
      <c r="I1734" s="4">
        <f>ROUND(G1734*H1734,6)</f>
        <v>4.3860000000000003E-2</v>
      </c>
      <c r="L1734" s="6">
        <v>0</v>
      </c>
      <c r="M1734" s="5">
        <f>ROUND(ROUND(L1734,2)*ROUND(G1734,3),2)</f>
        <v>0</v>
      </c>
      <c r="N1734" s="4" t="s">
        <v>501</v>
      </c>
      <c r="O1734">
        <f>(M1734*21)/100</f>
        <v>0</v>
      </c>
      <c r="P1734" t="s">
        <v>6</v>
      </c>
    </row>
    <row r="1735" spans="1:16" ht="13.2" x14ac:dyDescent="0.25">
      <c r="A1735" s="3" t="s">
        <v>5</v>
      </c>
      <c r="E1735" s="1" t="s">
        <v>588</v>
      </c>
    </row>
    <row r="1736" spans="1:16" ht="13.2" x14ac:dyDescent="0.25">
      <c r="A1736" s="3" t="s">
        <v>3</v>
      </c>
      <c r="E1736" s="2" t="s">
        <v>587</v>
      </c>
    </row>
    <row r="1737" spans="1:16" ht="13.2" x14ac:dyDescent="0.25">
      <c r="A1737" t="s">
        <v>1</v>
      </c>
      <c r="E1737" s="1" t="s">
        <v>2</v>
      </c>
    </row>
    <row r="1738" spans="1:16" ht="26.4" x14ac:dyDescent="0.25">
      <c r="A1738" t="s">
        <v>11</v>
      </c>
      <c r="B1738" s="9" t="s">
        <v>255</v>
      </c>
      <c r="C1738" s="9" t="s">
        <v>586</v>
      </c>
      <c r="D1738" s="3" t="s">
        <v>2</v>
      </c>
      <c r="E1738" s="8" t="s">
        <v>585</v>
      </c>
      <c r="F1738" s="4" t="s">
        <v>13</v>
      </c>
      <c r="G1738" s="7">
        <v>24</v>
      </c>
      <c r="H1738" s="4">
        <v>1.0000000000000001E-5</v>
      </c>
      <c r="I1738" s="4">
        <f>ROUND(G1738*H1738,6)</f>
        <v>2.4000000000000001E-4</v>
      </c>
      <c r="L1738" s="6">
        <v>0</v>
      </c>
      <c r="M1738" s="5">
        <f>ROUND(ROUND(L1738,2)*ROUND(G1738,3),2)</f>
        <v>0</v>
      </c>
      <c r="N1738" s="4" t="s">
        <v>501</v>
      </c>
      <c r="O1738">
        <f>(M1738*21)/100</f>
        <v>0</v>
      </c>
      <c r="P1738" t="s">
        <v>6</v>
      </c>
    </row>
    <row r="1739" spans="1:16" ht="26.4" x14ac:dyDescent="0.25">
      <c r="A1739" s="3" t="s">
        <v>5</v>
      </c>
      <c r="E1739" s="1" t="s">
        <v>585</v>
      </c>
    </row>
    <row r="1740" spans="1:16" ht="13.2" x14ac:dyDescent="0.25">
      <c r="A1740" s="3" t="s">
        <v>3</v>
      </c>
      <c r="E1740" s="2" t="s">
        <v>584</v>
      </c>
    </row>
    <row r="1741" spans="1:16" ht="13.2" x14ac:dyDescent="0.25">
      <c r="A1741" t="s">
        <v>1</v>
      </c>
      <c r="E1741" s="1" t="s">
        <v>2</v>
      </c>
    </row>
    <row r="1742" spans="1:16" ht="13.2" x14ac:dyDescent="0.25">
      <c r="A1742" t="s">
        <v>11</v>
      </c>
      <c r="B1742" s="9" t="s">
        <v>252</v>
      </c>
      <c r="C1742" s="9" t="s">
        <v>583</v>
      </c>
      <c r="D1742" s="3" t="s">
        <v>2</v>
      </c>
      <c r="E1742" s="8" t="s">
        <v>582</v>
      </c>
      <c r="F1742" s="4" t="s">
        <v>8</v>
      </c>
      <c r="G1742" s="7">
        <v>144</v>
      </c>
      <c r="H1742" s="4">
        <v>0</v>
      </c>
      <c r="I1742" s="4">
        <f>ROUND(G1742*H1742,6)</f>
        <v>0</v>
      </c>
      <c r="L1742" s="6">
        <v>0</v>
      </c>
      <c r="M1742" s="5">
        <f>ROUND(ROUND(L1742,2)*ROUND(G1742,3),2)</f>
        <v>0</v>
      </c>
      <c r="N1742" s="4" t="s">
        <v>501</v>
      </c>
      <c r="O1742">
        <f>(M1742*21)/100</f>
        <v>0</v>
      </c>
      <c r="P1742" t="s">
        <v>6</v>
      </c>
    </row>
    <row r="1743" spans="1:16" ht="13.2" x14ac:dyDescent="0.25">
      <c r="A1743" s="3" t="s">
        <v>5</v>
      </c>
      <c r="E1743" s="1" t="s">
        <v>582</v>
      </c>
    </row>
    <row r="1744" spans="1:16" ht="13.2" x14ac:dyDescent="0.25">
      <c r="A1744" s="3" t="s">
        <v>3</v>
      </c>
      <c r="E1744" s="2" t="s">
        <v>581</v>
      </c>
    </row>
    <row r="1745" spans="1:16" ht="13.2" x14ac:dyDescent="0.25">
      <c r="A1745" t="s">
        <v>1</v>
      </c>
      <c r="E1745" s="1" t="s">
        <v>2</v>
      </c>
    </row>
    <row r="1746" spans="1:16" ht="26.4" x14ac:dyDescent="0.25">
      <c r="A1746" t="s">
        <v>11</v>
      </c>
      <c r="B1746" s="9" t="s">
        <v>249</v>
      </c>
      <c r="C1746" s="9" t="s">
        <v>580</v>
      </c>
      <c r="D1746" s="3" t="s">
        <v>2</v>
      </c>
      <c r="E1746" s="8" t="s">
        <v>576</v>
      </c>
      <c r="F1746" s="4" t="s">
        <v>8</v>
      </c>
      <c r="G1746" s="7">
        <v>98</v>
      </c>
      <c r="H1746" s="4">
        <v>2.0000000000000001E-4</v>
      </c>
      <c r="I1746" s="4">
        <f>ROUND(G1746*H1746,6)</f>
        <v>1.9599999999999999E-2</v>
      </c>
      <c r="L1746" s="6">
        <v>0</v>
      </c>
      <c r="M1746" s="5">
        <f>ROUND(ROUND(L1746,2)*ROUND(G1746,3),2)</f>
        <v>0</v>
      </c>
      <c r="N1746" s="4" t="s">
        <v>501</v>
      </c>
      <c r="O1746">
        <f>(M1746*21)/100</f>
        <v>0</v>
      </c>
      <c r="P1746" t="s">
        <v>6</v>
      </c>
    </row>
    <row r="1747" spans="1:16" ht="39.6" x14ac:dyDescent="0.25">
      <c r="A1747" s="3" t="s">
        <v>5</v>
      </c>
      <c r="E1747" s="1" t="s">
        <v>579</v>
      </c>
    </row>
    <row r="1748" spans="1:16" ht="13.2" x14ac:dyDescent="0.25">
      <c r="A1748" s="3" t="s">
        <v>3</v>
      </c>
      <c r="E1748" s="2" t="s">
        <v>578</v>
      </c>
    </row>
    <row r="1749" spans="1:16" ht="13.2" x14ac:dyDescent="0.25">
      <c r="A1749" t="s">
        <v>1</v>
      </c>
      <c r="E1749" s="1" t="s">
        <v>2</v>
      </c>
    </row>
    <row r="1750" spans="1:16" ht="26.4" x14ac:dyDescent="0.25">
      <c r="A1750" t="s">
        <v>11</v>
      </c>
      <c r="B1750" s="9" t="s">
        <v>246</v>
      </c>
      <c r="C1750" s="9" t="s">
        <v>577</v>
      </c>
      <c r="D1750" s="3" t="s">
        <v>2</v>
      </c>
      <c r="E1750" s="8" t="s">
        <v>576</v>
      </c>
      <c r="F1750" s="4" t="s">
        <v>8</v>
      </c>
      <c r="G1750" s="7">
        <v>46</v>
      </c>
      <c r="H1750" s="4">
        <v>2.4000000000000001E-4</v>
      </c>
      <c r="I1750" s="4">
        <f>ROUND(G1750*H1750,6)</f>
        <v>1.1039999999999999E-2</v>
      </c>
      <c r="L1750" s="6">
        <v>0</v>
      </c>
      <c r="M1750" s="5">
        <f>ROUND(ROUND(L1750,2)*ROUND(G1750,3),2)</f>
        <v>0</v>
      </c>
      <c r="N1750" s="4" t="s">
        <v>501</v>
      </c>
      <c r="O1750">
        <f>(M1750*21)/100</f>
        <v>0</v>
      </c>
      <c r="P1750" t="s">
        <v>6</v>
      </c>
    </row>
    <row r="1751" spans="1:16" ht="39.6" x14ac:dyDescent="0.25">
      <c r="A1751" s="3" t="s">
        <v>5</v>
      </c>
      <c r="E1751" s="1" t="s">
        <v>575</v>
      </c>
    </row>
    <row r="1752" spans="1:16" ht="13.2" x14ac:dyDescent="0.25">
      <c r="A1752" s="3" t="s">
        <v>3</v>
      </c>
      <c r="E1752" s="2" t="s">
        <v>574</v>
      </c>
    </row>
    <row r="1753" spans="1:16" ht="13.2" x14ac:dyDescent="0.25">
      <c r="A1753" t="s">
        <v>1</v>
      </c>
      <c r="E1753" s="1" t="s">
        <v>2</v>
      </c>
    </row>
    <row r="1754" spans="1:16" ht="26.4" x14ac:dyDescent="0.25">
      <c r="A1754" t="s">
        <v>11</v>
      </c>
      <c r="B1754" s="9" t="s">
        <v>243</v>
      </c>
      <c r="C1754" s="9" t="s">
        <v>573</v>
      </c>
      <c r="D1754" s="3" t="s">
        <v>2</v>
      </c>
      <c r="E1754" s="8" t="s">
        <v>572</v>
      </c>
      <c r="F1754" s="4" t="s">
        <v>542</v>
      </c>
      <c r="G1754" s="7">
        <v>0.13500000000000001</v>
      </c>
      <c r="H1754" s="4">
        <v>0</v>
      </c>
      <c r="I1754" s="4">
        <f>ROUND(G1754*H1754,6)</f>
        <v>0</v>
      </c>
      <c r="L1754" s="6">
        <v>0</v>
      </c>
      <c r="M1754" s="5">
        <f>ROUND(ROUND(L1754,2)*ROUND(G1754,3),2)</f>
        <v>0</v>
      </c>
      <c r="N1754" s="4" t="s">
        <v>501</v>
      </c>
      <c r="O1754">
        <f>(M1754*21)/100</f>
        <v>0</v>
      </c>
      <c r="P1754" t="s">
        <v>6</v>
      </c>
    </row>
    <row r="1755" spans="1:16" ht="26.4" x14ac:dyDescent="0.25">
      <c r="A1755" s="3" t="s">
        <v>5</v>
      </c>
      <c r="E1755" s="1" t="s">
        <v>572</v>
      </c>
    </row>
    <row r="1756" spans="1:16" ht="13.2" x14ac:dyDescent="0.25">
      <c r="A1756" s="3" t="s">
        <v>3</v>
      </c>
      <c r="E1756" s="2" t="s">
        <v>2</v>
      </c>
    </row>
    <row r="1757" spans="1:16" ht="13.2" x14ac:dyDescent="0.25">
      <c r="A1757" t="s">
        <v>1</v>
      </c>
      <c r="E1757" s="1" t="s">
        <v>2</v>
      </c>
    </row>
    <row r="1758" spans="1:16" ht="39.6" x14ac:dyDescent="0.25">
      <c r="A1758" t="s">
        <v>11</v>
      </c>
      <c r="B1758" s="9" t="s">
        <v>240</v>
      </c>
      <c r="C1758" s="9" t="s">
        <v>571</v>
      </c>
      <c r="D1758" s="3" t="s">
        <v>2</v>
      </c>
      <c r="E1758" s="8" t="s">
        <v>570</v>
      </c>
      <c r="F1758" s="4" t="s">
        <v>542</v>
      </c>
      <c r="G1758" s="7">
        <v>0.13500000000000001</v>
      </c>
      <c r="H1758" s="4">
        <v>0</v>
      </c>
      <c r="I1758" s="4">
        <f>ROUND(G1758*H1758,6)</f>
        <v>0</v>
      </c>
      <c r="L1758" s="6">
        <v>0</v>
      </c>
      <c r="M1758" s="5">
        <f>ROUND(ROUND(L1758,2)*ROUND(G1758,3),2)</f>
        <v>0</v>
      </c>
      <c r="N1758" s="4" t="s">
        <v>501</v>
      </c>
      <c r="O1758">
        <f>(M1758*21)/100</f>
        <v>0</v>
      </c>
      <c r="P1758" t="s">
        <v>6</v>
      </c>
    </row>
    <row r="1759" spans="1:16" ht="39.6" x14ac:dyDescent="0.25">
      <c r="A1759" s="3" t="s">
        <v>5</v>
      </c>
      <c r="E1759" s="1" t="s">
        <v>569</v>
      </c>
    </row>
    <row r="1760" spans="1:16" ht="13.2" x14ac:dyDescent="0.25">
      <c r="A1760" s="3" t="s">
        <v>3</v>
      </c>
      <c r="E1760" s="2" t="s">
        <v>2</v>
      </c>
    </row>
    <row r="1761" spans="1:16" ht="13.2" x14ac:dyDescent="0.25">
      <c r="A1761" t="s">
        <v>1</v>
      </c>
      <c r="E1761" s="1" t="s">
        <v>2</v>
      </c>
    </row>
    <row r="1762" spans="1:16" ht="13.2" x14ac:dyDescent="0.25">
      <c r="A1762" t="s">
        <v>50</v>
      </c>
      <c r="C1762" s="11" t="s">
        <v>568</v>
      </c>
      <c r="E1762" s="10" t="s">
        <v>567</v>
      </c>
      <c r="J1762" s="5">
        <f>0</f>
        <v>0</v>
      </c>
      <c r="K1762" s="5">
        <f>0</f>
        <v>0</v>
      </c>
      <c r="L1762" s="5">
        <f>0+L1763+L1767+L1771+L1775+L1779+L1783+L1787+L1791+L1795+L1799+L1803+L1807</f>
        <v>0</v>
      </c>
      <c r="M1762" s="5">
        <f>0+M1763+M1767+M1771+M1775+M1779+M1783+M1787+M1791+M1795+M1799+M1803+M1807</f>
        <v>0</v>
      </c>
    </row>
    <row r="1763" spans="1:16" ht="13.2" x14ac:dyDescent="0.25">
      <c r="A1763" t="s">
        <v>11</v>
      </c>
      <c r="B1763" s="9" t="s">
        <v>237</v>
      </c>
      <c r="C1763" s="9" t="s">
        <v>566</v>
      </c>
      <c r="D1763" s="3" t="s">
        <v>2</v>
      </c>
      <c r="E1763" s="8" t="s">
        <v>565</v>
      </c>
      <c r="F1763" s="4" t="s">
        <v>13</v>
      </c>
      <c r="G1763" s="7">
        <v>2</v>
      </c>
      <c r="H1763" s="4">
        <v>2.3000000000000001E-4</v>
      </c>
      <c r="I1763" s="4">
        <f>ROUND(G1763*H1763,6)</f>
        <v>4.6000000000000001E-4</v>
      </c>
      <c r="L1763" s="6">
        <v>0</v>
      </c>
      <c r="M1763" s="5">
        <f>ROUND(ROUND(L1763,2)*ROUND(G1763,3),2)</f>
        <v>0</v>
      </c>
      <c r="N1763" s="4" t="s">
        <v>501</v>
      </c>
      <c r="O1763">
        <f>(M1763*21)/100</f>
        <v>0</v>
      </c>
      <c r="P1763" t="s">
        <v>6</v>
      </c>
    </row>
    <row r="1764" spans="1:16" ht="13.2" x14ac:dyDescent="0.25">
      <c r="A1764" s="3" t="s">
        <v>5</v>
      </c>
      <c r="E1764" s="1" t="s">
        <v>565</v>
      </c>
    </row>
    <row r="1765" spans="1:16" ht="13.2" x14ac:dyDescent="0.25">
      <c r="A1765" s="3" t="s">
        <v>3</v>
      </c>
      <c r="E1765" s="2" t="s">
        <v>564</v>
      </c>
    </row>
    <row r="1766" spans="1:16" ht="13.2" x14ac:dyDescent="0.25">
      <c r="A1766" t="s">
        <v>1</v>
      </c>
      <c r="E1766" s="1" t="s">
        <v>2</v>
      </c>
    </row>
    <row r="1767" spans="1:16" ht="26.4" x14ac:dyDescent="0.25">
      <c r="A1767" t="s">
        <v>11</v>
      </c>
      <c r="B1767" s="9" t="s">
        <v>234</v>
      </c>
      <c r="C1767" s="9" t="s">
        <v>563</v>
      </c>
      <c r="D1767" s="3" t="s">
        <v>2</v>
      </c>
      <c r="E1767" s="8" t="s">
        <v>562</v>
      </c>
      <c r="F1767" s="4" t="s">
        <v>13</v>
      </c>
      <c r="G1767" s="7">
        <v>1</v>
      </c>
      <c r="H1767" s="4">
        <v>2.7999999999999998E-4</v>
      </c>
      <c r="I1767" s="4">
        <f>ROUND(G1767*H1767,6)</f>
        <v>2.7999999999999998E-4</v>
      </c>
      <c r="L1767" s="6">
        <v>0</v>
      </c>
      <c r="M1767" s="5">
        <f>ROUND(ROUND(L1767,2)*ROUND(G1767,3),2)</f>
        <v>0</v>
      </c>
      <c r="N1767" s="4" t="s">
        <v>501</v>
      </c>
      <c r="O1767">
        <f>(M1767*21)/100</f>
        <v>0</v>
      </c>
      <c r="P1767" t="s">
        <v>6</v>
      </c>
    </row>
    <row r="1768" spans="1:16" ht="26.4" x14ac:dyDescent="0.25">
      <c r="A1768" s="3" t="s">
        <v>5</v>
      </c>
      <c r="E1768" s="1" t="s">
        <v>562</v>
      </c>
    </row>
    <row r="1769" spans="1:16" ht="13.2" x14ac:dyDescent="0.25">
      <c r="A1769" s="3" t="s">
        <v>3</v>
      </c>
      <c r="E1769" s="2" t="s">
        <v>2</v>
      </c>
    </row>
    <row r="1770" spans="1:16" ht="13.2" x14ac:dyDescent="0.25">
      <c r="A1770" t="s">
        <v>1</v>
      </c>
      <c r="E1770" s="1" t="s">
        <v>2</v>
      </c>
    </row>
    <row r="1771" spans="1:16" ht="26.4" x14ac:dyDescent="0.25">
      <c r="A1771" t="s">
        <v>11</v>
      </c>
      <c r="B1771" s="9" t="s">
        <v>231</v>
      </c>
      <c r="C1771" s="9" t="s">
        <v>561</v>
      </c>
      <c r="D1771" s="3" t="s">
        <v>2</v>
      </c>
      <c r="E1771" s="8" t="s">
        <v>539</v>
      </c>
      <c r="F1771" s="4" t="s">
        <v>13</v>
      </c>
      <c r="G1771" s="7">
        <v>11</v>
      </c>
      <c r="H1771" s="4">
        <v>1.3999999999999999E-4</v>
      </c>
      <c r="I1771" s="4">
        <f>ROUND(G1771*H1771,6)</f>
        <v>1.5399999999999999E-3</v>
      </c>
      <c r="L1771" s="6">
        <v>0</v>
      </c>
      <c r="M1771" s="5">
        <f>ROUND(ROUND(L1771,2)*ROUND(G1771,3),2)</f>
        <v>0</v>
      </c>
      <c r="N1771" s="4" t="s">
        <v>501</v>
      </c>
      <c r="O1771">
        <f>(M1771*21)/100</f>
        <v>0</v>
      </c>
      <c r="P1771" t="s">
        <v>6</v>
      </c>
    </row>
    <row r="1772" spans="1:16" ht="26.4" x14ac:dyDescent="0.25">
      <c r="A1772" s="3" t="s">
        <v>5</v>
      </c>
      <c r="E1772" s="1" t="s">
        <v>539</v>
      </c>
    </row>
    <row r="1773" spans="1:16" ht="13.2" x14ac:dyDescent="0.25">
      <c r="A1773" s="3" t="s">
        <v>3</v>
      </c>
      <c r="E1773" s="2" t="s">
        <v>560</v>
      </c>
    </row>
    <row r="1774" spans="1:16" ht="13.2" x14ac:dyDescent="0.25">
      <c r="A1774" t="s">
        <v>1</v>
      </c>
      <c r="E1774" s="1" t="s">
        <v>2</v>
      </c>
    </row>
    <row r="1775" spans="1:16" ht="13.2" x14ac:dyDescent="0.25">
      <c r="A1775" t="s">
        <v>11</v>
      </c>
      <c r="B1775" s="9" t="s">
        <v>228</v>
      </c>
      <c r="C1775" s="9" t="s">
        <v>559</v>
      </c>
      <c r="D1775" s="3" t="s">
        <v>2</v>
      </c>
      <c r="E1775" s="8" t="s">
        <v>558</v>
      </c>
      <c r="F1775" s="4" t="s">
        <v>13</v>
      </c>
      <c r="G1775" s="7">
        <v>2</v>
      </c>
      <c r="H1775" s="4">
        <v>4.4000000000000002E-4</v>
      </c>
      <c r="I1775" s="4">
        <f>ROUND(G1775*H1775,6)</f>
        <v>8.8000000000000003E-4</v>
      </c>
      <c r="L1775" s="6">
        <v>0</v>
      </c>
      <c r="M1775" s="5">
        <f>ROUND(ROUND(L1775,2)*ROUND(G1775,3),2)</f>
        <v>0</v>
      </c>
      <c r="N1775" s="4" t="s">
        <v>501</v>
      </c>
      <c r="O1775">
        <f>(M1775*21)/100</f>
        <v>0</v>
      </c>
      <c r="P1775" t="s">
        <v>6</v>
      </c>
    </row>
    <row r="1776" spans="1:16" ht="13.2" x14ac:dyDescent="0.25">
      <c r="A1776" s="3" t="s">
        <v>5</v>
      </c>
      <c r="E1776" s="1" t="s">
        <v>558</v>
      </c>
    </row>
    <row r="1777" spans="1:16" ht="13.2" x14ac:dyDescent="0.25">
      <c r="A1777" s="3" t="s">
        <v>3</v>
      </c>
      <c r="E1777" s="2" t="s">
        <v>557</v>
      </c>
    </row>
    <row r="1778" spans="1:16" ht="13.2" x14ac:dyDescent="0.25">
      <c r="A1778" t="s">
        <v>1</v>
      </c>
      <c r="E1778" s="1" t="s">
        <v>2</v>
      </c>
    </row>
    <row r="1779" spans="1:16" ht="13.2" x14ac:dyDescent="0.25">
      <c r="A1779" t="s">
        <v>11</v>
      </c>
      <c r="B1779" s="9" t="s">
        <v>225</v>
      </c>
      <c r="C1779" s="9" t="s">
        <v>556</v>
      </c>
      <c r="D1779" s="3" t="s">
        <v>2</v>
      </c>
      <c r="E1779" s="8" t="s">
        <v>555</v>
      </c>
      <c r="F1779" s="4" t="s">
        <v>13</v>
      </c>
      <c r="G1779" s="7">
        <v>1</v>
      </c>
      <c r="H1779" s="4">
        <v>2.4000000000000001E-4</v>
      </c>
      <c r="I1779" s="4">
        <f>ROUND(G1779*H1779,6)</f>
        <v>2.4000000000000001E-4</v>
      </c>
      <c r="L1779" s="6">
        <v>0</v>
      </c>
      <c r="M1779" s="5">
        <f>ROUND(ROUND(L1779,2)*ROUND(G1779,3),2)</f>
        <v>0</v>
      </c>
      <c r="N1779" s="4" t="s">
        <v>501</v>
      </c>
      <c r="O1779">
        <f>(M1779*21)/100</f>
        <v>0</v>
      </c>
      <c r="P1779" t="s">
        <v>6</v>
      </c>
    </row>
    <row r="1780" spans="1:16" ht="13.2" x14ac:dyDescent="0.25">
      <c r="A1780" s="3" t="s">
        <v>5</v>
      </c>
      <c r="E1780" s="1" t="s">
        <v>555</v>
      </c>
    </row>
    <row r="1781" spans="1:16" ht="13.2" x14ac:dyDescent="0.25">
      <c r="A1781" s="3" t="s">
        <v>3</v>
      </c>
      <c r="E1781" s="2" t="s">
        <v>538</v>
      </c>
    </row>
    <row r="1782" spans="1:16" ht="13.2" x14ac:dyDescent="0.25">
      <c r="A1782" t="s">
        <v>1</v>
      </c>
      <c r="E1782" s="1" t="s">
        <v>2</v>
      </c>
    </row>
    <row r="1783" spans="1:16" ht="13.2" x14ac:dyDescent="0.25">
      <c r="A1783" t="s">
        <v>11</v>
      </c>
      <c r="B1783" s="9" t="s">
        <v>222</v>
      </c>
      <c r="C1783" s="9" t="s">
        <v>554</v>
      </c>
      <c r="D1783" s="3" t="s">
        <v>2</v>
      </c>
      <c r="E1783" s="8" t="s">
        <v>553</v>
      </c>
      <c r="F1783" s="4" t="s">
        <v>13</v>
      </c>
      <c r="G1783" s="7">
        <v>2</v>
      </c>
      <c r="H1783" s="4">
        <v>2.2000000000000001E-4</v>
      </c>
      <c r="I1783" s="4">
        <f>ROUND(G1783*H1783,6)</f>
        <v>4.4000000000000002E-4</v>
      </c>
      <c r="L1783" s="6">
        <v>0</v>
      </c>
      <c r="M1783" s="5">
        <f>ROUND(ROUND(L1783,2)*ROUND(G1783,3),2)</f>
        <v>0</v>
      </c>
      <c r="N1783" s="4" t="s">
        <v>501</v>
      </c>
      <c r="O1783">
        <f>(M1783*21)/100</f>
        <v>0</v>
      </c>
      <c r="P1783" t="s">
        <v>6</v>
      </c>
    </row>
    <row r="1784" spans="1:16" ht="13.2" x14ac:dyDescent="0.25">
      <c r="A1784" s="3" t="s">
        <v>5</v>
      </c>
      <c r="E1784" s="1" t="s">
        <v>553</v>
      </c>
    </row>
    <row r="1785" spans="1:16" ht="13.2" x14ac:dyDescent="0.25">
      <c r="A1785" s="3" t="s">
        <v>3</v>
      </c>
      <c r="E1785" s="2" t="s">
        <v>552</v>
      </c>
    </row>
    <row r="1786" spans="1:16" ht="13.2" x14ac:dyDescent="0.25">
      <c r="A1786" t="s">
        <v>1</v>
      </c>
      <c r="E1786" s="1" t="s">
        <v>2</v>
      </c>
    </row>
    <row r="1787" spans="1:16" ht="26.4" x14ac:dyDescent="0.25">
      <c r="A1787" t="s">
        <v>11</v>
      </c>
      <c r="B1787" s="9" t="s">
        <v>219</v>
      </c>
      <c r="C1787" s="9" t="s">
        <v>551</v>
      </c>
      <c r="D1787" s="3" t="s">
        <v>2</v>
      </c>
      <c r="E1787" s="8" t="s">
        <v>550</v>
      </c>
      <c r="F1787" s="4" t="s">
        <v>13</v>
      </c>
      <c r="G1787" s="7">
        <v>1</v>
      </c>
      <c r="H1787" s="4">
        <v>5.6999999999999998E-4</v>
      </c>
      <c r="I1787" s="4">
        <f>ROUND(G1787*H1787,6)</f>
        <v>5.6999999999999998E-4</v>
      </c>
      <c r="L1787" s="6">
        <v>0</v>
      </c>
      <c r="M1787" s="5">
        <f>ROUND(ROUND(L1787,2)*ROUND(G1787,3),2)</f>
        <v>0</v>
      </c>
      <c r="N1787" s="4" t="s">
        <v>501</v>
      </c>
      <c r="O1787">
        <f>(M1787*21)/100</f>
        <v>0</v>
      </c>
      <c r="P1787" t="s">
        <v>6</v>
      </c>
    </row>
    <row r="1788" spans="1:16" ht="26.4" x14ac:dyDescent="0.25">
      <c r="A1788" s="3" t="s">
        <v>5</v>
      </c>
      <c r="E1788" s="1" t="s">
        <v>550</v>
      </c>
    </row>
    <row r="1789" spans="1:16" ht="13.2" x14ac:dyDescent="0.25">
      <c r="A1789" s="3" t="s">
        <v>3</v>
      </c>
      <c r="E1789" s="2" t="s">
        <v>549</v>
      </c>
    </row>
    <row r="1790" spans="1:16" ht="13.2" x14ac:dyDescent="0.25">
      <c r="A1790" t="s">
        <v>1</v>
      </c>
      <c r="E1790" s="1" t="s">
        <v>2</v>
      </c>
    </row>
    <row r="1791" spans="1:16" ht="13.2" x14ac:dyDescent="0.25">
      <c r="A1791" t="s">
        <v>11</v>
      </c>
      <c r="B1791" s="9" t="s">
        <v>216</v>
      </c>
      <c r="C1791" s="9" t="s">
        <v>548</v>
      </c>
      <c r="D1791" s="3" t="s">
        <v>2</v>
      </c>
      <c r="E1791" s="8" t="s">
        <v>547</v>
      </c>
      <c r="F1791" s="4" t="s">
        <v>13</v>
      </c>
      <c r="G1791" s="7">
        <v>6</v>
      </c>
      <c r="H1791" s="4">
        <v>5.0000000000000001E-4</v>
      </c>
      <c r="I1791" s="4">
        <f>ROUND(G1791*H1791,6)</f>
        <v>3.0000000000000001E-3</v>
      </c>
      <c r="L1791" s="6">
        <v>0</v>
      </c>
      <c r="M1791" s="5">
        <f>ROUND(ROUND(L1791,2)*ROUND(G1791,3),2)</f>
        <v>0</v>
      </c>
      <c r="N1791" s="4" t="s">
        <v>501</v>
      </c>
      <c r="O1791">
        <f>(M1791*21)/100</f>
        <v>0</v>
      </c>
      <c r="P1791" t="s">
        <v>6</v>
      </c>
    </row>
    <row r="1792" spans="1:16" ht="13.2" x14ac:dyDescent="0.25">
      <c r="A1792" s="3" t="s">
        <v>5</v>
      </c>
      <c r="E1792" s="1" t="s">
        <v>547</v>
      </c>
    </row>
    <row r="1793" spans="1:16" ht="13.2" x14ac:dyDescent="0.25">
      <c r="A1793" s="3" t="s">
        <v>3</v>
      </c>
      <c r="E1793" s="2" t="s">
        <v>546</v>
      </c>
    </row>
    <row r="1794" spans="1:16" ht="13.2" x14ac:dyDescent="0.25">
      <c r="A1794" t="s">
        <v>1</v>
      </c>
      <c r="E1794" s="1" t="s">
        <v>2</v>
      </c>
    </row>
    <row r="1795" spans="1:16" ht="26.4" x14ac:dyDescent="0.25">
      <c r="A1795" t="s">
        <v>11</v>
      </c>
      <c r="B1795" s="9" t="s">
        <v>213</v>
      </c>
      <c r="C1795" s="9" t="s">
        <v>545</v>
      </c>
      <c r="D1795" s="3" t="s">
        <v>2</v>
      </c>
      <c r="E1795" s="8" t="s">
        <v>544</v>
      </c>
      <c r="F1795" s="4" t="s">
        <v>542</v>
      </c>
      <c r="G1795" s="7">
        <v>1.7999999999999999E-2</v>
      </c>
      <c r="H1795" s="4">
        <v>0</v>
      </c>
      <c r="I1795" s="4">
        <f>ROUND(G1795*H1795,6)</f>
        <v>0</v>
      </c>
      <c r="L1795" s="6">
        <v>0</v>
      </c>
      <c r="M1795" s="5">
        <f>ROUND(ROUND(L1795,2)*ROUND(G1795,3),2)</f>
        <v>0</v>
      </c>
      <c r="N1795" s="4" t="s">
        <v>501</v>
      </c>
      <c r="O1795">
        <f>(M1795*21)/100</f>
        <v>0</v>
      </c>
      <c r="P1795" t="s">
        <v>6</v>
      </c>
    </row>
    <row r="1796" spans="1:16" ht="26.4" x14ac:dyDescent="0.25">
      <c r="A1796" s="3" t="s">
        <v>5</v>
      </c>
      <c r="E1796" s="1" t="s">
        <v>544</v>
      </c>
    </row>
    <row r="1797" spans="1:16" ht="13.2" x14ac:dyDescent="0.25">
      <c r="A1797" s="3" t="s">
        <v>3</v>
      </c>
      <c r="E1797" s="2" t="s">
        <v>2</v>
      </c>
    </row>
    <row r="1798" spans="1:16" ht="13.2" x14ac:dyDescent="0.25">
      <c r="A1798" t="s">
        <v>1</v>
      </c>
      <c r="E1798" s="1" t="s">
        <v>2</v>
      </c>
    </row>
    <row r="1799" spans="1:16" ht="26.4" x14ac:dyDescent="0.25">
      <c r="A1799" t="s">
        <v>11</v>
      </c>
      <c r="B1799" s="9" t="s">
        <v>210</v>
      </c>
      <c r="C1799" s="9" t="s">
        <v>543</v>
      </c>
      <c r="D1799" s="3" t="s">
        <v>2</v>
      </c>
      <c r="E1799" s="8" t="s">
        <v>541</v>
      </c>
      <c r="F1799" s="4" t="s">
        <v>542</v>
      </c>
      <c r="G1799" s="7">
        <v>1.7999999999999999E-2</v>
      </c>
      <c r="H1799" s="4">
        <v>0</v>
      </c>
      <c r="I1799" s="4">
        <f>ROUND(G1799*H1799,6)</f>
        <v>0</v>
      </c>
      <c r="L1799" s="6">
        <v>0</v>
      </c>
      <c r="M1799" s="5">
        <f>ROUND(ROUND(L1799,2)*ROUND(G1799,3),2)</f>
        <v>0</v>
      </c>
      <c r="N1799" s="4" t="s">
        <v>501</v>
      </c>
      <c r="O1799">
        <f>(M1799*21)/100</f>
        <v>0</v>
      </c>
      <c r="P1799" t="s">
        <v>6</v>
      </c>
    </row>
    <row r="1800" spans="1:16" ht="26.4" x14ac:dyDescent="0.25">
      <c r="A1800" s="3" t="s">
        <v>5</v>
      </c>
      <c r="E1800" s="1" t="s">
        <v>541</v>
      </c>
    </row>
    <row r="1801" spans="1:16" ht="13.2" x14ac:dyDescent="0.25">
      <c r="A1801" s="3" t="s">
        <v>3</v>
      </c>
      <c r="E1801" s="2" t="s">
        <v>2</v>
      </c>
    </row>
    <row r="1802" spans="1:16" ht="13.2" x14ac:dyDescent="0.25">
      <c r="A1802" t="s">
        <v>1</v>
      </c>
      <c r="E1802" s="1" t="s">
        <v>2</v>
      </c>
    </row>
    <row r="1803" spans="1:16" ht="26.4" x14ac:dyDescent="0.25">
      <c r="A1803" t="s">
        <v>11</v>
      </c>
      <c r="B1803" s="9" t="s">
        <v>207</v>
      </c>
      <c r="C1803" s="9" t="s">
        <v>540</v>
      </c>
      <c r="D1803" s="3" t="s">
        <v>2</v>
      </c>
      <c r="E1803" s="8" t="s">
        <v>539</v>
      </c>
      <c r="F1803" s="4" t="s">
        <v>13</v>
      </c>
      <c r="G1803" s="7">
        <v>1</v>
      </c>
      <c r="H1803" s="4">
        <v>1.3999999999999999E-4</v>
      </c>
      <c r="I1803" s="4">
        <f>ROUND(G1803*H1803,6)</f>
        <v>1.3999999999999999E-4</v>
      </c>
      <c r="L1803" s="6">
        <v>0</v>
      </c>
      <c r="M1803" s="5">
        <f>ROUND(ROUND(L1803,2)*ROUND(G1803,3),2)</f>
        <v>0</v>
      </c>
      <c r="N1803" s="4" t="s">
        <v>7</v>
      </c>
      <c r="O1803">
        <f>(M1803*21)/100</f>
        <v>0</v>
      </c>
      <c r="P1803" t="s">
        <v>6</v>
      </c>
    </row>
    <row r="1804" spans="1:16" ht="26.4" x14ac:dyDescent="0.25">
      <c r="A1804" s="3" t="s">
        <v>5</v>
      </c>
      <c r="E1804" s="1" t="s">
        <v>539</v>
      </c>
    </row>
    <row r="1805" spans="1:16" ht="13.2" x14ac:dyDescent="0.25">
      <c r="A1805" s="3" t="s">
        <v>3</v>
      </c>
      <c r="E1805" s="2" t="s">
        <v>538</v>
      </c>
    </row>
    <row r="1806" spans="1:16" ht="13.2" x14ac:dyDescent="0.25">
      <c r="A1806" t="s">
        <v>1</v>
      </c>
      <c r="E1806" s="1" t="s">
        <v>2</v>
      </c>
    </row>
    <row r="1807" spans="1:16" ht="26.4" x14ac:dyDescent="0.25">
      <c r="A1807" t="s">
        <v>11</v>
      </c>
      <c r="B1807" s="9" t="s">
        <v>204</v>
      </c>
      <c r="C1807" s="9" t="s">
        <v>537</v>
      </c>
      <c r="D1807" s="3" t="s">
        <v>2</v>
      </c>
      <c r="E1807" s="8" t="s">
        <v>536</v>
      </c>
      <c r="F1807" s="4" t="s">
        <v>13</v>
      </c>
      <c r="G1807" s="7">
        <v>12</v>
      </c>
      <c r="H1807" s="4">
        <v>8.5999999999999998E-4</v>
      </c>
      <c r="I1807" s="4">
        <f>ROUND(G1807*H1807,6)</f>
        <v>1.0319999999999999E-2</v>
      </c>
      <c r="L1807" s="6">
        <v>0</v>
      </c>
      <c r="M1807" s="5">
        <f>ROUND(ROUND(L1807,2)*ROUND(G1807,3),2)</f>
        <v>0</v>
      </c>
      <c r="N1807" s="4" t="s">
        <v>7</v>
      </c>
      <c r="O1807">
        <f>(M1807*21)/100</f>
        <v>0</v>
      </c>
      <c r="P1807" t="s">
        <v>6</v>
      </c>
    </row>
    <row r="1808" spans="1:16" ht="26.4" x14ac:dyDescent="0.25">
      <c r="A1808" s="3" t="s">
        <v>5</v>
      </c>
      <c r="E1808" s="1" t="s">
        <v>536</v>
      </c>
    </row>
    <row r="1809" spans="1:16" ht="13.2" x14ac:dyDescent="0.25">
      <c r="A1809" s="3" t="s">
        <v>3</v>
      </c>
      <c r="E1809" s="2" t="s">
        <v>535</v>
      </c>
    </row>
    <row r="1810" spans="1:16" ht="66" x14ac:dyDescent="0.25">
      <c r="A1810" t="s">
        <v>1</v>
      </c>
      <c r="E1810" s="1" t="s">
        <v>534</v>
      </c>
    </row>
    <row r="1811" spans="1:16" ht="13.2" x14ac:dyDescent="0.25">
      <c r="A1811" t="s">
        <v>50</v>
      </c>
      <c r="C1811" s="11" t="s">
        <v>533</v>
      </c>
      <c r="E1811" s="10" t="s">
        <v>532</v>
      </c>
      <c r="J1811" s="5">
        <f>0</f>
        <v>0</v>
      </c>
      <c r="K1811" s="5">
        <f>0</f>
        <v>0</v>
      </c>
      <c r="L1811" s="5">
        <f>0+L1812+L1816+L1820+L1824+L1828+L1832+L1836+L1840+L1844+L1848+L1852+L1856+L1860+L1864+L1868+L1872+L1876+L1880+L1884+L1888+L1892</f>
        <v>0</v>
      </c>
      <c r="M1811" s="5">
        <f>0+M1812+M1816+M1820+M1824+M1828+M1832+M1836+M1840+M1844+M1848+M1852+M1856+M1860+M1864+M1868+M1872+M1876+M1880+M1884+M1888+M1892</f>
        <v>0</v>
      </c>
    </row>
    <row r="1812" spans="1:16" ht="39.6" x14ac:dyDescent="0.25">
      <c r="A1812" t="s">
        <v>11</v>
      </c>
      <c r="B1812" s="9" t="s">
        <v>201</v>
      </c>
      <c r="C1812" s="9" t="s">
        <v>531</v>
      </c>
      <c r="D1812" s="3" t="s">
        <v>2</v>
      </c>
      <c r="E1812" s="8" t="s">
        <v>530</v>
      </c>
      <c r="F1812" s="4" t="s">
        <v>13</v>
      </c>
      <c r="G1812" s="7">
        <v>1</v>
      </c>
      <c r="H1812" s="4">
        <v>1.942E-2</v>
      </c>
      <c r="I1812" s="4">
        <f>ROUND(G1812*H1812,6)</f>
        <v>1.942E-2</v>
      </c>
      <c r="L1812" s="6">
        <v>0</v>
      </c>
      <c r="M1812" s="5">
        <f>ROUND(ROUND(L1812,2)*ROUND(G1812,3),2)</f>
        <v>0</v>
      </c>
      <c r="N1812" s="4" t="s">
        <v>501</v>
      </c>
      <c r="O1812">
        <f>(M1812*21)/100</f>
        <v>0</v>
      </c>
      <c r="P1812" t="s">
        <v>6</v>
      </c>
    </row>
    <row r="1813" spans="1:16" ht="39.6" x14ac:dyDescent="0.25">
      <c r="A1813" s="3" t="s">
        <v>5</v>
      </c>
      <c r="E1813" s="1" t="s">
        <v>530</v>
      </c>
    </row>
    <row r="1814" spans="1:16" ht="13.2" x14ac:dyDescent="0.25">
      <c r="A1814" s="3" t="s">
        <v>3</v>
      </c>
      <c r="E1814" s="2" t="s">
        <v>529</v>
      </c>
    </row>
    <row r="1815" spans="1:16" ht="13.2" x14ac:dyDescent="0.25">
      <c r="A1815" t="s">
        <v>1</v>
      </c>
      <c r="E1815" s="1" t="s">
        <v>2</v>
      </c>
    </row>
    <row r="1816" spans="1:16" ht="39.6" x14ac:dyDescent="0.25">
      <c r="A1816" t="s">
        <v>11</v>
      </c>
      <c r="B1816" s="9" t="s">
        <v>198</v>
      </c>
      <c r="C1816" s="9" t="s">
        <v>528</v>
      </c>
      <c r="D1816" s="3" t="s">
        <v>2</v>
      </c>
      <c r="E1816" s="8" t="s">
        <v>527</v>
      </c>
      <c r="F1816" s="4" t="s">
        <v>13</v>
      </c>
      <c r="G1816" s="7">
        <v>2</v>
      </c>
      <c r="H1816" s="4">
        <v>2.2290000000000001E-2</v>
      </c>
      <c r="I1816" s="4">
        <f>ROUND(G1816*H1816,6)</f>
        <v>4.4580000000000002E-2</v>
      </c>
      <c r="L1816" s="6">
        <v>0</v>
      </c>
      <c r="M1816" s="5">
        <f>ROUND(ROUND(L1816,2)*ROUND(G1816,3),2)</f>
        <v>0</v>
      </c>
      <c r="N1816" s="4" t="s">
        <v>501</v>
      </c>
      <c r="O1816">
        <f>(M1816*21)/100</f>
        <v>0</v>
      </c>
      <c r="P1816" t="s">
        <v>6</v>
      </c>
    </row>
    <row r="1817" spans="1:16" ht="39.6" x14ac:dyDescent="0.25">
      <c r="A1817" s="3" t="s">
        <v>5</v>
      </c>
      <c r="E1817" s="1" t="s">
        <v>527</v>
      </c>
    </row>
    <row r="1818" spans="1:16" ht="13.2" x14ac:dyDescent="0.25">
      <c r="A1818" s="3" t="s">
        <v>3</v>
      </c>
      <c r="E1818" s="2" t="s">
        <v>526</v>
      </c>
    </row>
    <row r="1819" spans="1:16" ht="13.2" x14ac:dyDescent="0.25">
      <c r="A1819" t="s">
        <v>1</v>
      </c>
      <c r="E1819" s="1" t="s">
        <v>2</v>
      </c>
    </row>
    <row r="1820" spans="1:16" ht="39.6" x14ac:dyDescent="0.25">
      <c r="A1820" t="s">
        <v>11</v>
      </c>
      <c r="B1820" s="9" t="s">
        <v>195</v>
      </c>
      <c r="C1820" s="9" t="s">
        <v>525</v>
      </c>
      <c r="D1820" s="3" t="s">
        <v>2</v>
      </c>
      <c r="E1820" s="8" t="s">
        <v>524</v>
      </c>
      <c r="F1820" s="4" t="s">
        <v>13</v>
      </c>
      <c r="G1820" s="7">
        <v>2</v>
      </c>
      <c r="H1820" s="4">
        <v>2.8029999999999999E-2</v>
      </c>
      <c r="I1820" s="4">
        <f>ROUND(G1820*H1820,6)</f>
        <v>5.6059999999999999E-2</v>
      </c>
      <c r="L1820" s="6">
        <v>0</v>
      </c>
      <c r="M1820" s="5">
        <f>ROUND(ROUND(L1820,2)*ROUND(G1820,3),2)</f>
        <v>0</v>
      </c>
      <c r="N1820" s="4" t="s">
        <v>501</v>
      </c>
      <c r="O1820">
        <f>(M1820*21)/100</f>
        <v>0</v>
      </c>
      <c r="P1820" t="s">
        <v>6</v>
      </c>
    </row>
    <row r="1821" spans="1:16" ht="39.6" x14ac:dyDescent="0.25">
      <c r="A1821" s="3" t="s">
        <v>5</v>
      </c>
      <c r="E1821" s="1" t="s">
        <v>524</v>
      </c>
    </row>
    <row r="1822" spans="1:16" ht="13.2" x14ac:dyDescent="0.25">
      <c r="A1822" s="3" t="s">
        <v>3</v>
      </c>
      <c r="E1822" s="2" t="s">
        <v>523</v>
      </c>
    </row>
    <row r="1823" spans="1:16" ht="13.2" x14ac:dyDescent="0.25">
      <c r="A1823" t="s">
        <v>1</v>
      </c>
      <c r="E1823" s="1" t="s">
        <v>2</v>
      </c>
    </row>
    <row r="1824" spans="1:16" ht="39.6" x14ac:dyDescent="0.25">
      <c r="A1824" t="s">
        <v>11</v>
      </c>
      <c r="B1824" s="9" t="s">
        <v>192</v>
      </c>
      <c r="C1824" s="9" t="s">
        <v>522</v>
      </c>
      <c r="D1824" s="3" t="s">
        <v>2</v>
      </c>
      <c r="E1824" s="8" t="s">
        <v>521</v>
      </c>
      <c r="F1824" s="4" t="s">
        <v>13</v>
      </c>
      <c r="G1824" s="7">
        <v>2</v>
      </c>
      <c r="H1824" s="4">
        <v>3.32E-2</v>
      </c>
      <c r="I1824" s="4">
        <f>ROUND(G1824*H1824,6)</f>
        <v>6.6400000000000001E-2</v>
      </c>
      <c r="L1824" s="6">
        <v>0</v>
      </c>
      <c r="M1824" s="5">
        <f>ROUND(ROUND(L1824,2)*ROUND(G1824,3),2)</f>
        <v>0</v>
      </c>
      <c r="N1824" s="4" t="s">
        <v>501</v>
      </c>
      <c r="O1824">
        <f>(M1824*21)/100</f>
        <v>0</v>
      </c>
      <c r="P1824" t="s">
        <v>6</v>
      </c>
    </row>
    <row r="1825" spans="1:16" ht="39.6" x14ac:dyDescent="0.25">
      <c r="A1825" s="3" t="s">
        <v>5</v>
      </c>
      <c r="E1825" s="1" t="s">
        <v>521</v>
      </c>
    </row>
    <row r="1826" spans="1:16" ht="13.2" x14ac:dyDescent="0.25">
      <c r="A1826" s="3" t="s">
        <v>3</v>
      </c>
      <c r="E1826" s="2" t="s">
        <v>520</v>
      </c>
    </row>
    <row r="1827" spans="1:16" ht="13.2" x14ac:dyDescent="0.25">
      <c r="A1827" t="s">
        <v>1</v>
      </c>
      <c r="E1827" s="1" t="s">
        <v>2</v>
      </c>
    </row>
    <row r="1828" spans="1:16" ht="39.6" x14ac:dyDescent="0.25">
      <c r="A1828" t="s">
        <v>11</v>
      </c>
      <c r="B1828" s="9" t="s">
        <v>189</v>
      </c>
      <c r="C1828" s="9" t="s">
        <v>519</v>
      </c>
      <c r="D1828" s="3" t="s">
        <v>2</v>
      </c>
      <c r="E1828" s="8" t="s">
        <v>518</v>
      </c>
      <c r="F1828" s="4" t="s">
        <v>13</v>
      </c>
      <c r="G1828" s="7">
        <v>2</v>
      </c>
      <c r="H1828" s="4">
        <v>1.8499999999999999E-2</v>
      </c>
      <c r="I1828" s="4">
        <f>ROUND(G1828*H1828,6)</f>
        <v>3.6999999999999998E-2</v>
      </c>
      <c r="L1828" s="6">
        <v>0</v>
      </c>
      <c r="M1828" s="5">
        <f>ROUND(ROUND(L1828,2)*ROUND(G1828,3),2)</f>
        <v>0</v>
      </c>
      <c r="N1828" s="4" t="s">
        <v>501</v>
      </c>
      <c r="O1828">
        <f>(M1828*21)/100</f>
        <v>0</v>
      </c>
      <c r="P1828" t="s">
        <v>6</v>
      </c>
    </row>
    <row r="1829" spans="1:16" ht="39.6" x14ac:dyDescent="0.25">
      <c r="A1829" s="3" t="s">
        <v>5</v>
      </c>
      <c r="E1829" s="1" t="s">
        <v>518</v>
      </c>
    </row>
    <row r="1830" spans="1:16" ht="13.2" x14ac:dyDescent="0.25">
      <c r="A1830" s="3" t="s">
        <v>3</v>
      </c>
      <c r="E1830" s="2" t="s">
        <v>517</v>
      </c>
    </row>
    <row r="1831" spans="1:16" ht="13.2" x14ac:dyDescent="0.25">
      <c r="A1831" t="s">
        <v>1</v>
      </c>
      <c r="E1831" s="1" t="s">
        <v>2</v>
      </c>
    </row>
    <row r="1832" spans="1:16" ht="39.6" x14ac:dyDescent="0.25">
      <c r="A1832" t="s">
        <v>11</v>
      </c>
      <c r="B1832" s="9" t="s">
        <v>186</v>
      </c>
      <c r="C1832" s="9" t="s">
        <v>516</v>
      </c>
      <c r="D1832" s="3" t="s">
        <v>2</v>
      </c>
      <c r="E1832" s="8" t="s">
        <v>515</v>
      </c>
      <c r="F1832" s="4" t="s">
        <v>13</v>
      </c>
      <c r="G1832" s="7">
        <v>1</v>
      </c>
      <c r="H1832" s="4">
        <v>2.1760000000000002E-2</v>
      </c>
      <c r="I1832" s="4">
        <f>ROUND(G1832*H1832,6)</f>
        <v>2.1760000000000002E-2</v>
      </c>
      <c r="L1832" s="6">
        <v>0</v>
      </c>
      <c r="M1832" s="5">
        <f>ROUND(ROUND(L1832,2)*ROUND(G1832,3),2)</f>
        <v>0</v>
      </c>
      <c r="N1832" s="4" t="s">
        <v>501</v>
      </c>
      <c r="O1832">
        <f>(M1832*21)/100</f>
        <v>0</v>
      </c>
      <c r="P1832" t="s">
        <v>6</v>
      </c>
    </row>
    <row r="1833" spans="1:16" ht="39.6" x14ac:dyDescent="0.25">
      <c r="A1833" s="3" t="s">
        <v>5</v>
      </c>
      <c r="E1833" s="1" t="s">
        <v>514</v>
      </c>
    </row>
    <row r="1834" spans="1:16" ht="13.2" x14ac:dyDescent="0.25">
      <c r="A1834" s="3" t="s">
        <v>3</v>
      </c>
      <c r="E1834" s="2" t="s">
        <v>513</v>
      </c>
    </row>
    <row r="1835" spans="1:16" ht="13.2" x14ac:dyDescent="0.25">
      <c r="A1835" t="s">
        <v>1</v>
      </c>
      <c r="E1835" s="1" t="s">
        <v>2</v>
      </c>
    </row>
    <row r="1836" spans="1:16" ht="39.6" x14ac:dyDescent="0.25">
      <c r="A1836" t="s">
        <v>11</v>
      </c>
      <c r="B1836" s="9" t="s">
        <v>183</v>
      </c>
      <c r="C1836" s="9" t="s">
        <v>512</v>
      </c>
      <c r="D1836" s="3" t="s">
        <v>2</v>
      </c>
      <c r="E1836" s="8" t="s">
        <v>511</v>
      </c>
      <c r="F1836" s="4" t="s">
        <v>13</v>
      </c>
      <c r="G1836" s="7">
        <v>3</v>
      </c>
      <c r="H1836" s="4">
        <v>4.1320000000000003E-2</v>
      </c>
      <c r="I1836" s="4">
        <f>ROUND(G1836*H1836,6)</f>
        <v>0.12396</v>
      </c>
      <c r="L1836" s="6">
        <v>0</v>
      </c>
      <c r="M1836" s="5">
        <f>ROUND(ROUND(L1836,2)*ROUND(G1836,3),2)</f>
        <v>0</v>
      </c>
      <c r="N1836" s="4" t="s">
        <v>501</v>
      </c>
      <c r="O1836">
        <f>(M1836*21)/100</f>
        <v>0</v>
      </c>
      <c r="P1836" t="s">
        <v>6</v>
      </c>
    </row>
    <row r="1837" spans="1:16" ht="39.6" x14ac:dyDescent="0.25">
      <c r="A1837" s="3" t="s">
        <v>5</v>
      </c>
      <c r="E1837" s="1" t="s">
        <v>510</v>
      </c>
    </row>
    <row r="1838" spans="1:16" ht="13.2" x14ac:dyDescent="0.25">
      <c r="A1838" s="3" t="s">
        <v>3</v>
      </c>
      <c r="E1838" s="2" t="s">
        <v>509</v>
      </c>
    </row>
    <row r="1839" spans="1:16" ht="13.2" x14ac:dyDescent="0.25">
      <c r="A1839" t="s">
        <v>1</v>
      </c>
      <c r="E1839" s="1" t="s">
        <v>2</v>
      </c>
    </row>
    <row r="1840" spans="1:16" ht="13.2" x14ac:dyDescent="0.25">
      <c r="A1840" t="s">
        <v>11</v>
      </c>
      <c r="B1840" s="9" t="s">
        <v>180</v>
      </c>
      <c r="C1840" s="9" t="s">
        <v>508</v>
      </c>
      <c r="D1840" s="3" t="s">
        <v>2</v>
      </c>
      <c r="E1840" s="8" t="s">
        <v>507</v>
      </c>
      <c r="F1840" s="4" t="s">
        <v>13</v>
      </c>
      <c r="G1840" s="7">
        <v>1</v>
      </c>
      <c r="H1840" s="4">
        <v>0</v>
      </c>
      <c r="I1840" s="4">
        <f>ROUND(G1840*H1840,6)</f>
        <v>0</v>
      </c>
      <c r="L1840" s="6">
        <v>0</v>
      </c>
      <c r="M1840" s="5">
        <f>ROUND(ROUND(L1840,2)*ROUND(G1840,3),2)</f>
        <v>0</v>
      </c>
      <c r="N1840" s="4" t="s">
        <v>501</v>
      </c>
      <c r="O1840">
        <f>(M1840*21)/100</f>
        <v>0</v>
      </c>
      <c r="P1840" t="s">
        <v>6</v>
      </c>
    </row>
    <row r="1841" spans="1:16" ht="13.2" x14ac:dyDescent="0.25">
      <c r="A1841" s="3" t="s">
        <v>5</v>
      </c>
      <c r="E1841" s="1" t="s">
        <v>507</v>
      </c>
    </row>
    <row r="1842" spans="1:16" ht="13.2" x14ac:dyDescent="0.25">
      <c r="A1842" s="3" t="s">
        <v>3</v>
      </c>
      <c r="E1842" s="2" t="s">
        <v>506</v>
      </c>
    </row>
    <row r="1843" spans="1:16" ht="13.2" x14ac:dyDescent="0.25">
      <c r="A1843" t="s">
        <v>1</v>
      </c>
      <c r="E1843" s="1" t="s">
        <v>2</v>
      </c>
    </row>
    <row r="1844" spans="1:16" ht="26.4" x14ac:dyDescent="0.25">
      <c r="A1844" t="s">
        <v>11</v>
      </c>
      <c r="B1844" s="9" t="s">
        <v>177</v>
      </c>
      <c r="C1844" s="9" t="s">
        <v>505</v>
      </c>
      <c r="D1844" s="3" t="s">
        <v>2</v>
      </c>
      <c r="E1844" s="8" t="s">
        <v>504</v>
      </c>
      <c r="F1844" s="4" t="s">
        <v>502</v>
      </c>
      <c r="G1844" s="7">
        <v>3194.76</v>
      </c>
      <c r="H1844" s="4">
        <v>0</v>
      </c>
      <c r="I1844" s="4">
        <f>ROUND(G1844*H1844,6)</f>
        <v>0</v>
      </c>
      <c r="L1844" s="6">
        <v>0</v>
      </c>
      <c r="M1844" s="5">
        <f>ROUND(ROUND(L1844,2)*ROUND(G1844,3),2)</f>
        <v>0</v>
      </c>
      <c r="N1844" s="4" t="s">
        <v>501</v>
      </c>
      <c r="O1844">
        <f>(M1844*21)/100</f>
        <v>0</v>
      </c>
      <c r="P1844" t="s">
        <v>6</v>
      </c>
    </row>
    <row r="1845" spans="1:16" ht="26.4" x14ac:dyDescent="0.25">
      <c r="A1845" s="3" t="s">
        <v>5</v>
      </c>
      <c r="E1845" s="1" t="s">
        <v>504</v>
      </c>
    </row>
    <row r="1846" spans="1:16" ht="13.2" x14ac:dyDescent="0.25">
      <c r="A1846" s="3" t="s">
        <v>3</v>
      </c>
      <c r="E1846" s="2" t="s">
        <v>2</v>
      </c>
    </row>
    <row r="1847" spans="1:16" ht="13.2" x14ac:dyDescent="0.25">
      <c r="A1847" t="s">
        <v>1</v>
      </c>
      <c r="E1847" s="1" t="s">
        <v>2</v>
      </c>
    </row>
    <row r="1848" spans="1:16" ht="26.4" x14ac:dyDescent="0.25">
      <c r="A1848" t="s">
        <v>11</v>
      </c>
      <c r="B1848" s="9" t="s">
        <v>174</v>
      </c>
      <c r="C1848" s="9" t="s">
        <v>503</v>
      </c>
      <c r="D1848" s="3" t="s">
        <v>2</v>
      </c>
      <c r="E1848" s="8" t="s">
        <v>500</v>
      </c>
      <c r="F1848" s="4" t="s">
        <v>502</v>
      </c>
      <c r="G1848" s="7">
        <v>3194.76</v>
      </c>
      <c r="H1848" s="4">
        <v>0</v>
      </c>
      <c r="I1848" s="4">
        <f>ROUND(G1848*H1848,6)</f>
        <v>0</v>
      </c>
      <c r="L1848" s="6">
        <v>0</v>
      </c>
      <c r="M1848" s="5">
        <f>ROUND(ROUND(L1848,2)*ROUND(G1848,3),2)</f>
        <v>0</v>
      </c>
      <c r="N1848" s="4" t="s">
        <v>501</v>
      </c>
      <c r="O1848">
        <f>(M1848*21)/100</f>
        <v>0</v>
      </c>
      <c r="P1848" t="s">
        <v>6</v>
      </c>
    </row>
    <row r="1849" spans="1:16" ht="26.4" x14ac:dyDescent="0.25">
      <c r="A1849" s="3" t="s">
        <v>5</v>
      </c>
      <c r="E1849" s="1" t="s">
        <v>500</v>
      </c>
    </row>
    <row r="1850" spans="1:16" ht="13.2" x14ac:dyDescent="0.25">
      <c r="A1850" s="3" t="s">
        <v>3</v>
      </c>
      <c r="E1850" s="2" t="s">
        <v>2</v>
      </c>
    </row>
    <row r="1851" spans="1:16" ht="13.2" x14ac:dyDescent="0.25">
      <c r="A1851" t="s">
        <v>1</v>
      </c>
      <c r="E1851" s="1" t="s">
        <v>2</v>
      </c>
    </row>
    <row r="1852" spans="1:16" ht="13.2" x14ac:dyDescent="0.25">
      <c r="A1852" t="s">
        <v>11</v>
      </c>
      <c r="B1852" s="9" t="s">
        <v>171</v>
      </c>
      <c r="C1852" s="9" t="s">
        <v>499</v>
      </c>
      <c r="D1852" s="3" t="s">
        <v>2</v>
      </c>
      <c r="E1852" s="8" t="s">
        <v>498</v>
      </c>
      <c r="F1852" s="4" t="s">
        <v>13</v>
      </c>
      <c r="G1852" s="7">
        <v>1</v>
      </c>
      <c r="H1852" s="4">
        <v>3.27E-2</v>
      </c>
      <c r="I1852" s="4">
        <f>ROUND(G1852*H1852,6)</f>
        <v>3.27E-2</v>
      </c>
      <c r="L1852" s="6">
        <v>0</v>
      </c>
      <c r="M1852" s="5">
        <f>ROUND(ROUND(L1852,2)*ROUND(G1852,3),2)</f>
        <v>0</v>
      </c>
      <c r="N1852" s="4" t="s">
        <v>7</v>
      </c>
      <c r="O1852">
        <f>(M1852*21)/100</f>
        <v>0</v>
      </c>
      <c r="P1852" t="s">
        <v>6</v>
      </c>
    </row>
    <row r="1853" spans="1:16" ht="13.2" x14ac:dyDescent="0.25">
      <c r="A1853" s="3" t="s">
        <v>5</v>
      </c>
      <c r="E1853" s="1" t="s">
        <v>498</v>
      </c>
    </row>
    <row r="1854" spans="1:16" ht="13.2" x14ac:dyDescent="0.25">
      <c r="A1854" s="3" t="s">
        <v>3</v>
      </c>
      <c r="E1854" s="2" t="s">
        <v>2</v>
      </c>
    </row>
    <row r="1855" spans="1:16" ht="66" x14ac:dyDescent="0.25">
      <c r="A1855" t="s">
        <v>1</v>
      </c>
      <c r="E1855" s="1" t="s">
        <v>497</v>
      </c>
    </row>
    <row r="1856" spans="1:16" ht="13.2" x14ac:dyDescent="0.25">
      <c r="A1856" t="s">
        <v>11</v>
      </c>
      <c r="B1856" s="9" t="s">
        <v>168</v>
      </c>
      <c r="C1856" s="9" t="s">
        <v>496</v>
      </c>
      <c r="D1856" s="3" t="s">
        <v>2</v>
      </c>
      <c r="E1856" s="8" t="s">
        <v>495</v>
      </c>
      <c r="F1856" s="4" t="s">
        <v>13</v>
      </c>
      <c r="G1856" s="7">
        <v>1</v>
      </c>
      <c r="H1856" s="4">
        <v>3.27E-2</v>
      </c>
      <c r="I1856" s="4">
        <f>ROUND(G1856*H1856,6)</f>
        <v>3.27E-2</v>
      </c>
      <c r="L1856" s="6">
        <v>0</v>
      </c>
      <c r="M1856" s="5">
        <f>ROUND(ROUND(L1856,2)*ROUND(G1856,3),2)</f>
        <v>0</v>
      </c>
      <c r="N1856" s="4" t="s">
        <v>7</v>
      </c>
      <c r="O1856">
        <f>(M1856*21)/100</f>
        <v>0</v>
      </c>
      <c r="P1856" t="s">
        <v>6</v>
      </c>
    </row>
    <row r="1857" spans="1:16" ht="13.2" x14ac:dyDescent="0.25">
      <c r="A1857" s="3" t="s">
        <v>5</v>
      </c>
      <c r="E1857" s="1" t="s">
        <v>495</v>
      </c>
    </row>
    <row r="1858" spans="1:16" ht="13.2" x14ac:dyDescent="0.25">
      <c r="A1858" s="3" t="s">
        <v>3</v>
      </c>
      <c r="E1858" s="2" t="s">
        <v>2</v>
      </c>
    </row>
    <row r="1859" spans="1:16" ht="66" x14ac:dyDescent="0.25">
      <c r="A1859" t="s">
        <v>1</v>
      </c>
      <c r="E1859" s="1" t="s">
        <v>494</v>
      </c>
    </row>
    <row r="1860" spans="1:16" ht="39.6" x14ac:dyDescent="0.25">
      <c r="A1860" t="s">
        <v>11</v>
      </c>
      <c r="B1860" s="9" t="s">
        <v>165</v>
      </c>
      <c r="C1860" s="9" t="s">
        <v>493</v>
      </c>
      <c r="D1860" s="3" t="s">
        <v>2</v>
      </c>
      <c r="E1860" s="8" t="s">
        <v>492</v>
      </c>
      <c r="F1860" s="4" t="s">
        <v>13</v>
      </c>
      <c r="G1860" s="7">
        <v>4</v>
      </c>
      <c r="H1860" s="4">
        <v>0</v>
      </c>
      <c r="I1860" s="4">
        <f>ROUND(G1860*H1860,6)</f>
        <v>0</v>
      </c>
      <c r="L1860" s="6">
        <v>0</v>
      </c>
      <c r="M1860" s="5">
        <f>ROUND(ROUND(L1860,2)*ROUND(G1860,3),2)</f>
        <v>0</v>
      </c>
      <c r="N1860" s="4" t="s">
        <v>7</v>
      </c>
      <c r="O1860">
        <f>(M1860*21)/100</f>
        <v>0</v>
      </c>
      <c r="P1860" t="s">
        <v>6</v>
      </c>
    </row>
    <row r="1861" spans="1:16" ht="39.6" x14ac:dyDescent="0.25">
      <c r="A1861" s="3" t="s">
        <v>5</v>
      </c>
      <c r="E1861" s="1" t="s">
        <v>491</v>
      </c>
    </row>
    <row r="1862" spans="1:16" ht="13.2" x14ac:dyDescent="0.25">
      <c r="A1862" s="3" t="s">
        <v>3</v>
      </c>
      <c r="E1862" s="2" t="s">
        <v>480</v>
      </c>
    </row>
    <row r="1863" spans="1:16" ht="92.4" x14ac:dyDescent="0.25">
      <c r="A1863" t="s">
        <v>1</v>
      </c>
      <c r="E1863" s="1" t="s">
        <v>490</v>
      </c>
    </row>
    <row r="1864" spans="1:16" ht="13.2" x14ac:dyDescent="0.25">
      <c r="A1864" t="s">
        <v>11</v>
      </c>
      <c r="B1864" s="9" t="s">
        <v>162</v>
      </c>
      <c r="C1864" s="9" t="s">
        <v>489</v>
      </c>
      <c r="D1864" s="3" t="s">
        <v>2</v>
      </c>
      <c r="E1864" s="8" t="s">
        <v>488</v>
      </c>
      <c r="F1864" s="4" t="s">
        <v>13</v>
      </c>
      <c r="G1864" s="7">
        <v>4</v>
      </c>
      <c r="H1864" s="4">
        <v>0</v>
      </c>
      <c r="I1864" s="4">
        <f>ROUND(G1864*H1864,6)</f>
        <v>0</v>
      </c>
      <c r="L1864" s="6">
        <v>0</v>
      </c>
      <c r="M1864" s="5">
        <f>ROUND(ROUND(L1864,2)*ROUND(G1864,3),2)</f>
        <v>0</v>
      </c>
      <c r="N1864" s="4" t="s">
        <v>7</v>
      </c>
      <c r="O1864">
        <f>(M1864*21)/100</f>
        <v>0</v>
      </c>
      <c r="P1864" t="s">
        <v>6</v>
      </c>
    </row>
    <row r="1865" spans="1:16" ht="13.2" x14ac:dyDescent="0.25">
      <c r="A1865" s="3" t="s">
        <v>5</v>
      </c>
      <c r="E1865" s="1" t="s">
        <v>488</v>
      </c>
    </row>
    <row r="1866" spans="1:16" ht="13.2" x14ac:dyDescent="0.25">
      <c r="A1866" s="3" t="s">
        <v>3</v>
      </c>
      <c r="E1866" s="2" t="s">
        <v>480</v>
      </c>
    </row>
    <row r="1867" spans="1:16" ht="66" x14ac:dyDescent="0.25">
      <c r="A1867" t="s">
        <v>1</v>
      </c>
      <c r="E1867" s="1" t="s">
        <v>487</v>
      </c>
    </row>
    <row r="1868" spans="1:16" ht="13.2" x14ac:dyDescent="0.25">
      <c r="A1868" t="s">
        <v>11</v>
      </c>
      <c r="B1868" s="9" t="s">
        <v>159</v>
      </c>
      <c r="C1868" s="9" t="s">
        <v>486</v>
      </c>
      <c r="D1868" s="3" t="s">
        <v>2</v>
      </c>
      <c r="E1868" s="8" t="s">
        <v>485</v>
      </c>
      <c r="F1868" s="4" t="s">
        <v>13</v>
      </c>
      <c r="G1868" s="7">
        <v>4</v>
      </c>
      <c r="H1868" s="4">
        <v>0</v>
      </c>
      <c r="I1868" s="4">
        <f>ROUND(G1868*H1868,6)</f>
        <v>0</v>
      </c>
      <c r="L1868" s="6">
        <v>0</v>
      </c>
      <c r="M1868" s="5">
        <f>ROUND(ROUND(L1868,2)*ROUND(G1868,3),2)</f>
        <v>0</v>
      </c>
      <c r="N1868" s="4" t="s">
        <v>7</v>
      </c>
      <c r="O1868">
        <f>(M1868*21)/100</f>
        <v>0</v>
      </c>
      <c r="P1868" t="s">
        <v>6</v>
      </c>
    </row>
    <row r="1869" spans="1:16" ht="13.2" x14ac:dyDescent="0.25">
      <c r="A1869" s="3" t="s">
        <v>5</v>
      </c>
      <c r="E1869" s="1" t="s">
        <v>485</v>
      </c>
    </row>
    <row r="1870" spans="1:16" ht="13.2" x14ac:dyDescent="0.25">
      <c r="A1870" s="3" t="s">
        <v>3</v>
      </c>
      <c r="E1870" s="2" t="s">
        <v>484</v>
      </c>
    </row>
    <row r="1871" spans="1:16" ht="66" x14ac:dyDescent="0.25">
      <c r="A1871" t="s">
        <v>1</v>
      </c>
      <c r="E1871" s="1" t="s">
        <v>483</v>
      </c>
    </row>
    <row r="1872" spans="1:16" ht="13.2" x14ac:dyDescent="0.25">
      <c r="A1872" t="s">
        <v>11</v>
      </c>
      <c r="B1872" s="9" t="s">
        <v>156</v>
      </c>
      <c r="C1872" s="9" t="s">
        <v>482</v>
      </c>
      <c r="D1872" s="3" t="s">
        <v>2</v>
      </c>
      <c r="E1872" s="8" t="s">
        <v>481</v>
      </c>
      <c r="F1872" s="4" t="s">
        <v>13</v>
      </c>
      <c r="G1872" s="7">
        <v>4</v>
      </c>
      <c r="H1872" s="4">
        <v>0</v>
      </c>
      <c r="I1872" s="4">
        <f>ROUND(G1872*H1872,6)</f>
        <v>0</v>
      </c>
      <c r="L1872" s="6">
        <v>0</v>
      </c>
      <c r="M1872" s="5">
        <f>ROUND(ROUND(L1872,2)*ROUND(G1872,3),2)</f>
        <v>0</v>
      </c>
      <c r="N1872" s="4" t="s">
        <v>7</v>
      </c>
      <c r="O1872">
        <f>(M1872*21)/100</f>
        <v>0</v>
      </c>
      <c r="P1872" t="s">
        <v>6</v>
      </c>
    </row>
    <row r="1873" spans="1:16" ht="13.2" x14ac:dyDescent="0.25">
      <c r="A1873" s="3" t="s">
        <v>5</v>
      </c>
      <c r="E1873" s="1" t="s">
        <v>481</v>
      </c>
    </row>
    <row r="1874" spans="1:16" ht="13.2" x14ac:dyDescent="0.25">
      <c r="A1874" s="3" t="s">
        <v>3</v>
      </c>
      <c r="E1874" s="2" t="s">
        <v>480</v>
      </c>
    </row>
    <row r="1875" spans="1:16" ht="66" x14ac:dyDescent="0.25">
      <c r="A1875" t="s">
        <v>1</v>
      </c>
      <c r="E1875" s="1" t="s">
        <v>479</v>
      </c>
    </row>
    <row r="1876" spans="1:16" ht="13.2" x14ac:dyDescent="0.25">
      <c r="A1876" t="s">
        <v>11</v>
      </c>
      <c r="B1876" s="9" t="s">
        <v>153</v>
      </c>
      <c r="C1876" s="9" t="s">
        <v>478</v>
      </c>
      <c r="D1876" s="3" t="s">
        <v>2</v>
      </c>
      <c r="E1876" s="8" t="s">
        <v>477</v>
      </c>
      <c r="F1876" s="4" t="s">
        <v>8</v>
      </c>
      <c r="G1876" s="7">
        <v>80</v>
      </c>
      <c r="H1876" s="4">
        <v>0</v>
      </c>
      <c r="I1876" s="4">
        <f>ROUND(G1876*H1876,6)</f>
        <v>0</v>
      </c>
      <c r="L1876" s="6">
        <v>0</v>
      </c>
      <c r="M1876" s="5">
        <f>ROUND(ROUND(L1876,2)*ROUND(G1876,3),2)</f>
        <v>0</v>
      </c>
      <c r="N1876" s="4" t="s">
        <v>7</v>
      </c>
      <c r="O1876">
        <f>(M1876*21)/100</f>
        <v>0</v>
      </c>
      <c r="P1876" t="s">
        <v>6</v>
      </c>
    </row>
    <row r="1877" spans="1:16" ht="13.2" x14ac:dyDescent="0.25">
      <c r="A1877" s="3" t="s">
        <v>5</v>
      </c>
      <c r="E1877" s="1" t="s">
        <v>477</v>
      </c>
    </row>
    <row r="1878" spans="1:16" ht="13.2" x14ac:dyDescent="0.25">
      <c r="A1878" s="3" t="s">
        <v>3</v>
      </c>
      <c r="E1878" s="2" t="s">
        <v>476</v>
      </c>
    </row>
    <row r="1879" spans="1:16" ht="66" x14ac:dyDescent="0.25">
      <c r="A1879" t="s">
        <v>1</v>
      </c>
      <c r="E1879" s="1" t="s">
        <v>475</v>
      </c>
    </row>
    <row r="1880" spans="1:16" ht="13.2" x14ac:dyDescent="0.25">
      <c r="A1880" t="s">
        <v>11</v>
      </c>
      <c r="B1880" s="9" t="s">
        <v>150</v>
      </c>
      <c r="C1880" s="9" t="s">
        <v>474</v>
      </c>
      <c r="D1880" s="3" t="s">
        <v>2</v>
      </c>
      <c r="E1880" s="8" t="s">
        <v>473</v>
      </c>
      <c r="F1880" s="4" t="s">
        <v>41</v>
      </c>
      <c r="G1880" s="7">
        <v>1</v>
      </c>
      <c r="H1880" s="4">
        <v>0</v>
      </c>
      <c r="I1880" s="4">
        <f>ROUND(G1880*H1880,6)</f>
        <v>0</v>
      </c>
      <c r="L1880" s="6">
        <v>0</v>
      </c>
      <c r="M1880" s="5">
        <f>ROUND(ROUND(L1880,2)*ROUND(G1880,3),2)</f>
        <v>0</v>
      </c>
      <c r="N1880" s="4" t="s">
        <v>7</v>
      </c>
      <c r="O1880">
        <f>(M1880*21)/100</f>
        <v>0</v>
      </c>
      <c r="P1880" t="s">
        <v>6</v>
      </c>
    </row>
    <row r="1881" spans="1:16" ht="13.2" x14ac:dyDescent="0.25">
      <c r="A1881" s="3" t="s">
        <v>5</v>
      </c>
      <c r="E1881" s="1" t="s">
        <v>473</v>
      </c>
    </row>
    <row r="1882" spans="1:16" ht="13.2" x14ac:dyDescent="0.25">
      <c r="A1882" s="3" t="s">
        <v>3</v>
      </c>
      <c r="E1882" s="2" t="s">
        <v>463</v>
      </c>
    </row>
    <row r="1883" spans="1:16" ht="66" x14ac:dyDescent="0.25">
      <c r="A1883" t="s">
        <v>1</v>
      </c>
      <c r="E1883" s="1" t="s">
        <v>472</v>
      </c>
    </row>
    <row r="1884" spans="1:16" ht="13.2" x14ac:dyDescent="0.25">
      <c r="A1884" t="s">
        <v>11</v>
      </c>
      <c r="B1884" s="9" t="s">
        <v>147</v>
      </c>
      <c r="C1884" s="9" t="s">
        <v>471</v>
      </c>
      <c r="D1884" s="3" t="s">
        <v>2</v>
      </c>
      <c r="E1884" s="8" t="s">
        <v>470</v>
      </c>
      <c r="F1884" s="4" t="s">
        <v>41</v>
      </c>
      <c r="G1884" s="7">
        <v>1</v>
      </c>
      <c r="H1884" s="4">
        <v>0</v>
      </c>
      <c r="I1884" s="4">
        <f>ROUND(G1884*H1884,6)</f>
        <v>0</v>
      </c>
      <c r="L1884" s="6">
        <v>0</v>
      </c>
      <c r="M1884" s="5">
        <f>ROUND(ROUND(L1884,2)*ROUND(G1884,3),2)</f>
        <v>0</v>
      </c>
      <c r="N1884" s="4" t="s">
        <v>7</v>
      </c>
      <c r="O1884">
        <f>(M1884*21)/100</f>
        <v>0</v>
      </c>
      <c r="P1884" t="s">
        <v>6</v>
      </c>
    </row>
    <row r="1885" spans="1:16" ht="13.2" x14ac:dyDescent="0.25">
      <c r="A1885" s="3" t="s">
        <v>5</v>
      </c>
      <c r="E1885" s="1" t="s">
        <v>470</v>
      </c>
    </row>
    <row r="1886" spans="1:16" ht="13.2" x14ac:dyDescent="0.25">
      <c r="A1886" s="3" t="s">
        <v>3</v>
      </c>
      <c r="E1886" s="2" t="s">
        <v>463</v>
      </c>
    </row>
    <row r="1887" spans="1:16" ht="66" x14ac:dyDescent="0.25">
      <c r="A1887" t="s">
        <v>1</v>
      </c>
      <c r="E1887" s="1" t="s">
        <v>469</v>
      </c>
    </row>
    <row r="1888" spans="1:16" ht="13.2" x14ac:dyDescent="0.25">
      <c r="A1888" t="s">
        <v>11</v>
      </c>
      <c r="B1888" s="9" t="s">
        <v>144</v>
      </c>
      <c r="C1888" s="9" t="s">
        <v>468</v>
      </c>
      <c r="D1888" s="3" t="s">
        <v>2</v>
      </c>
      <c r="E1888" s="8" t="s">
        <v>467</v>
      </c>
      <c r="F1888" s="4" t="s">
        <v>41</v>
      </c>
      <c r="G1888" s="7">
        <v>1</v>
      </c>
      <c r="H1888" s="4">
        <v>0</v>
      </c>
      <c r="I1888" s="4">
        <f>ROUND(G1888*H1888,6)</f>
        <v>0</v>
      </c>
      <c r="L1888" s="6">
        <v>0</v>
      </c>
      <c r="M1888" s="5">
        <f>ROUND(ROUND(L1888,2)*ROUND(G1888,3),2)</f>
        <v>0</v>
      </c>
      <c r="N1888" s="4" t="s">
        <v>7</v>
      </c>
      <c r="O1888">
        <f>(M1888*21)/100</f>
        <v>0</v>
      </c>
      <c r="P1888" t="s">
        <v>6</v>
      </c>
    </row>
    <row r="1889" spans="1:16" ht="13.2" x14ac:dyDescent="0.25">
      <c r="A1889" s="3" t="s">
        <v>5</v>
      </c>
      <c r="E1889" s="1" t="s">
        <v>467</v>
      </c>
    </row>
    <row r="1890" spans="1:16" ht="13.2" x14ac:dyDescent="0.25">
      <c r="A1890" s="3" t="s">
        <v>3</v>
      </c>
      <c r="E1890" s="2" t="s">
        <v>463</v>
      </c>
    </row>
    <row r="1891" spans="1:16" ht="66" x14ac:dyDescent="0.25">
      <c r="A1891" t="s">
        <v>1</v>
      </c>
      <c r="E1891" s="1" t="s">
        <v>466</v>
      </c>
    </row>
    <row r="1892" spans="1:16" ht="13.2" x14ac:dyDescent="0.25">
      <c r="A1892" t="s">
        <v>11</v>
      </c>
      <c r="B1892" s="9" t="s">
        <v>141</v>
      </c>
      <c r="C1892" s="9" t="s">
        <v>465</v>
      </c>
      <c r="D1892" s="3" t="s">
        <v>2</v>
      </c>
      <c r="E1892" s="8" t="s">
        <v>464</v>
      </c>
      <c r="F1892" s="4" t="s">
        <v>41</v>
      </c>
      <c r="G1892" s="7">
        <v>1</v>
      </c>
      <c r="H1892" s="4">
        <v>0</v>
      </c>
      <c r="I1892" s="4">
        <f>ROUND(G1892*H1892,6)</f>
        <v>0</v>
      </c>
      <c r="L1892" s="6">
        <v>0</v>
      </c>
      <c r="M1892" s="5">
        <f>ROUND(ROUND(L1892,2)*ROUND(G1892,3),2)</f>
        <v>0</v>
      </c>
      <c r="N1892" s="4" t="s">
        <v>7</v>
      </c>
      <c r="O1892">
        <f>(M1892*21)/100</f>
        <v>0</v>
      </c>
      <c r="P1892" t="s">
        <v>6</v>
      </c>
    </row>
    <row r="1893" spans="1:16" ht="13.2" x14ac:dyDescent="0.25">
      <c r="A1893" s="3" t="s">
        <v>5</v>
      </c>
      <c r="E1893" s="1" t="s">
        <v>464</v>
      </c>
    </row>
    <row r="1894" spans="1:16" ht="13.2" x14ac:dyDescent="0.25">
      <c r="A1894" s="3" t="s">
        <v>3</v>
      </c>
      <c r="E1894" s="2" t="s">
        <v>463</v>
      </c>
    </row>
    <row r="1895" spans="1:16" ht="66" x14ac:dyDescent="0.25">
      <c r="A1895" t="s">
        <v>1</v>
      </c>
      <c r="E1895" s="1" t="s">
        <v>462</v>
      </c>
    </row>
    <row r="1896" spans="1:16" ht="13.2" x14ac:dyDescent="0.25">
      <c r="A1896" t="s">
        <v>53</v>
      </c>
      <c r="C1896" s="11" t="s">
        <v>461</v>
      </c>
      <c r="E1896" s="10" t="s">
        <v>459</v>
      </c>
      <c r="J1896" s="5">
        <f>0+J1897</f>
        <v>0</v>
      </c>
      <c r="K1896" s="5">
        <f>0+K1897</f>
        <v>0</v>
      </c>
      <c r="L1896" s="5">
        <f>0+L1897</f>
        <v>0</v>
      </c>
      <c r="M1896" s="5">
        <f>0+M1897</f>
        <v>0</v>
      </c>
    </row>
    <row r="1897" spans="1:16" ht="13.2" x14ac:dyDescent="0.25">
      <c r="A1897" t="s">
        <v>50</v>
      </c>
      <c r="C1897" s="11" t="s">
        <v>460</v>
      </c>
      <c r="E1897" s="10" t="s">
        <v>459</v>
      </c>
      <c r="J1897" s="5">
        <f>0</f>
        <v>0</v>
      </c>
      <c r="K1897" s="5">
        <f>0</f>
        <v>0</v>
      </c>
      <c r="L1897" s="5">
        <f>0+L1898+L1902+L1906+L1910+L1914+L1918+L1922+L1926+L1930+L1934+L1938+L1942+L1946+L1950+L1954+L1958+L1962+L1966+L1970+L1974+L1978+L1982+L1986+L1990+L1994+L1998+L2002+L2006+L2010+L2014+L2018+L2022+L2026+L2030+L2034+L2038+L2042+L2046+L2050+L2054+L2058+L2062+L2066+L2070+L2074+L2078+L2082+L2086+L2090+L2094+L2098+L2102</f>
        <v>0</v>
      </c>
      <c r="M1897" s="5">
        <f>0+M1898+M1902+M1906+M1910+M1914+M1918+M1922+M1926+M1930+M1934+M1938+M1942+M1946+M1950+M1954+M1958+M1962+M1966+M1970+M1974+M1978+M1982+M1986+M1990+M1994+M1998+M2002+M2006+M2010+M2014+M2018+M2022+M2026+M2030+M2034+M2038+M2042+M2046+M2050+M2054+M2058+M2062+M2066+M2070+M2074+M2078+M2082+M2086+M2090+M2094+M2098+M2102</f>
        <v>0</v>
      </c>
    </row>
    <row r="1898" spans="1:16" ht="26.4" x14ac:dyDescent="0.25">
      <c r="A1898" t="s">
        <v>11</v>
      </c>
      <c r="B1898" s="9" t="s">
        <v>48</v>
      </c>
      <c r="C1898" s="9" t="s">
        <v>458</v>
      </c>
      <c r="D1898" s="3" t="s">
        <v>2</v>
      </c>
      <c r="E1898" s="8" t="s">
        <v>417</v>
      </c>
      <c r="F1898" s="4" t="s">
        <v>13</v>
      </c>
      <c r="G1898" s="7">
        <v>1</v>
      </c>
      <c r="H1898" s="4">
        <v>0</v>
      </c>
      <c r="I1898" s="4">
        <f>ROUND(G1898*H1898,6)</f>
        <v>0</v>
      </c>
      <c r="L1898" s="6">
        <v>0</v>
      </c>
      <c r="M1898" s="5">
        <f>ROUND(ROUND(L1898,2)*ROUND(G1898,3),2)</f>
        <v>0</v>
      </c>
      <c r="N1898" s="4" t="s">
        <v>55</v>
      </c>
      <c r="O1898">
        <f>(M1898*21)/100</f>
        <v>0</v>
      </c>
      <c r="P1898" t="s">
        <v>6</v>
      </c>
    </row>
    <row r="1899" spans="1:16" ht="39.6" x14ac:dyDescent="0.25">
      <c r="A1899" s="3" t="s">
        <v>5</v>
      </c>
      <c r="E1899" s="1" t="s">
        <v>416</v>
      </c>
    </row>
    <row r="1900" spans="1:16" ht="13.2" x14ac:dyDescent="0.25">
      <c r="A1900" s="3" t="s">
        <v>3</v>
      </c>
      <c r="E1900" s="2" t="s">
        <v>2</v>
      </c>
    </row>
    <row r="1901" spans="1:16" ht="52.8" x14ac:dyDescent="0.25">
      <c r="A1901" t="s">
        <v>1</v>
      </c>
      <c r="E1901" s="1" t="s">
        <v>0</v>
      </c>
    </row>
    <row r="1902" spans="1:16" ht="26.4" x14ac:dyDescent="0.25">
      <c r="A1902" t="s">
        <v>11</v>
      </c>
      <c r="B1902" s="9" t="s">
        <v>6</v>
      </c>
      <c r="C1902" s="9" t="s">
        <v>457</v>
      </c>
      <c r="D1902" s="3" t="s">
        <v>2</v>
      </c>
      <c r="E1902" s="8" t="s">
        <v>417</v>
      </c>
      <c r="F1902" s="4" t="s">
        <v>13</v>
      </c>
      <c r="G1902" s="7">
        <v>1</v>
      </c>
      <c r="H1902" s="4">
        <v>0</v>
      </c>
      <c r="I1902" s="4">
        <f>ROUND(G1902*H1902,6)</f>
        <v>0</v>
      </c>
      <c r="L1902" s="6">
        <v>0</v>
      </c>
      <c r="M1902" s="5">
        <f>ROUND(ROUND(L1902,2)*ROUND(G1902,3),2)</f>
        <v>0</v>
      </c>
      <c r="N1902" s="4" t="s">
        <v>55</v>
      </c>
      <c r="O1902">
        <f>(M1902*21)/100</f>
        <v>0</v>
      </c>
      <c r="P1902" t="s">
        <v>6</v>
      </c>
    </row>
    <row r="1903" spans="1:16" ht="39.6" x14ac:dyDescent="0.25">
      <c r="A1903" s="3" t="s">
        <v>5</v>
      </c>
      <c r="E1903" s="1" t="s">
        <v>416</v>
      </c>
    </row>
    <row r="1904" spans="1:16" ht="13.2" x14ac:dyDescent="0.25">
      <c r="A1904" s="3" t="s">
        <v>3</v>
      </c>
      <c r="E1904" s="2" t="s">
        <v>2</v>
      </c>
    </row>
    <row r="1905" spans="1:16" ht="52.8" x14ac:dyDescent="0.25">
      <c r="A1905" t="s">
        <v>1</v>
      </c>
      <c r="E1905" s="1" t="s">
        <v>0</v>
      </c>
    </row>
    <row r="1906" spans="1:16" ht="39.6" x14ac:dyDescent="0.25">
      <c r="A1906" t="s">
        <v>11</v>
      </c>
      <c r="B1906" s="9" t="s">
        <v>43</v>
      </c>
      <c r="C1906" s="9" t="s">
        <v>456</v>
      </c>
      <c r="D1906" s="3" t="s">
        <v>2</v>
      </c>
      <c r="E1906" s="8" t="s">
        <v>454</v>
      </c>
      <c r="F1906" s="4" t="s">
        <v>13</v>
      </c>
      <c r="G1906" s="7">
        <v>1</v>
      </c>
      <c r="H1906" s="4">
        <v>0</v>
      </c>
      <c r="I1906" s="4">
        <f>ROUND(G1906*H1906,6)</f>
        <v>0</v>
      </c>
      <c r="L1906" s="6">
        <v>0</v>
      </c>
      <c r="M1906" s="5">
        <f>ROUND(ROUND(L1906,2)*ROUND(G1906,3),2)</f>
        <v>0</v>
      </c>
      <c r="N1906" s="4" t="s">
        <v>55</v>
      </c>
      <c r="O1906">
        <f>(M1906*21)/100</f>
        <v>0</v>
      </c>
      <c r="P1906" t="s">
        <v>6</v>
      </c>
    </row>
    <row r="1907" spans="1:16" ht="39.6" x14ac:dyDescent="0.25">
      <c r="A1907" s="3" t="s">
        <v>5</v>
      </c>
      <c r="E1907" s="1" t="s">
        <v>453</v>
      </c>
    </row>
    <row r="1908" spans="1:16" ht="13.2" x14ac:dyDescent="0.25">
      <c r="A1908" s="3" t="s">
        <v>3</v>
      </c>
      <c r="E1908" s="2" t="s">
        <v>2</v>
      </c>
    </row>
    <row r="1909" spans="1:16" ht="52.8" x14ac:dyDescent="0.25">
      <c r="A1909" t="s">
        <v>1</v>
      </c>
      <c r="E1909" s="1" t="s">
        <v>0</v>
      </c>
    </row>
    <row r="1910" spans="1:16" ht="39.6" x14ac:dyDescent="0.25">
      <c r="A1910" t="s">
        <v>11</v>
      </c>
      <c r="B1910" s="9" t="s">
        <v>39</v>
      </c>
      <c r="C1910" s="9" t="s">
        <v>455</v>
      </c>
      <c r="D1910" s="3" t="s">
        <v>2</v>
      </c>
      <c r="E1910" s="8" t="s">
        <v>454</v>
      </c>
      <c r="F1910" s="4" t="s">
        <v>13</v>
      </c>
      <c r="G1910" s="7">
        <v>1</v>
      </c>
      <c r="H1910" s="4">
        <v>0</v>
      </c>
      <c r="I1910" s="4">
        <f>ROUND(G1910*H1910,6)</f>
        <v>0</v>
      </c>
      <c r="L1910" s="6">
        <v>0</v>
      </c>
      <c r="M1910" s="5">
        <f>ROUND(ROUND(L1910,2)*ROUND(G1910,3),2)</f>
        <v>0</v>
      </c>
      <c r="N1910" s="4" t="s">
        <v>55</v>
      </c>
      <c r="O1910">
        <f>(M1910*21)/100</f>
        <v>0</v>
      </c>
      <c r="P1910" t="s">
        <v>6</v>
      </c>
    </row>
    <row r="1911" spans="1:16" ht="39.6" x14ac:dyDescent="0.25">
      <c r="A1911" s="3" t="s">
        <v>5</v>
      </c>
      <c r="E1911" s="1" t="s">
        <v>453</v>
      </c>
    </row>
    <row r="1912" spans="1:16" ht="13.2" x14ac:dyDescent="0.25">
      <c r="A1912" s="3" t="s">
        <v>3</v>
      </c>
      <c r="E1912" s="2" t="s">
        <v>2</v>
      </c>
    </row>
    <row r="1913" spans="1:16" ht="52.8" x14ac:dyDescent="0.25">
      <c r="A1913" t="s">
        <v>1</v>
      </c>
      <c r="E1913" s="1" t="s">
        <v>0</v>
      </c>
    </row>
    <row r="1914" spans="1:16" ht="13.2" x14ac:dyDescent="0.25">
      <c r="A1914" t="s">
        <v>11</v>
      </c>
      <c r="B1914" s="9" t="s">
        <v>36</v>
      </c>
      <c r="C1914" s="9" t="s">
        <v>452</v>
      </c>
      <c r="D1914" s="3" t="s">
        <v>2</v>
      </c>
      <c r="E1914" s="8" t="s">
        <v>451</v>
      </c>
      <c r="F1914" s="4" t="s">
        <v>13</v>
      </c>
      <c r="G1914" s="7">
        <v>34</v>
      </c>
      <c r="H1914" s="4">
        <v>0</v>
      </c>
      <c r="I1914" s="4">
        <f>ROUND(G1914*H1914,6)</f>
        <v>0</v>
      </c>
      <c r="L1914" s="6">
        <v>0</v>
      </c>
      <c r="M1914" s="5">
        <f>ROUND(ROUND(L1914,2)*ROUND(G1914,3),2)</f>
        <v>0</v>
      </c>
      <c r="N1914" s="4" t="s">
        <v>55</v>
      </c>
      <c r="O1914">
        <f>(M1914*21)/100</f>
        <v>0</v>
      </c>
      <c r="P1914" t="s">
        <v>6</v>
      </c>
    </row>
    <row r="1915" spans="1:16" ht="13.2" x14ac:dyDescent="0.25">
      <c r="A1915" s="3" t="s">
        <v>5</v>
      </c>
      <c r="E1915" s="1" t="s">
        <v>451</v>
      </c>
    </row>
    <row r="1916" spans="1:16" ht="13.2" x14ac:dyDescent="0.25">
      <c r="A1916" s="3" t="s">
        <v>3</v>
      </c>
      <c r="E1916" s="2" t="s">
        <v>2</v>
      </c>
    </row>
    <row r="1917" spans="1:16" ht="52.8" x14ac:dyDescent="0.25">
      <c r="A1917" t="s">
        <v>1</v>
      </c>
      <c r="E1917" s="1" t="s">
        <v>0</v>
      </c>
    </row>
    <row r="1918" spans="1:16" ht="13.2" x14ac:dyDescent="0.25">
      <c r="A1918" t="s">
        <v>11</v>
      </c>
      <c r="B1918" s="9" t="s">
        <v>33</v>
      </c>
      <c r="C1918" s="9" t="s">
        <v>450</v>
      </c>
      <c r="D1918" s="3" t="s">
        <v>2</v>
      </c>
      <c r="E1918" s="8" t="s">
        <v>449</v>
      </c>
      <c r="F1918" s="4" t="s">
        <v>13</v>
      </c>
      <c r="G1918" s="7">
        <v>42</v>
      </c>
      <c r="H1918" s="4">
        <v>0</v>
      </c>
      <c r="I1918" s="4">
        <f>ROUND(G1918*H1918,6)</f>
        <v>0</v>
      </c>
      <c r="L1918" s="6">
        <v>0</v>
      </c>
      <c r="M1918" s="5">
        <f>ROUND(ROUND(L1918,2)*ROUND(G1918,3),2)</f>
        <v>0</v>
      </c>
      <c r="N1918" s="4" t="s">
        <v>55</v>
      </c>
      <c r="O1918">
        <f>(M1918*21)/100</f>
        <v>0</v>
      </c>
      <c r="P1918" t="s">
        <v>6</v>
      </c>
    </row>
    <row r="1919" spans="1:16" ht="13.2" x14ac:dyDescent="0.25">
      <c r="A1919" s="3" t="s">
        <v>5</v>
      </c>
      <c r="E1919" s="1" t="s">
        <v>449</v>
      </c>
    </row>
    <row r="1920" spans="1:16" ht="13.2" x14ac:dyDescent="0.25">
      <c r="A1920" s="3" t="s">
        <v>3</v>
      </c>
      <c r="E1920" s="2" t="s">
        <v>2</v>
      </c>
    </row>
    <row r="1921" spans="1:16" ht="52.8" x14ac:dyDescent="0.25">
      <c r="A1921" t="s">
        <v>1</v>
      </c>
      <c r="E1921" s="1" t="s">
        <v>0</v>
      </c>
    </row>
    <row r="1922" spans="1:16" ht="13.2" x14ac:dyDescent="0.25">
      <c r="A1922" t="s">
        <v>11</v>
      </c>
      <c r="B1922" s="9" t="s">
        <v>30</v>
      </c>
      <c r="C1922" s="9" t="s">
        <v>448</v>
      </c>
      <c r="D1922" s="3" t="s">
        <v>2</v>
      </c>
      <c r="E1922" s="8" t="s">
        <v>400</v>
      </c>
      <c r="F1922" s="4" t="s">
        <v>13</v>
      </c>
      <c r="G1922" s="7">
        <v>30</v>
      </c>
      <c r="H1922" s="4">
        <v>0</v>
      </c>
      <c r="I1922" s="4">
        <f>ROUND(G1922*H1922,6)</f>
        <v>0</v>
      </c>
      <c r="L1922" s="6">
        <v>0</v>
      </c>
      <c r="M1922" s="5">
        <f>ROUND(ROUND(L1922,2)*ROUND(G1922,3),2)</f>
        <v>0</v>
      </c>
      <c r="N1922" s="4" t="s">
        <v>55</v>
      </c>
      <c r="O1922">
        <f>(M1922*21)/100</f>
        <v>0</v>
      </c>
      <c r="P1922" t="s">
        <v>6</v>
      </c>
    </row>
    <row r="1923" spans="1:16" ht="13.2" x14ac:dyDescent="0.25">
      <c r="A1923" s="3" t="s">
        <v>5</v>
      </c>
      <c r="E1923" s="1" t="s">
        <v>400</v>
      </c>
    </row>
    <row r="1924" spans="1:16" ht="13.2" x14ac:dyDescent="0.25">
      <c r="A1924" s="3" t="s">
        <v>3</v>
      </c>
      <c r="E1924" s="2" t="s">
        <v>2</v>
      </c>
    </row>
    <row r="1925" spans="1:16" ht="52.8" x14ac:dyDescent="0.25">
      <c r="A1925" t="s">
        <v>1</v>
      </c>
      <c r="E1925" s="1" t="s">
        <v>0</v>
      </c>
    </row>
    <row r="1926" spans="1:16" ht="13.2" x14ac:dyDescent="0.25">
      <c r="A1926" t="s">
        <v>11</v>
      </c>
      <c r="B1926" s="9" t="s">
        <v>27</v>
      </c>
      <c r="C1926" s="9" t="s">
        <v>447</v>
      </c>
      <c r="D1926" s="3" t="s">
        <v>2</v>
      </c>
      <c r="E1926" s="8" t="s">
        <v>446</v>
      </c>
      <c r="F1926" s="4" t="s">
        <v>13</v>
      </c>
      <c r="G1926" s="7">
        <v>2</v>
      </c>
      <c r="H1926" s="4">
        <v>0</v>
      </c>
      <c r="I1926" s="4">
        <f>ROUND(G1926*H1926,6)</f>
        <v>0</v>
      </c>
      <c r="L1926" s="6">
        <v>0</v>
      </c>
      <c r="M1926" s="5">
        <f>ROUND(ROUND(L1926,2)*ROUND(G1926,3),2)</f>
        <v>0</v>
      </c>
      <c r="N1926" s="4" t="s">
        <v>55</v>
      </c>
      <c r="O1926">
        <f>(M1926*21)/100</f>
        <v>0</v>
      </c>
      <c r="P1926" t="s">
        <v>6</v>
      </c>
    </row>
    <row r="1927" spans="1:16" ht="13.2" x14ac:dyDescent="0.25">
      <c r="A1927" s="3" t="s">
        <v>5</v>
      </c>
      <c r="E1927" s="1" t="s">
        <v>446</v>
      </c>
    </row>
    <row r="1928" spans="1:16" ht="13.2" x14ac:dyDescent="0.25">
      <c r="A1928" s="3" t="s">
        <v>3</v>
      </c>
      <c r="E1928" s="2" t="s">
        <v>2</v>
      </c>
    </row>
    <row r="1929" spans="1:16" ht="52.8" x14ac:dyDescent="0.25">
      <c r="A1929" t="s">
        <v>1</v>
      </c>
      <c r="E1929" s="1" t="s">
        <v>0</v>
      </c>
    </row>
    <row r="1930" spans="1:16" ht="13.2" x14ac:dyDescent="0.25">
      <c r="A1930" t="s">
        <v>11</v>
      </c>
      <c r="B1930" s="9" t="s">
        <v>24</v>
      </c>
      <c r="C1930" s="9" t="s">
        <v>445</v>
      </c>
      <c r="D1930" s="3" t="s">
        <v>2</v>
      </c>
      <c r="E1930" s="8" t="s">
        <v>444</v>
      </c>
      <c r="F1930" s="4" t="s">
        <v>13</v>
      </c>
      <c r="G1930" s="7">
        <v>2</v>
      </c>
      <c r="H1930" s="4">
        <v>0</v>
      </c>
      <c r="I1930" s="4">
        <f>ROUND(G1930*H1930,6)</f>
        <v>0</v>
      </c>
      <c r="L1930" s="6">
        <v>0</v>
      </c>
      <c r="M1930" s="5">
        <f>ROUND(ROUND(L1930,2)*ROUND(G1930,3),2)</f>
        <v>0</v>
      </c>
      <c r="N1930" s="4" t="s">
        <v>55</v>
      </c>
      <c r="O1930">
        <f>(M1930*21)/100</f>
        <v>0</v>
      </c>
      <c r="P1930" t="s">
        <v>6</v>
      </c>
    </row>
    <row r="1931" spans="1:16" ht="13.2" x14ac:dyDescent="0.25">
      <c r="A1931" s="3" t="s">
        <v>5</v>
      </c>
      <c r="E1931" s="1" t="s">
        <v>444</v>
      </c>
    </row>
    <row r="1932" spans="1:16" ht="13.2" x14ac:dyDescent="0.25">
      <c r="A1932" s="3" t="s">
        <v>3</v>
      </c>
      <c r="E1932" s="2" t="s">
        <v>2</v>
      </c>
    </row>
    <row r="1933" spans="1:16" ht="52.8" x14ac:dyDescent="0.25">
      <c r="A1933" t="s">
        <v>1</v>
      </c>
      <c r="E1933" s="1" t="s">
        <v>0</v>
      </c>
    </row>
    <row r="1934" spans="1:16" ht="13.2" x14ac:dyDescent="0.25">
      <c r="A1934" t="s">
        <v>11</v>
      </c>
      <c r="B1934" s="9" t="s">
        <v>21</v>
      </c>
      <c r="C1934" s="9" t="s">
        <v>443</v>
      </c>
      <c r="D1934" s="3" t="s">
        <v>2</v>
      </c>
      <c r="E1934" s="8" t="s">
        <v>442</v>
      </c>
      <c r="F1934" s="4" t="s">
        <v>13</v>
      </c>
      <c r="G1934" s="7">
        <v>4</v>
      </c>
      <c r="H1934" s="4">
        <v>0</v>
      </c>
      <c r="I1934" s="4">
        <f>ROUND(G1934*H1934,6)</f>
        <v>0</v>
      </c>
      <c r="L1934" s="6">
        <v>0</v>
      </c>
      <c r="M1934" s="5">
        <f>ROUND(ROUND(L1934,2)*ROUND(G1934,3),2)</f>
        <v>0</v>
      </c>
      <c r="N1934" s="4" t="s">
        <v>55</v>
      </c>
      <c r="O1934">
        <f>(M1934*21)/100</f>
        <v>0</v>
      </c>
      <c r="P1934" t="s">
        <v>6</v>
      </c>
    </row>
    <row r="1935" spans="1:16" ht="13.2" x14ac:dyDescent="0.25">
      <c r="A1935" s="3" t="s">
        <v>5</v>
      </c>
      <c r="E1935" s="1" t="s">
        <v>442</v>
      </c>
    </row>
    <row r="1936" spans="1:16" ht="13.2" x14ac:dyDescent="0.25">
      <c r="A1936" s="3" t="s">
        <v>3</v>
      </c>
      <c r="E1936" s="2" t="s">
        <v>2</v>
      </c>
    </row>
    <row r="1937" spans="1:16" ht="52.8" x14ac:dyDescent="0.25">
      <c r="A1937" t="s">
        <v>1</v>
      </c>
      <c r="E1937" s="1" t="s">
        <v>0</v>
      </c>
    </row>
    <row r="1938" spans="1:16" ht="13.2" x14ac:dyDescent="0.25">
      <c r="A1938" t="s">
        <v>11</v>
      </c>
      <c r="B1938" s="9" t="s">
        <v>18</v>
      </c>
      <c r="C1938" s="9" t="s">
        <v>441</v>
      </c>
      <c r="D1938" s="3" t="s">
        <v>2</v>
      </c>
      <c r="E1938" s="8" t="s">
        <v>440</v>
      </c>
      <c r="F1938" s="4" t="s">
        <v>13</v>
      </c>
      <c r="G1938" s="7">
        <v>4</v>
      </c>
      <c r="H1938" s="4">
        <v>0</v>
      </c>
      <c r="I1938" s="4">
        <f>ROUND(G1938*H1938,6)</f>
        <v>0</v>
      </c>
      <c r="L1938" s="6">
        <v>0</v>
      </c>
      <c r="M1938" s="5">
        <f>ROUND(ROUND(L1938,2)*ROUND(G1938,3),2)</f>
        <v>0</v>
      </c>
      <c r="N1938" s="4" t="s">
        <v>55</v>
      </c>
      <c r="O1938">
        <f>(M1938*21)/100</f>
        <v>0</v>
      </c>
      <c r="P1938" t="s">
        <v>6</v>
      </c>
    </row>
    <row r="1939" spans="1:16" ht="13.2" x14ac:dyDescent="0.25">
      <c r="A1939" s="3" t="s">
        <v>5</v>
      </c>
      <c r="E1939" s="1" t="s">
        <v>440</v>
      </c>
    </row>
    <row r="1940" spans="1:16" ht="13.2" x14ac:dyDescent="0.25">
      <c r="A1940" s="3" t="s">
        <v>3</v>
      </c>
      <c r="E1940" s="2" t="s">
        <v>2</v>
      </c>
    </row>
    <row r="1941" spans="1:16" ht="52.8" x14ac:dyDescent="0.25">
      <c r="A1941" t="s">
        <v>1</v>
      </c>
      <c r="E1941" s="1" t="s">
        <v>0</v>
      </c>
    </row>
    <row r="1942" spans="1:16" ht="13.2" x14ac:dyDescent="0.25">
      <c r="A1942" t="s">
        <v>11</v>
      </c>
      <c r="B1942" s="9" t="s">
        <v>15</v>
      </c>
      <c r="C1942" s="9" t="s">
        <v>439</v>
      </c>
      <c r="D1942" s="3" t="s">
        <v>2</v>
      </c>
      <c r="E1942" s="8" t="s">
        <v>438</v>
      </c>
      <c r="F1942" s="4" t="s">
        <v>8</v>
      </c>
      <c r="G1942" s="7">
        <v>170</v>
      </c>
      <c r="H1942" s="4">
        <v>0</v>
      </c>
      <c r="I1942" s="4">
        <f>ROUND(G1942*H1942,6)</f>
        <v>0</v>
      </c>
      <c r="L1942" s="6">
        <v>0</v>
      </c>
      <c r="M1942" s="5">
        <f>ROUND(ROUND(L1942,2)*ROUND(G1942,3),2)</f>
        <v>0</v>
      </c>
      <c r="N1942" s="4" t="s">
        <v>55</v>
      </c>
      <c r="O1942">
        <f>(M1942*21)/100</f>
        <v>0</v>
      </c>
      <c r="P1942" t="s">
        <v>6</v>
      </c>
    </row>
    <row r="1943" spans="1:16" ht="13.2" x14ac:dyDescent="0.25">
      <c r="A1943" s="3" t="s">
        <v>5</v>
      </c>
      <c r="E1943" s="1" t="s">
        <v>438</v>
      </c>
    </row>
    <row r="1944" spans="1:16" ht="13.2" x14ac:dyDescent="0.25">
      <c r="A1944" s="3" t="s">
        <v>3</v>
      </c>
      <c r="E1944" s="2" t="s">
        <v>2</v>
      </c>
    </row>
    <row r="1945" spans="1:16" ht="52.8" x14ac:dyDescent="0.25">
      <c r="A1945" t="s">
        <v>1</v>
      </c>
      <c r="E1945" s="1" t="s">
        <v>0</v>
      </c>
    </row>
    <row r="1946" spans="1:16" ht="13.2" x14ac:dyDescent="0.25">
      <c r="A1946" t="s">
        <v>11</v>
      </c>
      <c r="B1946" s="9" t="s">
        <v>10</v>
      </c>
      <c r="C1946" s="9" t="s">
        <v>437</v>
      </c>
      <c r="D1946" s="3" t="s">
        <v>2</v>
      </c>
      <c r="E1946" s="8" t="s">
        <v>436</v>
      </c>
      <c r="F1946" s="4" t="s">
        <v>8</v>
      </c>
      <c r="G1946" s="7">
        <v>40</v>
      </c>
      <c r="H1946" s="4">
        <v>0</v>
      </c>
      <c r="I1946" s="4">
        <f>ROUND(G1946*H1946,6)</f>
        <v>0</v>
      </c>
      <c r="L1946" s="6">
        <v>0</v>
      </c>
      <c r="M1946" s="5">
        <f>ROUND(ROUND(L1946,2)*ROUND(G1946,3),2)</f>
        <v>0</v>
      </c>
      <c r="N1946" s="4" t="s">
        <v>55</v>
      </c>
      <c r="O1946">
        <f>(M1946*21)/100</f>
        <v>0</v>
      </c>
      <c r="P1946" t="s">
        <v>6</v>
      </c>
    </row>
    <row r="1947" spans="1:16" ht="13.2" x14ac:dyDescent="0.25">
      <c r="A1947" s="3" t="s">
        <v>5</v>
      </c>
      <c r="E1947" s="1" t="s">
        <v>436</v>
      </c>
    </row>
    <row r="1948" spans="1:16" ht="13.2" x14ac:dyDescent="0.25">
      <c r="A1948" s="3" t="s">
        <v>3</v>
      </c>
      <c r="E1948" s="2" t="s">
        <v>2</v>
      </c>
    </row>
    <row r="1949" spans="1:16" ht="52.8" x14ac:dyDescent="0.25">
      <c r="A1949" t="s">
        <v>1</v>
      </c>
      <c r="E1949" s="1" t="s">
        <v>0</v>
      </c>
    </row>
    <row r="1950" spans="1:16" ht="13.2" x14ac:dyDescent="0.25">
      <c r="A1950" t="s">
        <v>11</v>
      </c>
      <c r="B1950" s="9" t="s">
        <v>280</v>
      </c>
      <c r="C1950" s="9" t="s">
        <v>435</v>
      </c>
      <c r="D1950" s="3" t="s">
        <v>2</v>
      </c>
      <c r="E1950" s="8" t="s">
        <v>434</v>
      </c>
      <c r="F1950" s="4" t="s">
        <v>8</v>
      </c>
      <c r="G1950" s="7">
        <v>40</v>
      </c>
      <c r="H1950" s="4">
        <v>0</v>
      </c>
      <c r="I1950" s="4">
        <f>ROUND(G1950*H1950,6)</f>
        <v>0</v>
      </c>
      <c r="L1950" s="6">
        <v>0</v>
      </c>
      <c r="M1950" s="5">
        <f>ROUND(ROUND(L1950,2)*ROUND(G1950,3),2)</f>
        <v>0</v>
      </c>
      <c r="N1950" s="4" t="s">
        <v>55</v>
      </c>
      <c r="O1950">
        <f>(M1950*21)/100</f>
        <v>0</v>
      </c>
      <c r="P1950" t="s">
        <v>6</v>
      </c>
    </row>
    <row r="1951" spans="1:16" ht="13.2" x14ac:dyDescent="0.25">
      <c r="A1951" s="3" t="s">
        <v>5</v>
      </c>
      <c r="E1951" s="1" t="s">
        <v>434</v>
      </c>
    </row>
    <row r="1952" spans="1:16" ht="13.2" x14ac:dyDescent="0.25">
      <c r="A1952" s="3" t="s">
        <v>3</v>
      </c>
      <c r="E1952" s="2" t="s">
        <v>2</v>
      </c>
    </row>
    <row r="1953" spans="1:16" ht="52.8" x14ac:dyDescent="0.25">
      <c r="A1953" t="s">
        <v>1</v>
      </c>
      <c r="E1953" s="1" t="s">
        <v>0</v>
      </c>
    </row>
    <row r="1954" spans="1:16" ht="13.2" x14ac:dyDescent="0.25">
      <c r="A1954" t="s">
        <v>11</v>
      </c>
      <c r="B1954" s="9" t="s">
        <v>277</v>
      </c>
      <c r="C1954" s="9" t="s">
        <v>433</v>
      </c>
      <c r="D1954" s="3" t="s">
        <v>2</v>
      </c>
      <c r="E1954" s="8" t="s">
        <v>432</v>
      </c>
      <c r="F1954" s="4" t="s">
        <v>8</v>
      </c>
      <c r="G1954" s="7">
        <v>20</v>
      </c>
      <c r="H1954" s="4">
        <v>0</v>
      </c>
      <c r="I1954" s="4">
        <f>ROUND(G1954*H1954,6)</f>
        <v>0</v>
      </c>
      <c r="L1954" s="6">
        <v>0</v>
      </c>
      <c r="M1954" s="5">
        <f>ROUND(ROUND(L1954,2)*ROUND(G1954,3),2)</f>
        <v>0</v>
      </c>
      <c r="N1954" s="4" t="s">
        <v>55</v>
      </c>
      <c r="O1954">
        <f>(M1954*21)/100</f>
        <v>0</v>
      </c>
      <c r="P1954" t="s">
        <v>6</v>
      </c>
    </row>
    <row r="1955" spans="1:16" ht="13.2" x14ac:dyDescent="0.25">
      <c r="A1955" s="3" t="s">
        <v>5</v>
      </c>
      <c r="E1955" s="1" t="s">
        <v>432</v>
      </c>
    </row>
    <row r="1956" spans="1:16" ht="13.2" x14ac:dyDescent="0.25">
      <c r="A1956" s="3" t="s">
        <v>3</v>
      </c>
      <c r="E1956" s="2" t="s">
        <v>2</v>
      </c>
    </row>
    <row r="1957" spans="1:16" ht="52.8" x14ac:dyDescent="0.25">
      <c r="A1957" t="s">
        <v>1</v>
      </c>
      <c r="E1957" s="1" t="s">
        <v>0</v>
      </c>
    </row>
    <row r="1958" spans="1:16" ht="13.2" x14ac:dyDescent="0.25">
      <c r="A1958" t="s">
        <v>11</v>
      </c>
      <c r="B1958" s="9" t="s">
        <v>274</v>
      </c>
      <c r="C1958" s="9" t="s">
        <v>431</v>
      </c>
      <c r="D1958" s="3" t="s">
        <v>2</v>
      </c>
      <c r="E1958" s="8" t="s">
        <v>430</v>
      </c>
      <c r="F1958" s="4" t="s">
        <v>8</v>
      </c>
      <c r="G1958" s="7">
        <v>210</v>
      </c>
      <c r="H1958" s="4">
        <v>0</v>
      </c>
      <c r="I1958" s="4">
        <f>ROUND(G1958*H1958,6)</f>
        <v>0</v>
      </c>
      <c r="L1958" s="6">
        <v>0</v>
      </c>
      <c r="M1958" s="5">
        <f>ROUND(ROUND(L1958,2)*ROUND(G1958,3),2)</f>
        <v>0</v>
      </c>
      <c r="N1958" s="4" t="s">
        <v>55</v>
      </c>
      <c r="O1958">
        <f>(M1958*21)/100</f>
        <v>0</v>
      </c>
      <c r="P1958" t="s">
        <v>6</v>
      </c>
    </row>
    <row r="1959" spans="1:16" ht="13.2" x14ac:dyDescent="0.25">
      <c r="A1959" s="3" t="s">
        <v>5</v>
      </c>
      <c r="E1959" s="1" t="s">
        <v>430</v>
      </c>
    </row>
    <row r="1960" spans="1:16" ht="13.2" x14ac:dyDescent="0.25">
      <c r="A1960" s="3" t="s">
        <v>3</v>
      </c>
      <c r="E1960" s="2" t="s">
        <v>2</v>
      </c>
    </row>
    <row r="1961" spans="1:16" ht="52.8" x14ac:dyDescent="0.25">
      <c r="A1961" t="s">
        <v>1</v>
      </c>
      <c r="E1961" s="1" t="s">
        <v>0</v>
      </c>
    </row>
    <row r="1962" spans="1:16" ht="13.2" x14ac:dyDescent="0.25">
      <c r="A1962" t="s">
        <v>11</v>
      </c>
      <c r="B1962" s="9" t="s">
        <v>271</v>
      </c>
      <c r="C1962" s="9" t="s">
        <v>429</v>
      </c>
      <c r="D1962" s="3" t="s">
        <v>2</v>
      </c>
      <c r="E1962" s="8" t="s">
        <v>428</v>
      </c>
      <c r="F1962" s="4" t="s">
        <v>8</v>
      </c>
      <c r="G1962" s="7">
        <v>40</v>
      </c>
      <c r="H1962" s="4">
        <v>0</v>
      </c>
      <c r="I1962" s="4">
        <f>ROUND(G1962*H1962,6)</f>
        <v>0</v>
      </c>
      <c r="L1962" s="6">
        <v>0</v>
      </c>
      <c r="M1962" s="5">
        <f>ROUND(ROUND(L1962,2)*ROUND(G1962,3),2)</f>
        <v>0</v>
      </c>
      <c r="N1962" s="4" t="s">
        <v>55</v>
      </c>
      <c r="O1962">
        <f>(M1962*21)/100</f>
        <v>0</v>
      </c>
      <c r="P1962" t="s">
        <v>6</v>
      </c>
    </row>
    <row r="1963" spans="1:16" ht="13.2" x14ac:dyDescent="0.25">
      <c r="A1963" s="3" t="s">
        <v>5</v>
      </c>
      <c r="E1963" s="1" t="s">
        <v>428</v>
      </c>
    </row>
    <row r="1964" spans="1:16" ht="13.2" x14ac:dyDescent="0.25">
      <c r="A1964" s="3" t="s">
        <v>3</v>
      </c>
      <c r="E1964" s="2" t="s">
        <v>2</v>
      </c>
    </row>
    <row r="1965" spans="1:16" ht="52.8" x14ac:dyDescent="0.25">
      <c r="A1965" t="s">
        <v>1</v>
      </c>
      <c r="E1965" s="1" t="s">
        <v>0</v>
      </c>
    </row>
    <row r="1966" spans="1:16" ht="26.4" x14ac:dyDescent="0.25">
      <c r="A1966" t="s">
        <v>11</v>
      </c>
      <c r="B1966" s="9" t="s">
        <v>268</v>
      </c>
      <c r="C1966" s="9" t="s">
        <v>427</v>
      </c>
      <c r="D1966" s="3" t="s">
        <v>2</v>
      </c>
      <c r="E1966" s="8" t="s">
        <v>426</v>
      </c>
      <c r="F1966" s="4" t="s">
        <v>370</v>
      </c>
      <c r="G1966" s="7">
        <v>30</v>
      </c>
      <c r="H1966" s="4">
        <v>0</v>
      </c>
      <c r="I1966" s="4">
        <f>ROUND(G1966*H1966,6)</f>
        <v>0</v>
      </c>
      <c r="L1966" s="6">
        <v>0</v>
      </c>
      <c r="M1966" s="5">
        <f>ROUND(ROUND(L1966,2)*ROUND(G1966,3),2)</f>
        <v>0</v>
      </c>
      <c r="N1966" s="4" t="s">
        <v>55</v>
      </c>
      <c r="O1966">
        <f>(M1966*21)/100</f>
        <v>0</v>
      </c>
      <c r="P1966" t="s">
        <v>6</v>
      </c>
    </row>
    <row r="1967" spans="1:16" ht="39.6" x14ac:dyDescent="0.25">
      <c r="A1967" s="3" t="s">
        <v>5</v>
      </c>
      <c r="E1967" s="1" t="s">
        <v>425</v>
      </c>
    </row>
    <row r="1968" spans="1:16" ht="13.2" x14ac:dyDescent="0.25">
      <c r="A1968" s="3" t="s">
        <v>3</v>
      </c>
      <c r="E1968" s="2" t="s">
        <v>2</v>
      </c>
    </row>
    <row r="1969" spans="1:16" ht="52.8" x14ac:dyDescent="0.25">
      <c r="A1969" t="s">
        <v>1</v>
      </c>
      <c r="E1969" s="1" t="s">
        <v>0</v>
      </c>
    </row>
    <row r="1970" spans="1:16" ht="26.4" x14ac:dyDescent="0.25">
      <c r="A1970" t="s">
        <v>11</v>
      </c>
      <c r="B1970" s="9" t="s">
        <v>265</v>
      </c>
      <c r="C1970" s="9" t="s">
        <v>424</v>
      </c>
      <c r="D1970" s="3" t="s">
        <v>2</v>
      </c>
      <c r="E1970" s="8" t="s">
        <v>423</v>
      </c>
      <c r="F1970" s="4" t="s">
        <v>370</v>
      </c>
      <c r="G1970" s="7">
        <v>35</v>
      </c>
      <c r="H1970" s="4">
        <v>0</v>
      </c>
      <c r="I1970" s="4">
        <f>ROUND(G1970*H1970,6)</f>
        <v>0</v>
      </c>
      <c r="L1970" s="6">
        <v>0</v>
      </c>
      <c r="M1970" s="5">
        <f>ROUND(ROUND(L1970,2)*ROUND(G1970,3),2)</f>
        <v>0</v>
      </c>
      <c r="N1970" s="4" t="s">
        <v>55</v>
      </c>
      <c r="O1970">
        <f>(M1970*21)/100</f>
        <v>0</v>
      </c>
      <c r="P1970" t="s">
        <v>6</v>
      </c>
    </row>
    <row r="1971" spans="1:16" ht="26.4" x14ac:dyDescent="0.25">
      <c r="A1971" s="3" t="s">
        <v>5</v>
      </c>
      <c r="E1971" s="1" t="s">
        <v>423</v>
      </c>
    </row>
    <row r="1972" spans="1:16" ht="13.2" x14ac:dyDescent="0.25">
      <c r="A1972" s="3" t="s">
        <v>3</v>
      </c>
      <c r="E1972" s="2" t="s">
        <v>2</v>
      </c>
    </row>
    <row r="1973" spans="1:16" ht="52.8" x14ac:dyDescent="0.25">
      <c r="A1973" t="s">
        <v>1</v>
      </c>
      <c r="E1973" s="1" t="s">
        <v>0</v>
      </c>
    </row>
    <row r="1974" spans="1:16" ht="13.2" x14ac:dyDescent="0.25">
      <c r="A1974" t="s">
        <v>11</v>
      </c>
      <c r="B1974" s="9" t="s">
        <v>262</v>
      </c>
      <c r="C1974" s="9" t="s">
        <v>422</v>
      </c>
      <c r="D1974" s="3" t="s">
        <v>2</v>
      </c>
      <c r="E1974" s="8" t="s">
        <v>421</v>
      </c>
      <c r="F1974" s="4" t="s">
        <v>370</v>
      </c>
      <c r="G1974" s="7">
        <v>50</v>
      </c>
      <c r="H1974" s="4">
        <v>0</v>
      </c>
      <c r="I1974" s="4">
        <f>ROUND(G1974*H1974,6)</f>
        <v>0</v>
      </c>
      <c r="L1974" s="6">
        <v>0</v>
      </c>
      <c r="M1974" s="5">
        <f>ROUND(ROUND(L1974,2)*ROUND(G1974,3),2)</f>
        <v>0</v>
      </c>
      <c r="N1974" s="4" t="s">
        <v>55</v>
      </c>
      <c r="O1974">
        <f>(M1974*21)/100</f>
        <v>0</v>
      </c>
      <c r="P1974" t="s">
        <v>6</v>
      </c>
    </row>
    <row r="1975" spans="1:16" ht="13.2" x14ac:dyDescent="0.25">
      <c r="A1975" s="3" t="s">
        <v>5</v>
      </c>
      <c r="E1975" s="1" t="s">
        <v>421</v>
      </c>
    </row>
    <row r="1976" spans="1:16" ht="13.2" x14ac:dyDescent="0.25">
      <c r="A1976" s="3" t="s">
        <v>3</v>
      </c>
      <c r="E1976" s="2" t="s">
        <v>2</v>
      </c>
    </row>
    <row r="1977" spans="1:16" ht="52.8" x14ac:dyDescent="0.25">
      <c r="A1977" t="s">
        <v>1</v>
      </c>
      <c r="E1977" s="1" t="s">
        <v>0</v>
      </c>
    </row>
    <row r="1978" spans="1:16" ht="13.2" x14ac:dyDescent="0.25">
      <c r="A1978" t="s">
        <v>11</v>
      </c>
      <c r="B1978" s="9" t="s">
        <v>259</v>
      </c>
      <c r="C1978" s="9" t="s">
        <v>420</v>
      </c>
      <c r="D1978" s="3" t="s">
        <v>2</v>
      </c>
      <c r="E1978" s="8" t="s">
        <v>419</v>
      </c>
      <c r="F1978" s="4" t="s">
        <v>370</v>
      </c>
      <c r="G1978" s="7">
        <v>90</v>
      </c>
      <c r="H1978" s="4">
        <v>0</v>
      </c>
      <c r="I1978" s="4">
        <f>ROUND(G1978*H1978,6)</f>
        <v>0</v>
      </c>
      <c r="L1978" s="6">
        <v>0</v>
      </c>
      <c r="M1978" s="5">
        <f>ROUND(ROUND(L1978,2)*ROUND(G1978,3),2)</f>
        <v>0</v>
      </c>
      <c r="N1978" s="4" t="s">
        <v>55</v>
      </c>
      <c r="O1978">
        <f>(M1978*21)/100</f>
        <v>0</v>
      </c>
      <c r="P1978" t="s">
        <v>6</v>
      </c>
    </row>
    <row r="1979" spans="1:16" ht="13.2" x14ac:dyDescent="0.25">
      <c r="A1979" s="3" t="s">
        <v>5</v>
      </c>
      <c r="E1979" s="1" t="s">
        <v>419</v>
      </c>
    </row>
    <row r="1980" spans="1:16" ht="13.2" x14ac:dyDescent="0.25">
      <c r="A1980" s="3" t="s">
        <v>3</v>
      </c>
      <c r="E1980" s="2" t="s">
        <v>2</v>
      </c>
    </row>
    <row r="1981" spans="1:16" ht="52.8" x14ac:dyDescent="0.25">
      <c r="A1981" t="s">
        <v>1</v>
      </c>
      <c r="E1981" s="1" t="s">
        <v>0</v>
      </c>
    </row>
    <row r="1982" spans="1:16" ht="26.4" x14ac:dyDescent="0.25">
      <c r="A1982" t="s">
        <v>11</v>
      </c>
      <c r="B1982" s="9" t="s">
        <v>255</v>
      </c>
      <c r="C1982" s="9" t="s">
        <v>418</v>
      </c>
      <c r="D1982" s="3" t="s">
        <v>2</v>
      </c>
      <c r="E1982" s="8" t="s">
        <v>417</v>
      </c>
      <c r="F1982" s="4" t="s">
        <v>13</v>
      </c>
      <c r="G1982" s="7">
        <v>1</v>
      </c>
      <c r="H1982" s="4">
        <v>0</v>
      </c>
      <c r="I1982" s="4">
        <f>ROUND(G1982*H1982,6)</f>
        <v>0</v>
      </c>
      <c r="L1982" s="6">
        <v>0</v>
      </c>
      <c r="M1982" s="5">
        <f>ROUND(ROUND(L1982,2)*ROUND(G1982,3),2)</f>
        <v>0</v>
      </c>
      <c r="N1982" s="4" t="s">
        <v>55</v>
      </c>
      <c r="O1982">
        <f>(M1982*21)/100</f>
        <v>0</v>
      </c>
      <c r="P1982" t="s">
        <v>6</v>
      </c>
    </row>
    <row r="1983" spans="1:16" ht="39.6" x14ac:dyDescent="0.25">
      <c r="A1983" s="3" t="s">
        <v>5</v>
      </c>
      <c r="E1983" s="1" t="s">
        <v>416</v>
      </c>
    </row>
    <row r="1984" spans="1:16" ht="13.2" x14ac:dyDescent="0.25">
      <c r="A1984" s="3" t="s">
        <v>3</v>
      </c>
      <c r="E1984" s="2" t="s">
        <v>2</v>
      </c>
    </row>
    <row r="1985" spans="1:16" ht="52.8" x14ac:dyDescent="0.25">
      <c r="A1985" t="s">
        <v>1</v>
      </c>
      <c r="E1985" s="1" t="s">
        <v>0</v>
      </c>
    </row>
    <row r="1986" spans="1:16" ht="39.6" x14ac:dyDescent="0.25">
      <c r="A1986" t="s">
        <v>11</v>
      </c>
      <c r="B1986" s="9" t="s">
        <v>252</v>
      </c>
      <c r="C1986" s="9" t="s">
        <v>415</v>
      </c>
      <c r="D1986" s="3" t="s">
        <v>2</v>
      </c>
      <c r="E1986" s="8" t="s">
        <v>414</v>
      </c>
      <c r="F1986" s="4" t="s">
        <v>13</v>
      </c>
      <c r="G1986" s="7">
        <v>1</v>
      </c>
      <c r="H1986" s="4">
        <v>0</v>
      </c>
      <c r="I1986" s="4">
        <f>ROUND(G1986*H1986,6)</f>
        <v>0</v>
      </c>
      <c r="L1986" s="6">
        <v>0</v>
      </c>
      <c r="M1986" s="5">
        <f>ROUND(ROUND(L1986,2)*ROUND(G1986,3),2)</f>
        <v>0</v>
      </c>
      <c r="N1986" s="4" t="s">
        <v>55</v>
      </c>
      <c r="O1986">
        <f>(M1986*21)/100</f>
        <v>0</v>
      </c>
      <c r="P1986" t="s">
        <v>6</v>
      </c>
    </row>
    <row r="1987" spans="1:16" ht="39.6" x14ac:dyDescent="0.25">
      <c r="A1987" s="3" t="s">
        <v>5</v>
      </c>
      <c r="E1987" s="1" t="s">
        <v>413</v>
      </c>
    </row>
    <row r="1988" spans="1:16" ht="13.2" x14ac:dyDescent="0.25">
      <c r="A1988" s="3" t="s">
        <v>3</v>
      </c>
      <c r="E1988" s="2" t="s">
        <v>2</v>
      </c>
    </row>
    <row r="1989" spans="1:16" ht="52.8" x14ac:dyDescent="0.25">
      <c r="A1989" t="s">
        <v>1</v>
      </c>
      <c r="E1989" s="1" t="s">
        <v>0</v>
      </c>
    </row>
    <row r="1990" spans="1:16" ht="26.4" x14ac:dyDescent="0.25">
      <c r="A1990" t="s">
        <v>11</v>
      </c>
      <c r="B1990" s="9" t="s">
        <v>249</v>
      </c>
      <c r="C1990" s="9" t="s">
        <v>412</v>
      </c>
      <c r="D1990" s="3" t="s">
        <v>2</v>
      </c>
      <c r="E1990" s="8" t="s">
        <v>411</v>
      </c>
      <c r="F1990" s="4" t="s">
        <v>13</v>
      </c>
      <c r="G1990" s="7">
        <v>2</v>
      </c>
      <c r="H1990" s="4">
        <v>0</v>
      </c>
      <c r="I1990" s="4">
        <f>ROUND(G1990*H1990,6)</f>
        <v>0</v>
      </c>
      <c r="L1990" s="6">
        <v>0</v>
      </c>
      <c r="M1990" s="5">
        <f>ROUND(ROUND(L1990,2)*ROUND(G1990,3),2)</f>
        <v>0</v>
      </c>
      <c r="N1990" s="4" t="s">
        <v>55</v>
      </c>
      <c r="O1990">
        <f>(M1990*21)/100</f>
        <v>0</v>
      </c>
      <c r="P1990" t="s">
        <v>6</v>
      </c>
    </row>
    <row r="1991" spans="1:16" ht="26.4" x14ac:dyDescent="0.25">
      <c r="A1991" s="3" t="s">
        <v>5</v>
      </c>
      <c r="E1991" s="1" t="s">
        <v>411</v>
      </c>
    </row>
    <row r="1992" spans="1:16" ht="13.2" x14ac:dyDescent="0.25">
      <c r="A1992" s="3" t="s">
        <v>3</v>
      </c>
      <c r="E1992" s="2" t="s">
        <v>2</v>
      </c>
    </row>
    <row r="1993" spans="1:16" ht="52.8" x14ac:dyDescent="0.25">
      <c r="A1993" t="s">
        <v>1</v>
      </c>
      <c r="E1993" s="1" t="s">
        <v>0</v>
      </c>
    </row>
    <row r="1994" spans="1:16" ht="13.2" x14ac:dyDescent="0.25">
      <c r="A1994" t="s">
        <v>11</v>
      </c>
      <c r="B1994" s="9" t="s">
        <v>246</v>
      </c>
      <c r="C1994" s="9" t="s">
        <v>410</v>
      </c>
      <c r="D1994" s="3" t="s">
        <v>2</v>
      </c>
      <c r="E1994" s="8" t="s">
        <v>409</v>
      </c>
      <c r="F1994" s="4" t="s">
        <v>13</v>
      </c>
      <c r="G1994" s="7">
        <v>2</v>
      </c>
      <c r="H1994" s="4">
        <v>0</v>
      </c>
      <c r="I1994" s="4">
        <f>ROUND(G1994*H1994,6)</f>
        <v>0</v>
      </c>
      <c r="L1994" s="6">
        <v>0</v>
      </c>
      <c r="M1994" s="5">
        <f>ROUND(ROUND(L1994,2)*ROUND(G1994,3),2)</f>
        <v>0</v>
      </c>
      <c r="N1994" s="4" t="s">
        <v>55</v>
      </c>
      <c r="O1994">
        <f>(M1994*21)/100</f>
        <v>0</v>
      </c>
      <c r="P1994" t="s">
        <v>6</v>
      </c>
    </row>
    <row r="1995" spans="1:16" ht="13.2" x14ac:dyDescent="0.25">
      <c r="A1995" s="3" t="s">
        <v>5</v>
      </c>
      <c r="E1995" s="1" t="s">
        <v>409</v>
      </c>
    </row>
    <row r="1996" spans="1:16" ht="13.2" x14ac:dyDescent="0.25">
      <c r="A1996" s="3" t="s">
        <v>3</v>
      </c>
      <c r="E1996" s="2" t="s">
        <v>2</v>
      </c>
    </row>
    <row r="1997" spans="1:16" ht="52.8" x14ac:dyDescent="0.25">
      <c r="A1997" t="s">
        <v>1</v>
      </c>
      <c r="E1997" s="1" t="s">
        <v>0</v>
      </c>
    </row>
    <row r="1998" spans="1:16" ht="13.2" x14ac:dyDescent="0.25">
      <c r="A1998" t="s">
        <v>11</v>
      </c>
      <c r="B1998" s="9" t="s">
        <v>243</v>
      </c>
      <c r="C1998" s="9" t="s">
        <v>408</v>
      </c>
      <c r="D1998" s="3" t="s">
        <v>2</v>
      </c>
      <c r="E1998" s="8" t="s">
        <v>406</v>
      </c>
      <c r="F1998" s="4" t="s">
        <v>13</v>
      </c>
      <c r="G1998" s="7">
        <v>3</v>
      </c>
      <c r="H1998" s="4">
        <v>0</v>
      </c>
      <c r="I1998" s="4">
        <f>ROUND(G1998*H1998,6)</f>
        <v>0</v>
      </c>
      <c r="L1998" s="6">
        <v>0</v>
      </c>
      <c r="M1998" s="5">
        <f>ROUND(ROUND(L1998,2)*ROUND(G1998,3),2)</f>
        <v>0</v>
      </c>
      <c r="N1998" s="4" t="s">
        <v>55</v>
      </c>
      <c r="O1998">
        <f>(M1998*21)/100</f>
        <v>0</v>
      </c>
      <c r="P1998" t="s">
        <v>6</v>
      </c>
    </row>
    <row r="1999" spans="1:16" ht="13.2" x14ac:dyDescent="0.25">
      <c r="A1999" s="3" t="s">
        <v>5</v>
      </c>
      <c r="E1999" s="1" t="s">
        <v>406</v>
      </c>
    </row>
    <row r="2000" spans="1:16" ht="13.2" x14ac:dyDescent="0.25">
      <c r="A2000" s="3" t="s">
        <v>3</v>
      </c>
      <c r="E2000" s="2" t="s">
        <v>2</v>
      </c>
    </row>
    <row r="2001" spans="1:16" ht="52.8" x14ac:dyDescent="0.25">
      <c r="A2001" t="s">
        <v>1</v>
      </c>
      <c r="E2001" s="1" t="s">
        <v>0</v>
      </c>
    </row>
    <row r="2002" spans="1:16" ht="13.2" x14ac:dyDescent="0.25">
      <c r="A2002" t="s">
        <v>11</v>
      </c>
      <c r="B2002" s="9" t="s">
        <v>240</v>
      </c>
      <c r="C2002" s="9" t="s">
        <v>407</v>
      </c>
      <c r="D2002" s="3" t="s">
        <v>2</v>
      </c>
      <c r="E2002" s="8" t="s">
        <v>406</v>
      </c>
      <c r="F2002" s="4" t="s">
        <v>13</v>
      </c>
      <c r="G2002" s="7">
        <v>2</v>
      </c>
      <c r="H2002" s="4">
        <v>0</v>
      </c>
      <c r="I2002" s="4">
        <f>ROUND(G2002*H2002,6)</f>
        <v>0</v>
      </c>
      <c r="L2002" s="6">
        <v>0</v>
      </c>
      <c r="M2002" s="5">
        <f>ROUND(ROUND(L2002,2)*ROUND(G2002,3),2)</f>
        <v>0</v>
      </c>
      <c r="N2002" s="4" t="s">
        <v>55</v>
      </c>
      <c r="O2002">
        <f>(M2002*21)/100</f>
        <v>0</v>
      </c>
      <c r="P2002" t="s">
        <v>6</v>
      </c>
    </row>
    <row r="2003" spans="1:16" ht="13.2" x14ac:dyDescent="0.25">
      <c r="A2003" s="3" t="s">
        <v>5</v>
      </c>
      <c r="E2003" s="1" t="s">
        <v>406</v>
      </c>
    </row>
    <row r="2004" spans="1:16" ht="13.2" x14ac:dyDescent="0.25">
      <c r="A2004" s="3" t="s">
        <v>3</v>
      </c>
      <c r="E2004" s="2" t="s">
        <v>2</v>
      </c>
    </row>
    <row r="2005" spans="1:16" ht="52.8" x14ac:dyDescent="0.25">
      <c r="A2005" t="s">
        <v>1</v>
      </c>
      <c r="E2005" s="1" t="s">
        <v>0</v>
      </c>
    </row>
    <row r="2006" spans="1:16" ht="13.2" x14ac:dyDescent="0.25">
      <c r="A2006" t="s">
        <v>11</v>
      </c>
      <c r="B2006" s="9" t="s">
        <v>237</v>
      </c>
      <c r="C2006" s="9" t="s">
        <v>405</v>
      </c>
      <c r="D2006" s="3" t="s">
        <v>2</v>
      </c>
      <c r="E2006" s="8" t="s">
        <v>403</v>
      </c>
      <c r="F2006" s="4" t="s">
        <v>13</v>
      </c>
      <c r="G2006" s="7">
        <v>2</v>
      </c>
      <c r="H2006" s="4">
        <v>0</v>
      </c>
      <c r="I2006" s="4">
        <f>ROUND(G2006*H2006,6)</f>
        <v>0</v>
      </c>
      <c r="L2006" s="6">
        <v>0</v>
      </c>
      <c r="M2006" s="5">
        <f>ROUND(ROUND(L2006,2)*ROUND(G2006,3),2)</f>
        <v>0</v>
      </c>
      <c r="N2006" s="4" t="s">
        <v>55</v>
      </c>
      <c r="O2006">
        <f>(M2006*21)/100</f>
        <v>0</v>
      </c>
      <c r="P2006" t="s">
        <v>6</v>
      </c>
    </row>
    <row r="2007" spans="1:16" ht="13.2" x14ac:dyDescent="0.25">
      <c r="A2007" s="3" t="s">
        <v>5</v>
      </c>
      <c r="E2007" s="1" t="s">
        <v>403</v>
      </c>
    </row>
    <row r="2008" spans="1:16" ht="13.2" x14ac:dyDescent="0.25">
      <c r="A2008" s="3" t="s">
        <v>3</v>
      </c>
      <c r="E2008" s="2" t="s">
        <v>2</v>
      </c>
    </row>
    <row r="2009" spans="1:16" ht="52.8" x14ac:dyDescent="0.25">
      <c r="A2009" t="s">
        <v>1</v>
      </c>
      <c r="E2009" s="1" t="s">
        <v>0</v>
      </c>
    </row>
    <row r="2010" spans="1:16" ht="13.2" x14ac:dyDescent="0.25">
      <c r="A2010" t="s">
        <v>11</v>
      </c>
      <c r="B2010" s="9" t="s">
        <v>234</v>
      </c>
      <c r="C2010" s="9" t="s">
        <v>404</v>
      </c>
      <c r="D2010" s="3" t="s">
        <v>2</v>
      </c>
      <c r="E2010" s="8" t="s">
        <v>403</v>
      </c>
      <c r="F2010" s="4" t="s">
        <v>13</v>
      </c>
      <c r="G2010" s="7">
        <v>2</v>
      </c>
      <c r="H2010" s="4">
        <v>0</v>
      </c>
      <c r="I2010" s="4">
        <f>ROUND(G2010*H2010,6)</f>
        <v>0</v>
      </c>
      <c r="L2010" s="6">
        <v>0</v>
      </c>
      <c r="M2010" s="5">
        <f>ROUND(ROUND(L2010,2)*ROUND(G2010,3),2)</f>
        <v>0</v>
      </c>
      <c r="N2010" s="4" t="s">
        <v>55</v>
      </c>
      <c r="O2010">
        <f>(M2010*21)/100</f>
        <v>0</v>
      </c>
      <c r="P2010" t="s">
        <v>6</v>
      </c>
    </row>
    <row r="2011" spans="1:16" ht="13.2" x14ac:dyDescent="0.25">
      <c r="A2011" s="3" t="s">
        <v>5</v>
      </c>
      <c r="E2011" s="1" t="s">
        <v>403</v>
      </c>
    </row>
    <row r="2012" spans="1:16" ht="13.2" x14ac:dyDescent="0.25">
      <c r="A2012" s="3" t="s">
        <v>3</v>
      </c>
      <c r="E2012" s="2" t="s">
        <v>2</v>
      </c>
    </row>
    <row r="2013" spans="1:16" ht="52.8" x14ac:dyDescent="0.25">
      <c r="A2013" t="s">
        <v>1</v>
      </c>
      <c r="E2013" s="1" t="s">
        <v>0</v>
      </c>
    </row>
    <row r="2014" spans="1:16" ht="13.2" x14ac:dyDescent="0.25">
      <c r="A2014" t="s">
        <v>11</v>
      </c>
      <c r="B2014" s="9" t="s">
        <v>231</v>
      </c>
      <c r="C2014" s="9" t="s">
        <v>402</v>
      </c>
      <c r="D2014" s="3" t="s">
        <v>2</v>
      </c>
      <c r="E2014" s="8" t="s">
        <v>400</v>
      </c>
      <c r="F2014" s="4" t="s">
        <v>13</v>
      </c>
      <c r="G2014" s="7">
        <v>7</v>
      </c>
      <c r="H2014" s="4">
        <v>0</v>
      </c>
      <c r="I2014" s="4">
        <f>ROUND(G2014*H2014,6)</f>
        <v>0</v>
      </c>
      <c r="L2014" s="6">
        <v>0</v>
      </c>
      <c r="M2014" s="5">
        <f>ROUND(ROUND(L2014,2)*ROUND(G2014,3),2)</f>
        <v>0</v>
      </c>
      <c r="N2014" s="4" t="s">
        <v>55</v>
      </c>
      <c r="O2014">
        <f>(M2014*21)/100</f>
        <v>0</v>
      </c>
      <c r="P2014" t="s">
        <v>6</v>
      </c>
    </row>
    <row r="2015" spans="1:16" ht="13.2" x14ac:dyDescent="0.25">
      <c r="A2015" s="3" t="s">
        <v>5</v>
      </c>
      <c r="E2015" s="1" t="s">
        <v>400</v>
      </c>
    </row>
    <row r="2016" spans="1:16" ht="13.2" x14ac:dyDescent="0.25">
      <c r="A2016" s="3" t="s">
        <v>3</v>
      </c>
      <c r="E2016" s="2" t="s">
        <v>2</v>
      </c>
    </row>
    <row r="2017" spans="1:16" ht="52.8" x14ac:dyDescent="0.25">
      <c r="A2017" t="s">
        <v>1</v>
      </c>
      <c r="E2017" s="1" t="s">
        <v>0</v>
      </c>
    </row>
    <row r="2018" spans="1:16" ht="13.2" x14ac:dyDescent="0.25">
      <c r="A2018" t="s">
        <v>11</v>
      </c>
      <c r="B2018" s="9" t="s">
        <v>228</v>
      </c>
      <c r="C2018" s="9" t="s">
        <v>401</v>
      </c>
      <c r="D2018" s="3" t="s">
        <v>2</v>
      </c>
      <c r="E2018" s="8" t="s">
        <v>400</v>
      </c>
      <c r="F2018" s="4" t="s">
        <v>13</v>
      </c>
      <c r="G2018" s="7">
        <v>8</v>
      </c>
      <c r="H2018" s="4">
        <v>0</v>
      </c>
      <c r="I2018" s="4">
        <f>ROUND(G2018*H2018,6)</f>
        <v>0</v>
      </c>
      <c r="L2018" s="6">
        <v>0</v>
      </c>
      <c r="M2018" s="5">
        <f>ROUND(ROUND(L2018,2)*ROUND(G2018,3),2)</f>
        <v>0</v>
      </c>
      <c r="N2018" s="4" t="s">
        <v>55</v>
      </c>
      <c r="O2018">
        <f>(M2018*21)/100</f>
        <v>0</v>
      </c>
      <c r="P2018" t="s">
        <v>6</v>
      </c>
    </row>
    <row r="2019" spans="1:16" ht="13.2" x14ac:dyDescent="0.25">
      <c r="A2019" s="3" t="s">
        <v>5</v>
      </c>
      <c r="E2019" s="1" t="s">
        <v>400</v>
      </c>
    </row>
    <row r="2020" spans="1:16" ht="13.2" x14ac:dyDescent="0.25">
      <c r="A2020" s="3" t="s">
        <v>3</v>
      </c>
      <c r="E2020" s="2" t="s">
        <v>2</v>
      </c>
    </row>
    <row r="2021" spans="1:16" ht="52.8" x14ac:dyDescent="0.25">
      <c r="A2021" t="s">
        <v>1</v>
      </c>
      <c r="E2021" s="1" t="s">
        <v>0</v>
      </c>
    </row>
    <row r="2022" spans="1:16" ht="13.2" x14ac:dyDescent="0.25">
      <c r="A2022" t="s">
        <v>11</v>
      </c>
      <c r="B2022" s="9" t="s">
        <v>225</v>
      </c>
      <c r="C2022" s="9" t="s">
        <v>399</v>
      </c>
      <c r="D2022" s="3" t="s">
        <v>2</v>
      </c>
      <c r="E2022" s="8" t="s">
        <v>398</v>
      </c>
      <c r="F2022" s="4" t="s">
        <v>13</v>
      </c>
      <c r="G2022" s="7">
        <v>1</v>
      </c>
      <c r="H2022" s="4">
        <v>0</v>
      </c>
      <c r="I2022" s="4">
        <f>ROUND(G2022*H2022,6)</f>
        <v>0</v>
      </c>
      <c r="L2022" s="6">
        <v>0</v>
      </c>
      <c r="M2022" s="5">
        <f>ROUND(ROUND(L2022,2)*ROUND(G2022,3),2)</f>
        <v>0</v>
      </c>
      <c r="N2022" s="4" t="s">
        <v>55</v>
      </c>
      <c r="O2022">
        <f>(M2022*21)/100</f>
        <v>0</v>
      </c>
      <c r="P2022" t="s">
        <v>6</v>
      </c>
    </row>
    <row r="2023" spans="1:16" ht="13.2" x14ac:dyDescent="0.25">
      <c r="A2023" s="3" t="s">
        <v>5</v>
      </c>
      <c r="E2023" s="1" t="s">
        <v>398</v>
      </c>
    </row>
    <row r="2024" spans="1:16" ht="13.2" x14ac:dyDescent="0.25">
      <c r="A2024" s="3" t="s">
        <v>3</v>
      </c>
      <c r="E2024" s="2" t="s">
        <v>2</v>
      </c>
    </row>
    <row r="2025" spans="1:16" ht="52.8" x14ac:dyDescent="0.25">
      <c r="A2025" t="s">
        <v>1</v>
      </c>
      <c r="E2025" s="1" t="s">
        <v>0</v>
      </c>
    </row>
    <row r="2026" spans="1:16" ht="13.2" x14ac:dyDescent="0.25">
      <c r="A2026" t="s">
        <v>11</v>
      </c>
      <c r="B2026" s="9" t="s">
        <v>222</v>
      </c>
      <c r="C2026" s="9" t="s">
        <v>397</v>
      </c>
      <c r="D2026" s="3" t="s">
        <v>2</v>
      </c>
      <c r="E2026" s="8" t="s">
        <v>396</v>
      </c>
      <c r="F2026" s="4" t="s">
        <v>13</v>
      </c>
      <c r="G2026" s="7">
        <v>2</v>
      </c>
      <c r="H2026" s="4">
        <v>0</v>
      </c>
      <c r="I2026" s="4">
        <f>ROUND(G2026*H2026,6)</f>
        <v>0</v>
      </c>
      <c r="L2026" s="6">
        <v>0</v>
      </c>
      <c r="M2026" s="5">
        <f>ROUND(ROUND(L2026,2)*ROUND(G2026,3),2)</f>
        <v>0</v>
      </c>
      <c r="N2026" s="4" t="s">
        <v>55</v>
      </c>
      <c r="O2026">
        <f>(M2026*21)/100</f>
        <v>0</v>
      </c>
      <c r="P2026" t="s">
        <v>6</v>
      </c>
    </row>
    <row r="2027" spans="1:16" ht="13.2" x14ac:dyDescent="0.25">
      <c r="A2027" s="3" t="s">
        <v>5</v>
      </c>
      <c r="E2027" s="1" t="s">
        <v>396</v>
      </c>
    </row>
    <row r="2028" spans="1:16" ht="13.2" x14ac:dyDescent="0.25">
      <c r="A2028" s="3" t="s">
        <v>3</v>
      </c>
      <c r="E2028" s="2" t="s">
        <v>2</v>
      </c>
    </row>
    <row r="2029" spans="1:16" ht="52.8" x14ac:dyDescent="0.25">
      <c r="A2029" t="s">
        <v>1</v>
      </c>
      <c r="E2029" s="1" t="s">
        <v>0</v>
      </c>
    </row>
    <row r="2030" spans="1:16" ht="13.2" x14ac:dyDescent="0.25">
      <c r="A2030" t="s">
        <v>11</v>
      </c>
      <c r="B2030" s="9" t="s">
        <v>219</v>
      </c>
      <c r="C2030" s="9" t="s">
        <v>395</v>
      </c>
      <c r="D2030" s="3" t="s">
        <v>2</v>
      </c>
      <c r="E2030" s="8" t="s">
        <v>394</v>
      </c>
      <c r="F2030" s="4" t="s">
        <v>13</v>
      </c>
      <c r="G2030" s="7">
        <v>2</v>
      </c>
      <c r="H2030" s="4">
        <v>0</v>
      </c>
      <c r="I2030" s="4">
        <f>ROUND(G2030*H2030,6)</f>
        <v>0</v>
      </c>
      <c r="L2030" s="6">
        <v>0</v>
      </c>
      <c r="M2030" s="5">
        <f>ROUND(ROUND(L2030,2)*ROUND(G2030,3),2)</f>
        <v>0</v>
      </c>
      <c r="N2030" s="4" t="s">
        <v>55</v>
      </c>
      <c r="O2030">
        <f>(M2030*21)/100</f>
        <v>0</v>
      </c>
      <c r="P2030" t="s">
        <v>6</v>
      </c>
    </row>
    <row r="2031" spans="1:16" ht="13.2" x14ac:dyDescent="0.25">
      <c r="A2031" s="3" t="s">
        <v>5</v>
      </c>
      <c r="E2031" s="1" t="s">
        <v>394</v>
      </c>
    </row>
    <row r="2032" spans="1:16" ht="13.2" x14ac:dyDescent="0.25">
      <c r="A2032" s="3" t="s">
        <v>3</v>
      </c>
      <c r="E2032" s="2" t="s">
        <v>2</v>
      </c>
    </row>
    <row r="2033" spans="1:16" ht="52.8" x14ac:dyDescent="0.25">
      <c r="A2033" t="s">
        <v>1</v>
      </c>
      <c r="E2033" s="1" t="s">
        <v>0</v>
      </c>
    </row>
    <row r="2034" spans="1:16" ht="13.2" x14ac:dyDescent="0.25">
      <c r="A2034" t="s">
        <v>11</v>
      </c>
      <c r="B2034" s="9" t="s">
        <v>216</v>
      </c>
      <c r="C2034" s="9" t="s">
        <v>393</v>
      </c>
      <c r="D2034" s="3" t="s">
        <v>2</v>
      </c>
      <c r="E2034" s="8" t="s">
        <v>392</v>
      </c>
      <c r="F2034" s="4" t="s">
        <v>13</v>
      </c>
      <c r="G2034" s="7">
        <v>3</v>
      </c>
      <c r="H2034" s="4">
        <v>0</v>
      </c>
      <c r="I2034" s="4">
        <f>ROUND(G2034*H2034,6)</f>
        <v>0</v>
      </c>
      <c r="L2034" s="6">
        <v>0</v>
      </c>
      <c r="M2034" s="5">
        <f>ROUND(ROUND(L2034,2)*ROUND(G2034,3),2)</f>
        <v>0</v>
      </c>
      <c r="N2034" s="4" t="s">
        <v>55</v>
      </c>
      <c r="O2034">
        <f>(M2034*21)/100</f>
        <v>0</v>
      </c>
      <c r="P2034" t="s">
        <v>6</v>
      </c>
    </row>
    <row r="2035" spans="1:16" ht="13.2" x14ac:dyDescent="0.25">
      <c r="A2035" s="3" t="s">
        <v>5</v>
      </c>
      <c r="E2035" s="1" t="s">
        <v>392</v>
      </c>
    </row>
    <row r="2036" spans="1:16" ht="13.2" x14ac:dyDescent="0.25">
      <c r="A2036" s="3" t="s">
        <v>3</v>
      </c>
      <c r="E2036" s="2" t="s">
        <v>2</v>
      </c>
    </row>
    <row r="2037" spans="1:16" ht="52.8" x14ac:dyDescent="0.25">
      <c r="A2037" t="s">
        <v>1</v>
      </c>
      <c r="E2037" s="1" t="s">
        <v>0</v>
      </c>
    </row>
    <row r="2038" spans="1:16" ht="13.2" x14ac:dyDescent="0.25">
      <c r="A2038" t="s">
        <v>11</v>
      </c>
      <c r="B2038" s="9" t="s">
        <v>213</v>
      </c>
      <c r="C2038" s="9" t="s">
        <v>391</v>
      </c>
      <c r="D2038" s="3" t="s">
        <v>2</v>
      </c>
      <c r="E2038" s="8" t="s">
        <v>385</v>
      </c>
      <c r="F2038" s="4" t="s">
        <v>8</v>
      </c>
      <c r="G2038" s="7">
        <v>3</v>
      </c>
      <c r="H2038" s="4">
        <v>0</v>
      </c>
      <c r="I2038" s="4">
        <f>ROUND(G2038*H2038,6)</f>
        <v>0</v>
      </c>
      <c r="L2038" s="6">
        <v>0</v>
      </c>
      <c r="M2038" s="5">
        <f>ROUND(ROUND(L2038,2)*ROUND(G2038,3),2)</f>
        <v>0</v>
      </c>
      <c r="N2038" s="4" t="s">
        <v>55</v>
      </c>
      <c r="O2038">
        <f>(M2038*21)/100</f>
        <v>0</v>
      </c>
      <c r="P2038" t="s">
        <v>6</v>
      </c>
    </row>
    <row r="2039" spans="1:16" ht="13.2" x14ac:dyDescent="0.25">
      <c r="A2039" s="3" t="s">
        <v>5</v>
      </c>
      <c r="E2039" s="1" t="s">
        <v>385</v>
      </c>
    </row>
    <row r="2040" spans="1:16" ht="13.2" x14ac:dyDescent="0.25">
      <c r="A2040" s="3" t="s">
        <v>3</v>
      </c>
      <c r="E2040" s="2" t="s">
        <v>2</v>
      </c>
    </row>
    <row r="2041" spans="1:16" ht="52.8" x14ac:dyDescent="0.25">
      <c r="A2041" t="s">
        <v>1</v>
      </c>
      <c r="E2041" s="1" t="s">
        <v>0</v>
      </c>
    </row>
    <row r="2042" spans="1:16" ht="13.2" x14ac:dyDescent="0.25">
      <c r="A2042" t="s">
        <v>11</v>
      </c>
      <c r="B2042" s="9" t="s">
        <v>210</v>
      </c>
      <c r="C2042" s="9" t="s">
        <v>390</v>
      </c>
      <c r="D2042" s="3" t="s">
        <v>2</v>
      </c>
      <c r="E2042" s="8" t="s">
        <v>383</v>
      </c>
      <c r="F2042" s="4" t="s">
        <v>8</v>
      </c>
      <c r="G2042" s="7">
        <v>4</v>
      </c>
      <c r="H2042" s="4">
        <v>0</v>
      </c>
      <c r="I2042" s="4">
        <f>ROUND(G2042*H2042,6)</f>
        <v>0</v>
      </c>
      <c r="L2042" s="6">
        <v>0</v>
      </c>
      <c r="M2042" s="5">
        <f>ROUND(ROUND(L2042,2)*ROUND(G2042,3),2)</f>
        <v>0</v>
      </c>
      <c r="N2042" s="4" t="s">
        <v>55</v>
      </c>
      <c r="O2042">
        <f>(M2042*21)/100</f>
        <v>0</v>
      </c>
      <c r="P2042" t="s">
        <v>6</v>
      </c>
    </row>
    <row r="2043" spans="1:16" ht="13.2" x14ac:dyDescent="0.25">
      <c r="A2043" s="3" t="s">
        <v>5</v>
      </c>
      <c r="E2043" s="1" t="s">
        <v>383</v>
      </c>
    </row>
    <row r="2044" spans="1:16" ht="13.2" x14ac:dyDescent="0.25">
      <c r="A2044" s="3" t="s">
        <v>3</v>
      </c>
      <c r="E2044" s="2" t="s">
        <v>2</v>
      </c>
    </row>
    <row r="2045" spans="1:16" ht="52.8" x14ac:dyDescent="0.25">
      <c r="A2045" t="s">
        <v>1</v>
      </c>
      <c r="E2045" s="1" t="s">
        <v>0</v>
      </c>
    </row>
    <row r="2046" spans="1:16" ht="13.2" x14ac:dyDescent="0.25">
      <c r="A2046" t="s">
        <v>11</v>
      </c>
      <c r="B2046" s="9" t="s">
        <v>207</v>
      </c>
      <c r="C2046" s="9" t="s">
        <v>389</v>
      </c>
      <c r="D2046" s="3" t="s">
        <v>2</v>
      </c>
      <c r="E2046" s="8" t="s">
        <v>381</v>
      </c>
      <c r="F2046" s="4" t="s">
        <v>8</v>
      </c>
      <c r="G2046" s="7">
        <v>15</v>
      </c>
      <c r="H2046" s="4">
        <v>0</v>
      </c>
      <c r="I2046" s="4">
        <f>ROUND(G2046*H2046,6)</f>
        <v>0</v>
      </c>
      <c r="L2046" s="6">
        <v>0</v>
      </c>
      <c r="M2046" s="5">
        <f>ROUND(ROUND(L2046,2)*ROUND(G2046,3),2)</f>
        <v>0</v>
      </c>
      <c r="N2046" s="4" t="s">
        <v>55</v>
      </c>
      <c r="O2046">
        <f>(M2046*21)/100</f>
        <v>0</v>
      </c>
      <c r="P2046" t="s">
        <v>6</v>
      </c>
    </row>
    <row r="2047" spans="1:16" ht="13.2" x14ac:dyDescent="0.25">
      <c r="A2047" s="3" t="s">
        <v>5</v>
      </c>
      <c r="E2047" s="1" t="s">
        <v>381</v>
      </c>
    </row>
    <row r="2048" spans="1:16" ht="13.2" x14ac:dyDescent="0.25">
      <c r="A2048" s="3" t="s">
        <v>3</v>
      </c>
      <c r="E2048" s="2" t="s">
        <v>2</v>
      </c>
    </row>
    <row r="2049" spans="1:16" ht="52.8" x14ac:dyDescent="0.25">
      <c r="A2049" t="s">
        <v>1</v>
      </c>
      <c r="E2049" s="1" t="s">
        <v>0</v>
      </c>
    </row>
    <row r="2050" spans="1:16" ht="13.2" x14ac:dyDescent="0.25">
      <c r="A2050" t="s">
        <v>11</v>
      </c>
      <c r="B2050" s="9" t="s">
        <v>204</v>
      </c>
      <c r="C2050" s="9" t="s">
        <v>388</v>
      </c>
      <c r="D2050" s="3" t="s">
        <v>2</v>
      </c>
      <c r="E2050" s="8" t="s">
        <v>387</v>
      </c>
      <c r="F2050" s="4" t="s">
        <v>8</v>
      </c>
      <c r="G2050" s="7">
        <v>10</v>
      </c>
      <c r="H2050" s="4">
        <v>0</v>
      </c>
      <c r="I2050" s="4">
        <f>ROUND(G2050*H2050,6)</f>
        <v>0</v>
      </c>
      <c r="L2050" s="6">
        <v>0</v>
      </c>
      <c r="M2050" s="5">
        <f>ROUND(ROUND(L2050,2)*ROUND(G2050,3),2)</f>
        <v>0</v>
      </c>
      <c r="N2050" s="4" t="s">
        <v>55</v>
      </c>
      <c r="O2050">
        <f>(M2050*21)/100</f>
        <v>0</v>
      </c>
      <c r="P2050" t="s">
        <v>6</v>
      </c>
    </row>
    <row r="2051" spans="1:16" ht="13.2" x14ac:dyDescent="0.25">
      <c r="A2051" s="3" t="s">
        <v>5</v>
      </c>
      <c r="E2051" s="1" t="s">
        <v>387</v>
      </c>
    </row>
    <row r="2052" spans="1:16" ht="13.2" x14ac:dyDescent="0.25">
      <c r="A2052" s="3" t="s">
        <v>3</v>
      </c>
      <c r="E2052" s="2" t="s">
        <v>2</v>
      </c>
    </row>
    <row r="2053" spans="1:16" ht="52.8" x14ac:dyDescent="0.25">
      <c r="A2053" t="s">
        <v>1</v>
      </c>
      <c r="E2053" s="1" t="s">
        <v>0</v>
      </c>
    </row>
    <row r="2054" spans="1:16" ht="13.2" x14ac:dyDescent="0.25">
      <c r="A2054" t="s">
        <v>11</v>
      </c>
      <c r="B2054" s="9" t="s">
        <v>201</v>
      </c>
      <c r="C2054" s="9" t="s">
        <v>386</v>
      </c>
      <c r="D2054" s="3" t="s">
        <v>2</v>
      </c>
      <c r="E2054" s="8" t="s">
        <v>385</v>
      </c>
      <c r="F2054" s="4" t="s">
        <v>8</v>
      </c>
      <c r="G2054" s="7">
        <v>15</v>
      </c>
      <c r="H2054" s="4">
        <v>0</v>
      </c>
      <c r="I2054" s="4">
        <f>ROUND(G2054*H2054,6)</f>
        <v>0</v>
      </c>
      <c r="L2054" s="6">
        <v>0</v>
      </c>
      <c r="M2054" s="5">
        <f>ROUND(ROUND(L2054,2)*ROUND(G2054,3),2)</f>
        <v>0</v>
      </c>
      <c r="N2054" s="4" t="s">
        <v>55</v>
      </c>
      <c r="O2054">
        <f>(M2054*21)/100</f>
        <v>0</v>
      </c>
      <c r="P2054" t="s">
        <v>6</v>
      </c>
    </row>
    <row r="2055" spans="1:16" ht="13.2" x14ac:dyDescent="0.25">
      <c r="A2055" s="3" t="s">
        <v>5</v>
      </c>
      <c r="E2055" s="1" t="s">
        <v>385</v>
      </c>
    </row>
    <row r="2056" spans="1:16" ht="13.2" x14ac:dyDescent="0.25">
      <c r="A2056" s="3" t="s">
        <v>3</v>
      </c>
      <c r="E2056" s="2" t="s">
        <v>2</v>
      </c>
    </row>
    <row r="2057" spans="1:16" ht="52.8" x14ac:dyDescent="0.25">
      <c r="A2057" t="s">
        <v>1</v>
      </c>
      <c r="E2057" s="1" t="s">
        <v>0</v>
      </c>
    </row>
    <row r="2058" spans="1:16" ht="13.2" x14ac:dyDescent="0.25">
      <c r="A2058" t="s">
        <v>11</v>
      </c>
      <c r="B2058" s="9" t="s">
        <v>198</v>
      </c>
      <c r="C2058" s="9" t="s">
        <v>384</v>
      </c>
      <c r="D2058" s="3" t="s">
        <v>2</v>
      </c>
      <c r="E2058" s="8" t="s">
        <v>383</v>
      </c>
      <c r="F2058" s="4" t="s">
        <v>8</v>
      </c>
      <c r="G2058" s="7">
        <v>5</v>
      </c>
      <c r="H2058" s="4">
        <v>0</v>
      </c>
      <c r="I2058" s="4">
        <f>ROUND(G2058*H2058,6)</f>
        <v>0</v>
      </c>
      <c r="L2058" s="6">
        <v>0</v>
      </c>
      <c r="M2058" s="5">
        <f>ROUND(ROUND(L2058,2)*ROUND(G2058,3),2)</f>
        <v>0</v>
      </c>
      <c r="N2058" s="4" t="s">
        <v>55</v>
      </c>
      <c r="O2058">
        <f>(M2058*21)/100</f>
        <v>0</v>
      </c>
      <c r="P2058" t="s">
        <v>6</v>
      </c>
    </row>
    <row r="2059" spans="1:16" ht="13.2" x14ac:dyDescent="0.25">
      <c r="A2059" s="3" t="s">
        <v>5</v>
      </c>
      <c r="E2059" s="1" t="s">
        <v>383</v>
      </c>
    </row>
    <row r="2060" spans="1:16" ht="13.2" x14ac:dyDescent="0.25">
      <c r="A2060" s="3" t="s">
        <v>3</v>
      </c>
      <c r="E2060" s="2" t="s">
        <v>2</v>
      </c>
    </row>
    <row r="2061" spans="1:16" ht="52.8" x14ac:dyDescent="0.25">
      <c r="A2061" t="s">
        <v>1</v>
      </c>
      <c r="E2061" s="1" t="s">
        <v>0</v>
      </c>
    </row>
    <row r="2062" spans="1:16" ht="13.2" x14ac:dyDescent="0.25">
      <c r="A2062" t="s">
        <v>11</v>
      </c>
      <c r="B2062" s="9" t="s">
        <v>195</v>
      </c>
      <c r="C2062" s="9" t="s">
        <v>382</v>
      </c>
      <c r="D2062" s="3" t="s">
        <v>2</v>
      </c>
      <c r="E2062" s="8" t="s">
        <v>381</v>
      </c>
      <c r="F2062" s="4" t="s">
        <v>8</v>
      </c>
      <c r="G2062" s="7">
        <v>30</v>
      </c>
      <c r="H2062" s="4">
        <v>0</v>
      </c>
      <c r="I2062" s="4">
        <f>ROUND(G2062*H2062,6)</f>
        <v>0</v>
      </c>
      <c r="L2062" s="6">
        <v>0</v>
      </c>
      <c r="M2062" s="5">
        <f>ROUND(ROUND(L2062,2)*ROUND(G2062,3),2)</f>
        <v>0</v>
      </c>
      <c r="N2062" s="4" t="s">
        <v>55</v>
      </c>
      <c r="O2062">
        <f>(M2062*21)/100</f>
        <v>0</v>
      </c>
      <c r="P2062" t="s">
        <v>6</v>
      </c>
    </row>
    <row r="2063" spans="1:16" ht="13.2" x14ac:dyDescent="0.25">
      <c r="A2063" s="3" t="s">
        <v>5</v>
      </c>
      <c r="E2063" s="1" t="s">
        <v>381</v>
      </c>
    </row>
    <row r="2064" spans="1:16" ht="13.2" x14ac:dyDescent="0.25">
      <c r="A2064" s="3" t="s">
        <v>3</v>
      </c>
      <c r="E2064" s="2" t="s">
        <v>2</v>
      </c>
    </row>
    <row r="2065" spans="1:16" ht="52.8" x14ac:dyDescent="0.25">
      <c r="A2065" t="s">
        <v>1</v>
      </c>
      <c r="E2065" s="1" t="s">
        <v>0</v>
      </c>
    </row>
    <row r="2066" spans="1:16" ht="39.6" x14ac:dyDescent="0.25">
      <c r="A2066" t="s">
        <v>11</v>
      </c>
      <c r="B2066" s="9" t="s">
        <v>192</v>
      </c>
      <c r="C2066" s="9" t="s">
        <v>380</v>
      </c>
      <c r="D2066" s="3" t="s">
        <v>2</v>
      </c>
      <c r="E2066" s="8" t="s">
        <v>379</v>
      </c>
      <c r="F2066" s="4" t="s">
        <v>370</v>
      </c>
      <c r="G2066" s="7">
        <v>130</v>
      </c>
      <c r="H2066" s="4">
        <v>0</v>
      </c>
      <c r="I2066" s="4">
        <f>ROUND(G2066*H2066,6)</f>
        <v>0</v>
      </c>
      <c r="L2066" s="6">
        <v>0</v>
      </c>
      <c r="M2066" s="5">
        <f>ROUND(ROUND(L2066,2)*ROUND(G2066,3),2)</f>
        <v>0</v>
      </c>
      <c r="N2066" s="4" t="s">
        <v>55</v>
      </c>
      <c r="O2066">
        <f>(M2066*21)/100</f>
        <v>0</v>
      </c>
      <c r="P2066" t="s">
        <v>6</v>
      </c>
    </row>
    <row r="2067" spans="1:16" ht="39.6" x14ac:dyDescent="0.25">
      <c r="A2067" s="3" t="s">
        <v>5</v>
      </c>
      <c r="E2067" s="1" t="s">
        <v>378</v>
      </c>
    </row>
    <row r="2068" spans="1:16" ht="13.2" x14ac:dyDescent="0.25">
      <c r="A2068" s="3" t="s">
        <v>3</v>
      </c>
      <c r="E2068" s="2" t="s">
        <v>2</v>
      </c>
    </row>
    <row r="2069" spans="1:16" ht="52.8" x14ac:dyDescent="0.25">
      <c r="A2069" t="s">
        <v>1</v>
      </c>
      <c r="E2069" s="1" t="s">
        <v>0</v>
      </c>
    </row>
    <row r="2070" spans="1:16" ht="26.4" x14ac:dyDescent="0.25">
      <c r="A2070" t="s">
        <v>11</v>
      </c>
      <c r="B2070" s="9" t="s">
        <v>189</v>
      </c>
      <c r="C2070" s="9" t="s">
        <v>377</v>
      </c>
      <c r="D2070" s="3" t="s">
        <v>2</v>
      </c>
      <c r="E2070" s="8" t="s">
        <v>376</v>
      </c>
      <c r="F2070" s="4" t="s">
        <v>370</v>
      </c>
      <c r="G2070" s="7">
        <v>15</v>
      </c>
      <c r="H2070" s="4">
        <v>0</v>
      </c>
      <c r="I2070" s="4">
        <f>ROUND(G2070*H2070,6)</f>
        <v>0</v>
      </c>
      <c r="L2070" s="6">
        <v>0</v>
      </c>
      <c r="M2070" s="5">
        <f>ROUND(ROUND(L2070,2)*ROUND(G2070,3),2)</f>
        <v>0</v>
      </c>
      <c r="N2070" s="4" t="s">
        <v>55</v>
      </c>
      <c r="O2070">
        <f>(M2070*21)/100</f>
        <v>0</v>
      </c>
      <c r="P2070" t="s">
        <v>6</v>
      </c>
    </row>
    <row r="2071" spans="1:16" ht="26.4" x14ac:dyDescent="0.25">
      <c r="A2071" s="3" t="s">
        <v>5</v>
      </c>
      <c r="E2071" s="1" t="s">
        <v>376</v>
      </c>
    </row>
    <row r="2072" spans="1:16" ht="13.2" x14ac:dyDescent="0.25">
      <c r="A2072" s="3" t="s">
        <v>3</v>
      </c>
      <c r="E2072" s="2" t="s">
        <v>2</v>
      </c>
    </row>
    <row r="2073" spans="1:16" ht="52.8" x14ac:dyDescent="0.25">
      <c r="A2073" t="s">
        <v>1</v>
      </c>
      <c r="E2073" s="1" t="s">
        <v>0</v>
      </c>
    </row>
    <row r="2074" spans="1:16" ht="26.4" x14ac:dyDescent="0.25">
      <c r="A2074" t="s">
        <v>11</v>
      </c>
      <c r="B2074" s="9" t="s">
        <v>186</v>
      </c>
      <c r="C2074" s="9" t="s">
        <v>375</v>
      </c>
      <c r="D2074" s="3" t="s">
        <v>2</v>
      </c>
      <c r="E2074" s="8" t="s">
        <v>374</v>
      </c>
      <c r="F2074" s="4" t="s">
        <v>370</v>
      </c>
      <c r="G2074" s="7">
        <v>150</v>
      </c>
      <c r="H2074" s="4">
        <v>0</v>
      </c>
      <c r="I2074" s="4">
        <f>ROUND(G2074*H2074,6)</f>
        <v>0</v>
      </c>
      <c r="L2074" s="6">
        <v>0</v>
      </c>
      <c r="M2074" s="5">
        <f>ROUND(ROUND(L2074,2)*ROUND(G2074,3),2)</f>
        <v>0</v>
      </c>
      <c r="N2074" s="4" t="s">
        <v>55</v>
      </c>
      <c r="O2074">
        <f>(M2074*21)/100</f>
        <v>0</v>
      </c>
      <c r="P2074" t="s">
        <v>6</v>
      </c>
    </row>
    <row r="2075" spans="1:16" ht="26.4" x14ac:dyDescent="0.25">
      <c r="A2075" s="3" t="s">
        <v>5</v>
      </c>
      <c r="E2075" s="1" t="s">
        <v>374</v>
      </c>
    </row>
    <row r="2076" spans="1:16" ht="13.2" x14ac:dyDescent="0.25">
      <c r="A2076" s="3" t="s">
        <v>3</v>
      </c>
      <c r="E2076" s="2" t="s">
        <v>2</v>
      </c>
    </row>
    <row r="2077" spans="1:16" ht="52.8" x14ac:dyDescent="0.25">
      <c r="A2077" t="s">
        <v>1</v>
      </c>
      <c r="E2077" s="1" t="s">
        <v>0</v>
      </c>
    </row>
    <row r="2078" spans="1:16" ht="26.4" x14ac:dyDescent="0.25">
      <c r="A2078" t="s">
        <v>11</v>
      </c>
      <c r="B2078" s="9" t="s">
        <v>183</v>
      </c>
      <c r="C2078" s="9" t="s">
        <v>373</v>
      </c>
      <c r="D2078" s="3" t="s">
        <v>2</v>
      </c>
      <c r="E2078" s="8" t="s">
        <v>372</v>
      </c>
      <c r="F2078" s="4" t="s">
        <v>370</v>
      </c>
      <c r="G2078" s="7">
        <v>4</v>
      </c>
      <c r="H2078" s="4">
        <v>0</v>
      </c>
      <c r="I2078" s="4">
        <f>ROUND(G2078*H2078,6)</f>
        <v>0</v>
      </c>
      <c r="L2078" s="6">
        <v>0</v>
      </c>
      <c r="M2078" s="5">
        <f>ROUND(ROUND(L2078,2)*ROUND(G2078,3),2)</f>
        <v>0</v>
      </c>
      <c r="N2078" s="4" t="s">
        <v>55</v>
      </c>
      <c r="O2078">
        <f>(M2078*21)/100</f>
        <v>0</v>
      </c>
      <c r="P2078" t="s">
        <v>6</v>
      </c>
    </row>
    <row r="2079" spans="1:16" ht="26.4" x14ac:dyDescent="0.25">
      <c r="A2079" s="3" t="s">
        <v>5</v>
      </c>
      <c r="E2079" s="1" t="s">
        <v>372</v>
      </c>
    </row>
    <row r="2080" spans="1:16" ht="13.2" x14ac:dyDescent="0.25">
      <c r="A2080" s="3" t="s">
        <v>3</v>
      </c>
      <c r="E2080" s="2" t="s">
        <v>2</v>
      </c>
    </row>
    <row r="2081" spans="1:16" ht="52.8" x14ac:dyDescent="0.25">
      <c r="A2081" t="s">
        <v>1</v>
      </c>
      <c r="E2081" s="1" t="s">
        <v>0</v>
      </c>
    </row>
    <row r="2082" spans="1:16" ht="13.2" x14ac:dyDescent="0.25">
      <c r="A2082" t="s">
        <v>11</v>
      </c>
      <c r="B2082" s="9" t="s">
        <v>180</v>
      </c>
      <c r="C2082" s="9" t="s">
        <v>371</v>
      </c>
      <c r="D2082" s="3" t="s">
        <v>2</v>
      </c>
      <c r="E2082" s="8" t="s">
        <v>369</v>
      </c>
      <c r="F2082" s="4" t="s">
        <v>370</v>
      </c>
      <c r="G2082" s="7">
        <v>25</v>
      </c>
      <c r="H2082" s="4">
        <v>0</v>
      </c>
      <c r="I2082" s="4">
        <f>ROUND(G2082*H2082,6)</f>
        <v>0</v>
      </c>
      <c r="L2082" s="6">
        <v>0</v>
      </c>
      <c r="M2082" s="5">
        <f>ROUND(ROUND(L2082,2)*ROUND(G2082,3),2)</f>
        <v>0</v>
      </c>
      <c r="N2082" s="4" t="s">
        <v>55</v>
      </c>
      <c r="O2082">
        <f>(M2082*21)/100</f>
        <v>0</v>
      </c>
      <c r="P2082" t="s">
        <v>6</v>
      </c>
    </row>
    <row r="2083" spans="1:16" ht="13.2" x14ac:dyDescent="0.25">
      <c r="A2083" s="3" t="s">
        <v>5</v>
      </c>
      <c r="E2083" s="1" t="s">
        <v>369</v>
      </c>
    </row>
    <row r="2084" spans="1:16" ht="13.2" x14ac:dyDescent="0.25">
      <c r="A2084" s="3" t="s">
        <v>3</v>
      </c>
      <c r="E2084" s="2" t="s">
        <v>2</v>
      </c>
    </row>
    <row r="2085" spans="1:16" ht="52.8" x14ac:dyDescent="0.25">
      <c r="A2085" t="s">
        <v>1</v>
      </c>
      <c r="E2085" s="1" t="s">
        <v>0</v>
      </c>
    </row>
    <row r="2086" spans="1:16" ht="13.2" x14ac:dyDescent="0.25">
      <c r="A2086" t="s">
        <v>11</v>
      </c>
      <c r="B2086" s="9" t="s">
        <v>177</v>
      </c>
      <c r="C2086" s="9" t="s">
        <v>368</v>
      </c>
      <c r="D2086" s="3" t="s">
        <v>2</v>
      </c>
      <c r="E2086" s="8" t="s">
        <v>367</v>
      </c>
      <c r="F2086" s="4" t="s">
        <v>41</v>
      </c>
      <c r="G2086" s="7">
        <v>1</v>
      </c>
      <c r="H2086" s="4">
        <v>0</v>
      </c>
      <c r="I2086" s="4">
        <f>ROUND(G2086*H2086,6)</f>
        <v>0</v>
      </c>
      <c r="L2086" s="6">
        <v>0</v>
      </c>
      <c r="M2086" s="5">
        <f>ROUND(ROUND(L2086,2)*ROUND(G2086,3),2)</f>
        <v>0</v>
      </c>
      <c r="N2086" s="4" t="s">
        <v>55</v>
      </c>
      <c r="O2086">
        <f>(M2086*21)/100</f>
        <v>0</v>
      </c>
      <c r="P2086" t="s">
        <v>6</v>
      </c>
    </row>
    <row r="2087" spans="1:16" ht="13.2" x14ac:dyDescent="0.25">
      <c r="A2087" s="3" t="s">
        <v>5</v>
      </c>
      <c r="E2087" s="1" t="s">
        <v>367</v>
      </c>
    </row>
    <row r="2088" spans="1:16" ht="13.2" x14ac:dyDescent="0.25">
      <c r="A2088" s="3" t="s">
        <v>3</v>
      </c>
      <c r="E2088" s="2" t="s">
        <v>2</v>
      </c>
    </row>
    <row r="2089" spans="1:16" ht="52.8" x14ac:dyDescent="0.25">
      <c r="A2089" t="s">
        <v>1</v>
      </c>
      <c r="E2089" s="1" t="s">
        <v>0</v>
      </c>
    </row>
    <row r="2090" spans="1:16" ht="13.2" x14ac:dyDescent="0.25">
      <c r="A2090" t="s">
        <v>11</v>
      </c>
      <c r="B2090" s="9" t="s">
        <v>174</v>
      </c>
      <c r="C2090" s="9" t="s">
        <v>366</v>
      </c>
      <c r="D2090" s="3" t="s">
        <v>2</v>
      </c>
      <c r="E2090" s="8" t="s">
        <v>365</v>
      </c>
      <c r="F2090" s="4" t="s">
        <v>41</v>
      </c>
      <c r="G2090" s="7">
        <v>1</v>
      </c>
      <c r="H2090" s="4">
        <v>0</v>
      </c>
      <c r="I2090" s="4">
        <f>ROUND(G2090*H2090,6)</f>
        <v>0</v>
      </c>
      <c r="L2090" s="6">
        <v>0</v>
      </c>
      <c r="M2090" s="5">
        <f>ROUND(ROUND(L2090,2)*ROUND(G2090,3),2)</f>
        <v>0</v>
      </c>
      <c r="N2090" s="4" t="s">
        <v>55</v>
      </c>
      <c r="O2090">
        <f>(M2090*21)/100</f>
        <v>0</v>
      </c>
      <c r="P2090" t="s">
        <v>6</v>
      </c>
    </row>
    <row r="2091" spans="1:16" ht="13.2" x14ac:dyDescent="0.25">
      <c r="A2091" s="3" t="s">
        <v>5</v>
      </c>
      <c r="E2091" s="1" t="s">
        <v>365</v>
      </c>
    </row>
    <row r="2092" spans="1:16" ht="13.2" x14ac:dyDescent="0.25">
      <c r="A2092" s="3" t="s">
        <v>3</v>
      </c>
      <c r="E2092" s="2" t="s">
        <v>2</v>
      </c>
    </row>
    <row r="2093" spans="1:16" ht="52.8" x14ac:dyDescent="0.25">
      <c r="A2093" t="s">
        <v>1</v>
      </c>
      <c r="E2093" s="1" t="s">
        <v>0</v>
      </c>
    </row>
    <row r="2094" spans="1:16" ht="13.2" x14ac:dyDescent="0.25">
      <c r="A2094" t="s">
        <v>11</v>
      </c>
      <c r="B2094" s="9" t="s">
        <v>171</v>
      </c>
      <c r="C2094" s="9" t="s">
        <v>364</v>
      </c>
      <c r="D2094" s="3" t="s">
        <v>2</v>
      </c>
      <c r="E2094" s="8" t="s">
        <v>363</v>
      </c>
      <c r="F2094" s="4" t="s">
        <v>41</v>
      </c>
      <c r="G2094" s="7">
        <v>1</v>
      </c>
      <c r="H2094" s="4">
        <v>0</v>
      </c>
      <c r="I2094" s="4">
        <f>ROUND(G2094*H2094,6)</f>
        <v>0</v>
      </c>
      <c r="L2094" s="6">
        <v>0</v>
      </c>
      <c r="M2094" s="5">
        <f>ROUND(ROUND(L2094,2)*ROUND(G2094,3),2)</f>
        <v>0</v>
      </c>
      <c r="N2094" s="4" t="s">
        <v>55</v>
      </c>
      <c r="O2094">
        <f>(M2094*21)/100</f>
        <v>0</v>
      </c>
      <c r="P2094" t="s">
        <v>6</v>
      </c>
    </row>
    <row r="2095" spans="1:16" ht="13.2" x14ac:dyDescent="0.25">
      <c r="A2095" s="3" t="s">
        <v>5</v>
      </c>
      <c r="E2095" s="1" t="s">
        <v>363</v>
      </c>
    </row>
    <row r="2096" spans="1:16" ht="13.2" x14ac:dyDescent="0.25">
      <c r="A2096" s="3" t="s">
        <v>3</v>
      </c>
      <c r="E2096" s="2" t="s">
        <v>2</v>
      </c>
    </row>
    <row r="2097" spans="1:16" ht="52.8" x14ac:dyDescent="0.25">
      <c r="A2097" t="s">
        <v>1</v>
      </c>
      <c r="E2097" s="1" t="s">
        <v>0</v>
      </c>
    </row>
    <row r="2098" spans="1:16" ht="13.2" x14ac:dyDescent="0.25">
      <c r="A2098" t="s">
        <v>11</v>
      </c>
      <c r="B2098" s="9" t="s">
        <v>168</v>
      </c>
      <c r="C2098" s="9" t="s">
        <v>362</v>
      </c>
      <c r="D2098" s="3" t="s">
        <v>2</v>
      </c>
      <c r="E2098" s="8" t="s">
        <v>40</v>
      </c>
      <c r="F2098" s="4" t="s">
        <v>41</v>
      </c>
      <c r="G2098" s="7">
        <v>1</v>
      </c>
      <c r="H2098" s="4">
        <v>0</v>
      </c>
      <c r="I2098" s="4">
        <f>ROUND(G2098*H2098,6)</f>
        <v>0</v>
      </c>
      <c r="L2098" s="6">
        <v>0</v>
      </c>
      <c r="M2098" s="5">
        <f>ROUND(ROUND(L2098,2)*ROUND(G2098,3),2)</f>
        <v>0</v>
      </c>
      <c r="N2098" s="4" t="s">
        <v>55</v>
      </c>
      <c r="O2098">
        <f>(M2098*21)/100</f>
        <v>0</v>
      </c>
      <c r="P2098" t="s">
        <v>6</v>
      </c>
    </row>
    <row r="2099" spans="1:16" ht="13.2" x14ac:dyDescent="0.25">
      <c r="A2099" s="3" t="s">
        <v>5</v>
      </c>
      <c r="E2099" s="1" t="s">
        <v>40</v>
      </c>
    </row>
    <row r="2100" spans="1:16" ht="13.2" x14ac:dyDescent="0.25">
      <c r="A2100" s="3" t="s">
        <v>3</v>
      </c>
      <c r="E2100" s="2" t="s">
        <v>2</v>
      </c>
    </row>
    <row r="2101" spans="1:16" ht="52.8" x14ac:dyDescent="0.25">
      <c r="A2101" t="s">
        <v>1</v>
      </c>
      <c r="E2101" s="1" t="s">
        <v>0</v>
      </c>
    </row>
    <row r="2102" spans="1:16" ht="13.2" x14ac:dyDescent="0.25">
      <c r="A2102" t="s">
        <v>11</v>
      </c>
      <c r="B2102" s="9" t="s">
        <v>165</v>
      </c>
      <c r="C2102" s="9" t="s">
        <v>361</v>
      </c>
      <c r="D2102" s="3" t="s">
        <v>2</v>
      </c>
      <c r="E2102" s="8" t="s">
        <v>360</v>
      </c>
      <c r="F2102" s="4" t="s">
        <v>41</v>
      </c>
      <c r="G2102" s="7">
        <v>1</v>
      </c>
      <c r="H2102" s="4">
        <v>0</v>
      </c>
      <c r="I2102" s="4">
        <f>ROUND(G2102*H2102,6)</f>
        <v>0</v>
      </c>
      <c r="L2102" s="6">
        <v>0</v>
      </c>
      <c r="M2102" s="5">
        <f>ROUND(ROUND(L2102,2)*ROUND(G2102,3),2)</f>
        <v>0</v>
      </c>
      <c r="N2102" s="4" t="s">
        <v>55</v>
      </c>
      <c r="O2102">
        <f>(M2102*21)/100</f>
        <v>0</v>
      </c>
      <c r="P2102" t="s">
        <v>6</v>
      </c>
    </row>
    <row r="2103" spans="1:16" ht="13.2" x14ac:dyDescent="0.25">
      <c r="A2103" s="3" t="s">
        <v>5</v>
      </c>
      <c r="E2103" s="1" t="s">
        <v>360</v>
      </c>
    </row>
    <row r="2104" spans="1:16" ht="13.2" x14ac:dyDescent="0.25">
      <c r="A2104" s="3" t="s">
        <v>3</v>
      </c>
      <c r="E2104" s="2" t="s">
        <v>2</v>
      </c>
    </row>
    <row r="2105" spans="1:16" ht="52.8" x14ac:dyDescent="0.25">
      <c r="A2105" t="s">
        <v>1</v>
      </c>
      <c r="E2105" s="1" t="s">
        <v>0</v>
      </c>
    </row>
    <row r="2106" spans="1:16" ht="13.2" x14ac:dyDescent="0.25">
      <c r="A2106" t="s">
        <v>53</v>
      </c>
      <c r="C2106" s="11" t="s">
        <v>359</v>
      </c>
      <c r="E2106" s="10" t="s">
        <v>358</v>
      </c>
      <c r="J2106" s="5">
        <f>0+J2107+J2132+J2157+J2178</f>
        <v>0</v>
      </c>
      <c r="K2106" s="5">
        <f>0+K2107+K2132+K2157+K2178</f>
        <v>0</v>
      </c>
      <c r="L2106" s="5">
        <f>0+L2107+L2132+L2157+L2178</f>
        <v>0</v>
      </c>
      <c r="M2106" s="5">
        <f>0+M2107+M2132+M2157+M2178</f>
        <v>0</v>
      </c>
    </row>
    <row r="2107" spans="1:16" ht="13.2" x14ac:dyDescent="0.25">
      <c r="A2107" t="s">
        <v>50</v>
      </c>
      <c r="C2107" s="11" t="s">
        <v>357</v>
      </c>
      <c r="E2107" s="10" t="s">
        <v>356</v>
      </c>
      <c r="J2107" s="5">
        <f>0</f>
        <v>0</v>
      </c>
      <c r="K2107" s="5">
        <f>0</f>
        <v>0</v>
      </c>
      <c r="L2107" s="5">
        <f>0+L2108+L2112+L2116+L2120+L2124+L2128</f>
        <v>0</v>
      </c>
      <c r="M2107" s="5">
        <f>0+M2108+M2112+M2116+M2120+M2124+M2128</f>
        <v>0</v>
      </c>
    </row>
    <row r="2108" spans="1:16" ht="39.6" x14ac:dyDescent="0.25">
      <c r="A2108" t="s">
        <v>11</v>
      </c>
      <c r="B2108" s="9" t="s">
        <v>48</v>
      </c>
      <c r="C2108" s="9" t="s">
        <v>355</v>
      </c>
      <c r="D2108" s="3" t="s">
        <v>2</v>
      </c>
      <c r="E2108" s="8" t="s">
        <v>347</v>
      </c>
      <c r="F2108" s="4" t="s">
        <v>13</v>
      </c>
      <c r="G2108" s="7">
        <v>1</v>
      </c>
      <c r="H2108" s="4">
        <v>0</v>
      </c>
      <c r="I2108" s="4">
        <f>ROUND(G2108*H2108,6)</f>
        <v>0</v>
      </c>
      <c r="L2108" s="6">
        <v>0</v>
      </c>
      <c r="M2108" s="5">
        <f>ROUND(ROUND(L2108,2)*ROUND(G2108,3),2)</f>
        <v>0</v>
      </c>
      <c r="N2108" s="4" t="s">
        <v>55</v>
      </c>
      <c r="O2108">
        <f>(M2108*21)/100</f>
        <v>0</v>
      </c>
      <c r="P2108" t="s">
        <v>6</v>
      </c>
    </row>
    <row r="2109" spans="1:16" ht="39.6" x14ac:dyDescent="0.25">
      <c r="A2109" s="3" t="s">
        <v>5</v>
      </c>
      <c r="E2109" s="1" t="s">
        <v>346</v>
      </c>
    </row>
    <row r="2110" spans="1:16" ht="13.2" x14ac:dyDescent="0.25">
      <c r="A2110" s="3" t="s">
        <v>3</v>
      </c>
      <c r="E2110" s="2" t="s">
        <v>2</v>
      </c>
    </row>
    <row r="2111" spans="1:16" ht="52.8" x14ac:dyDescent="0.25">
      <c r="A2111" t="s">
        <v>1</v>
      </c>
      <c r="E2111" s="1" t="s">
        <v>0</v>
      </c>
    </row>
    <row r="2112" spans="1:16" ht="26.4" x14ac:dyDescent="0.25">
      <c r="A2112" t="s">
        <v>11</v>
      </c>
      <c r="B2112" s="9" t="s">
        <v>6</v>
      </c>
      <c r="C2112" s="9" t="s">
        <v>354</v>
      </c>
      <c r="D2112" s="3" t="s">
        <v>2</v>
      </c>
      <c r="E2112" s="8" t="s">
        <v>344</v>
      </c>
      <c r="F2112" s="4" t="s">
        <v>13</v>
      </c>
      <c r="G2112" s="7">
        <v>1</v>
      </c>
      <c r="H2112" s="4">
        <v>0</v>
      </c>
      <c r="I2112" s="4">
        <f>ROUND(G2112*H2112,6)</f>
        <v>0</v>
      </c>
      <c r="L2112" s="6">
        <v>0</v>
      </c>
      <c r="M2112" s="5">
        <f>ROUND(ROUND(L2112,2)*ROUND(G2112,3),2)</f>
        <v>0</v>
      </c>
      <c r="N2112" s="4" t="s">
        <v>55</v>
      </c>
      <c r="O2112">
        <f>(M2112*21)/100</f>
        <v>0</v>
      </c>
      <c r="P2112" t="s">
        <v>6</v>
      </c>
    </row>
    <row r="2113" spans="1:16" ht="39.6" x14ac:dyDescent="0.25">
      <c r="A2113" s="3" t="s">
        <v>5</v>
      </c>
      <c r="E2113" s="1" t="s">
        <v>343</v>
      </c>
    </row>
    <row r="2114" spans="1:16" ht="13.2" x14ac:dyDescent="0.25">
      <c r="A2114" s="3" t="s">
        <v>3</v>
      </c>
      <c r="E2114" s="2" t="s">
        <v>2</v>
      </c>
    </row>
    <row r="2115" spans="1:16" ht="52.8" x14ac:dyDescent="0.25">
      <c r="A2115" t="s">
        <v>1</v>
      </c>
      <c r="E2115" s="1" t="s">
        <v>0</v>
      </c>
    </row>
    <row r="2116" spans="1:16" ht="13.2" x14ac:dyDescent="0.25">
      <c r="A2116" t="s">
        <v>11</v>
      </c>
      <c r="B2116" s="9" t="s">
        <v>43</v>
      </c>
      <c r="C2116" s="9" t="s">
        <v>353</v>
      </c>
      <c r="D2116" s="3" t="s">
        <v>2</v>
      </c>
      <c r="E2116" s="8" t="s">
        <v>341</v>
      </c>
      <c r="F2116" s="4" t="s">
        <v>13</v>
      </c>
      <c r="G2116" s="7">
        <v>1</v>
      </c>
      <c r="H2116" s="4">
        <v>0</v>
      </c>
      <c r="I2116" s="4">
        <f>ROUND(G2116*H2116,6)</f>
        <v>0</v>
      </c>
      <c r="L2116" s="6">
        <v>0</v>
      </c>
      <c r="M2116" s="5">
        <f>ROUND(ROUND(L2116,2)*ROUND(G2116,3),2)</f>
        <v>0</v>
      </c>
      <c r="N2116" s="4" t="s">
        <v>55</v>
      </c>
      <c r="O2116">
        <f>(M2116*21)/100</f>
        <v>0</v>
      </c>
      <c r="P2116" t="s">
        <v>6</v>
      </c>
    </row>
    <row r="2117" spans="1:16" ht="13.2" x14ac:dyDescent="0.25">
      <c r="A2117" s="3" t="s">
        <v>5</v>
      </c>
      <c r="E2117" s="1" t="s">
        <v>341</v>
      </c>
    </row>
    <row r="2118" spans="1:16" ht="13.2" x14ac:dyDescent="0.25">
      <c r="A2118" s="3" t="s">
        <v>3</v>
      </c>
      <c r="E2118" s="2" t="s">
        <v>2</v>
      </c>
    </row>
    <row r="2119" spans="1:16" ht="52.8" x14ac:dyDescent="0.25">
      <c r="A2119" t="s">
        <v>1</v>
      </c>
      <c r="E2119" s="1" t="s">
        <v>0</v>
      </c>
    </row>
    <row r="2120" spans="1:16" ht="13.2" x14ac:dyDescent="0.25">
      <c r="A2120" t="s">
        <v>11</v>
      </c>
      <c r="B2120" s="9" t="s">
        <v>39</v>
      </c>
      <c r="C2120" s="9" t="s">
        <v>352</v>
      </c>
      <c r="D2120" s="3" t="s">
        <v>2</v>
      </c>
      <c r="E2120" s="8" t="s">
        <v>328</v>
      </c>
      <c r="F2120" s="4" t="s">
        <v>8</v>
      </c>
      <c r="G2120" s="7">
        <v>25</v>
      </c>
      <c r="H2120" s="4">
        <v>0</v>
      </c>
      <c r="I2120" s="4">
        <f>ROUND(G2120*H2120,6)</f>
        <v>0</v>
      </c>
      <c r="L2120" s="6">
        <v>0</v>
      </c>
      <c r="M2120" s="5">
        <f>ROUND(ROUND(L2120,2)*ROUND(G2120,3),2)</f>
        <v>0</v>
      </c>
      <c r="N2120" s="4" t="s">
        <v>55</v>
      </c>
      <c r="O2120">
        <f>(M2120*21)/100</f>
        <v>0</v>
      </c>
      <c r="P2120" t="s">
        <v>6</v>
      </c>
    </row>
    <row r="2121" spans="1:16" ht="13.2" x14ac:dyDescent="0.25">
      <c r="A2121" s="3" t="s">
        <v>5</v>
      </c>
      <c r="E2121" s="1" t="s">
        <v>328</v>
      </c>
    </row>
    <row r="2122" spans="1:16" ht="13.2" x14ac:dyDescent="0.25">
      <c r="A2122" s="3" t="s">
        <v>3</v>
      </c>
      <c r="E2122" s="2" t="s">
        <v>2</v>
      </c>
    </row>
    <row r="2123" spans="1:16" ht="52.8" x14ac:dyDescent="0.25">
      <c r="A2123" t="s">
        <v>1</v>
      </c>
      <c r="E2123" s="1" t="s">
        <v>0</v>
      </c>
    </row>
    <row r="2124" spans="1:16" ht="13.2" x14ac:dyDescent="0.25">
      <c r="A2124" t="s">
        <v>11</v>
      </c>
      <c r="B2124" s="9" t="s">
        <v>36</v>
      </c>
      <c r="C2124" s="9" t="s">
        <v>351</v>
      </c>
      <c r="D2124" s="3" t="s">
        <v>2</v>
      </c>
      <c r="E2124" s="8" t="s">
        <v>338</v>
      </c>
      <c r="F2124" s="4" t="s">
        <v>8</v>
      </c>
      <c r="G2124" s="7">
        <v>25</v>
      </c>
      <c r="H2124" s="4">
        <v>0</v>
      </c>
      <c r="I2124" s="4">
        <f>ROUND(G2124*H2124,6)</f>
        <v>0</v>
      </c>
      <c r="L2124" s="6">
        <v>0</v>
      </c>
      <c r="M2124" s="5">
        <f>ROUND(ROUND(L2124,2)*ROUND(G2124,3),2)</f>
        <v>0</v>
      </c>
      <c r="N2124" s="4" t="s">
        <v>55</v>
      </c>
      <c r="O2124">
        <f>(M2124*21)/100</f>
        <v>0</v>
      </c>
      <c r="P2124" t="s">
        <v>6</v>
      </c>
    </row>
    <row r="2125" spans="1:16" ht="13.2" x14ac:dyDescent="0.25">
      <c r="A2125" s="3" t="s">
        <v>5</v>
      </c>
      <c r="E2125" s="1" t="s">
        <v>338</v>
      </c>
    </row>
    <row r="2126" spans="1:16" ht="13.2" x14ac:dyDescent="0.25">
      <c r="A2126" s="3" t="s">
        <v>3</v>
      </c>
      <c r="E2126" s="2" t="s">
        <v>2</v>
      </c>
    </row>
    <row r="2127" spans="1:16" ht="52.8" x14ac:dyDescent="0.25">
      <c r="A2127" t="s">
        <v>1</v>
      </c>
      <c r="E2127" s="1" t="s">
        <v>0</v>
      </c>
    </row>
    <row r="2128" spans="1:16" ht="13.2" x14ac:dyDescent="0.25">
      <c r="A2128" t="s">
        <v>11</v>
      </c>
      <c r="B2128" s="9" t="s">
        <v>33</v>
      </c>
      <c r="C2128" s="9" t="s">
        <v>350</v>
      </c>
      <c r="D2128" s="3" t="s">
        <v>2</v>
      </c>
      <c r="E2128" s="8" t="s">
        <v>324</v>
      </c>
      <c r="F2128" s="4" t="s">
        <v>8</v>
      </c>
      <c r="G2128" s="7">
        <v>26</v>
      </c>
      <c r="H2128" s="4">
        <v>0</v>
      </c>
      <c r="I2128" s="4">
        <f>ROUND(G2128*H2128,6)</f>
        <v>0</v>
      </c>
      <c r="L2128" s="6">
        <v>0</v>
      </c>
      <c r="M2128" s="5">
        <f>ROUND(ROUND(L2128,2)*ROUND(G2128,3),2)</f>
        <v>0</v>
      </c>
      <c r="N2128" s="4" t="s">
        <v>55</v>
      </c>
      <c r="O2128">
        <f>(M2128*21)/100</f>
        <v>0</v>
      </c>
      <c r="P2128" t="s">
        <v>6</v>
      </c>
    </row>
    <row r="2129" spans="1:16" ht="13.2" x14ac:dyDescent="0.25">
      <c r="A2129" s="3" t="s">
        <v>5</v>
      </c>
      <c r="E2129" s="1" t="s">
        <v>324</v>
      </c>
    </row>
    <row r="2130" spans="1:16" ht="13.2" x14ac:dyDescent="0.25">
      <c r="A2130" s="3" t="s">
        <v>3</v>
      </c>
      <c r="E2130" s="2" t="s">
        <v>2</v>
      </c>
    </row>
    <row r="2131" spans="1:16" ht="52.8" x14ac:dyDescent="0.25">
      <c r="A2131" t="s">
        <v>1</v>
      </c>
      <c r="E2131" s="1" t="s">
        <v>0</v>
      </c>
    </row>
    <row r="2132" spans="1:16" ht="13.2" x14ac:dyDescent="0.25">
      <c r="A2132" t="s">
        <v>50</v>
      </c>
      <c r="C2132" s="11" t="s">
        <v>298</v>
      </c>
      <c r="E2132" s="10" t="s">
        <v>349</v>
      </c>
      <c r="J2132" s="5">
        <f>0</f>
        <v>0</v>
      </c>
      <c r="K2132" s="5">
        <f>0</f>
        <v>0</v>
      </c>
      <c r="L2132" s="5">
        <f>0+L2133+L2137+L2141+L2145+L2149+L2153</f>
        <v>0</v>
      </c>
      <c r="M2132" s="5">
        <f>0+M2133+M2137+M2141+M2145+M2149+M2153</f>
        <v>0</v>
      </c>
    </row>
    <row r="2133" spans="1:16" ht="39.6" x14ac:dyDescent="0.25">
      <c r="A2133" t="s">
        <v>11</v>
      </c>
      <c r="B2133" s="9" t="s">
        <v>30</v>
      </c>
      <c r="C2133" s="9" t="s">
        <v>348</v>
      </c>
      <c r="D2133" s="3" t="s">
        <v>2</v>
      </c>
      <c r="E2133" s="8" t="s">
        <v>347</v>
      </c>
      <c r="F2133" s="4" t="s">
        <v>13</v>
      </c>
      <c r="G2133" s="7">
        <v>1</v>
      </c>
      <c r="H2133" s="4">
        <v>0</v>
      </c>
      <c r="I2133" s="4">
        <f>ROUND(G2133*H2133,6)</f>
        <v>0</v>
      </c>
      <c r="L2133" s="6">
        <v>0</v>
      </c>
      <c r="M2133" s="5">
        <f>ROUND(ROUND(L2133,2)*ROUND(G2133,3),2)</f>
        <v>0</v>
      </c>
      <c r="N2133" s="4" t="s">
        <v>55</v>
      </c>
      <c r="O2133">
        <f>(M2133*21)/100</f>
        <v>0</v>
      </c>
      <c r="P2133" t="s">
        <v>6</v>
      </c>
    </row>
    <row r="2134" spans="1:16" ht="39.6" x14ac:dyDescent="0.25">
      <c r="A2134" s="3" t="s">
        <v>5</v>
      </c>
      <c r="E2134" s="1" t="s">
        <v>346</v>
      </c>
    </row>
    <row r="2135" spans="1:16" ht="13.2" x14ac:dyDescent="0.25">
      <c r="A2135" s="3" t="s">
        <v>3</v>
      </c>
      <c r="E2135" s="2" t="s">
        <v>2</v>
      </c>
    </row>
    <row r="2136" spans="1:16" ht="52.8" x14ac:dyDescent="0.25">
      <c r="A2136" t="s">
        <v>1</v>
      </c>
      <c r="E2136" s="1" t="s">
        <v>0</v>
      </c>
    </row>
    <row r="2137" spans="1:16" ht="26.4" x14ac:dyDescent="0.25">
      <c r="A2137" t="s">
        <v>11</v>
      </c>
      <c r="B2137" s="9" t="s">
        <v>27</v>
      </c>
      <c r="C2137" s="9" t="s">
        <v>345</v>
      </c>
      <c r="D2137" s="3" t="s">
        <v>2</v>
      </c>
      <c r="E2137" s="8" t="s">
        <v>344</v>
      </c>
      <c r="F2137" s="4" t="s">
        <v>13</v>
      </c>
      <c r="G2137" s="7">
        <v>1</v>
      </c>
      <c r="H2137" s="4">
        <v>0</v>
      </c>
      <c r="I2137" s="4">
        <f>ROUND(G2137*H2137,6)</f>
        <v>0</v>
      </c>
      <c r="L2137" s="6">
        <v>0</v>
      </c>
      <c r="M2137" s="5">
        <f>ROUND(ROUND(L2137,2)*ROUND(G2137,3),2)</f>
        <v>0</v>
      </c>
      <c r="N2137" s="4" t="s">
        <v>55</v>
      </c>
      <c r="O2137">
        <f>(M2137*21)/100</f>
        <v>0</v>
      </c>
      <c r="P2137" t="s">
        <v>6</v>
      </c>
    </row>
    <row r="2138" spans="1:16" ht="39.6" x14ac:dyDescent="0.25">
      <c r="A2138" s="3" t="s">
        <v>5</v>
      </c>
      <c r="E2138" s="1" t="s">
        <v>343</v>
      </c>
    </row>
    <row r="2139" spans="1:16" ht="13.2" x14ac:dyDescent="0.25">
      <c r="A2139" s="3" t="s">
        <v>3</v>
      </c>
      <c r="E2139" s="2" t="s">
        <v>2</v>
      </c>
    </row>
    <row r="2140" spans="1:16" ht="52.8" x14ac:dyDescent="0.25">
      <c r="A2140" t="s">
        <v>1</v>
      </c>
      <c r="E2140" s="1" t="s">
        <v>0</v>
      </c>
    </row>
    <row r="2141" spans="1:16" ht="13.2" x14ac:dyDescent="0.25">
      <c r="A2141" t="s">
        <v>11</v>
      </c>
      <c r="B2141" s="9" t="s">
        <v>24</v>
      </c>
      <c r="C2141" s="9" t="s">
        <v>342</v>
      </c>
      <c r="D2141" s="3" t="s">
        <v>2</v>
      </c>
      <c r="E2141" s="8" t="s">
        <v>341</v>
      </c>
      <c r="F2141" s="4" t="s">
        <v>13</v>
      </c>
      <c r="G2141" s="7">
        <v>1</v>
      </c>
      <c r="H2141" s="4">
        <v>0</v>
      </c>
      <c r="I2141" s="4">
        <f>ROUND(G2141*H2141,6)</f>
        <v>0</v>
      </c>
      <c r="L2141" s="6">
        <v>0</v>
      </c>
      <c r="M2141" s="5">
        <f>ROUND(ROUND(L2141,2)*ROUND(G2141,3),2)</f>
        <v>0</v>
      </c>
      <c r="N2141" s="4" t="s">
        <v>55</v>
      </c>
      <c r="O2141">
        <f>(M2141*21)/100</f>
        <v>0</v>
      </c>
      <c r="P2141" t="s">
        <v>6</v>
      </c>
    </row>
    <row r="2142" spans="1:16" ht="13.2" x14ac:dyDescent="0.25">
      <c r="A2142" s="3" t="s">
        <v>5</v>
      </c>
      <c r="E2142" s="1" t="s">
        <v>341</v>
      </c>
    </row>
    <row r="2143" spans="1:16" ht="13.2" x14ac:dyDescent="0.25">
      <c r="A2143" s="3" t="s">
        <v>3</v>
      </c>
      <c r="E2143" s="2" t="s">
        <v>2</v>
      </c>
    </row>
    <row r="2144" spans="1:16" ht="52.8" x14ac:dyDescent="0.25">
      <c r="A2144" t="s">
        <v>1</v>
      </c>
      <c r="E2144" s="1" t="s">
        <v>0</v>
      </c>
    </row>
    <row r="2145" spans="1:16" ht="13.2" x14ac:dyDescent="0.25">
      <c r="A2145" t="s">
        <v>11</v>
      </c>
      <c r="B2145" s="9" t="s">
        <v>21</v>
      </c>
      <c r="C2145" s="9" t="s">
        <v>340</v>
      </c>
      <c r="D2145" s="3" t="s">
        <v>2</v>
      </c>
      <c r="E2145" s="8" t="s">
        <v>328</v>
      </c>
      <c r="F2145" s="4" t="s">
        <v>8</v>
      </c>
      <c r="G2145" s="7">
        <v>25</v>
      </c>
      <c r="H2145" s="4">
        <v>0</v>
      </c>
      <c r="I2145" s="4">
        <f>ROUND(G2145*H2145,6)</f>
        <v>0</v>
      </c>
      <c r="L2145" s="6">
        <v>0</v>
      </c>
      <c r="M2145" s="5">
        <f>ROUND(ROUND(L2145,2)*ROUND(G2145,3),2)</f>
        <v>0</v>
      </c>
      <c r="N2145" s="4" t="s">
        <v>55</v>
      </c>
      <c r="O2145">
        <f>(M2145*21)/100</f>
        <v>0</v>
      </c>
      <c r="P2145" t="s">
        <v>6</v>
      </c>
    </row>
    <row r="2146" spans="1:16" ht="13.2" x14ac:dyDescent="0.25">
      <c r="A2146" s="3" t="s">
        <v>5</v>
      </c>
      <c r="E2146" s="1" t="s">
        <v>328</v>
      </c>
    </row>
    <row r="2147" spans="1:16" ht="13.2" x14ac:dyDescent="0.25">
      <c r="A2147" s="3" t="s">
        <v>3</v>
      </c>
      <c r="E2147" s="2" t="s">
        <v>2</v>
      </c>
    </row>
    <row r="2148" spans="1:16" ht="52.8" x14ac:dyDescent="0.25">
      <c r="A2148" t="s">
        <v>1</v>
      </c>
      <c r="E2148" s="1" t="s">
        <v>0</v>
      </c>
    </row>
    <row r="2149" spans="1:16" ht="13.2" x14ac:dyDescent="0.25">
      <c r="A2149" t="s">
        <v>11</v>
      </c>
      <c r="B2149" s="9" t="s">
        <v>18</v>
      </c>
      <c r="C2149" s="9" t="s">
        <v>339</v>
      </c>
      <c r="D2149" s="3" t="s">
        <v>2</v>
      </c>
      <c r="E2149" s="8" t="s">
        <v>338</v>
      </c>
      <c r="F2149" s="4" t="s">
        <v>8</v>
      </c>
      <c r="G2149" s="7">
        <v>25</v>
      </c>
      <c r="H2149" s="4">
        <v>0</v>
      </c>
      <c r="I2149" s="4">
        <f>ROUND(G2149*H2149,6)</f>
        <v>0</v>
      </c>
      <c r="L2149" s="6">
        <v>0</v>
      </c>
      <c r="M2149" s="5">
        <f>ROUND(ROUND(L2149,2)*ROUND(G2149,3),2)</f>
        <v>0</v>
      </c>
      <c r="N2149" s="4" t="s">
        <v>55</v>
      </c>
      <c r="O2149">
        <f>(M2149*21)/100</f>
        <v>0</v>
      </c>
      <c r="P2149" t="s">
        <v>6</v>
      </c>
    </row>
    <row r="2150" spans="1:16" ht="13.2" x14ac:dyDescent="0.25">
      <c r="A2150" s="3" t="s">
        <v>5</v>
      </c>
      <c r="E2150" s="1" t="s">
        <v>338</v>
      </c>
    </row>
    <row r="2151" spans="1:16" ht="13.2" x14ac:dyDescent="0.25">
      <c r="A2151" s="3" t="s">
        <v>3</v>
      </c>
      <c r="E2151" s="2" t="s">
        <v>2</v>
      </c>
    </row>
    <row r="2152" spans="1:16" ht="52.8" x14ac:dyDescent="0.25">
      <c r="A2152" t="s">
        <v>1</v>
      </c>
      <c r="E2152" s="1" t="s">
        <v>0</v>
      </c>
    </row>
    <row r="2153" spans="1:16" ht="13.2" x14ac:dyDescent="0.25">
      <c r="A2153" t="s">
        <v>11</v>
      </c>
      <c r="B2153" s="9" t="s">
        <v>15</v>
      </c>
      <c r="C2153" s="9" t="s">
        <v>337</v>
      </c>
      <c r="D2153" s="3" t="s">
        <v>2</v>
      </c>
      <c r="E2153" s="8" t="s">
        <v>324</v>
      </c>
      <c r="F2153" s="4" t="s">
        <v>8</v>
      </c>
      <c r="G2153" s="7">
        <v>26</v>
      </c>
      <c r="H2153" s="4">
        <v>0</v>
      </c>
      <c r="I2153" s="4">
        <f>ROUND(G2153*H2153,6)</f>
        <v>0</v>
      </c>
      <c r="L2153" s="6">
        <v>0</v>
      </c>
      <c r="M2153" s="5">
        <f>ROUND(ROUND(L2153,2)*ROUND(G2153,3),2)</f>
        <v>0</v>
      </c>
      <c r="N2153" s="4" t="s">
        <v>55</v>
      </c>
      <c r="O2153">
        <f>(M2153*21)/100</f>
        <v>0</v>
      </c>
      <c r="P2153" t="s">
        <v>6</v>
      </c>
    </row>
    <row r="2154" spans="1:16" ht="13.2" x14ac:dyDescent="0.25">
      <c r="A2154" s="3" t="s">
        <v>5</v>
      </c>
      <c r="E2154" s="1" t="s">
        <v>324</v>
      </c>
    </row>
    <row r="2155" spans="1:16" ht="13.2" x14ac:dyDescent="0.25">
      <c r="A2155" s="3" t="s">
        <v>3</v>
      </c>
      <c r="E2155" s="2" t="s">
        <v>2</v>
      </c>
    </row>
    <row r="2156" spans="1:16" ht="52.8" x14ac:dyDescent="0.25">
      <c r="A2156" t="s">
        <v>1</v>
      </c>
      <c r="E2156" s="1" t="s">
        <v>0</v>
      </c>
    </row>
    <row r="2157" spans="1:16" ht="13.2" x14ac:dyDescent="0.25">
      <c r="A2157" t="s">
        <v>50</v>
      </c>
      <c r="C2157" s="11" t="s">
        <v>257</v>
      </c>
      <c r="E2157" s="10" t="s">
        <v>336</v>
      </c>
      <c r="J2157" s="5">
        <f>0</f>
        <v>0</v>
      </c>
      <c r="K2157" s="5">
        <f>0</f>
        <v>0</v>
      </c>
      <c r="L2157" s="5">
        <f>0+L2158+L2162+L2166+L2170+L2174</f>
        <v>0</v>
      </c>
      <c r="M2157" s="5">
        <f>0+M2158+M2162+M2166+M2170+M2174</f>
        <v>0</v>
      </c>
    </row>
    <row r="2158" spans="1:16" ht="26.4" x14ac:dyDescent="0.25">
      <c r="A2158" t="s">
        <v>11</v>
      </c>
      <c r="B2158" s="9" t="s">
        <v>10</v>
      </c>
      <c r="C2158" s="9" t="s">
        <v>335</v>
      </c>
      <c r="D2158" s="3" t="s">
        <v>2</v>
      </c>
      <c r="E2158" s="8" t="s">
        <v>334</v>
      </c>
      <c r="F2158" s="4" t="s">
        <v>13</v>
      </c>
      <c r="G2158" s="7">
        <v>1</v>
      </c>
      <c r="H2158" s="4">
        <v>0</v>
      </c>
      <c r="I2158" s="4">
        <f>ROUND(G2158*H2158,6)</f>
        <v>0</v>
      </c>
      <c r="L2158" s="6">
        <v>0</v>
      </c>
      <c r="M2158" s="5">
        <f>ROUND(ROUND(L2158,2)*ROUND(G2158,3),2)</f>
        <v>0</v>
      </c>
      <c r="N2158" s="4" t="s">
        <v>55</v>
      </c>
      <c r="O2158">
        <f>(M2158*21)/100</f>
        <v>0</v>
      </c>
      <c r="P2158" t="s">
        <v>6</v>
      </c>
    </row>
    <row r="2159" spans="1:16" ht="39.6" x14ac:dyDescent="0.25">
      <c r="A2159" s="3" t="s">
        <v>5</v>
      </c>
      <c r="E2159" s="1" t="s">
        <v>333</v>
      </c>
    </row>
    <row r="2160" spans="1:16" ht="13.2" x14ac:dyDescent="0.25">
      <c r="A2160" s="3" t="s">
        <v>3</v>
      </c>
      <c r="E2160" s="2" t="s">
        <v>2</v>
      </c>
    </row>
    <row r="2161" spans="1:16" ht="52.8" x14ac:dyDescent="0.25">
      <c r="A2161" t="s">
        <v>1</v>
      </c>
      <c r="E2161" s="1" t="s">
        <v>0</v>
      </c>
    </row>
    <row r="2162" spans="1:16" ht="26.4" x14ac:dyDescent="0.25">
      <c r="A2162" t="s">
        <v>11</v>
      </c>
      <c r="B2162" s="9" t="s">
        <v>280</v>
      </c>
      <c r="C2162" s="9" t="s">
        <v>332</v>
      </c>
      <c r="D2162" s="3" t="s">
        <v>2</v>
      </c>
      <c r="E2162" s="8" t="s">
        <v>331</v>
      </c>
      <c r="F2162" s="4" t="s">
        <v>13</v>
      </c>
      <c r="G2162" s="7">
        <v>3</v>
      </c>
      <c r="H2162" s="4">
        <v>0</v>
      </c>
      <c r="I2162" s="4">
        <f>ROUND(G2162*H2162,6)</f>
        <v>0</v>
      </c>
      <c r="L2162" s="6">
        <v>0</v>
      </c>
      <c r="M2162" s="5">
        <f>ROUND(ROUND(L2162,2)*ROUND(G2162,3),2)</f>
        <v>0</v>
      </c>
      <c r="N2162" s="4" t="s">
        <v>55</v>
      </c>
      <c r="O2162">
        <f>(M2162*21)/100</f>
        <v>0</v>
      </c>
      <c r="P2162" t="s">
        <v>6</v>
      </c>
    </row>
    <row r="2163" spans="1:16" ht="39.6" x14ac:dyDescent="0.25">
      <c r="A2163" s="3" t="s">
        <v>5</v>
      </c>
      <c r="E2163" s="1" t="s">
        <v>330</v>
      </c>
    </row>
    <row r="2164" spans="1:16" ht="13.2" x14ac:dyDescent="0.25">
      <c r="A2164" s="3" t="s">
        <v>3</v>
      </c>
      <c r="E2164" s="2" t="s">
        <v>2</v>
      </c>
    </row>
    <row r="2165" spans="1:16" ht="52.8" x14ac:dyDescent="0.25">
      <c r="A2165" t="s">
        <v>1</v>
      </c>
      <c r="E2165" s="1" t="s">
        <v>0</v>
      </c>
    </row>
    <row r="2166" spans="1:16" ht="13.2" x14ac:dyDescent="0.25">
      <c r="A2166" t="s">
        <v>11</v>
      </c>
      <c r="B2166" s="9" t="s">
        <v>277</v>
      </c>
      <c r="C2166" s="9" t="s">
        <v>329</v>
      </c>
      <c r="D2166" s="3" t="s">
        <v>2</v>
      </c>
      <c r="E2166" s="8" t="s">
        <v>328</v>
      </c>
      <c r="F2166" s="4" t="s">
        <v>8</v>
      </c>
      <c r="G2166" s="7">
        <v>45</v>
      </c>
      <c r="H2166" s="4">
        <v>0</v>
      </c>
      <c r="I2166" s="4">
        <f>ROUND(G2166*H2166,6)</f>
        <v>0</v>
      </c>
      <c r="L2166" s="6">
        <v>0</v>
      </c>
      <c r="M2166" s="5">
        <f>ROUND(ROUND(L2166,2)*ROUND(G2166,3),2)</f>
        <v>0</v>
      </c>
      <c r="N2166" s="4" t="s">
        <v>55</v>
      </c>
      <c r="O2166">
        <f>(M2166*21)/100</f>
        <v>0</v>
      </c>
      <c r="P2166" t="s">
        <v>6</v>
      </c>
    </row>
    <row r="2167" spans="1:16" ht="13.2" x14ac:dyDescent="0.25">
      <c r="A2167" s="3" t="s">
        <v>5</v>
      </c>
      <c r="E2167" s="1" t="s">
        <v>328</v>
      </c>
    </row>
    <row r="2168" spans="1:16" ht="13.2" x14ac:dyDescent="0.25">
      <c r="A2168" s="3" t="s">
        <v>3</v>
      </c>
      <c r="E2168" s="2" t="s">
        <v>2</v>
      </c>
    </row>
    <row r="2169" spans="1:16" ht="52.8" x14ac:dyDescent="0.25">
      <c r="A2169" t="s">
        <v>1</v>
      </c>
      <c r="E2169" s="1" t="s">
        <v>0</v>
      </c>
    </row>
    <row r="2170" spans="1:16" ht="13.2" x14ac:dyDescent="0.25">
      <c r="A2170" t="s">
        <v>11</v>
      </c>
      <c r="B2170" s="9" t="s">
        <v>274</v>
      </c>
      <c r="C2170" s="9" t="s">
        <v>327</v>
      </c>
      <c r="D2170" s="3" t="s">
        <v>2</v>
      </c>
      <c r="E2170" s="8" t="s">
        <v>326</v>
      </c>
      <c r="F2170" s="4" t="s">
        <v>8</v>
      </c>
      <c r="G2170" s="7">
        <v>45</v>
      </c>
      <c r="H2170" s="4">
        <v>0</v>
      </c>
      <c r="I2170" s="4">
        <f>ROUND(G2170*H2170,6)</f>
        <v>0</v>
      </c>
      <c r="L2170" s="6">
        <v>0</v>
      </c>
      <c r="M2170" s="5">
        <f>ROUND(ROUND(L2170,2)*ROUND(G2170,3),2)</f>
        <v>0</v>
      </c>
      <c r="N2170" s="4" t="s">
        <v>55</v>
      </c>
      <c r="O2170">
        <f>(M2170*21)/100</f>
        <v>0</v>
      </c>
      <c r="P2170" t="s">
        <v>6</v>
      </c>
    </row>
    <row r="2171" spans="1:16" ht="13.2" x14ac:dyDescent="0.25">
      <c r="A2171" s="3" t="s">
        <v>5</v>
      </c>
      <c r="E2171" s="1" t="s">
        <v>326</v>
      </c>
    </row>
    <row r="2172" spans="1:16" ht="13.2" x14ac:dyDescent="0.25">
      <c r="A2172" s="3" t="s">
        <v>3</v>
      </c>
      <c r="E2172" s="2" t="s">
        <v>2</v>
      </c>
    </row>
    <row r="2173" spans="1:16" ht="52.8" x14ac:dyDescent="0.25">
      <c r="A2173" t="s">
        <v>1</v>
      </c>
      <c r="E2173" s="1" t="s">
        <v>0</v>
      </c>
    </row>
    <row r="2174" spans="1:16" ht="13.2" x14ac:dyDescent="0.25">
      <c r="A2174" t="s">
        <v>11</v>
      </c>
      <c r="B2174" s="9" t="s">
        <v>271</v>
      </c>
      <c r="C2174" s="9" t="s">
        <v>325</v>
      </c>
      <c r="D2174" s="3" t="s">
        <v>2</v>
      </c>
      <c r="E2174" s="8" t="s">
        <v>324</v>
      </c>
      <c r="F2174" s="4" t="s">
        <v>8</v>
      </c>
      <c r="G2174" s="7">
        <v>48</v>
      </c>
      <c r="H2174" s="4">
        <v>0</v>
      </c>
      <c r="I2174" s="4">
        <f>ROUND(G2174*H2174,6)</f>
        <v>0</v>
      </c>
      <c r="L2174" s="6">
        <v>0</v>
      </c>
      <c r="M2174" s="5">
        <f>ROUND(ROUND(L2174,2)*ROUND(G2174,3),2)</f>
        <v>0</v>
      </c>
      <c r="N2174" s="4" t="s">
        <v>55</v>
      </c>
      <c r="O2174">
        <f>(M2174*21)/100</f>
        <v>0</v>
      </c>
      <c r="P2174" t="s">
        <v>6</v>
      </c>
    </row>
    <row r="2175" spans="1:16" ht="13.2" x14ac:dyDescent="0.25">
      <c r="A2175" s="3" t="s">
        <v>5</v>
      </c>
      <c r="E2175" s="1" t="s">
        <v>324</v>
      </c>
    </row>
    <row r="2176" spans="1:16" ht="13.2" x14ac:dyDescent="0.25">
      <c r="A2176" s="3" t="s">
        <v>3</v>
      </c>
      <c r="E2176" s="2" t="s">
        <v>2</v>
      </c>
    </row>
    <row r="2177" spans="1:16" ht="52.8" x14ac:dyDescent="0.25">
      <c r="A2177" t="s">
        <v>1</v>
      </c>
      <c r="E2177" s="1" t="s">
        <v>0</v>
      </c>
    </row>
    <row r="2178" spans="1:16" ht="13.2" x14ac:dyDescent="0.25">
      <c r="A2178" t="s">
        <v>50</v>
      </c>
      <c r="C2178" s="11" t="s">
        <v>111</v>
      </c>
      <c r="E2178" s="10" t="s">
        <v>323</v>
      </c>
      <c r="J2178" s="5">
        <f>0</f>
        <v>0</v>
      </c>
      <c r="K2178" s="5">
        <f>0</f>
        <v>0</v>
      </c>
      <c r="L2178" s="5">
        <f>0+L2179+L2183+L2187+L2191+L2195</f>
        <v>0</v>
      </c>
      <c r="M2178" s="5">
        <f>0+M2179+M2183+M2187+M2191+M2195</f>
        <v>0</v>
      </c>
    </row>
    <row r="2179" spans="1:16" ht="13.2" x14ac:dyDescent="0.25">
      <c r="A2179" t="s">
        <v>11</v>
      </c>
      <c r="B2179" s="9" t="s">
        <v>268</v>
      </c>
      <c r="C2179" s="9" t="s">
        <v>322</v>
      </c>
      <c r="D2179" s="3" t="s">
        <v>2</v>
      </c>
      <c r="E2179" s="8" t="s">
        <v>321</v>
      </c>
      <c r="F2179" s="4" t="s">
        <v>41</v>
      </c>
      <c r="G2179" s="7">
        <v>1</v>
      </c>
      <c r="H2179" s="4">
        <v>0</v>
      </c>
      <c r="I2179" s="4">
        <f>ROUND(G2179*H2179,6)</f>
        <v>0</v>
      </c>
      <c r="L2179" s="6">
        <v>0</v>
      </c>
      <c r="M2179" s="5">
        <f>ROUND(ROUND(L2179,2)*ROUND(G2179,3),2)</f>
        <v>0</v>
      </c>
      <c r="N2179" s="4" t="s">
        <v>55</v>
      </c>
      <c r="O2179">
        <f>(M2179*21)/100</f>
        <v>0</v>
      </c>
      <c r="P2179" t="s">
        <v>6</v>
      </c>
    </row>
    <row r="2180" spans="1:16" ht="13.2" x14ac:dyDescent="0.25">
      <c r="A2180" s="3" t="s">
        <v>5</v>
      </c>
      <c r="E2180" s="1" t="s">
        <v>321</v>
      </c>
    </row>
    <row r="2181" spans="1:16" ht="13.2" x14ac:dyDescent="0.25">
      <c r="A2181" s="3" t="s">
        <v>3</v>
      </c>
      <c r="E2181" s="2" t="s">
        <v>2</v>
      </c>
    </row>
    <row r="2182" spans="1:16" ht="52.8" x14ac:dyDescent="0.25">
      <c r="A2182" t="s">
        <v>1</v>
      </c>
      <c r="E2182" s="1" t="s">
        <v>0</v>
      </c>
    </row>
    <row r="2183" spans="1:16" ht="13.2" x14ac:dyDescent="0.25">
      <c r="A2183" t="s">
        <v>11</v>
      </c>
      <c r="B2183" s="9" t="s">
        <v>265</v>
      </c>
      <c r="C2183" s="9" t="s">
        <v>320</v>
      </c>
      <c r="D2183" s="3" t="s">
        <v>2</v>
      </c>
      <c r="E2183" s="8" t="s">
        <v>319</v>
      </c>
      <c r="F2183" s="4" t="s">
        <v>41</v>
      </c>
      <c r="G2183" s="7">
        <v>1</v>
      </c>
      <c r="H2183" s="4">
        <v>0</v>
      </c>
      <c r="I2183" s="4">
        <f>ROUND(G2183*H2183,6)</f>
        <v>0</v>
      </c>
      <c r="L2183" s="6">
        <v>0</v>
      </c>
      <c r="M2183" s="5">
        <f>ROUND(ROUND(L2183,2)*ROUND(G2183,3),2)</f>
        <v>0</v>
      </c>
      <c r="N2183" s="4" t="s">
        <v>55</v>
      </c>
      <c r="O2183">
        <f>(M2183*21)/100</f>
        <v>0</v>
      </c>
      <c r="P2183" t="s">
        <v>6</v>
      </c>
    </row>
    <row r="2184" spans="1:16" ht="13.2" x14ac:dyDescent="0.25">
      <c r="A2184" s="3" t="s">
        <v>5</v>
      </c>
      <c r="E2184" s="1" t="s">
        <v>319</v>
      </c>
    </row>
    <row r="2185" spans="1:16" ht="13.2" x14ac:dyDescent="0.25">
      <c r="A2185" s="3" t="s">
        <v>3</v>
      </c>
      <c r="E2185" s="2" t="s">
        <v>2</v>
      </c>
    </row>
    <row r="2186" spans="1:16" ht="52.8" x14ac:dyDescent="0.25">
      <c r="A2186" t="s">
        <v>1</v>
      </c>
      <c r="E2186" s="1" t="s">
        <v>0</v>
      </c>
    </row>
    <row r="2187" spans="1:16" ht="13.2" x14ac:dyDescent="0.25">
      <c r="A2187" t="s">
        <v>11</v>
      </c>
      <c r="B2187" s="9" t="s">
        <v>262</v>
      </c>
      <c r="C2187" s="9" t="s">
        <v>318</v>
      </c>
      <c r="D2187" s="3" t="s">
        <v>2</v>
      </c>
      <c r="E2187" s="8" t="s">
        <v>317</v>
      </c>
      <c r="F2187" s="4" t="s">
        <v>41</v>
      </c>
      <c r="G2187" s="7">
        <v>1</v>
      </c>
      <c r="H2187" s="4">
        <v>0</v>
      </c>
      <c r="I2187" s="4">
        <f>ROUND(G2187*H2187,6)</f>
        <v>0</v>
      </c>
      <c r="L2187" s="6">
        <v>0</v>
      </c>
      <c r="M2187" s="5">
        <f>ROUND(ROUND(L2187,2)*ROUND(G2187,3),2)</f>
        <v>0</v>
      </c>
      <c r="N2187" s="4" t="s">
        <v>55</v>
      </c>
      <c r="O2187">
        <f>(M2187*21)/100</f>
        <v>0</v>
      </c>
      <c r="P2187" t="s">
        <v>6</v>
      </c>
    </row>
    <row r="2188" spans="1:16" ht="13.2" x14ac:dyDescent="0.25">
      <c r="A2188" s="3" t="s">
        <v>5</v>
      </c>
      <c r="E2188" s="1" t="s">
        <v>317</v>
      </c>
    </row>
    <row r="2189" spans="1:16" ht="13.2" x14ac:dyDescent="0.25">
      <c r="A2189" s="3" t="s">
        <v>3</v>
      </c>
      <c r="E2189" s="2" t="s">
        <v>2</v>
      </c>
    </row>
    <row r="2190" spans="1:16" ht="52.8" x14ac:dyDescent="0.25">
      <c r="A2190" t="s">
        <v>1</v>
      </c>
      <c r="E2190" s="1" t="s">
        <v>0</v>
      </c>
    </row>
    <row r="2191" spans="1:16" ht="13.2" x14ac:dyDescent="0.25">
      <c r="A2191" t="s">
        <v>11</v>
      </c>
      <c r="B2191" s="9" t="s">
        <v>259</v>
      </c>
      <c r="C2191" s="9" t="s">
        <v>316</v>
      </c>
      <c r="D2191" s="3" t="s">
        <v>2</v>
      </c>
      <c r="E2191" s="8" t="s">
        <v>315</v>
      </c>
      <c r="F2191" s="4" t="s">
        <v>41</v>
      </c>
      <c r="G2191" s="7">
        <v>1</v>
      </c>
      <c r="H2191" s="4">
        <v>0</v>
      </c>
      <c r="I2191" s="4">
        <f>ROUND(G2191*H2191,6)</f>
        <v>0</v>
      </c>
      <c r="L2191" s="6">
        <v>0</v>
      </c>
      <c r="M2191" s="5">
        <f>ROUND(ROUND(L2191,2)*ROUND(G2191,3),2)</f>
        <v>0</v>
      </c>
      <c r="N2191" s="4" t="s">
        <v>55</v>
      </c>
      <c r="O2191">
        <f>(M2191*21)/100</f>
        <v>0</v>
      </c>
      <c r="P2191" t="s">
        <v>6</v>
      </c>
    </row>
    <row r="2192" spans="1:16" ht="13.2" x14ac:dyDescent="0.25">
      <c r="A2192" s="3" t="s">
        <v>5</v>
      </c>
      <c r="E2192" s="1" t="s">
        <v>315</v>
      </c>
    </row>
    <row r="2193" spans="1:16" ht="13.2" x14ac:dyDescent="0.25">
      <c r="A2193" s="3" t="s">
        <v>3</v>
      </c>
      <c r="E2193" s="2" t="s">
        <v>2</v>
      </c>
    </row>
    <row r="2194" spans="1:16" ht="52.8" x14ac:dyDescent="0.25">
      <c r="A2194" t="s">
        <v>1</v>
      </c>
      <c r="E2194" s="1" t="s">
        <v>0</v>
      </c>
    </row>
    <row r="2195" spans="1:16" ht="13.2" x14ac:dyDescent="0.25">
      <c r="A2195" t="s">
        <v>11</v>
      </c>
      <c r="B2195" s="9" t="s">
        <v>255</v>
      </c>
      <c r="C2195" s="9" t="s">
        <v>314</v>
      </c>
      <c r="D2195" s="3" t="s">
        <v>2</v>
      </c>
      <c r="E2195" s="8" t="s">
        <v>313</v>
      </c>
      <c r="F2195" s="4" t="s">
        <v>41</v>
      </c>
      <c r="G2195" s="7">
        <v>1</v>
      </c>
      <c r="H2195" s="4">
        <v>0</v>
      </c>
      <c r="I2195" s="4">
        <f>ROUND(G2195*H2195,6)</f>
        <v>0</v>
      </c>
      <c r="L2195" s="6">
        <v>0</v>
      </c>
      <c r="M2195" s="5">
        <f>ROUND(ROUND(L2195,2)*ROUND(G2195,3),2)</f>
        <v>0</v>
      </c>
      <c r="N2195" s="4" t="s">
        <v>55</v>
      </c>
      <c r="O2195">
        <f>(M2195*21)/100</f>
        <v>0</v>
      </c>
      <c r="P2195" t="s">
        <v>6</v>
      </c>
    </row>
    <row r="2196" spans="1:16" ht="13.2" x14ac:dyDescent="0.25">
      <c r="A2196" s="3" t="s">
        <v>5</v>
      </c>
      <c r="E2196" s="1" t="s">
        <v>313</v>
      </c>
    </row>
    <row r="2197" spans="1:16" ht="13.2" x14ac:dyDescent="0.25">
      <c r="A2197" s="3" t="s">
        <v>3</v>
      </c>
      <c r="E2197" s="2" t="s">
        <v>2</v>
      </c>
    </row>
    <row r="2198" spans="1:16" ht="52.8" x14ac:dyDescent="0.25">
      <c r="A2198" t="s">
        <v>1</v>
      </c>
      <c r="E2198" s="1" t="s">
        <v>0</v>
      </c>
    </row>
    <row r="2199" spans="1:16" ht="13.2" x14ac:dyDescent="0.25">
      <c r="A2199" t="s">
        <v>53</v>
      </c>
      <c r="C2199" s="11" t="s">
        <v>312</v>
      </c>
      <c r="E2199" s="10" t="s">
        <v>311</v>
      </c>
      <c r="J2199" s="5">
        <f>0+J2200+J2221+J2286+J2479</f>
        <v>0</v>
      </c>
      <c r="K2199" s="5">
        <f>0+K2200+K2221+K2286+K2479</f>
        <v>0</v>
      </c>
      <c r="L2199" s="5">
        <f>0+L2200+L2221+L2286+L2479</f>
        <v>0</v>
      </c>
      <c r="M2199" s="5">
        <f>0+M2200+M2221+M2286+M2479</f>
        <v>0</v>
      </c>
    </row>
    <row r="2200" spans="1:16" ht="13.2" x14ac:dyDescent="0.25">
      <c r="A2200" t="s">
        <v>50</v>
      </c>
      <c r="C2200" s="11" t="s">
        <v>310</v>
      </c>
      <c r="E2200" s="10" t="s">
        <v>309</v>
      </c>
      <c r="J2200" s="5">
        <f>0</f>
        <v>0</v>
      </c>
      <c r="K2200" s="5">
        <f>0</f>
        <v>0</v>
      </c>
      <c r="L2200" s="5">
        <f>0+L2201+L2205+L2209+L2213+L2217</f>
        <v>0</v>
      </c>
      <c r="M2200" s="5">
        <f>0+M2201+M2205+M2209+M2213+M2217</f>
        <v>0</v>
      </c>
    </row>
    <row r="2201" spans="1:16" ht="13.2" x14ac:dyDescent="0.25">
      <c r="A2201" t="s">
        <v>11</v>
      </c>
      <c r="B2201" s="9" t="s">
        <v>48</v>
      </c>
      <c r="C2201" s="9" t="s">
        <v>308</v>
      </c>
      <c r="D2201" s="3" t="s">
        <v>2</v>
      </c>
      <c r="E2201" s="8" t="s">
        <v>307</v>
      </c>
      <c r="F2201" s="4" t="s">
        <v>8</v>
      </c>
      <c r="G2201" s="7">
        <v>100</v>
      </c>
      <c r="H2201" s="4">
        <v>0</v>
      </c>
      <c r="I2201" s="4">
        <f>ROUND(G2201*H2201,6)</f>
        <v>0</v>
      </c>
      <c r="L2201" s="6">
        <v>0</v>
      </c>
      <c r="M2201" s="5">
        <f>ROUND(ROUND(L2201,2)*ROUND(G2201,3),2)</f>
        <v>0</v>
      </c>
      <c r="N2201" s="4" t="s">
        <v>55</v>
      </c>
      <c r="O2201">
        <f>(M2201*21)/100</f>
        <v>0</v>
      </c>
      <c r="P2201" t="s">
        <v>6</v>
      </c>
    </row>
    <row r="2202" spans="1:16" ht="13.2" x14ac:dyDescent="0.25">
      <c r="A2202" s="3" t="s">
        <v>5</v>
      </c>
      <c r="E2202" s="1" t="s">
        <v>307</v>
      </c>
    </row>
    <row r="2203" spans="1:16" ht="13.2" x14ac:dyDescent="0.25">
      <c r="A2203" s="3" t="s">
        <v>3</v>
      </c>
      <c r="E2203" s="2" t="s">
        <v>2</v>
      </c>
    </row>
    <row r="2204" spans="1:16" ht="52.8" x14ac:dyDescent="0.25">
      <c r="A2204" t="s">
        <v>1</v>
      </c>
      <c r="E2204" s="1" t="s">
        <v>0</v>
      </c>
    </row>
    <row r="2205" spans="1:16" ht="13.2" x14ac:dyDescent="0.25">
      <c r="A2205" t="s">
        <v>11</v>
      </c>
      <c r="B2205" s="9" t="s">
        <v>6</v>
      </c>
      <c r="C2205" s="9" t="s">
        <v>306</v>
      </c>
      <c r="D2205" s="3" t="s">
        <v>2</v>
      </c>
      <c r="E2205" s="8" t="s">
        <v>305</v>
      </c>
      <c r="F2205" s="4" t="s">
        <v>8</v>
      </c>
      <c r="G2205" s="7">
        <v>100</v>
      </c>
      <c r="H2205" s="4">
        <v>0</v>
      </c>
      <c r="I2205" s="4">
        <f>ROUND(G2205*H2205,6)</f>
        <v>0</v>
      </c>
      <c r="L2205" s="6">
        <v>0</v>
      </c>
      <c r="M2205" s="5">
        <f>ROUND(ROUND(L2205,2)*ROUND(G2205,3),2)</f>
        <v>0</v>
      </c>
      <c r="N2205" s="4" t="s">
        <v>55</v>
      </c>
      <c r="O2205">
        <f>(M2205*21)/100</f>
        <v>0</v>
      </c>
      <c r="P2205" t="s">
        <v>6</v>
      </c>
    </row>
    <row r="2206" spans="1:16" ht="13.2" x14ac:dyDescent="0.25">
      <c r="A2206" s="3" t="s">
        <v>5</v>
      </c>
      <c r="E2206" s="1" t="s">
        <v>305</v>
      </c>
    </row>
    <row r="2207" spans="1:16" ht="13.2" x14ac:dyDescent="0.25">
      <c r="A2207" s="3" t="s">
        <v>3</v>
      </c>
      <c r="E2207" s="2" t="s">
        <v>2</v>
      </c>
    </row>
    <row r="2208" spans="1:16" ht="52.8" x14ac:dyDescent="0.25">
      <c r="A2208" t="s">
        <v>1</v>
      </c>
      <c r="E2208" s="1" t="s">
        <v>0</v>
      </c>
    </row>
    <row r="2209" spans="1:16" ht="13.2" x14ac:dyDescent="0.25">
      <c r="A2209" t="s">
        <v>11</v>
      </c>
      <c r="B2209" s="9" t="s">
        <v>43</v>
      </c>
      <c r="C2209" s="9" t="s">
        <v>304</v>
      </c>
      <c r="D2209" s="3" t="s">
        <v>2</v>
      </c>
      <c r="E2209" s="8" t="s">
        <v>303</v>
      </c>
      <c r="F2209" s="4" t="s">
        <v>8</v>
      </c>
      <c r="G2209" s="7">
        <v>200</v>
      </c>
      <c r="H2209" s="4">
        <v>0</v>
      </c>
      <c r="I2209" s="4">
        <f>ROUND(G2209*H2209,6)</f>
        <v>0</v>
      </c>
      <c r="L2209" s="6">
        <v>0</v>
      </c>
      <c r="M2209" s="5">
        <f>ROUND(ROUND(L2209,2)*ROUND(G2209,3),2)</f>
        <v>0</v>
      </c>
      <c r="N2209" s="4" t="s">
        <v>55</v>
      </c>
      <c r="O2209">
        <f>(M2209*21)/100</f>
        <v>0</v>
      </c>
      <c r="P2209" t="s">
        <v>6</v>
      </c>
    </row>
    <row r="2210" spans="1:16" ht="13.2" x14ac:dyDescent="0.25">
      <c r="A2210" s="3" t="s">
        <v>5</v>
      </c>
      <c r="E2210" s="1" t="s">
        <v>303</v>
      </c>
    </row>
    <row r="2211" spans="1:16" ht="13.2" x14ac:dyDescent="0.25">
      <c r="A2211" s="3" t="s">
        <v>3</v>
      </c>
      <c r="E2211" s="2" t="s">
        <v>2</v>
      </c>
    </row>
    <row r="2212" spans="1:16" ht="52.8" x14ac:dyDescent="0.25">
      <c r="A2212" t="s">
        <v>1</v>
      </c>
      <c r="E2212" s="1" t="s">
        <v>0</v>
      </c>
    </row>
    <row r="2213" spans="1:16" ht="13.2" x14ac:dyDescent="0.25">
      <c r="A2213" t="s">
        <v>11</v>
      </c>
      <c r="B2213" s="9" t="s">
        <v>39</v>
      </c>
      <c r="C2213" s="9" t="s">
        <v>302</v>
      </c>
      <c r="D2213" s="3" t="s">
        <v>2</v>
      </c>
      <c r="E2213" s="8" t="s">
        <v>301</v>
      </c>
      <c r="F2213" s="4" t="s">
        <v>8</v>
      </c>
      <c r="G2213" s="7">
        <v>200</v>
      </c>
      <c r="H2213" s="4">
        <v>0</v>
      </c>
      <c r="I2213" s="4">
        <f>ROUND(G2213*H2213,6)</f>
        <v>0</v>
      </c>
      <c r="L2213" s="6">
        <v>0</v>
      </c>
      <c r="M2213" s="5">
        <f>ROUND(ROUND(L2213,2)*ROUND(G2213,3),2)</f>
        <v>0</v>
      </c>
      <c r="N2213" s="4" t="s">
        <v>55</v>
      </c>
      <c r="O2213">
        <f>(M2213*21)/100</f>
        <v>0</v>
      </c>
      <c r="P2213" t="s">
        <v>6</v>
      </c>
    </row>
    <row r="2214" spans="1:16" ht="13.2" x14ac:dyDescent="0.25">
      <c r="A2214" s="3" t="s">
        <v>5</v>
      </c>
      <c r="E2214" s="1" t="s">
        <v>301</v>
      </c>
    </row>
    <row r="2215" spans="1:16" ht="13.2" x14ac:dyDescent="0.25">
      <c r="A2215" s="3" t="s">
        <v>3</v>
      </c>
      <c r="E2215" s="2" t="s">
        <v>2</v>
      </c>
    </row>
    <row r="2216" spans="1:16" ht="52.8" x14ac:dyDescent="0.25">
      <c r="A2216" t="s">
        <v>1</v>
      </c>
      <c r="E2216" s="1" t="s">
        <v>0</v>
      </c>
    </row>
    <row r="2217" spans="1:16" ht="13.2" x14ac:dyDescent="0.25">
      <c r="A2217" t="s">
        <v>11</v>
      </c>
      <c r="B2217" s="9" t="s">
        <v>36</v>
      </c>
      <c r="C2217" s="9" t="s">
        <v>300</v>
      </c>
      <c r="D2217" s="3" t="s">
        <v>2</v>
      </c>
      <c r="E2217" s="8" t="s">
        <v>299</v>
      </c>
      <c r="F2217" s="4" t="s">
        <v>8</v>
      </c>
      <c r="G2217" s="7">
        <v>200</v>
      </c>
      <c r="H2217" s="4">
        <v>0</v>
      </c>
      <c r="I2217" s="4">
        <f>ROUND(G2217*H2217,6)</f>
        <v>0</v>
      </c>
      <c r="L2217" s="6">
        <v>0</v>
      </c>
      <c r="M2217" s="5">
        <f>ROUND(ROUND(L2217,2)*ROUND(G2217,3),2)</f>
        <v>0</v>
      </c>
      <c r="N2217" s="4" t="s">
        <v>55</v>
      </c>
      <c r="O2217">
        <f>(M2217*21)/100</f>
        <v>0</v>
      </c>
      <c r="P2217" t="s">
        <v>6</v>
      </c>
    </row>
    <row r="2218" spans="1:16" ht="13.2" x14ac:dyDescent="0.25">
      <c r="A2218" s="3" t="s">
        <v>5</v>
      </c>
      <c r="E2218" s="1" t="s">
        <v>299</v>
      </c>
    </row>
    <row r="2219" spans="1:16" ht="13.2" x14ac:dyDescent="0.25">
      <c r="A2219" s="3" t="s">
        <v>3</v>
      </c>
      <c r="E2219" s="2" t="s">
        <v>2</v>
      </c>
    </row>
    <row r="2220" spans="1:16" ht="52.8" x14ac:dyDescent="0.25">
      <c r="A2220" t="s">
        <v>1</v>
      </c>
      <c r="E2220" s="1" t="s">
        <v>0</v>
      </c>
    </row>
    <row r="2221" spans="1:16" ht="13.2" x14ac:dyDescent="0.25">
      <c r="A2221" t="s">
        <v>50</v>
      </c>
      <c r="C2221" s="11" t="s">
        <v>298</v>
      </c>
      <c r="E2221" s="10" t="s">
        <v>297</v>
      </c>
      <c r="J2221" s="5">
        <f>0</f>
        <v>0</v>
      </c>
      <c r="K2221" s="5">
        <f>0</f>
        <v>0</v>
      </c>
      <c r="L2221" s="5">
        <f>0+L2222+L2226+L2230+L2234+L2238+L2242+L2246+L2250+L2254+L2258+L2262+L2266+L2270+L2274+L2278+L2282</f>
        <v>0</v>
      </c>
      <c r="M2221" s="5">
        <f>0+M2222+M2226+M2230+M2234+M2238+M2242+M2246+M2250+M2254+M2258+M2262+M2266+M2270+M2274+M2278+M2282</f>
        <v>0</v>
      </c>
    </row>
    <row r="2222" spans="1:16" ht="13.2" x14ac:dyDescent="0.25">
      <c r="A2222" t="s">
        <v>11</v>
      </c>
      <c r="B2222" s="9" t="s">
        <v>33</v>
      </c>
      <c r="C2222" s="9" t="s">
        <v>296</v>
      </c>
      <c r="D2222" s="3" t="s">
        <v>2</v>
      </c>
      <c r="E2222" s="8" t="s">
        <v>295</v>
      </c>
      <c r="F2222" s="4" t="s">
        <v>8</v>
      </c>
      <c r="G2222" s="7">
        <v>445</v>
      </c>
      <c r="H2222" s="4">
        <v>0</v>
      </c>
      <c r="I2222" s="4">
        <f>ROUND(G2222*H2222,6)</f>
        <v>0</v>
      </c>
      <c r="L2222" s="6">
        <v>0</v>
      </c>
      <c r="M2222" s="5">
        <f>ROUND(ROUND(L2222,2)*ROUND(G2222,3),2)</f>
        <v>0</v>
      </c>
      <c r="N2222" s="4" t="s">
        <v>55</v>
      </c>
      <c r="O2222">
        <f>(M2222*21)/100</f>
        <v>0</v>
      </c>
      <c r="P2222" t="s">
        <v>6</v>
      </c>
    </row>
    <row r="2223" spans="1:16" ht="13.2" x14ac:dyDescent="0.25">
      <c r="A2223" s="3" t="s">
        <v>5</v>
      </c>
      <c r="E2223" s="1" t="s">
        <v>295</v>
      </c>
    </row>
    <row r="2224" spans="1:16" ht="13.2" x14ac:dyDescent="0.25">
      <c r="A2224" s="3" t="s">
        <v>3</v>
      </c>
      <c r="E2224" s="2" t="s">
        <v>2</v>
      </c>
    </row>
    <row r="2225" spans="1:16" ht="52.8" x14ac:dyDescent="0.25">
      <c r="A2225" t="s">
        <v>1</v>
      </c>
      <c r="E2225" s="1" t="s">
        <v>0</v>
      </c>
    </row>
    <row r="2226" spans="1:16" ht="13.2" x14ac:dyDescent="0.25">
      <c r="A2226" t="s">
        <v>11</v>
      </c>
      <c r="B2226" s="9" t="s">
        <v>30</v>
      </c>
      <c r="C2226" s="9" t="s">
        <v>294</v>
      </c>
      <c r="D2226" s="3" t="s">
        <v>2</v>
      </c>
      <c r="E2226" s="8" t="s">
        <v>293</v>
      </c>
      <c r="F2226" s="4" t="s">
        <v>8</v>
      </c>
      <c r="G2226" s="7">
        <v>50</v>
      </c>
      <c r="H2226" s="4">
        <v>0</v>
      </c>
      <c r="I2226" s="4">
        <f>ROUND(G2226*H2226,6)</f>
        <v>0</v>
      </c>
      <c r="L2226" s="6">
        <v>0</v>
      </c>
      <c r="M2226" s="5">
        <f>ROUND(ROUND(L2226,2)*ROUND(G2226,3),2)</f>
        <v>0</v>
      </c>
      <c r="N2226" s="4" t="s">
        <v>55</v>
      </c>
      <c r="O2226">
        <f>(M2226*21)/100</f>
        <v>0</v>
      </c>
      <c r="P2226" t="s">
        <v>6</v>
      </c>
    </row>
    <row r="2227" spans="1:16" ht="13.2" x14ac:dyDescent="0.25">
      <c r="A2227" s="3" t="s">
        <v>5</v>
      </c>
      <c r="E2227" s="1" t="s">
        <v>293</v>
      </c>
    </row>
    <row r="2228" spans="1:16" ht="13.2" x14ac:dyDescent="0.25">
      <c r="A2228" s="3" t="s">
        <v>3</v>
      </c>
      <c r="E2228" s="2" t="s">
        <v>2</v>
      </c>
    </row>
    <row r="2229" spans="1:16" ht="52.8" x14ac:dyDescent="0.25">
      <c r="A2229" t="s">
        <v>1</v>
      </c>
      <c r="E2229" s="1" t="s">
        <v>0</v>
      </c>
    </row>
    <row r="2230" spans="1:16" ht="13.2" x14ac:dyDescent="0.25">
      <c r="A2230" t="s">
        <v>11</v>
      </c>
      <c r="B2230" s="9" t="s">
        <v>27</v>
      </c>
      <c r="C2230" s="9" t="s">
        <v>292</v>
      </c>
      <c r="D2230" s="3" t="s">
        <v>2</v>
      </c>
      <c r="E2230" s="8" t="s">
        <v>291</v>
      </c>
      <c r="F2230" s="4" t="s">
        <v>8</v>
      </c>
      <c r="G2230" s="7">
        <v>890</v>
      </c>
      <c r="H2230" s="4">
        <v>0</v>
      </c>
      <c r="I2230" s="4">
        <f>ROUND(G2230*H2230,6)</f>
        <v>0</v>
      </c>
      <c r="L2230" s="6">
        <v>0</v>
      </c>
      <c r="M2230" s="5">
        <f>ROUND(ROUND(L2230,2)*ROUND(G2230,3),2)</f>
        <v>0</v>
      </c>
      <c r="N2230" s="4" t="s">
        <v>55</v>
      </c>
      <c r="O2230">
        <f>(M2230*21)/100</f>
        <v>0</v>
      </c>
      <c r="P2230" t="s">
        <v>6</v>
      </c>
    </row>
    <row r="2231" spans="1:16" ht="13.2" x14ac:dyDescent="0.25">
      <c r="A2231" s="3" t="s">
        <v>5</v>
      </c>
      <c r="E2231" s="1" t="s">
        <v>291</v>
      </c>
    </row>
    <row r="2232" spans="1:16" ht="13.2" x14ac:dyDescent="0.25">
      <c r="A2232" s="3" t="s">
        <v>3</v>
      </c>
      <c r="E2232" s="2" t="s">
        <v>2</v>
      </c>
    </row>
    <row r="2233" spans="1:16" ht="52.8" x14ac:dyDescent="0.25">
      <c r="A2233" t="s">
        <v>1</v>
      </c>
      <c r="E2233" s="1" t="s">
        <v>0</v>
      </c>
    </row>
    <row r="2234" spans="1:16" ht="13.2" x14ac:dyDescent="0.25">
      <c r="A2234" t="s">
        <v>11</v>
      </c>
      <c r="B2234" s="9" t="s">
        <v>24</v>
      </c>
      <c r="C2234" s="9" t="s">
        <v>290</v>
      </c>
      <c r="D2234" s="3" t="s">
        <v>2</v>
      </c>
      <c r="E2234" s="8" t="s">
        <v>289</v>
      </c>
      <c r="F2234" s="4" t="s">
        <v>8</v>
      </c>
      <c r="G2234" s="7">
        <v>850</v>
      </c>
      <c r="H2234" s="4">
        <v>0</v>
      </c>
      <c r="I2234" s="4">
        <f>ROUND(G2234*H2234,6)</f>
        <v>0</v>
      </c>
      <c r="L2234" s="6">
        <v>0</v>
      </c>
      <c r="M2234" s="5">
        <f>ROUND(ROUND(L2234,2)*ROUND(G2234,3),2)</f>
        <v>0</v>
      </c>
      <c r="N2234" s="4" t="s">
        <v>55</v>
      </c>
      <c r="O2234">
        <f>(M2234*21)/100</f>
        <v>0</v>
      </c>
      <c r="P2234" t="s">
        <v>6</v>
      </c>
    </row>
    <row r="2235" spans="1:16" ht="13.2" x14ac:dyDescent="0.25">
      <c r="A2235" s="3" t="s">
        <v>5</v>
      </c>
      <c r="E2235" s="1" t="s">
        <v>289</v>
      </c>
    </row>
    <row r="2236" spans="1:16" ht="13.2" x14ac:dyDescent="0.25">
      <c r="A2236" s="3" t="s">
        <v>3</v>
      </c>
      <c r="E2236" s="2" t="s">
        <v>2</v>
      </c>
    </row>
    <row r="2237" spans="1:16" ht="52.8" x14ac:dyDescent="0.25">
      <c r="A2237" t="s">
        <v>1</v>
      </c>
      <c r="E2237" s="1" t="s">
        <v>0</v>
      </c>
    </row>
    <row r="2238" spans="1:16" ht="13.2" x14ac:dyDescent="0.25">
      <c r="A2238" t="s">
        <v>11</v>
      </c>
      <c r="B2238" s="9" t="s">
        <v>21</v>
      </c>
      <c r="C2238" s="9" t="s">
        <v>288</v>
      </c>
      <c r="D2238" s="3" t="s">
        <v>2</v>
      </c>
      <c r="E2238" s="8" t="s">
        <v>287</v>
      </c>
      <c r="F2238" s="4" t="s">
        <v>8</v>
      </c>
      <c r="G2238" s="7">
        <v>85</v>
      </c>
      <c r="H2238" s="4">
        <v>0</v>
      </c>
      <c r="I2238" s="4">
        <f>ROUND(G2238*H2238,6)</f>
        <v>0</v>
      </c>
      <c r="L2238" s="6">
        <v>0</v>
      </c>
      <c r="M2238" s="5">
        <f>ROUND(ROUND(L2238,2)*ROUND(G2238,3),2)</f>
        <v>0</v>
      </c>
      <c r="N2238" s="4" t="s">
        <v>55</v>
      </c>
      <c r="O2238">
        <f>(M2238*21)/100</f>
        <v>0</v>
      </c>
      <c r="P2238" t="s">
        <v>6</v>
      </c>
    </row>
    <row r="2239" spans="1:16" ht="13.2" x14ac:dyDescent="0.25">
      <c r="A2239" s="3" t="s">
        <v>5</v>
      </c>
      <c r="E2239" s="1" t="s">
        <v>287</v>
      </c>
    </row>
    <row r="2240" spans="1:16" ht="13.2" x14ac:dyDescent="0.25">
      <c r="A2240" s="3" t="s">
        <v>3</v>
      </c>
      <c r="E2240" s="2" t="s">
        <v>2</v>
      </c>
    </row>
    <row r="2241" spans="1:16" ht="52.8" x14ac:dyDescent="0.25">
      <c r="A2241" t="s">
        <v>1</v>
      </c>
      <c r="E2241" s="1" t="s">
        <v>0</v>
      </c>
    </row>
    <row r="2242" spans="1:16" ht="13.2" x14ac:dyDescent="0.25">
      <c r="A2242" t="s">
        <v>11</v>
      </c>
      <c r="B2242" s="9" t="s">
        <v>18</v>
      </c>
      <c r="C2242" s="9" t="s">
        <v>286</v>
      </c>
      <c r="D2242" s="3" t="s">
        <v>2</v>
      </c>
      <c r="E2242" s="8" t="s">
        <v>285</v>
      </c>
      <c r="F2242" s="4" t="s">
        <v>8</v>
      </c>
      <c r="G2242" s="7">
        <v>35</v>
      </c>
      <c r="H2242" s="4">
        <v>0</v>
      </c>
      <c r="I2242" s="4">
        <f>ROUND(G2242*H2242,6)</f>
        <v>0</v>
      </c>
      <c r="L2242" s="6">
        <v>0</v>
      </c>
      <c r="M2242" s="5">
        <f>ROUND(ROUND(L2242,2)*ROUND(G2242,3),2)</f>
        <v>0</v>
      </c>
      <c r="N2242" s="4" t="s">
        <v>55</v>
      </c>
      <c r="O2242">
        <f>(M2242*21)/100</f>
        <v>0</v>
      </c>
      <c r="P2242" t="s">
        <v>6</v>
      </c>
    </row>
    <row r="2243" spans="1:16" ht="13.2" x14ac:dyDescent="0.25">
      <c r="A2243" s="3" t="s">
        <v>5</v>
      </c>
      <c r="E2243" s="1" t="s">
        <v>285</v>
      </c>
    </row>
    <row r="2244" spans="1:16" ht="13.2" x14ac:dyDescent="0.25">
      <c r="A2244" s="3" t="s">
        <v>3</v>
      </c>
      <c r="E2244" s="2" t="s">
        <v>2</v>
      </c>
    </row>
    <row r="2245" spans="1:16" ht="52.8" x14ac:dyDescent="0.25">
      <c r="A2245" t="s">
        <v>1</v>
      </c>
      <c r="E2245" s="1" t="s">
        <v>0</v>
      </c>
    </row>
    <row r="2246" spans="1:16" ht="13.2" x14ac:dyDescent="0.25">
      <c r="A2246" t="s">
        <v>11</v>
      </c>
      <c r="B2246" s="9" t="s">
        <v>15</v>
      </c>
      <c r="C2246" s="9" t="s">
        <v>284</v>
      </c>
      <c r="D2246" s="3" t="s">
        <v>2</v>
      </c>
      <c r="E2246" s="8" t="s">
        <v>283</v>
      </c>
      <c r="F2246" s="4" t="s">
        <v>8</v>
      </c>
      <c r="G2246" s="7">
        <v>1000</v>
      </c>
      <c r="H2246" s="4">
        <v>0</v>
      </c>
      <c r="I2246" s="4">
        <f>ROUND(G2246*H2246,6)</f>
        <v>0</v>
      </c>
      <c r="L2246" s="6">
        <v>0</v>
      </c>
      <c r="M2246" s="5">
        <f>ROUND(ROUND(L2246,2)*ROUND(G2246,3),2)</f>
        <v>0</v>
      </c>
      <c r="N2246" s="4" t="s">
        <v>55</v>
      </c>
      <c r="O2246">
        <f>(M2246*21)/100</f>
        <v>0</v>
      </c>
      <c r="P2246" t="s">
        <v>6</v>
      </c>
    </row>
    <row r="2247" spans="1:16" ht="13.2" x14ac:dyDescent="0.25">
      <c r="A2247" s="3" t="s">
        <v>5</v>
      </c>
      <c r="E2247" s="1" t="s">
        <v>283</v>
      </c>
    </row>
    <row r="2248" spans="1:16" ht="13.2" x14ac:dyDescent="0.25">
      <c r="A2248" s="3" t="s">
        <v>3</v>
      </c>
      <c r="E2248" s="2" t="s">
        <v>2</v>
      </c>
    </row>
    <row r="2249" spans="1:16" ht="52.8" x14ac:dyDescent="0.25">
      <c r="A2249" t="s">
        <v>1</v>
      </c>
      <c r="E2249" s="1" t="s">
        <v>0</v>
      </c>
    </row>
    <row r="2250" spans="1:16" ht="13.2" x14ac:dyDescent="0.25">
      <c r="A2250" t="s">
        <v>11</v>
      </c>
      <c r="B2250" s="9" t="s">
        <v>10</v>
      </c>
      <c r="C2250" s="9" t="s">
        <v>282</v>
      </c>
      <c r="D2250" s="3" t="s">
        <v>2</v>
      </c>
      <c r="E2250" s="8" t="s">
        <v>281</v>
      </c>
      <c r="F2250" s="4" t="s">
        <v>8</v>
      </c>
      <c r="G2250" s="7">
        <v>150</v>
      </c>
      <c r="H2250" s="4">
        <v>0</v>
      </c>
      <c r="I2250" s="4">
        <f>ROUND(G2250*H2250,6)</f>
        <v>0</v>
      </c>
      <c r="L2250" s="6">
        <v>0</v>
      </c>
      <c r="M2250" s="5">
        <f>ROUND(ROUND(L2250,2)*ROUND(G2250,3),2)</f>
        <v>0</v>
      </c>
      <c r="N2250" s="4" t="s">
        <v>55</v>
      </c>
      <c r="O2250">
        <f>(M2250*21)/100</f>
        <v>0</v>
      </c>
      <c r="P2250" t="s">
        <v>6</v>
      </c>
    </row>
    <row r="2251" spans="1:16" ht="13.2" x14ac:dyDescent="0.25">
      <c r="A2251" s="3" t="s">
        <v>5</v>
      </c>
      <c r="E2251" s="1" t="s">
        <v>281</v>
      </c>
    </row>
    <row r="2252" spans="1:16" ht="13.2" x14ac:dyDescent="0.25">
      <c r="A2252" s="3" t="s">
        <v>3</v>
      </c>
      <c r="E2252" s="2" t="s">
        <v>2</v>
      </c>
    </row>
    <row r="2253" spans="1:16" ht="52.8" x14ac:dyDescent="0.25">
      <c r="A2253" t="s">
        <v>1</v>
      </c>
      <c r="E2253" s="1" t="s">
        <v>0</v>
      </c>
    </row>
    <row r="2254" spans="1:16" ht="13.2" x14ac:dyDescent="0.25">
      <c r="A2254" t="s">
        <v>11</v>
      </c>
      <c r="B2254" s="9" t="s">
        <v>280</v>
      </c>
      <c r="C2254" s="9" t="s">
        <v>279</v>
      </c>
      <c r="D2254" s="3" t="s">
        <v>2</v>
      </c>
      <c r="E2254" s="8" t="s">
        <v>278</v>
      </c>
      <c r="F2254" s="4" t="s">
        <v>8</v>
      </c>
      <c r="G2254" s="7">
        <v>650</v>
      </c>
      <c r="H2254" s="4">
        <v>0</v>
      </c>
      <c r="I2254" s="4">
        <f>ROUND(G2254*H2254,6)</f>
        <v>0</v>
      </c>
      <c r="L2254" s="6">
        <v>0</v>
      </c>
      <c r="M2254" s="5">
        <f>ROUND(ROUND(L2254,2)*ROUND(G2254,3),2)</f>
        <v>0</v>
      </c>
      <c r="N2254" s="4" t="s">
        <v>55</v>
      </c>
      <c r="O2254">
        <f>(M2254*21)/100</f>
        <v>0</v>
      </c>
      <c r="P2254" t="s">
        <v>6</v>
      </c>
    </row>
    <row r="2255" spans="1:16" ht="13.2" x14ac:dyDescent="0.25">
      <c r="A2255" s="3" t="s">
        <v>5</v>
      </c>
      <c r="E2255" s="1" t="s">
        <v>278</v>
      </c>
    </row>
    <row r="2256" spans="1:16" ht="13.2" x14ac:dyDescent="0.25">
      <c r="A2256" s="3" t="s">
        <v>3</v>
      </c>
      <c r="E2256" s="2" t="s">
        <v>2</v>
      </c>
    </row>
    <row r="2257" spans="1:16" ht="52.8" x14ac:dyDescent="0.25">
      <c r="A2257" t="s">
        <v>1</v>
      </c>
      <c r="E2257" s="1" t="s">
        <v>0</v>
      </c>
    </row>
    <row r="2258" spans="1:16" ht="13.2" x14ac:dyDescent="0.25">
      <c r="A2258" t="s">
        <v>11</v>
      </c>
      <c r="B2258" s="9" t="s">
        <v>277</v>
      </c>
      <c r="C2258" s="9" t="s">
        <v>276</v>
      </c>
      <c r="D2258" s="3" t="s">
        <v>2</v>
      </c>
      <c r="E2258" s="8" t="s">
        <v>275</v>
      </c>
      <c r="F2258" s="4" t="s">
        <v>8</v>
      </c>
      <c r="G2258" s="7">
        <v>120</v>
      </c>
      <c r="H2258" s="4">
        <v>0</v>
      </c>
      <c r="I2258" s="4">
        <f>ROUND(G2258*H2258,6)</f>
        <v>0</v>
      </c>
      <c r="L2258" s="6">
        <v>0</v>
      </c>
      <c r="M2258" s="5">
        <f>ROUND(ROUND(L2258,2)*ROUND(G2258,3),2)</f>
        <v>0</v>
      </c>
      <c r="N2258" s="4" t="s">
        <v>55</v>
      </c>
      <c r="O2258">
        <f>(M2258*21)/100</f>
        <v>0</v>
      </c>
      <c r="P2258" t="s">
        <v>6</v>
      </c>
    </row>
    <row r="2259" spans="1:16" ht="13.2" x14ac:dyDescent="0.25">
      <c r="A2259" s="3" t="s">
        <v>5</v>
      </c>
      <c r="E2259" s="1" t="s">
        <v>275</v>
      </c>
    </row>
    <row r="2260" spans="1:16" ht="13.2" x14ac:dyDescent="0.25">
      <c r="A2260" s="3" t="s">
        <v>3</v>
      </c>
      <c r="E2260" s="2" t="s">
        <v>2</v>
      </c>
    </row>
    <row r="2261" spans="1:16" ht="52.8" x14ac:dyDescent="0.25">
      <c r="A2261" t="s">
        <v>1</v>
      </c>
      <c r="E2261" s="1" t="s">
        <v>0</v>
      </c>
    </row>
    <row r="2262" spans="1:16" ht="13.2" x14ac:dyDescent="0.25">
      <c r="A2262" t="s">
        <v>11</v>
      </c>
      <c r="B2262" s="9" t="s">
        <v>274</v>
      </c>
      <c r="C2262" s="9" t="s">
        <v>273</v>
      </c>
      <c r="D2262" s="3" t="s">
        <v>2</v>
      </c>
      <c r="E2262" s="8" t="s">
        <v>272</v>
      </c>
      <c r="F2262" s="4" t="s">
        <v>8</v>
      </c>
      <c r="G2262" s="7">
        <v>2235</v>
      </c>
      <c r="H2262" s="4">
        <v>0</v>
      </c>
      <c r="I2262" s="4">
        <f>ROUND(G2262*H2262,6)</f>
        <v>0</v>
      </c>
      <c r="L2262" s="6">
        <v>0</v>
      </c>
      <c r="M2262" s="5">
        <f>ROUND(ROUND(L2262,2)*ROUND(G2262,3),2)</f>
        <v>0</v>
      </c>
      <c r="N2262" s="4" t="s">
        <v>55</v>
      </c>
      <c r="O2262">
        <f>(M2262*21)/100</f>
        <v>0</v>
      </c>
      <c r="P2262" t="s">
        <v>6</v>
      </c>
    </row>
    <row r="2263" spans="1:16" ht="13.2" x14ac:dyDescent="0.25">
      <c r="A2263" s="3" t="s">
        <v>5</v>
      </c>
      <c r="E2263" s="1" t="s">
        <v>272</v>
      </c>
    </row>
    <row r="2264" spans="1:16" ht="13.2" x14ac:dyDescent="0.25">
      <c r="A2264" s="3" t="s">
        <v>3</v>
      </c>
      <c r="E2264" s="2" t="s">
        <v>2</v>
      </c>
    </row>
    <row r="2265" spans="1:16" ht="52.8" x14ac:dyDescent="0.25">
      <c r="A2265" t="s">
        <v>1</v>
      </c>
      <c r="E2265" s="1" t="s">
        <v>0</v>
      </c>
    </row>
    <row r="2266" spans="1:16" ht="13.2" x14ac:dyDescent="0.25">
      <c r="A2266" t="s">
        <v>11</v>
      </c>
      <c r="B2266" s="9" t="s">
        <v>271</v>
      </c>
      <c r="C2266" s="9" t="s">
        <v>270</v>
      </c>
      <c r="D2266" s="3" t="s">
        <v>2</v>
      </c>
      <c r="E2266" s="8" t="s">
        <v>269</v>
      </c>
      <c r="F2266" s="4" t="s">
        <v>8</v>
      </c>
      <c r="G2266" s="7">
        <v>2040</v>
      </c>
      <c r="H2266" s="4">
        <v>0</v>
      </c>
      <c r="I2266" s="4">
        <f>ROUND(G2266*H2266,6)</f>
        <v>0</v>
      </c>
      <c r="L2266" s="6">
        <v>0</v>
      </c>
      <c r="M2266" s="5">
        <f>ROUND(ROUND(L2266,2)*ROUND(G2266,3),2)</f>
        <v>0</v>
      </c>
      <c r="N2266" s="4" t="s">
        <v>55</v>
      </c>
      <c r="O2266">
        <f>(M2266*21)/100</f>
        <v>0</v>
      </c>
      <c r="P2266" t="s">
        <v>6</v>
      </c>
    </row>
    <row r="2267" spans="1:16" ht="13.2" x14ac:dyDescent="0.25">
      <c r="A2267" s="3" t="s">
        <v>5</v>
      </c>
      <c r="E2267" s="1" t="s">
        <v>269</v>
      </c>
    </row>
    <row r="2268" spans="1:16" ht="13.2" x14ac:dyDescent="0.25">
      <c r="A2268" s="3" t="s">
        <v>3</v>
      </c>
      <c r="E2268" s="2" t="s">
        <v>2</v>
      </c>
    </row>
    <row r="2269" spans="1:16" ht="52.8" x14ac:dyDescent="0.25">
      <c r="A2269" t="s">
        <v>1</v>
      </c>
      <c r="E2269" s="1" t="s">
        <v>0</v>
      </c>
    </row>
    <row r="2270" spans="1:16" ht="13.2" x14ac:dyDescent="0.25">
      <c r="A2270" t="s">
        <v>11</v>
      </c>
      <c r="B2270" s="9" t="s">
        <v>268</v>
      </c>
      <c r="C2270" s="9" t="s">
        <v>267</v>
      </c>
      <c r="D2270" s="3" t="s">
        <v>2</v>
      </c>
      <c r="E2270" s="8" t="s">
        <v>266</v>
      </c>
      <c r="F2270" s="4" t="s">
        <v>8</v>
      </c>
      <c r="G2270" s="7">
        <v>440</v>
      </c>
      <c r="H2270" s="4">
        <v>0</v>
      </c>
      <c r="I2270" s="4">
        <f>ROUND(G2270*H2270,6)</f>
        <v>0</v>
      </c>
      <c r="L2270" s="6">
        <v>0</v>
      </c>
      <c r="M2270" s="5">
        <f>ROUND(ROUND(L2270,2)*ROUND(G2270,3),2)</f>
        <v>0</v>
      </c>
      <c r="N2270" s="4" t="s">
        <v>55</v>
      </c>
      <c r="O2270">
        <f>(M2270*21)/100</f>
        <v>0</v>
      </c>
      <c r="P2270" t="s">
        <v>6</v>
      </c>
    </row>
    <row r="2271" spans="1:16" ht="13.2" x14ac:dyDescent="0.25">
      <c r="A2271" s="3" t="s">
        <v>5</v>
      </c>
      <c r="E2271" s="1" t="s">
        <v>266</v>
      </c>
    </row>
    <row r="2272" spans="1:16" ht="13.2" x14ac:dyDescent="0.25">
      <c r="A2272" s="3" t="s">
        <v>3</v>
      </c>
      <c r="E2272" s="2" t="s">
        <v>2</v>
      </c>
    </row>
    <row r="2273" spans="1:16" ht="52.8" x14ac:dyDescent="0.25">
      <c r="A2273" t="s">
        <v>1</v>
      </c>
      <c r="E2273" s="1" t="s">
        <v>0</v>
      </c>
    </row>
    <row r="2274" spans="1:16" ht="13.2" x14ac:dyDescent="0.25">
      <c r="A2274" t="s">
        <v>11</v>
      </c>
      <c r="B2274" s="9" t="s">
        <v>265</v>
      </c>
      <c r="C2274" s="9" t="s">
        <v>264</v>
      </c>
      <c r="D2274" s="3" t="s">
        <v>2</v>
      </c>
      <c r="E2274" s="8" t="s">
        <v>263</v>
      </c>
      <c r="F2274" s="4" t="s">
        <v>8</v>
      </c>
      <c r="G2274" s="7">
        <v>75</v>
      </c>
      <c r="H2274" s="4">
        <v>0</v>
      </c>
      <c r="I2274" s="4">
        <f>ROUND(G2274*H2274,6)</f>
        <v>0</v>
      </c>
      <c r="L2274" s="6">
        <v>0</v>
      </c>
      <c r="M2274" s="5">
        <f>ROUND(ROUND(L2274,2)*ROUND(G2274,3),2)</f>
        <v>0</v>
      </c>
      <c r="N2274" s="4" t="s">
        <v>55</v>
      </c>
      <c r="O2274">
        <f>(M2274*21)/100</f>
        <v>0</v>
      </c>
      <c r="P2274" t="s">
        <v>6</v>
      </c>
    </row>
    <row r="2275" spans="1:16" ht="13.2" x14ac:dyDescent="0.25">
      <c r="A2275" s="3" t="s">
        <v>5</v>
      </c>
      <c r="E2275" s="1" t="s">
        <v>263</v>
      </c>
    </row>
    <row r="2276" spans="1:16" ht="13.2" x14ac:dyDescent="0.25">
      <c r="A2276" s="3" t="s">
        <v>3</v>
      </c>
      <c r="E2276" s="2" t="s">
        <v>2</v>
      </c>
    </row>
    <row r="2277" spans="1:16" ht="52.8" x14ac:dyDescent="0.25">
      <c r="A2277" t="s">
        <v>1</v>
      </c>
      <c r="E2277" s="1" t="s">
        <v>0</v>
      </c>
    </row>
    <row r="2278" spans="1:16" ht="13.2" x14ac:dyDescent="0.25">
      <c r="A2278" t="s">
        <v>11</v>
      </c>
      <c r="B2278" s="9" t="s">
        <v>262</v>
      </c>
      <c r="C2278" s="9" t="s">
        <v>261</v>
      </c>
      <c r="D2278" s="3" t="s">
        <v>2</v>
      </c>
      <c r="E2278" s="8" t="s">
        <v>260</v>
      </c>
      <c r="F2278" s="4" t="s">
        <v>8</v>
      </c>
      <c r="G2278" s="7">
        <v>515</v>
      </c>
      <c r="H2278" s="4">
        <v>0</v>
      </c>
      <c r="I2278" s="4">
        <f>ROUND(G2278*H2278,6)</f>
        <v>0</v>
      </c>
      <c r="L2278" s="6">
        <v>0</v>
      </c>
      <c r="M2278" s="5">
        <f>ROUND(ROUND(L2278,2)*ROUND(G2278,3),2)</f>
        <v>0</v>
      </c>
      <c r="N2278" s="4" t="s">
        <v>55</v>
      </c>
      <c r="O2278">
        <f>(M2278*21)/100</f>
        <v>0</v>
      </c>
      <c r="P2278" t="s">
        <v>6</v>
      </c>
    </row>
    <row r="2279" spans="1:16" ht="13.2" x14ac:dyDescent="0.25">
      <c r="A2279" s="3" t="s">
        <v>5</v>
      </c>
      <c r="E2279" s="1" t="s">
        <v>260</v>
      </c>
    </row>
    <row r="2280" spans="1:16" ht="13.2" x14ac:dyDescent="0.25">
      <c r="A2280" s="3" t="s">
        <v>3</v>
      </c>
      <c r="E2280" s="2" t="s">
        <v>2</v>
      </c>
    </row>
    <row r="2281" spans="1:16" ht="52.8" x14ac:dyDescent="0.25">
      <c r="A2281" t="s">
        <v>1</v>
      </c>
      <c r="E2281" s="1" t="s">
        <v>0</v>
      </c>
    </row>
    <row r="2282" spans="1:16" ht="13.2" x14ac:dyDescent="0.25">
      <c r="A2282" t="s">
        <v>11</v>
      </c>
      <c r="B2282" s="9" t="s">
        <v>259</v>
      </c>
      <c r="C2282" s="9" t="s">
        <v>258</v>
      </c>
      <c r="D2282" s="3" t="s">
        <v>2</v>
      </c>
      <c r="E2282" s="8" t="s">
        <v>85</v>
      </c>
      <c r="F2282" s="4" t="s">
        <v>41</v>
      </c>
      <c r="G2282" s="7">
        <v>1</v>
      </c>
      <c r="H2282" s="4">
        <v>0</v>
      </c>
      <c r="I2282" s="4">
        <f>ROUND(G2282*H2282,6)</f>
        <v>0</v>
      </c>
      <c r="L2282" s="6">
        <v>0</v>
      </c>
      <c r="M2282" s="5">
        <f>ROUND(ROUND(L2282,2)*ROUND(G2282,3),2)</f>
        <v>0</v>
      </c>
      <c r="N2282" s="4" t="s">
        <v>55</v>
      </c>
      <c r="O2282">
        <f>(M2282*21)/100</f>
        <v>0</v>
      </c>
      <c r="P2282" t="s">
        <v>6</v>
      </c>
    </row>
    <row r="2283" spans="1:16" ht="13.2" x14ac:dyDescent="0.25">
      <c r="A2283" s="3" t="s">
        <v>5</v>
      </c>
      <c r="E2283" s="1" t="s">
        <v>85</v>
      </c>
    </row>
    <row r="2284" spans="1:16" ht="13.2" x14ac:dyDescent="0.25">
      <c r="A2284" s="3" t="s">
        <v>3</v>
      </c>
      <c r="E2284" s="2" t="s">
        <v>2</v>
      </c>
    </row>
    <row r="2285" spans="1:16" ht="52.8" x14ac:dyDescent="0.25">
      <c r="A2285" t="s">
        <v>1</v>
      </c>
      <c r="E2285" s="1" t="s">
        <v>0</v>
      </c>
    </row>
    <row r="2286" spans="1:16" ht="13.2" x14ac:dyDescent="0.25">
      <c r="A2286" t="s">
        <v>50</v>
      </c>
      <c r="C2286" s="11" t="s">
        <v>257</v>
      </c>
      <c r="E2286" s="10" t="s">
        <v>256</v>
      </c>
      <c r="J2286" s="5">
        <f>0</f>
        <v>0</v>
      </c>
      <c r="K2286" s="5">
        <f>0</f>
        <v>0</v>
      </c>
      <c r="L2286" s="5">
        <f>0+L2287+L2291+L2295+L2299+L2303+L2307+L2311+L2315+L2319+L2323+L2327+L2331+L2335+L2339+L2343+L2347+L2351+L2355+L2359+L2363+L2367+L2371+L2375+L2379+L2383+L2387+L2391+L2395+L2399+L2403+L2407+L2411+L2415+L2419+L2423+L2427+L2431+L2435+L2439+L2443+L2447+L2451+L2455+L2459+L2463+L2467+L2471+L2475</f>
        <v>0</v>
      </c>
      <c r="M2286" s="5">
        <f>0+M2287+M2291+M2295+M2299+M2303+M2307+M2311+M2315+M2319+M2323+M2327+M2331+M2335+M2339+M2343+M2347+M2351+M2355+M2359+M2363+M2367+M2371+M2375+M2379+M2383+M2387+M2391+M2395+M2399+M2403+M2407+M2411+M2415+M2419+M2423+M2427+M2431+M2435+M2439+M2443+M2447+M2451+M2455+M2459+M2463+M2467+M2471+M2475</f>
        <v>0</v>
      </c>
    </row>
    <row r="2287" spans="1:16" ht="13.2" x14ac:dyDescent="0.25">
      <c r="A2287" t="s">
        <v>11</v>
      </c>
      <c r="B2287" s="9" t="s">
        <v>255</v>
      </c>
      <c r="C2287" s="9" t="s">
        <v>254</v>
      </c>
      <c r="D2287" s="3" t="s">
        <v>2</v>
      </c>
      <c r="E2287" s="8" t="s">
        <v>253</v>
      </c>
      <c r="F2287" s="4" t="s">
        <v>13</v>
      </c>
      <c r="G2287" s="7">
        <v>85</v>
      </c>
      <c r="H2287" s="4">
        <v>0</v>
      </c>
      <c r="I2287" s="4">
        <f>ROUND(G2287*H2287,6)</f>
        <v>0</v>
      </c>
      <c r="L2287" s="6">
        <v>0</v>
      </c>
      <c r="M2287" s="5">
        <f>ROUND(ROUND(L2287,2)*ROUND(G2287,3),2)</f>
        <v>0</v>
      </c>
      <c r="N2287" s="4" t="s">
        <v>55</v>
      </c>
      <c r="O2287">
        <f>(M2287*21)/100</f>
        <v>0</v>
      </c>
      <c r="P2287" t="s">
        <v>6</v>
      </c>
    </row>
    <row r="2288" spans="1:16" ht="13.2" x14ac:dyDescent="0.25">
      <c r="A2288" s="3" t="s">
        <v>5</v>
      </c>
      <c r="E2288" s="1" t="s">
        <v>253</v>
      </c>
    </row>
    <row r="2289" spans="1:16" ht="13.2" x14ac:dyDescent="0.25">
      <c r="A2289" s="3" t="s">
        <v>3</v>
      </c>
      <c r="E2289" s="2" t="s">
        <v>2</v>
      </c>
    </row>
    <row r="2290" spans="1:16" ht="52.8" x14ac:dyDescent="0.25">
      <c r="A2290" t="s">
        <v>1</v>
      </c>
      <c r="E2290" s="1" t="s">
        <v>0</v>
      </c>
    </row>
    <row r="2291" spans="1:16" ht="13.2" x14ac:dyDescent="0.25">
      <c r="A2291" t="s">
        <v>11</v>
      </c>
      <c r="B2291" s="9" t="s">
        <v>252</v>
      </c>
      <c r="C2291" s="9" t="s">
        <v>251</v>
      </c>
      <c r="D2291" s="3" t="s">
        <v>2</v>
      </c>
      <c r="E2291" s="8" t="s">
        <v>250</v>
      </c>
      <c r="F2291" s="4" t="s">
        <v>13</v>
      </c>
      <c r="G2291" s="7">
        <v>65</v>
      </c>
      <c r="H2291" s="4">
        <v>0</v>
      </c>
      <c r="I2291" s="4">
        <f>ROUND(G2291*H2291,6)</f>
        <v>0</v>
      </c>
      <c r="L2291" s="6">
        <v>0</v>
      </c>
      <c r="M2291" s="5">
        <f>ROUND(ROUND(L2291,2)*ROUND(G2291,3),2)</f>
        <v>0</v>
      </c>
      <c r="N2291" s="4" t="s">
        <v>55</v>
      </c>
      <c r="O2291">
        <f>(M2291*21)/100</f>
        <v>0</v>
      </c>
      <c r="P2291" t="s">
        <v>6</v>
      </c>
    </row>
    <row r="2292" spans="1:16" ht="13.2" x14ac:dyDescent="0.25">
      <c r="A2292" s="3" t="s">
        <v>5</v>
      </c>
      <c r="E2292" s="1" t="s">
        <v>250</v>
      </c>
    </row>
    <row r="2293" spans="1:16" ht="13.2" x14ac:dyDescent="0.25">
      <c r="A2293" s="3" t="s">
        <v>3</v>
      </c>
      <c r="E2293" s="2" t="s">
        <v>2</v>
      </c>
    </row>
    <row r="2294" spans="1:16" ht="52.8" x14ac:dyDescent="0.25">
      <c r="A2294" t="s">
        <v>1</v>
      </c>
      <c r="E2294" s="1" t="s">
        <v>0</v>
      </c>
    </row>
    <row r="2295" spans="1:16" ht="13.2" x14ac:dyDescent="0.25">
      <c r="A2295" t="s">
        <v>11</v>
      </c>
      <c r="B2295" s="9" t="s">
        <v>249</v>
      </c>
      <c r="C2295" s="9" t="s">
        <v>248</v>
      </c>
      <c r="D2295" s="3" t="s">
        <v>2</v>
      </c>
      <c r="E2295" s="8" t="s">
        <v>247</v>
      </c>
      <c r="F2295" s="4" t="s">
        <v>13</v>
      </c>
      <c r="G2295" s="7">
        <v>25</v>
      </c>
      <c r="H2295" s="4">
        <v>0</v>
      </c>
      <c r="I2295" s="4">
        <f>ROUND(G2295*H2295,6)</f>
        <v>0</v>
      </c>
      <c r="L2295" s="6">
        <v>0</v>
      </c>
      <c r="M2295" s="5">
        <f>ROUND(ROUND(L2295,2)*ROUND(G2295,3),2)</f>
        <v>0</v>
      </c>
      <c r="N2295" s="4" t="s">
        <v>55</v>
      </c>
      <c r="O2295">
        <f>(M2295*21)/100</f>
        <v>0</v>
      </c>
      <c r="P2295" t="s">
        <v>6</v>
      </c>
    </row>
    <row r="2296" spans="1:16" ht="13.2" x14ac:dyDescent="0.25">
      <c r="A2296" s="3" t="s">
        <v>5</v>
      </c>
      <c r="E2296" s="1" t="s">
        <v>247</v>
      </c>
    </row>
    <row r="2297" spans="1:16" ht="13.2" x14ac:dyDescent="0.25">
      <c r="A2297" s="3" t="s">
        <v>3</v>
      </c>
      <c r="E2297" s="2" t="s">
        <v>2</v>
      </c>
    </row>
    <row r="2298" spans="1:16" ht="52.8" x14ac:dyDescent="0.25">
      <c r="A2298" t="s">
        <v>1</v>
      </c>
      <c r="E2298" s="1" t="s">
        <v>0</v>
      </c>
    </row>
    <row r="2299" spans="1:16" ht="13.2" x14ac:dyDescent="0.25">
      <c r="A2299" t="s">
        <v>11</v>
      </c>
      <c r="B2299" s="9" t="s">
        <v>246</v>
      </c>
      <c r="C2299" s="9" t="s">
        <v>245</v>
      </c>
      <c r="D2299" s="3" t="s">
        <v>2</v>
      </c>
      <c r="E2299" s="8" t="s">
        <v>244</v>
      </c>
      <c r="F2299" s="4" t="s">
        <v>13</v>
      </c>
      <c r="G2299" s="7">
        <v>2</v>
      </c>
      <c r="H2299" s="4">
        <v>0</v>
      </c>
      <c r="I2299" s="4">
        <f>ROUND(G2299*H2299,6)</f>
        <v>0</v>
      </c>
      <c r="L2299" s="6">
        <v>0</v>
      </c>
      <c r="M2299" s="5">
        <f>ROUND(ROUND(L2299,2)*ROUND(G2299,3),2)</f>
        <v>0</v>
      </c>
      <c r="N2299" s="4" t="s">
        <v>55</v>
      </c>
      <c r="O2299">
        <f>(M2299*21)/100</f>
        <v>0</v>
      </c>
      <c r="P2299" t="s">
        <v>6</v>
      </c>
    </row>
    <row r="2300" spans="1:16" ht="13.2" x14ac:dyDescent="0.25">
      <c r="A2300" s="3" t="s">
        <v>5</v>
      </c>
      <c r="E2300" s="1" t="s">
        <v>244</v>
      </c>
    </row>
    <row r="2301" spans="1:16" ht="13.2" x14ac:dyDescent="0.25">
      <c r="A2301" s="3" t="s">
        <v>3</v>
      </c>
      <c r="E2301" s="2" t="s">
        <v>2</v>
      </c>
    </row>
    <row r="2302" spans="1:16" ht="52.8" x14ac:dyDescent="0.25">
      <c r="A2302" t="s">
        <v>1</v>
      </c>
      <c r="E2302" s="1" t="s">
        <v>0</v>
      </c>
    </row>
    <row r="2303" spans="1:16" ht="13.2" x14ac:dyDescent="0.25">
      <c r="A2303" t="s">
        <v>11</v>
      </c>
      <c r="B2303" s="9" t="s">
        <v>243</v>
      </c>
      <c r="C2303" s="9" t="s">
        <v>242</v>
      </c>
      <c r="D2303" s="3" t="s">
        <v>2</v>
      </c>
      <c r="E2303" s="8" t="s">
        <v>241</v>
      </c>
      <c r="F2303" s="4" t="s">
        <v>13</v>
      </c>
      <c r="G2303" s="7">
        <v>7</v>
      </c>
      <c r="H2303" s="4">
        <v>0</v>
      </c>
      <c r="I2303" s="4">
        <f>ROUND(G2303*H2303,6)</f>
        <v>0</v>
      </c>
      <c r="L2303" s="6">
        <v>0</v>
      </c>
      <c r="M2303" s="5">
        <f>ROUND(ROUND(L2303,2)*ROUND(G2303,3),2)</f>
        <v>0</v>
      </c>
      <c r="N2303" s="4" t="s">
        <v>55</v>
      </c>
      <c r="O2303">
        <f>(M2303*21)/100</f>
        <v>0</v>
      </c>
      <c r="P2303" t="s">
        <v>6</v>
      </c>
    </row>
    <row r="2304" spans="1:16" ht="13.2" x14ac:dyDescent="0.25">
      <c r="A2304" s="3" t="s">
        <v>5</v>
      </c>
      <c r="E2304" s="1" t="s">
        <v>241</v>
      </c>
    </row>
    <row r="2305" spans="1:16" ht="13.2" x14ac:dyDescent="0.25">
      <c r="A2305" s="3" t="s">
        <v>3</v>
      </c>
      <c r="E2305" s="2" t="s">
        <v>2</v>
      </c>
    </row>
    <row r="2306" spans="1:16" ht="52.8" x14ac:dyDescent="0.25">
      <c r="A2306" t="s">
        <v>1</v>
      </c>
      <c r="E2306" s="1" t="s">
        <v>0</v>
      </c>
    </row>
    <row r="2307" spans="1:16" ht="13.2" x14ac:dyDescent="0.25">
      <c r="A2307" t="s">
        <v>11</v>
      </c>
      <c r="B2307" s="9" t="s">
        <v>240</v>
      </c>
      <c r="C2307" s="9" t="s">
        <v>239</v>
      </c>
      <c r="D2307" s="3" t="s">
        <v>2</v>
      </c>
      <c r="E2307" s="8" t="s">
        <v>238</v>
      </c>
      <c r="F2307" s="4" t="s">
        <v>13</v>
      </c>
      <c r="G2307" s="7">
        <v>12</v>
      </c>
      <c r="H2307" s="4">
        <v>0</v>
      </c>
      <c r="I2307" s="4">
        <f>ROUND(G2307*H2307,6)</f>
        <v>0</v>
      </c>
      <c r="L2307" s="6">
        <v>0</v>
      </c>
      <c r="M2307" s="5">
        <f>ROUND(ROUND(L2307,2)*ROUND(G2307,3),2)</f>
        <v>0</v>
      </c>
      <c r="N2307" s="4" t="s">
        <v>55</v>
      </c>
      <c r="O2307">
        <f>(M2307*21)/100</f>
        <v>0</v>
      </c>
      <c r="P2307" t="s">
        <v>6</v>
      </c>
    </row>
    <row r="2308" spans="1:16" ht="13.2" x14ac:dyDescent="0.25">
      <c r="A2308" s="3" t="s">
        <v>5</v>
      </c>
      <c r="E2308" s="1" t="s">
        <v>238</v>
      </c>
    </row>
    <row r="2309" spans="1:16" ht="13.2" x14ac:dyDescent="0.25">
      <c r="A2309" s="3" t="s">
        <v>3</v>
      </c>
      <c r="E2309" s="2" t="s">
        <v>2</v>
      </c>
    </row>
    <row r="2310" spans="1:16" ht="52.8" x14ac:dyDescent="0.25">
      <c r="A2310" t="s">
        <v>1</v>
      </c>
      <c r="E2310" s="1" t="s">
        <v>0</v>
      </c>
    </row>
    <row r="2311" spans="1:16" ht="13.2" x14ac:dyDescent="0.25">
      <c r="A2311" t="s">
        <v>11</v>
      </c>
      <c r="B2311" s="9" t="s">
        <v>237</v>
      </c>
      <c r="C2311" s="9" t="s">
        <v>236</v>
      </c>
      <c r="D2311" s="3" t="s">
        <v>2</v>
      </c>
      <c r="E2311" s="8" t="s">
        <v>235</v>
      </c>
      <c r="F2311" s="4" t="s">
        <v>13</v>
      </c>
      <c r="G2311" s="7">
        <v>3</v>
      </c>
      <c r="H2311" s="4">
        <v>0</v>
      </c>
      <c r="I2311" s="4">
        <f>ROUND(G2311*H2311,6)</f>
        <v>0</v>
      </c>
      <c r="L2311" s="6">
        <v>0</v>
      </c>
      <c r="M2311" s="5">
        <f>ROUND(ROUND(L2311,2)*ROUND(G2311,3),2)</f>
        <v>0</v>
      </c>
      <c r="N2311" s="4" t="s">
        <v>55</v>
      </c>
      <c r="O2311">
        <f>(M2311*21)/100</f>
        <v>0</v>
      </c>
      <c r="P2311" t="s">
        <v>6</v>
      </c>
    </row>
    <row r="2312" spans="1:16" ht="13.2" x14ac:dyDescent="0.25">
      <c r="A2312" s="3" t="s">
        <v>5</v>
      </c>
      <c r="E2312" s="1" t="s">
        <v>235</v>
      </c>
    </row>
    <row r="2313" spans="1:16" ht="13.2" x14ac:dyDescent="0.25">
      <c r="A2313" s="3" t="s">
        <v>3</v>
      </c>
      <c r="E2313" s="2" t="s">
        <v>2</v>
      </c>
    </row>
    <row r="2314" spans="1:16" ht="52.8" x14ac:dyDescent="0.25">
      <c r="A2314" t="s">
        <v>1</v>
      </c>
      <c r="E2314" s="1" t="s">
        <v>0</v>
      </c>
    </row>
    <row r="2315" spans="1:16" ht="13.2" x14ac:dyDescent="0.25">
      <c r="A2315" t="s">
        <v>11</v>
      </c>
      <c r="B2315" s="9" t="s">
        <v>234</v>
      </c>
      <c r="C2315" s="9" t="s">
        <v>233</v>
      </c>
      <c r="D2315" s="3" t="s">
        <v>2</v>
      </c>
      <c r="E2315" s="8" t="s">
        <v>232</v>
      </c>
      <c r="F2315" s="4" t="s">
        <v>13</v>
      </c>
      <c r="G2315" s="7">
        <v>1</v>
      </c>
      <c r="H2315" s="4">
        <v>0</v>
      </c>
      <c r="I2315" s="4">
        <f>ROUND(G2315*H2315,6)</f>
        <v>0</v>
      </c>
      <c r="L2315" s="6">
        <v>0</v>
      </c>
      <c r="M2315" s="5">
        <f>ROUND(ROUND(L2315,2)*ROUND(G2315,3),2)</f>
        <v>0</v>
      </c>
      <c r="N2315" s="4" t="s">
        <v>55</v>
      </c>
      <c r="O2315">
        <f>(M2315*21)/100</f>
        <v>0</v>
      </c>
      <c r="P2315" t="s">
        <v>6</v>
      </c>
    </row>
    <row r="2316" spans="1:16" ht="13.2" x14ac:dyDescent="0.25">
      <c r="A2316" s="3" t="s">
        <v>5</v>
      </c>
      <c r="E2316" s="1" t="s">
        <v>232</v>
      </c>
    </row>
    <row r="2317" spans="1:16" ht="13.2" x14ac:dyDescent="0.25">
      <c r="A2317" s="3" t="s">
        <v>3</v>
      </c>
      <c r="E2317" s="2" t="s">
        <v>2</v>
      </c>
    </row>
    <row r="2318" spans="1:16" ht="52.8" x14ac:dyDescent="0.25">
      <c r="A2318" t="s">
        <v>1</v>
      </c>
      <c r="E2318" s="1" t="s">
        <v>0</v>
      </c>
    </row>
    <row r="2319" spans="1:16" ht="13.2" x14ac:dyDescent="0.25">
      <c r="A2319" t="s">
        <v>11</v>
      </c>
      <c r="B2319" s="9" t="s">
        <v>231</v>
      </c>
      <c r="C2319" s="9" t="s">
        <v>230</v>
      </c>
      <c r="D2319" s="3" t="s">
        <v>2</v>
      </c>
      <c r="E2319" s="8" t="s">
        <v>229</v>
      </c>
      <c r="F2319" s="4" t="s">
        <v>13</v>
      </c>
      <c r="G2319" s="7">
        <v>2</v>
      </c>
      <c r="H2319" s="4">
        <v>0</v>
      </c>
      <c r="I2319" s="4">
        <f>ROUND(G2319*H2319,6)</f>
        <v>0</v>
      </c>
      <c r="L2319" s="6">
        <v>0</v>
      </c>
      <c r="M2319" s="5">
        <f>ROUND(ROUND(L2319,2)*ROUND(G2319,3),2)</f>
        <v>0</v>
      </c>
      <c r="N2319" s="4" t="s">
        <v>55</v>
      </c>
      <c r="O2319">
        <f>(M2319*21)/100</f>
        <v>0</v>
      </c>
      <c r="P2319" t="s">
        <v>6</v>
      </c>
    </row>
    <row r="2320" spans="1:16" ht="13.2" x14ac:dyDescent="0.25">
      <c r="A2320" s="3" t="s">
        <v>5</v>
      </c>
      <c r="E2320" s="1" t="s">
        <v>229</v>
      </c>
    </row>
    <row r="2321" spans="1:16" ht="13.2" x14ac:dyDescent="0.25">
      <c r="A2321" s="3" t="s">
        <v>3</v>
      </c>
      <c r="E2321" s="2" t="s">
        <v>2</v>
      </c>
    </row>
    <row r="2322" spans="1:16" ht="52.8" x14ac:dyDescent="0.25">
      <c r="A2322" t="s">
        <v>1</v>
      </c>
      <c r="E2322" s="1" t="s">
        <v>0</v>
      </c>
    </row>
    <row r="2323" spans="1:16" ht="13.2" x14ac:dyDescent="0.25">
      <c r="A2323" t="s">
        <v>11</v>
      </c>
      <c r="B2323" s="9" t="s">
        <v>228</v>
      </c>
      <c r="C2323" s="9" t="s">
        <v>227</v>
      </c>
      <c r="D2323" s="3" t="s">
        <v>2</v>
      </c>
      <c r="E2323" s="8" t="s">
        <v>226</v>
      </c>
      <c r="F2323" s="4" t="s">
        <v>13</v>
      </c>
      <c r="G2323" s="7">
        <v>1</v>
      </c>
      <c r="H2323" s="4">
        <v>0</v>
      </c>
      <c r="I2323" s="4">
        <f>ROUND(G2323*H2323,6)</f>
        <v>0</v>
      </c>
      <c r="L2323" s="6">
        <v>0</v>
      </c>
      <c r="M2323" s="5">
        <f>ROUND(ROUND(L2323,2)*ROUND(G2323,3),2)</f>
        <v>0</v>
      </c>
      <c r="N2323" s="4" t="s">
        <v>55</v>
      </c>
      <c r="O2323">
        <f>(M2323*21)/100</f>
        <v>0</v>
      </c>
      <c r="P2323" t="s">
        <v>6</v>
      </c>
    </row>
    <row r="2324" spans="1:16" ht="13.2" x14ac:dyDescent="0.25">
      <c r="A2324" s="3" t="s">
        <v>5</v>
      </c>
      <c r="E2324" s="1" t="s">
        <v>226</v>
      </c>
    </row>
    <row r="2325" spans="1:16" ht="13.2" x14ac:dyDescent="0.25">
      <c r="A2325" s="3" t="s">
        <v>3</v>
      </c>
      <c r="E2325" s="2" t="s">
        <v>2</v>
      </c>
    </row>
    <row r="2326" spans="1:16" ht="52.8" x14ac:dyDescent="0.25">
      <c r="A2326" t="s">
        <v>1</v>
      </c>
      <c r="E2326" s="1" t="s">
        <v>0</v>
      </c>
    </row>
    <row r="2327" spans="1:16" ht="13.2" x14ac:dyDescent="0.25">
      <c r="A2327" t="s">
        <v>11</v>
      </c>
      <c r="B2327" s="9" t="s">
        <v>225</v>
      </c>
      <c r="C2327" s="9" t="s">
        <v>224</v>
      </c>
      <c r="D2327" s="3" t="s">
        <v>2</v>
      </c>
      <c r="E2327" s="8" t="s">
        <v>223</v>
      </c>
      <c r="F2327" s="4" t="s">
        <v>13</v>
      </c>
      <c r="G2327" s="7">
        <v>2</v>
      </c>
      <c r="H2327" s="4">
        <v>0</v>
      </c>
      <c r="I2327" s="4">
        <f>ROUND(G2327*H2327,6)</f>
        <v>0</v>
      </c>
      <c r="L2327" s="6">
        <v>0</v>
      </c>
      <c r="M2327" s="5">
        <f>ROUND(ROUND(L2327,2)*ROUND(G2327,3),2)</f>
        <v>0</v>
      </c>
      <c r="N2327" s="4" t="s">
        <v>55</v>
      </c>
      <c r="O2327">
        <f>(M2327*21)/100</f>
        <v>0</v>
      </c>
      <c r="P2327" t="s">
        <v>6</v>
      </c>
    </row>
    <row r="2328" spans="1:16" ht="13.2" x14ac:dyDescent="0.25">
      <c r="A2328" s="3" t="s">
        <v>5</v>
      </c>
      <c r="E2328" s="1" t="s">
        <v>223</v>
      </c>
    </row>
    <row r="2329" spans="1:16" ht="13.2" x14ac:dyDescent="0.25">
      <c r="A2329" s="3" t="s">
        <v>3</v>
      </c>
      <c r="E2329" s="2" t="s">
        <v>2</v>
      </c>
    </row>
    <row r="2330" spans="1:16" ht="52.8" x14ac:dyDescent="0.25">
      <c r="A2330" t="s">
        <v>1</v>
      </c>
      <c r="E2330" s="1" t="s">
        <v>0</v>
      </c>
    </row>
    <row r="2331" spans="1:16" ht="13.2" x14ac:dyDescent="0.25">
      <c r="A2331" t="s">
        <v>11</v>
      </c>
      <c r="B2331" s="9" t="s">
        <v>222</v>
      </c>
      <c r="C2331" s="9" t="s">
        <v>221</v>
      </c>
      <c r="D2331" s="3" t="s">
        <v>2</v>
      </c>
      <c r="E2331" s="8" t="s">
        <v>220</v>
      </c>
      <c r="F2331" s="4" t="s">
        <v>13</v>
      </c>
      <c r="G2331" s="7">
        <v>1</v>
      </c>
      <c r="H2331" s="4">
        <v>0</v>
      </c>
      <c r="I2331" s="4">
        <f>ROUND(G2331*H2331,6)</f>
        <v>0</v>
      </c>
      <c r="L2331" s="6">
        <v>0</v>
      </c>
      <c r="M2331" s="5">
        <f>ROUND(ROUND(L2331,2)*ROUND(G2331,3),2)</f>
        <v>0</v>
      </c>
      <c r="N2331" s="4" t="s">
        <v>55</v>
      </c>
      <c r="O2331">
        <f>(M2331*21)/100</f>
        <v>0</v>
      </c>
      <c r="P2331" t="s">
        <v>6</v>
      </c>
    </row>
    <row r="2332" spans="1:16" ht="13.2" x14ac:dyDescent="0.25">
      <c r="A2332" s="3" t="s">
        <v>5</v>
      </c>
      <c r="E2332" s="1" t="s">
        <v>220</v>
      </c>
    </row>
    <row r="2333" spans="1:16" ht="13.2" x14ac:dyDescent="0.25">
      <c r="A2333" s="3" t="s">
        <v>3</v>
      </c>
      <c r="E2333" s="2" t="s">
        <v>2</v>
      </c>
    </row>
    <row r="2334" spans="1:16" ht="52.8" x14ac:dyDescent="0.25">
      <c r="A2334" t="s">
        <v>1</v>
      </c>
      <c r="E2334" s="1" t="s">
        <v>0</v>
      </c>
    </row>
    <row r="2335" spans="1:16" ht="13.2" x14ac:dyDescent="0.25">
      <c r="A2335" t="s">
        <v>11</v>
      </c>
      <c r="B2335" s="9" t="s">
        <v>219</v>
      </c>
      <c r="C2335" s="9" t="s">
        <v>218</v>
      </c>
      <c r="D2335" s="3" t="s">
        <v>2</v>
      </c>
      <c r="E2335" s="8" t="s">
        <v>217</v>
      </c>
      <c r="F2335" s="4" t="s">
        <v>13</v>
      </c>
      <c r="G2335" s="7">
        <v>1</v>
      </c>
      <c r="H2335" s="4">
        <v>0</v>
      </c>
      <c r="I2335" s="4">
        <f>ROUND(G2335*H2335,6)</f>
        <v>0</v>
      </c>
      <c r="L2335" s="6">
        <v>0</v>
      </c>
      <c r="M2335" s="5">
        <f>ROUND(ROUND(L2335,2)*ROUND(G2335,3),2)</f>
        <v>0</v>
      </c>
      <c r="N2335" s="4" t="s">
        <v>55</v>
      </c>
      <c r="O2335">
        <f>(M2335*21)/100</f>
        <v>0</v>
      </c>
      <c r="P2335" t="s">
        <v>6</v>
      </c>
    </row>
    <row r="2336" spans="1:16" ht="13.2" x14ac:dyDescent="0.25">
      <c r="A2336" s="3" t="s">
        <v>5</v>
      </c>
      <c r="E2336" s="1" t="s">
        <v>217</v>
      </c>
    </row>
    <row r="2337" spans="1:16" ht="13.2" x14ac:dyDescent="0.25">
      <c r="A2337" s="3" t="s">
        <v>3</v>
      </c>
      <c r="E2337" s="2" t="s">
        <v>2</v>
      </c>
    </row>
    <row r="2338" spans="1:16" ht="52.8" x14ac:dyDescent="0.25">
      <c r="A2338" t="s">
        <v>1</v>
      </c>
      <c r="E2338" s="1" t="s">
        <v>0</v>
      </c>
    </row>
    <row r="2339" spans="1:16" ht="13.2" x14ac:dyDescent="0.25">
      <c r="A2339" t="s">
        <v>11</v>
      </c>
      <c r="B2339" s="9" t="s">
        <v>216</v>
      </c>
      <c r="C2339" s="9" t="s">
        <v>215</v>
      </c>
      <c r="D2339" s="3" t="s">
        <v>2</v>
      </c>
      <c r="E2339" s="8" t="s">
        <v>214</v>
      </c>
      <c r="F2339" s="4" t="s">
        <v>13</v>
      </c>
      <c r="G2339" s="7">
        <v>1</v>
      </c>
      <c r="H2339" s="4">
        <v>0</v>
      </c>
      <c r="I2339" s="4">
        <f>ROUND(G2339*H2339,6)</f>
        <v>0</v>
      </c>
      <c r="L2339" s="6">
        <v>0</v>
      </c>
      <c r="M2339" s="5">
        <f>ROUND(ROUND(L2339,2)*ROUND(G2339,3),2)</f>
        <v>0</v>
      </c>
      <c r="N2339" s="4" t="s">
        <v>55</v>
      </c>
      <c r="O2339">
        <f>(M2339*21)/100</f>
        <v>0</v>
      </c>
      <c r="P2339" t="s">
        <v>6</v>
      </c>
    </row>
    <row r="2340" spans="1:16" ht="13.2" x14ac:dyDescent="0.25">
      <c r="A2340" s="3" t="s">
        <v>5</v>
      </c>
      <c r="E2340" s="1" t="s">
        <v>214</v>
      </c>
    </row>
    <row r="2341" spans="1:16" ht="13.2" x14ac:dyDescent="0.25">
      <c r="A2341" s="3" t="s">
        <v>3</v>
      </c>
      <c r="E2341" s="2" t="s">
        <v>2</v>
      </c>
    </row>
    <row r="2342" spans="1:16" ht="52.8" x14ac:dyDescent="0.25">
      <c r="A2342" t="s">
        <v>1</v>
      </c>
      <c r="E2342" s="1" t="s">
        <v>0</v>
      </c>
    </row>
    <row r="2343" spans="1:16" ht="13.2" x14ac:dyDescent="0.25">
      <c r="A2343" t="s">
        <v>11</v>
      </c>
      <c r="B2343" s="9" t="s">
        <v>213</v>
      </c>
      <c r="C2343" s="9" t="s">
        <v>212</v>
      </c>
      <c r="D2343" s="3" t="s">
        <v>2</v>
      </c>
      <c r="E2343" s="8" t="s">
        <v>211</v>
      </c>
      <c r="F2343" s="4" t="s">
        <v>13</v>
      </c>
      <c r="G2343" s="7">
        <v>11</v>
      </c>
      <c r="H2343" s="4">
        <v>0</v>
      </c>
      <c r="I2343" s="4">
        <f>ROUND(G2343*H2343,6)</f>
        <v>0</v>
      </c>
      <c r="L2343" s="6">
        <v>0</v>
      </c>
      <c r="M2343" s="5">
        <f>ROUND(ROUND(L2343,2)*ROUND(G2343,3),2)</f>
        <v>0</v>
      </c>
      <c r="N2343" s="4" t="s">
        <v>55</v>
      </c>
      <c r="O2343">
        <f>(M2343*21)/100</f>
        <v>0</v>
      </c>
      <c r="P2343" t="s">
        <v>6</v>
      </c>
    </row>
    <row r="2344" spans="1:16" ht="13.2" x14ac:dyDescent="0.25">
      <c r="A2344" s="3" t="s">
        <v>5</v>
      </c>
      <c r="E2344" s="1" t="s">
        <v>211</v>
      </c>
    </row>
    <row r="2345" spans="1:16" ht="13.2" x14ac:dyDescent="0.25">
      <c r="A2345" s="3" t="s">
        <v>3</v>
      </c>
      <c r="E2345" s="2" t="s">
        <v>2</v>
      </c>
    </row>
    <row r="2346" spans="1:16" ht="52.8" x14ac:dyDescent="0.25">
      <c r="A2346" t="s">
        <v>1</v>
      </c>
      <c r="E2346" s="1" t="s">
        <v>0</v>
      </c>
    </row>
    <row r="2347" spans="1:16" ht="13.2" x14ac:dyDescent="0.25">
      <c r="A2347" t="s">
        <v>11</v>
      </c>
      <c r="B2347" s="9" t="s">
        <v>210</v>
      </c>
      <c r="C2347" s="9" t="s">
        <v>209</v>
      </c>
      <c r="D2347" s="3" t="s">
        <v>2</v>
      </c>
      <c r="E2347" s="8" t="s">
        <v>208</v>
      </c>
      <c r="F2347" s="4" t="s">
        <v>13</v>
      </c>
      <c r="G2347" s="7">
        <v>8</v>
      </c>
      <c r="H2347" s="4">
        <v>0</v>
      </c>
      <c r="I2347" s="4">
        <f>ROUND(G2347*H2347,6)</f>
        <v>0</v>
      </c>
      <c r="L2347" s="6">
        <v>0</v>
      </c>
      <c r="M2347" s="5">
        <f>ROUND(ROUND(L2347,2)*ROUND(G2347,3),2)</f>
        <v>0</v>
      </c>
      <c r="N2347" s="4" t="s">
        <v>55</v>
      </c>
      <c r="O2347">
        <f>(M2347*21)/100</f>
        <v>0</v>
      </c>
      <c r="P2347" t="s">
        <v>6</v>
      </c>
    </row>
    <row r="2348" spans="1:16" ht="13.2" x14ac:dyDescent="0.25">
      <c r="A2348" s="3" t="s">
        <v>5</v>
      </c>
      <c r="E2348" s="1" t="s">
        <v>208</v>
      </c>
    </row>
    <row r="2349" spans="1:16" ht="13.2" x14ac:dyDescent="0.25">
      <c r="A2349" s="3" t="s">
        <v>3</v>
      </c>
      <c r="E2349" s="2" t="s">
        <v>2</v>
      </c>
    </row>
    <row r="2350" spans="1:16" ht="52.8" x14ac:dyDescent="0.25">
      <c r="A2350" t="s">
        <v>1</v>
      </c>
      <c r="E2350" s="1" t="s">
        <v>0</v>
      </c>
    </row>
    <row r="2351" spans="1:16" ht="13.2" x14ac:dyDescent="0.25">
      <c r="A2351" t="s">
        <v>11</v>
      </c>
      <c r="B2351" s="9" t="s">
        <v>207</v>
      </c>
      <c r="C2351" s="9" t="s">
        <v>206</v>
      </c>
      <c r="D2351" s="3" t="s">
        <v>2</v>
      </c>
      <c r="E2351" s="8" t="s">
        <v>205</v>
      </c>
      <c r="F2351" s="4" t="s">
        <v>13</v>
      </c>
      <c r="G2351" s="7">
        <v>1</v>
      </c>
      <c r="H2351" s="4">
        <v>0</v>
      </c>
      <c r="I2351" s="4">
        <f>ROUND(G2351*H2351,6)</f>
        <v>0</v>
      </c>
      <c r="L2351" s="6">
        <v>0</v>
      </c>
      <c r="M2351" s="5">
        <f>ROUND(ROUND(L2351,2)*ROUND(G2351,3),2)</f>
        <v>0</v>
      </c>
      <c r="N2351" s="4" t="s">
        <v>55</v>
      </c>
      <c r="O2351">
        <f>(M2351*21)/100</f>
        <v>0</v>
      </c>
      <c r="P2351" t="s">
        <v>6</v>
      </c>
    </row>
    <row r="2352" spans="1:16" ht="13.2" x14ac:dyDescent="0.25">
      <c r="A2352" s="3" t="s">
        <v>5</v>
      </c>
      <c r="E2352" s="1" t="s">
        <v>205</v>
      </c>
    </row>
    <row r="2353" spans="1:16" ht="13.2" x14ac:dyDescent="0.25">
      <c r="A2353" s="3" t="s">
        <v>3</v>
      </c>
      <c r="E2353" s="2" t="s">
        <v>2</v>
      </c>
    </row>
    <row r="2354" spans="1:16" ht="52.8" x14ac:dyDescent="0.25">
      <c r="A2354" t="s">
        <v>1</v>
      </c>
      <c r="E2354" s="1" t="s">
        <v>0</v>
      </c>
    </row>
    <row r="2355" spans="1:16" ht="13.2" x14ac:dyDescent="0.25">
      <c r="A2355" t="s">
        <v>11</v>
      </c>
      <c r="B2355" s="9" t="s">
        <v>204</v>
      </c>
      <c r="C2355" s="9" t="s">
        <v>203</v>
      </c>
      <c r="D2355" s="3" t="s">
        <v>2</v>
      </c>
      <c r="E2355" s="8" t="s">
        <v>202</v>
      </c>
      <c r="F2355" s="4" t="s">
        <v>13</v>
      </c>
      <c r="G2355" s="7">
        <v>1</v>
      </c>
      <c r="H2355" s="4">
        <v>0</v>
      </c>
      <c r="I2355" s="4">
        <f>ROUND(G2355*H2355,6)</f>
        <v>0</v>
      </c>
      <c r="L2355" s="6">
        <v>0</v>
      </c>
      <c r="M2355" s="5">
        <f>ROUND(ROUND(L2355,2)*ROUND(G2355,3),2)</f>
        <v>0</v>
      </c>
      <c r="N2355" s="4" t="s">
        <v>55</v>
      </c>
      <c r="O2355">
        <f>(M2355*21)/100</f>
        <v>0</v>
      </c>
      <c r="P2355" t="s">
        <v>6</v>
      </c>
    </row>
    <row r="2356" spans="1:16" ht="13.2" x14ac:dyDescent="0.25">
      <c r="A2356" s="3" t="s">
        <v>5</v>
      </c>
      <c r="E2356" s="1" t="s">
        <v>202</v>
      </c>
    </row>
    <row r="2357" spans="1:16" ht="13.2" x14ac:dyDescent="0.25">
      <c r="A2357" s="3" t="s">
        <v>3</v>
      </c>
      <c r="E2357" s="2" t="s">
        <v>2</v>
      </c>
    </row>
    <row r="2358" spans="1:16" ht="52.8" x14ac:dyDescent="0.25">
      <c r="A2358" t="s">
        <v>1</v>
      </c>
      <c r="E2358" s="1" t="s">
        <v>0</v>
      </c>
    </row>
    <row r="2359" spans="1:16" ht="13.2" x14ac:dyDescent="0.25">
      <c r="A2359" t="s">
        <v>11</v>
      </c>
      <c r="B2359" s="9" t="s">
        <v>201</v>
      </c>
      <c r="C2359" s="9" t="s">
        <v>200</v>
      </c>
      <c r="D2359" s="3" t="s">
        <v>2</v>
      </c>
      <c r="E2359" s="8" t="s">
        <v>199</v>
      </c>
      <c r="F2359" s="4" t="s">
        <v>13</v>
      </c>
      <c r="G2359" s="7">
        <v>7</v>
      </c>
      <c r="H2359" s="4">
        <v>0</v>
      </c>
      <c r="I2359" s="4">
        <f>ROUND(G2359*H2359,6)</f>
        <v>0</v>
      </c>
      <c r="L2359" s="6">
        <v>0</v>
      </c>
      <c r="M2359" s="5">
        <f>ROUND(ROUND(L2359,2)*ROUND(G2359,3),2)</f>
        <v>0</v>
      </c>
      <c r="N2359" s="4" t="s">
        <v>55</v>
      </c>
      <c r="O2359">
        <f>(M2359*21)/100</f>
        <v>0</v>
      </c>
      <c r="P2359" t="s">
        <v>6</v>
      </c>
    </row>
    <row r="2360" spans="1:16" ht="13.2" x14ac:dyDescent="0.25">
      <c r="A2360" s="3" t="s">
        <v>5</v>
      </c>
      <c r="E2360" s="1" t="s">
        <v>199</v>
      </c>
    </row>
    <row r="2361" spans="1:16" ht="13.2" x14ac:dyDescent="0.25">
      <c r="A2361" s="3" t="s">
        <v>3</v>
      </c>
      <c r="E2361" s="2" t="s">
        <v>2</v>
      </c>
    </row>
    <row r="2362" spans="1:16" ht="52.8" x14ac:dyDescent="0.25">
      <c r="A2362" t="s">
        <v>1</v>
      </c>
      <c r="E2362" s="1" t="s">
        <v>0</v>
      </c>
    </row>
    <row r="2363" spans="1:16" ht="13.2" x14ac:dyDescent="0.25">
      <c r="A2363" t="s">
        <v>11</v>
      </c>
      <c r="B2363" s="9" t="s">
        <v>198</v>
      </c>
      <c r="C2363" s="9" t="s">
        <v>197</v>
      </c>
      <c r="D2363" s="3" t="s">
        <v>2</v>
      </c>
      <c r="E2363" s="8" t="s">
        <v>196</v>
      </c>
      <c r="F2363" s="4" t="s">
        <v>13</v>
      </c>
      <c r="G2363" s="7">
        <v>10</v>
      </c>
      <c r="H2363" s="4">
        <v>0</v>
      </c>
      <c r="I2363" s="4">
        <f>ROUND(G2363*H2363,6)</f>
        <v>0</v>
      </c>
      <c r="L2363" s="6">
        <v>0</v>
      </c>
      <c r="M2363" s="5">
        <f>ROUND(ROUND(L2363,2)*ROUND(G2363,3),2)</f>
        <v>0</v>
      </c>
      <c r="N2363" s="4" t="s">
        <v>55</v>
      </c>
      <c r="O2363">
        <f>(M2363*21)/100</f>
        <v>0</v>
      </c>
      <c r="P2363" t="s">
        <v>6</v>
      </c>
    </row>
    <row r="2364" spans="1:16" ht="13.2" x14ac:dyDescent="0.25">
      <c r="A2364" s="3" t="s">
        <v>5</v>
      </c>
      <c r="E2364" s="1" t="s">
        <v>196</v>
      </c>
    </row>
    <row r="2365" spans="1:16" ht="13.2" x14ac:dyDescent="0.25">
      <c r="A2365" s="3" t="s">
        <v>3</v>
      </c>
      <c r="E2365" s="2" t="s">
        <v>2</v>
      </c>
    </row>
    <row r="2366" spans="1:16" ht="52.8" x14ac:dyDescent="0.25">
      <c r="A2366" t="s">
        <v>1</v>
      </c>
      <c r="E2366" s="1" t="s">
        <v>0</v>
      </c>
    </row>
    <row r="2367" spans="1:16" ht="13.2" x14ac:dyDescent="0.25">
      <c r="A2367" t="s">
        <v>11</v>
      </c>
      <c r="B2367" s="9" t="s">
        <v>195</v>
      </c>
      <c r="C2367" s="9" t="s">
        <v>194</v>
      </c>
      <c r="D2367" s="3" t="s">
        <v>2</v>
      </c>
      <c r="E2367" s="8" t="s">
        <v>193</v>
      </c>
      <c r="F2367" s="4" t="s">
        <v>13</v>
      </c>
      <c r="G2367" s="7">
        <v>1</v>
      </c>
      <c r="H2367" s="4">
        <v>0</v>
      </c>
      <c r="I2367" s="4">
        <f>ROUND(G2367*H2367,6)</f>
        <v>0</v>
      </c>
      <c r="L2367" s="6">
        <v>0</v>
      </c>
      <c r="M2367" s="5">
        <f>ROUND(ROUND(L2367,2)*ROUND(G2367,3),2)</f>
        <v>0</v>
      </c>
      <c r="N2367" s="4" t="s">
        <v>55</v>
      </c>
      <c r="O2367">
        <f>(M2367*21)/100</f>
        <v>0</v>
      </c>
      <c r="P2367" t="s">
        <v>6</v>
      </c>
    </row>
    <row r="2368" spans="1:16" ht="13.2" x14ac:dyDescent="0.25">
      <c r="A2368" s="3" t="s">
        <v>5</v>
      </c>
      <c r="E2368" s="1" t="s">
        <v>193</v>
      </c>
    </row>
    <row r="2369" spans="1:16" ht="13.2" x14ac:dyDescent="0.25">
      <c r="A2369" s="3" t="s">
        <v>3</v>
      </c>
      <c r="E2369" s="2" t="s">
        <v>2</v>
      </c>
    </row>
    <row r="2370" spans="1:16" ht="52.8" x14ac:dyDescent="0.25">
      <c r="A2370" t="s">
        <v>1</v>
      </c>
      <c r="E2370" s="1" t="s">
        <v>0</v>
      </c>
    </row>
    <row r="2371" spans="1:16" ht="13.2" x14ac:dyDescent="0.25">
      <c r="A2371" t="s">
        <v>11</v>
      </c>
      <c r="B2371" s="9" t="s">
        <v>192</v>
      </c>
      <c r="C2371" s="9" t="s">
        <v>191</v>
      </c>
      <c r="D2371" s="3" t="s">
        <v>2</v>
      </c>
      <c r="E2371" s="8" t="s">
        <v>190</v>
      </c>
      <c r="F2371" s="4" t="s">
        <v>13</v>
      </c>
      <c r="G2371" s="7">
        <v>13</v>
      </c>
      <c r="H2371" s="4">
        <v>0</v>
      </c>
      <c r="I2371" s="4">
        <f>ROUND(G2371*H2371,6)</f>
        <v>0</v>
      </c>
      <c r="L2371" s="6">
        <v>0</v>
      </c>
      <c r="M2371" s="5">
        <f>ROUND(ROUND(L2371,2)*ROUND(G2371,3),2)</f>
        <v>0</v>
      </c>
      <c r="N2371" s="4" t="s">
        <v>55</v>
      </c>
      <c r="O2371">
        <f>(M2371*21)/100</f>
        <v>0</v>
      </c>
      <c r="P2371" t="s">
        <v>6</v>
      </c>
    </row>
    <row r="2372" spans="1:16" ht="13.2" x14ac:dyDescent="0.25">
      <c r="A2372" s="3" t="s">
        <v>5</v>
      </c>
      <c r="E2372" s="1" t="s">
        <v>190</v>
      </c>
    </row>
    <row r="2373" spans="1:16" ht="13.2" x14ac:dyDescent="0.25">
      <c r="A2373" s="3" t="s">
        <v>3</v>
      </c>
      <c r="E2373" s="2" t="s">
        <v>2</v>
      </c>
    </row>
    <row r="2374" spans="1:16" ht="52.8" x14ac:dyDescent="0.25">
      <c r="A2374" t="s">
        <v>1</v>
      </c>
      <c r="E2374" s="1" t="s">
        <v>0</v>
      </c>
    </row>
    <row r="2375" spans="1:16" ht="13.2" x14ac:dyDescent="0.25">
      <c r="A2375" t="s">
        <v>11</v>
      </c>
      <c r="B2375" s="9" t="s">
        <v>189</v>
      </c>
      <c r="C2375" s="9" t="s">
        <v>188</v>
      </c>
      <c r="D2375" s="3" t="s">
        <v>2</v>
      </c>
      <c r="E2375" s="8" t="s">
        <v>187</v>
      </c>
      <c r="F2375" s="4" t="s">
        <v>13</v>
      </c>
      <c r="G2375" s="7">
        <v>2</v>
      </c>
      <c r="H2375" s="4">
        <v>0</v>
      </c>
      <c r="I2375" s="4">
        <f>ROUND(G2375*H2375,6)</f>
        <v>0</v>
      </c>
      <c r="L2375" s="6">
        <v>0</v>
      </c>
      <c r="M2375" s="5">
        <f>ROUND(ROUND(L2375,2)*ROUND(G2375,3),2)</f>
        <v>0</v>
      </c>
      <c r="N2375" s="4" t="s">
        <v>55</v>
      </c>
      <c r="O2375">
        <f>(M2375*21)/100</f>
        <v>0</v>
      </c>
      <c r="P2375" t="s">
        <v>6</v>
      </c>
    </row>
    <row r="2376" spans="1:16" ht="13.2" x14ac:dyDescent="0.25">
      <c r="A2376" s="3" t="s">
        <v>5</v>
      </c>
      <c r="E2376" s="1" t="s">
        <v>187</v>
      </c>
    </row>
    <row r="2377" spans="1:16" ht="13.2" x14ac:dyDescent="0.25">
      <c r="A2377" s="3" t="s">
        <v>3</v>
      </c>
      <c r="E2377" s="2" t="s">
        <v>2</v>
      </c>
    </row>
    <row r="2378" spans="1:16" ht="52.8" x14ac:dyDescent="0.25">
      <c r="A2378" t="s">
        <v>1</v>
      </c>
      <c r="E2378" s="1" t="s">
        <v>0</v>
      </c>
    </row>
    <row r="2379" spans="1:16" ht="13.2" x14ac:dyDescent="0.25">
      <c r="A2379" t="s">
        <v>11</v>
      </c>
      <c r="B2379" s="9" t="s">
        <v>186</v>
      </c>
      <c r="C2379" s="9" t="s">
        <v>185</v>
      </c>
      <c r="D2379" s="3" t="s">
        <v>2</v>
      </c>
      <c r="E2379" s="8" t="s">
        <v>184</v>
      </c>
      <c r="F2379" s="4" t="s">
        <v>13</v>
      </c>
      <c r="G2379" s="7">
        <v>12</v>
      </c>
      <c r="H2379" s="4">
        <v>0</v>
      </c>
      <c r="I2379" s="4">
        <f>ROUND(G2379*H2379,6)</f>
        <v>0</v>
      </c>
      <c r="L2379" s="6">
        <v>0</v>
      </c>
      <c r="M2379" s="5">
        <f>ROUND(ROUND(L2379,2)*ROUND(G2379,3),2)</f>
        <v>0</v>
      </c>
      <c r="N2379" s="4" t="s">
        <v>55</v>
      </c>
      <c r="O2379">
        <f>(M2379*21)/100</f>
        <v>0</v>
      </c>
      <c r="P2379" t="s">
        <v>6</v>
      </c>
    </row>
    <row r="2380" spans="1:16" ht="13.2" x14ac:dyDescent="0.25">
      <c r="A2380" s="3" t="s">
        <v>5</v>
      </c>
      <c r="E2380" s="1" t="s">
        <v>184</v>
      </c>
    </row>
    <row r="2381" spans="1:16" ht="13.2" x14ac:dyDescent="0.25">
      <c r="A2381" s="3" t="s">
        <v>3</v>
      </c>
      <c r="E2381" s="2" t="s">
        <v>2</v>
      </c>
    </row>
    <row r="2382" spans="1:16" ht="52.8" x14ac:dyDescent="0.25">
      <c r="A2382" t="s">
        <v>1</v>
      </c>
      <c r="E2382" s="1" t="s">
        <v>0</v>
      </c>
    </row>
    <row r="2383" spans="1:16" ht="13.2" x14ac:dyDescent="0.25">
      <c r="A2383" t="s">
        <v>11</v>
      </c>
      <c r="B2383" s="9" t="s">
        <v>183</v>
      </c>
      <c r="C2383" s="9" t="s">
        <v>182</v>
      </c>
      <c r="D2383" s="3" t="s">
        <v>2</v>
      </c>
      <c r="E2383" s="8" t="s">
        <v>181</v>
      </c>
      <c r="F2383" s="4" t="s">
        <v>13</v>
      </c>
      <c r="G2383" s="7">
        <v>12</v>
      </c>
      <c r="H2383" s="4">
        <v>0</v>
      </c>
      <c r="I2383" s="4">
        <f>ROUND(G2383*H2383,6)</f>
        <v>0</v>
      </c>
      <c r="L2383" s="6">
        <v>0</v>
      </c>
      <c r="M2383" s="5">
        <f>ROUND(ROUND(L2383,2)*ROUND(G2383,3),2)</f>
        <v>0</v>
      </c>
      <c r="N2383" s="4" t="s">
        <v>55</v>
      </c>
      <c r="O2383">
        <f>(M2383*21)/100</f>
        <v>0</v>
      </c>
      <c r="P2383" t="s">
        <v>6</v>
      </c>
    </row>
    <row r="2384" spans="1:16" ht="13.2" x14ac:dyDescent="0.25">
      <c r="A2384" s="3" t="s">
        <v>5</v>
      </c>
      <c r="E2384" s="1" t="s">
        <v>181</v>
      </c>
    </row>
    <row r="2385" spans="1:16" ht="13.2" x14ac:dyDescent="0.25">
      <c r="A2385" s="3" t="s">
        <v>3</v>
      </c>
      <c r="E2385" s="2" t="s">
        <v>2</v>
      </c>
    </row>
    <row r="2386" spans="1:16" ht="52.8" x14ac:dyDescent="0.25">
      <c r="A2386" t="s">
        <v>1</v>
      </c>
      <c r="E2386" s="1" t="s">
        <v>0</v>
      </c>
    </row>
    <row r="2387" spans="1:16" ht="13.2" x14ac:dyDescent="0.25">
      <c r="A2387" t="s">
        <v>11</v>
      </c>
      <c r="B2387" s="9" t="s">
        <v>180</v>
      </c>
      <c r="C2387" s="9" t="s">
        <v>179</v>
      </c>
      <c r="D2387" s="3" t="s">
        <v>2</v>
      </c>
      <c r="E2387" s="8" t="s">
        <v>178</v>
      </c>
      <c r="F2387" s="4" t="s">
        <v>13</v>
      </c>
      <c r="G2387" s="7">
        <v>3</v>
      </c>
      <c r="H2387" s="4">
        <v>0</v>
      </c>
      <c r="I2387" s="4">
        <f>ROUND(G2387*H2387,6)</f>
        <v>0</v>
      </c>
      <c r="L2387" s="6">
        <v>0</v>
      </c>
      <c r="M2387" s="5">
        <f>ROUND(ROUND(L2387,2)*ROUND(G2387,3),2)</f>
        <v>0</v>
      </c>
      <c r="N2387" s="4" t="s">
        <v>55</v>
      </c>
      <c r="O2387">
        <f>(M2387*21)/100</f>
        <v>0</v>
      </c>
      <c r="P2387" t="s">
        <v>6</v>
      </c>
    </row>
    <row r="2388" spans="1:16" ht="13.2" x14ac:dyDescent="0.25">
      <c r="A2388" s="3" t="s">
        <v>5</v>
      </c>
      <c r="E2388" s="1" t="s">
        <v>178</v>
      </c>
    </row>
    <row r="2389" spans="1:16" ht="13.2" x14ac:dyDescent="0.25">
      <c r="A2389" s="3" t="s">
        <v>3</v>
      </c>
      <c r="E2389" s="2" t="s">
        <v>2</v>
      </c>
    </row>
    <row r="2390" spans="1:16" ht="52.8" x14ac:dyDescent="0.25">
      <c r="A2390" t="s">
        <v>1</v>
      </c>
      <c r="E2390" s="1" t="s">
        <v>0</v>
      </c>
    </row>
    <row r="2391" spans="1:16" ht="13.2" x14ac:dyDescent="0.25">
      <c r="A2391" t="s">
        <v>11</v>
      </c>
      <c r="B2391" s="9" t="s">
        <v>177</v>
      </c>
      <c r="C2391" s="9" t="s">
        <v>176</v>
      </c>
      <c r="D2391" s="3" t="s">
        <v>2</v>
      </c>
      <c r="E2391" s="8" t="s">
        <v>175</v>
      </c>
      <c r="F2391" s="4" t="s">
        <v>13</v>
      </c>
      <c r="G2391" s="7">
        <v>1</v>
      </c>
      <c r="H2391" s="4">
        <v>0</v>
      </c>
      <c r="I2391" s="4">
        <f>ROUND(G2391*H2391,6)</f>
        <v>0</v>
      </c>
      <c r="L2391" s="6">
        <v>0</v>
      </c>
      <c r="M2391" s="5">
        <f>ROUND(ROUND(L2391,2)*ROUND(G2391,3),2)</f>
        <v>0</v>
      </c>
      <c r="N2391" s="4" t="s">
        <v>55</v>
      </c>
      <c r="O2391">
        <f>(M2391*21)/100</f>
        <v>0</v>
      </c>
      <c r="P2391" t="s">
        <v>6</v>
      </c>
    </row>
    <row r="2392" spans="1:16" ht="13.2" x14ac:dyDescent="0.25">
      <c r="A2392" s="3" t="s">
        <v>5</v>
      </c>
      <c r="E2392" s="1" t="s">
        <v>175</v>
      </c>
    </row>
    <row r="2393" spans="1:16" ht="13.2" x14ac:dyDescent="0.25">
      <c r="A2393" s="3" t="s">
        <v>3</v>
      </c>
      <c r="E2393" s="2" t="s">
        <v>2</v>
      </c>
    </row>
    <row r="2394" spans="1:16" ht="52.8" x14ac:dyDescent="0.25">
      <c r="A2394" t="s">
        <v>1</v>
      </c>
      <c r="E2394" s="1" t="s">
        <v>0</v>
      </c>
    </row>
    <row r="2395" spans="1:16" ht="13.2" x14ac:dyDescent="0.25">
      <c r="A2395" t="s">
        <v>11</v>
      </c>
      <c r="B2395" s="9" t="s">
        <v>174</v>
      </c>
      <c r="C2395" s="9" t="s">
        <v>173</v>
      </c>
      <c r="D2395" s="3" t="s">
        <v>2</v>
      </c>
      <c r="E2395" s="8" t="s">
        <v>172</v>
      </c>
      <c r="F2395" s="4" t="s">
        <v>13</v>
      </c>
      <c r="G2395" s="7">
        <v>4</v>
      </c>
      <c r="H2395" s="4">
        <v>0</v>
      </c>
      <c r="I2395" s="4">
        <f>ROUND(G2395*H2395,6)</f>
        <v>0</v>
      </c>
      <c r="L2395" s="6">
        <v>0</v>
      </c>
      <c r="M2395" s="5">
        <f>ROUND(ROUND(L2395,2)*ROUND(G2395,3),2)</f>
        <v>0</v>
      </c>
      <c r="N2395" s="4" t="s">
        <v>55</v>
      </c>
      <c r="O2395">
        <f>(M2395*21)/100</f>
        <v>0</v>
      </c>
      <c r="P2395" t="s">
        <v>6</v>
      </c>
    </row>
    <row r="2396" spans="1:16" ht="13.2" x14ac:dyDescent="0.25">
      <c r="A2396" s="3" t="s">
        <v>5</v>
      </c>
      <c r="E2396" s="1" t="s">
        <v>172</v>
      </c>
    </row>
    <row r="2397" spans="1:16" ht="13.2" x14ac:dyDescent="0.25">
      <c r="A2397" s="3" t="s">
        <v>3</v>
      </c>
      <c r="E2397" s="2" t="s">
        <v>2</v>
      </c>
    </row>
    <row r="2398" spans="1:16" ht="52.8" x14ac:dyDescent="0.25">
      <c r="A2398" t="s">
        <v>1</v>
      </c>
      <c r="E2398" s="1" t="s">
        <v>0</v>
      </c>
    </row>
    <row r="2399" spans="1:16" ht="13.2" x14ac:dyDescent="0.25">
      <c r="A2399" t="s">
        <v>11</v>
      </c>
      <c r="B2399" s="9" t="s">
        <v>171</v>
      </c>
      <c r="C2399" s="9" t="s">
        <v>170</v>
      </c>
      <c r="D2399" s="3" t="s">
        <v>2</v>
      </c>
      <c r="E2399" s="8" t="s">
        <v>169</v>
      </c>
      <c r="F2399" s="4" t="s">
        <v>13</v>
      </c>
      <c r="G2399" s="7">
        <v>31</v>
      </c>
      <c r="H2399" s="4">
        <v>0</v>
      </c>
      <c r="I2399" s="4">
        <f>ROUND(G2399*H2399,6)</f>
        <v>0</v>
      </c>
      <c r="L2399" s="6">
        <v>0</v>
      </c>
      <c r="M2399" s="5">
        <f>ROUND(ROUND(L2399,2)*ROUND(G2399,3),2)</f>
        <v>0</v>
      </c>
      <c r="N2399" s="4" t="s">
        <v>55</v>
      </c>
      <c r="O2399">
        <f>(M2399*21)/100</f>
        <v>0</v>
      </c>
      <c r="P2399" t="s">
        <v>6</v>
      </c>
    </row>
    <row r="2400" spans="1:16" ht="13.2" x14ac:dyDescent="0.25">
      <c r="A2400" s="3" t="s">
        <v>5</v>
      </c>
      <c r="E2400" s="1" t="s">
        <v>169</v>
      </c>
    </row>
    <row r="2401" spans="1:16" ht="13.2" x14ac:dyDescent="0.25">
      <c r="A2401" s="3" t="s">
        <v>3</v>
      </c>
      <c r="E2401" s="2" t="s">
        <v>2</v>
      </c>
    </row>
    <row r="2402" spans="1:16" ht="52.8" x14ac:dyDescent="0.25">
      <c r="A2402" t="s">
        <v>1</v>
      </c>
      <c r="E2402" s="1" t="s">
        <v>0</v>
      </c>
    </row>
    <row r="2403" spans="1:16" ht="13.2" x14ac:dyDescent="0.25">
      <c r="A2403" t="s">
        <v>11</v>
      </c>
      <c r="B2403" s="9" t="s">
        <v>168</v>
      </c>
      <c r="C2403" s="9" t="s">
        <v>167</v>
      </c>
      <c r="D2403" s="3" t="s">
        <v>2</v>
      </c>
      <c r="E2403" s="8" t="s">
        <v>166</v>
      </c>
      <c r="F2403" s="4" t="s">
        <v>13</v>
      </c>
      <c r="G2403" s="7">
        <v>4</v>
      </c>
      <c r="H2403" s="4">
        <v>0</v>
      </c>
      <c r="I2403" s="4">
        <f>ROUND(G2403*H2403,6)</f>
        <v>0</v>
      </c>
      <c r="L2403" s="6">
        <v>0</v>
      </c>
      <c r="M2403" s="5">
        <f>ROUND(ROUND(L2403,2)*ROUND(G2403,3),2)</f>
        <v>0</v>
      </c>
      <c r="N2403" s="4" t="s">
        <v>55</v>
      </c>
      <c r="O2403">
        <f>(M2403*21)/100</f>
        <v>0</v>
      </c>
      <c r="P2403" t="s">
        <v>6</v>
      </c>
    </row>
    <row r="2404" spans="1:16" ht="13.2" x14ac:dyDescent="0.25">
      <c r="A2404" s="3" t="s">
        <v>5</v>
      </c>
      <c r="E2404" s="1" t="s">
        <v>166</v>
      </c>
    </row>
    <row r="2405" spans="1:16" ht="13.2" x14ac:dyDescent="0.25">
      <c r="A2405" s="3" t="s">
        <v>3</v>
      </c>
      <c r="E2405" s="2" t="s">
        <v>2</v>
      </c>
    </row>
    <row r="2406" spans="1:16" ht="52.8" x14ac:dyDescent="0.25">
      <c r="A2406" t="s">
        <v>1</v>
      </c>
      <c r="E2406" s="1" t="s">
        <v>0</v>
      </c>
    </row>
    <row r="2407" spans="1:16" ht="13.2" x14ac:dyDescent="0.25">
      <c r="A2407" t="s">
        <v>11</v>
      </c>
      <c r="B2407" s="9" t="s">
        <v>165</v>
      </c>
      <c r="C2407" s="9" t="s">
        <v>164</v>
      </c>
      <c r="D2407" s="3" t="s">
        <v>2</v>
      </c>
      <c r="E2407" s="8" t="s">
        <v>163</v>
      </c>
      <c r="F2407" s="4" t="s">
        <v>13</v>
      </c>
      <c r="G2407" s="7">
        <v>1</v>
      </c>
      <c r="H2407" s="4">
        <v>0</v>
      </c>
      <c r="I2407" s="4">
        <f>ROUND(G2407*H2407,6)</f>
        <v>0</v>
      </c>
      <c r="L2407" s="6">
        <v>0</v>
      </c>
      <c r="M2407" s="5">
        <f>ROUND(ROUND(L2407,2)*ROUND(G2407,3),2)</f>
        <v>0</v>
      </c>
      <c r="N2407" s="4" t="s">
        <v>55</v>
      </c>
      <c r="O2407">
        <f>(M2407*21)/100</f>
        <v>0</v>
      </c>
      <c r="P2407" t="s">
        <v>6</v>
      </c>
    </row>
    <row r="2408" spans="1:16" ht="13.2" x14ac:dyDescent="0.25">
      <c r="A2408" s="3" t="s">
        <v>5</v>
      </c>
      <c r="E2408" s="1" t="s">
        <v>163</v>
      </c>
    </row>
    <row r="2409" spans="1:16" ht="13.2" x14ac:dyDescent="0.25">
      <c r="A2409" s="3" t="s">
        <v>3</v>
      </c>
      <c r="E2409" s="2" t="s">
        <v>2</v>
      </c>
    </row>
    <row r="2410" spans="1:16" ht="52.8" x14ac:dyDescent="0.25">
      <c r="A2410" t="s">
        <v>1</v>
      </c>
      <c r="E2410" s="1" t="s">
        <v>0</v>
      </c>
    </row>
    <row r="2411" spans="1:16" ht="13.2" x14ac:dyDescent="0.25">
      <c r="A2411" t="s">
        <v>11</v>
      </c>
      <c r="B2411" s="9" t="s">
        <v>162</v>
      </c>
      <c r="C2411" s="9" t="s">
        <v>161</v>
      </c>
      <c r="D2411" s="3" t="s">
        <v>2</v>
      </c>
      <c r="E2411" s="8" t="s">
        <v>160</v>
      </c>
      <c r="F2411" s="4" t="s">
        <v>13</v>
      </c>
      <c r="G2411" s="7">
        <v>5</v>
      </c>
      <c r="H2411" s="4">
        <v>0</v>
      </c>
      <c r="I2411" s="4">
        <f>ROUND(G2411*H2411,6)</f>
        <v>0</v>
      </c>
      <c r="L2411" s="6">
        <v>0</v>
      </c>
      <c r="M2411" s="5">
        <f>ROUND(ROUND(L2411,2)*ROUND(G2411,3),2)</f>
        <v>0</v>
      </c>
      <c r="N2411" s="4" t="s">
        <v>55</v>
      </c>
      <c r="O2411">
        <f>(M2411*21)/100</f>
        <v>0</v>
      </c>
      <c r="P2411" t="s">
        <v>6</v>
      </c>
    </row>
    <row r="2412" spans="1:16" ht="13.2" x14ac:dyDescent="0.25">
      <c r="A2412" s="3" t="s">
        <v>5</v>
      </c>
      <c r="E2412" s="1" t="s">
        <v>160</v>
      </c>
    </row>
    <row r="2413" spans="1:16" ht="13.2" x14ac:dyDescent="0.25">
      <c r="A2413" s="3" t="s">
        <v>3</v>
      </c>
      <c r="E2413" s="2" t="s">
        <v>2</v>
      </c>
    </row>
    <row r="2414" spans="1:16" ht="52.8" x14ac:dyDescent="0.25">
      <c r="A2414" t="s">
        <v>1</v>
      </c>
      <c r="E2414" s="1" t="s">
        <v>0</v>
      </c>
    </row>
    <row r="2415" spans="1:16" ht="13.2" x14ac:dyDescent="0.25">
      <c r="A2415" t="s">
        <v>11</v>
      </c>
      <c r="B2415" s="9" t="s">
        <v>159</v>
      </c>
      <c r="C2415" s="9" t="s">
        <v>158</v>
      </c>
      <c r="D2415" s="3" t="s">
        <v>2</v>
      </c>
      <c r="E2415" s="8" t="s">
        <v>157</v>
      </c>
      <c r="F2415" s="4" t="s">
        <v>13</v>
      </c>
      <c r="G2415" s="7">
        <v>3</v>
      </c>
      <c r="H2415" s="4">
        <v>0</v>
      </c>
      <c r="I2415" s="4">
        <f>ROUND(G2415*H2415,6)</f>
        <v>0</v>
      </c>
      <c r="L2415" s="6">
        <v>0</v>
      </c>
      <c r="M2415" s="5">
        <f>ROUND(ROUND(L2415,2)*ROUND(G2415,3),2)</f>
        <v>0</v>
      </c>
      <c r="N2415" s="4" t="s">
        <v>55</v>
      </c>
      <c r="O2415">
        <f>(M2415*21)/100</f>
        <v>0</v>
      </c>
      <c r="P2415" t="s">
        <v>6</v>
      </c>
    </row>
    <row r="2416" spans="1:16" ht="13.2" x14ac:dyDescent="0.25">
      <c r="A2416" s="3" t="s">
        <v>5</v>
      </c>
      <c r="E2416" s="1" t="s">
        <v>157</v>
      </c>
    </row>
    <row r="2417" spans="1:16" ht="13.2" x14ac:dyDescent="0.25">
      <c r="A2417" s="3" t="s">
        <v>3</v>
      </c>
      <c r="E2417" s="2" t="s">
        <v>2</v>
      </c>
    </row>
    <row r="2418" spans="1:16" ht="52.8" x14ac:dyDescent="0.25">
      <c r="A2418" t="s">
        <v>1</v>
      </c>
      <c r="E2418" s="1" t="s">
        <v>0</v>
      </c>
    </row>
    <row r="2419" spans="1:16" ht="13.2" x14ac:dyDescent="0.25">
      <c r="A2419" t="s">
        <v>11</v>
      </c>
      <c r="B2419" s="9" t="s">
        <v>156</v>
      </c>
      <c r="C2419" s="9" t="s">
        <v>155</v>
      </c>
      <c r="D2419" s="3" t="s">
        <v>2</v>
      </c>
      <c r="E2419" s="8" t="s">
        <v>154</v>
      </c>
      <c r="F2419" s="4" t="s">
        <v>89</v>
      </c>
      <c r="G2419" s="7">
        <v>1</v>
      </c>
      <c r="H2419" s="4">
        <v>0</v>
      </c>
      <c r="I2419" s="4">
        <f>ROUND(G2419*H2419,6)</f>
        <v>0</v>
      </c>
      <c r="L2419" s="6">
        <v>0</v>
      </c>
      <c r="M2419" s="5">
        <f>ROUND(ROUND(L2419,2)*ROUND(G2419,3),2)</f>
        <v>0</v>
      </c>
      <c r="N2419" s="4" t="s">
        <v>55</v>
      </c>
      <c r="O2419">
        <f>(M2419*21)/100</f>
        <v>0</v>
      </c>
      <c r="P2419" t="s">
        <v>6</v>
      </c>
    </row>
    <row r="2420" spans="1:16" ht="13.2" x14ac:dyDescent="0.25">
      <c r="A2420" s="3" t="s">
        <v>5</v>
      </c>
      <c r="E2420" s="1" t="s">
        <v>154</v>
      </c>
    </row>
    <row r="2421" spans="1:16" ht="13.2" x14ac:dyDescent="0.25">
      <c r="A2421" s="3" t="s">
        <v>3</v>
      </c>
      <c r="E2421" s="2" t="s">
        <v>2</v>
      </c>
    </row>
    <row r="2422" spans="1:16" ht="52.8" x14ac:dyDescent="0.25">
      <c r="A2422" t="s">
        <v>1</v>
      </c>
      <c r="E2422" s="1" t="s">
        <v>0</v>
      </c>
    </row>
    <row r="2423" spans="1:16" ht="13.2" x14ac:dyDescent="0.25">
      <c r="A2423" t="s">
        <v>11</v>
      </c>
      <c r="B2423" s="9" t="s">
        <v>153</v>
      </c>
      <c r="C2423" s="9" t="s">
        <v>152</v>
      </c>
      <c r="D2423" s="3" t="s">
        <v>2</v>
      </c>
      <c r="E2423" s="8" t="s">
        <v>151</v>
      </c>
      <c r="F2423" s="4" t="s">
        <v>13</v>
      </c>
      <c r="G2423" s="7">
        <v>1</v>
      </c>
      <c r="H2423" s="4">
        <v>0</v>
      </c>
      <c r="I2423" s="4">
        <f>ROUND(G2423*H2423,6)</f>
        <v>0</v>
      </c>
      <c r="L2423" s="6">
        <v>0</v>
      </c>
      <c r="M2423" s="5">
        <f>ROUND(ROUND(L2423,2)*ROUND(G2423,3),2)</f>
        <v>0</v>
      </c>
      <c r="N2423" s="4" t="s">
        <v>55</v>
      </c>
      <c r="O2423">
        <f>(M2423*21)/100</f>
        <v>0</v>
      </c>
      <c r="P2423" t="s">
        <v>6</v>
      </c>
    </row>
    <row r="2424" spans="1:16" ht="13.2" x14ac:dyDescent="0.25">
      <c r="A2424" s="3" t="s">
        <v>5</v>
      </c>
      <c r="E2424" s="1" t="s">
        <v>151</v>
      </c>
    </row>
    <row r="2425" spans="1:16" ht="13.2" x14ac:dyDescent="0.25">
      <c r="A2425" s="3" t="s">
        <v>3</v>
      </c>
      <c r="E2425" s="2" t="s">
        <v>2</v>
      </c>
    </row>
    <row r="2426" spans="1:16" ht="52.8" x14ac:dyDescent="0.25">
      <c r="A2426" t="s">
        <v>1</v>
      </c>
      <c r="E2426" s="1" t="s">
        <v>0</v>
      </c>
    </row>
    <row r="2427" spans="1:16" ht="13.2" x14ac:dyDescent="0.25">
      <c r="A2427" t="s">
        <v>11</v>
      </c>
      <c r="B2427" s="9" t="s">
        <v>150</v>
      </c>
      <c r="C2427" s="9" t="s">
        <v>149</v>
      </c>
      <c r="D2427" s="3" t="s">
        <v>2</v>
      </c>
      <c r="E2427" s="8" t="s">
        <v>148</v>
      </c>
      <c r="F2427" s="4" t="s">
        <v>13</v>
      </c>
      <c r="G2427" s="7">
        <v>1</v>
      </c>
      <c r="H2427" s="4">
        <v>0</v>
      </c>
      <c r="I2427" s="4">
        <f>ROUND(G2427*H2427,6)</f>
        <v>0</v>
      </c>
      <c r="L2427" s="6">
        <v>0</v>
      </c>
      <c r="M2427" s="5">
        <f>ROUND(ROUND(L2427,2)*ROUND(G2427,3),2)</f>
        <v>0</v>
      </c>
      <c r="N2427" s="4" t="s">
        <v>55</v>
      </c>
      <c r="O2427">
        <f>(M2427*21)/100</f>
        <v>0</v>
      </c>
      <c r="P2427" t="s">
        <v>6</v>
      </c>
    </row>
    <row r="2428" spans="1:16" ht="13.2" x14ac:dyDescent="0.25">
      <c r="A2428" s="3" t="s">
        <v>5</v>
      </c>
      <c r="E2428" s="1" t="s">
        <v>148</v>
      </c>
    </row>
    <row r="2429" spans="1:16" ht="13.2" x14ac:dyDescent="0.25">
      <c r="A2429" s="3" t="s">
        <v>3</v>
      </c>
      <c r="E2429" s="2" t="s">
        <v>2</v>
      </c>
    </row>
    <row r="2430" spans="1:16" ht="52.8" x14ac:dyDescent="0.25">
      <c r="A2430" t="s">
        <v>1</v>
      </c>
      <c r="E2430" s="1" t="s">
        <v>0</v>
      </c>
    </row>
    <row r="2431" spans="1:16" ht="13.2" x14ac:dyDescent="0.25">
      <c r="A2431" t="s">
        <v>11</v>
      </c>
      <c r="B2431" s="9" t="s">
        <v>147</v>
      </c>
      <c r="C2431" s="9" t="s">
        <v>146</v>
      </c>
      <c r="D2431" s="3" t="s">
        <v>2</v>
      </c>
      <c r="E2431" s="8" t="s">
        <v>145</v>
      </c>
      <c r="F2431" s="4" t="s">
        <v>13</v>
      </c>
      <c r="G2431" s="7">
        <v>1</v>
      </c>
      <c r="H2431" s="4">
        <v>0</v>
      </c>
      <c r="I2431" s="4">
        <f>ROUND(G2431*H2431,6)</f>
        <v>0</v>
      </c>
      <c r="L2431" s="6">
        <v>0</v>
      </c>
      <c r="M2431" s="5">
        <f>ROUND(ROUND(L2431,2)*ROUND(G2431,3),2)</f>
        <v>0</v>
      </c>
      <c r="N2431" s="4" t="s">
        <v>55</v>
      </c>
      <c r="O2431">
        <f>(M2431*21)/100</f>
        <v>0</v>
      </c>
      <c r="P2431" t="s">
        <v>6</v>
      </c>
    </row>
    <row r="2432" spans="1:16" ht="13.2" x14ac:dyDescent="0.25">
      <c r="A2432" s="3" t="s">
        <v>5</v>
      </c>
      <c r="E2432" s="1" t="s">
        <v>145</v>
      </c>
    </row>
    <row r="2433" spans="1:16" ht="13.2" x14ac:dyDescent="0.25">
      <c r="A2433" s="3" t="s">
        <v>3</v>
      </c>
      <c r="E2433" s="2" t="s">
        <v>2</v>
      </c>
    </row>
    <row r="2434" spans="1:16" ht="52.8" x14ac:dyDescent="0.25">
      <c r="A2434" t="s">
        <v>1</v>
      </c>
      <c r="E2434" s="1" t="s">
        <v>0</v>
      </c>
    </row>
    <row r="2435" spans="1:16" ht="13.2" x14ac:dyDescent="0.25">
      <c r="A2435" t="s">
        <v>11</v>
      </c>
      <c r="B2435" s="9" t="s">
        <v>144</v>
      </c>
      <c r="C2435" s="9" t="s">
        <v>143</v>
      </c>
      <c r="D2435" s="3" t="s">
        <v>2</v>
      </c>
      <c r="E2435" s="8" t="s">
        <v>142</v>
      </c>
      <c r="F2435" s="4" t="s">
        <v>8</v>
      </c>
      <c r="G2435" s="7">
        <v>20</v>
      </c>
      <c r="H2435" s="4">
        <v>0</v>
      </c>
      <c r="I2435" s="4">
        <f>ROUND(G2435*H2435,6)</f>
        <v>0</v>
      </c>
      <c r="L2435" s="6">
        <v>0</v>
      </c>
      <c r="M2435" s="5">
        <f>ROUND(ROUND(L2435,2)*ROUND(G2435,3),2)</f>
        <v>0</v>
      </c>
      <c r="N2435" s="4" t="s">
        <v>55</v>
      </c>
      <c r="O2435">
        <f>(M2435*21)/100</f>
        <v>0</v>
      </c>
      <c r="P2435" t="s">
        <v>6</v>
      </c>
    </row>
    <row r="2436" spans="1:16" ht="13.2" x14ac:dyDescent="0.25">
      <c r="A2436" s="3" t="s">
        <v>5</v>
      </c>
      <c r="E2436" s="1" t="s">
        <v>142</v>
      </c>
    </row>
    <row r="2437" spans="1:16" ht="13.2" x14ac:dyDescent="0.25">
      <c r="A2437" s="3" t="s">
        <v>3</v>
      </c>
      <c r="E2437" s="2" t="s">
        <v>2</v>
      </c>
    </row>
    <row r="2438" spans="1:16" ht="52.8" x14ac:dyDescent="0.25">
      <c r="A2438" t="s">
        <v>1</v>
      </c>
      <c r="E2438" s="1" t="s">
        <v>0</v>
      </c>
    </row>
    <row r="2439" spans="1:16" ht="13.2" x14ac:dyDescent="0.25">
      <c r="A2439" t="s">
        <v>11</v>
      </c>
      <c r="B2439" s="9" t="s">
        <v>141</v>
      </c>
      <c r="C2439" s="9" t="s">
        <v>140</v>
      </c>
      <c r="D2439" s="3" t="s">
        <v>2</v>
      </c>
      <c r="E2439" s="8" t="s">
        <v>139</v>
      </c>
      <c r="F2439" s="4" t="s">
        <v>8</v>
      </c>
      <c r="G2439" s="7">
        <v>100</v>
      </c>
      <c r="H2439" s="4">
        <v>0</v>
      </c>
      <c r="I2439" s="4">
        <f>ROUND(G2439*H2439,6)</f>
        <v>0</v>
      </c>
      <c r="L2439" s="6">
        <v>0</v>
      </c>
      <c r="M2439" s="5">
        <f>ROUND(ROUND(L2439,2)*ROUND(G2439,3),2)</f>
        <v>0</v>
      </c>
      <c r="N2439" s="4" t="s">
        <v>55</v>
      </c>
      <c r="O2439">
        <f>(M2439*21)/100</f>
        <v>0</v>
      </c>
      <c r="P2439" t="s">
        <v>6</v>
      </c>
    </row>
    <row r="2440" spans="1:16" ht="13.2" x14ac:dyDescent="0.25">
      <c r="A2440" s="3" t="s">
        <v>5</v>
      </c>
      <c r="E2440" s="1" t="s">
        <v>139</v>
      </c>
    </row>
    <row r="2441" spans="1:16" ht="13.2" x14ac:dyDescent="0.25">
      <c r="A2441" s="3" t="s">
        <v>3</v>
      </c>
      <c r="E2441" s="2" t="s">
        <v>2</v>
      </c>
    </row>
    <row r="2442" spans="1:16" ht="52.8" x14ac:dyDescent="0.25">
      <c r="A2442" t="s">
        <v>1</v>
      </c>
      <c r="E2442" s="1" t="s">
        <v>0</v>
      </c>
    </row>
    <row r="2443" spans="1:16" ht="13.2" x14ac:dyDescent="0.25">
      <c r="A2443" t="s">
        <v>11</v>
      </c>
      <c r="B2443" s="9" t="s">
        <v>138</v>
      </c>
      <c r="C2443" s="9" t="s">
        <v>137</v>
      </c>
      <c r="D2443" s="3" t="s">
        <v>2</v>
      </c>
      <c r="E2443" s="8" t="s">
        <v>136</v>
      </c>
      <c r="F2443" s="4" t="s">
        <v>13</v>
      </c>
      <c r="G2443" s="7">
        <v>9</v>
      </c>
      <c r="H2443" s="4">
        <v>0</v>
      </c>
      <c r="I2443" s="4">
        <f>ROUND(G2443*H2443,6)</f>
        <v>0</v>
      </c>
      <c r="L2443" s="6">
        <v>0</v>
      </c>
      <c r="M2443" s="5">
        <f>ROUND(ROUND(L2443,2)*ROUND(G2443,3),2)</f>
        <v>0</v>
      </c>
      <c r="N2443" s="4" t="s">
        <v>55</v>
      </c>
      <c r="O2443">
        <f>(M2443*21)/100</f>
        <v>0</v>
      </c>
      <c r="P2443" t="s">
        <v>6</v>
      </c>
    </row>
    <row r="2444" spans="1:16" ht="13.2" x14ac:dyDescent="0.25">
      <c r="A2444" s="3" t="s">
        <v>5</v>
      </c>
      <c r="E2444" s="1" t="s">
        <v>136</v>
      </c>
    </row>
    <row r="2445" spans="1:16" ht="13.2" x14ac:dyDescent="0.25">
      <c r="A2445" s="3" t="s">
        <v>3</v>
      </c>
      <c r="E2445" s="2" t="s">
        <v>2</v>
      </c>
    </row>
    <row r="2446" spans="1:16" ht="52.8" x14ac:dyDescent="0.25">
      <c r="A2446" t="s">
        <v>1</v>
      </c>
      <c r="E2446" s="1" t="s">
        <v>0</v>
      </c>
    </row>
    <row r="2447" spans="1:16" ht="13.2" x14ac:dyDescent="0.25">
      <c r="A2447" t="s">
        <v>11</v>
      </c>
      <c r="B2447" s="9" t="s">
        <v>135</v>
      </c>
      <c r="C2447" s="9" t="s">
        <v>134</v>
      </c>
      <c r="D2447" s="3" t="s">
        <v>2</v>
      </c>
      <c r="E2447" s="8" t="s">
        <v>133</v>
      </c>
      <c r="F2447" s="4" t="s">
        <v>13</v>
      </c>
      <c r="G2447" s="7">
        <v>1</v>
      </c>
      <c r="H2447" s="4">
        <v>0</v>
      </c>
      <c r="I2447" s="4">
        <f>ROUND(G2447*H2447,6)</f>
        <v>0</v>
      </c>
      <c r="L2447" s="6">
        <v>0</v>
      </c>
      <c r="M2447" s="5">
        <f>ROUND(ROUND(L2447,2)*ROUND(G2447,3),2)</f>
        <v>0</v>
      </c>
      <c r="N2447" s="4" t="s">
        <v>55</v>
      </c>
      <c r="O2447">
        <f>(M2447*21)/100</f>
        <v>0</v>
      </c>
      <c r="P2447" t="s">
        <v>6</v>
      </c>
    </row>
    <row r="2448" spans="1:16" ht="13.2" x14ac:dyDescent="0.25">
      <c r="A2448" s="3" t="s">
        <v>5</v>
      </c>
      <c r="E2448" s="1" t="s">
        <v>133</v>
      </c>
    </row>
    <row r="2449" spans="1:16" ht="13.2" x14ac:dyDescent="0.25">
      <c r="A2449" s="3" t="s">
        <v>3</v>
      </c>
      <c r="E2449" s="2" t="s">
        <v>2</v>
      </c>
    </row>
    <row r="2450" spans="1:16" ht="52.8" x14ac:dyDescent="0.25">
      <c r="A2450" t="s">
        <v>1</v>
      </c>
      <c r="E2450" s="1" t="s">
        <v>0</v>
      </c>
    </row>
    <row r="2451" spans="1:16" ht="13.2" x14ac:dyDescent="0.25">
      <c r="A2451" t="s">
        <v>11</v>
      </c>
      <c r="B2451" s="9" t="s">
        <v>132</v>
      </c>
      <c r="C2451" s="9" t="s">
        <v>131</v>
      </c>
      <c r="D2451" s="3" t="s">
        <v>2</v>
      </c>
      <c r="E2451" s="8" t="s">
        <v>130</v>
      </c>
      <c r="F2451" s="4" t="s">
        <v>13</v>
      </c>
      <c r="G2451" s="7">
        <v>10</v>
      </c>
      <c r="H2451" s="4">
        <v>0</v>
      </c>
      <c r="I2451" s="4">
        <f>ROUND(G2451*H2451,6)</f>
        <v>0</v>
      </c>
      <c r="L2451" s="6">
        <v>0</v>
      </c>
      <c r="M2451" s="5">
        <f>ROUND(ROUND(L2451,2)*ROUND(G2451,3),2)</f>
        <v>0</v>
      </c>
      <c r="N2451" s="4" t="s">
        <v>55</v>
      </c>
      <c r="O2451">
        <f>(M2451*21)/100</f>
        <v>0</v>
      </c>
      <c r="P2451" t="s">
        <v>6</v>
      </c>
    </row>
    <row r="2452" spans="1:16" ht="13.2" x14ac:dyDescent="0.25">
      <c r="A2452" s="3" t="s">
        <v>5</v>
      </c>
      <c r="E2452" s="1" t="s">
        <v>130</v>
      </c>
    </row>
    <row r="2453" spans="1:16" ht="13.2" x14ac:dyDescent="0.25">
      <c r="A2453" s="3" t="s">
        <v>3</v>
      </c>
      <c r="E2453" s="2" t="s">
        <v>2</v>
      </c>
    </row>
    <row r="2454" spans="1:16" ht="52.8" x14ac:dyDescent="0.25">
      <c r="A2454" t="s">
        <v>1</v>
      </c>
      <c r="E2454" s="1" t="s">
        <v>0</v>
      </c>
    </row>
    <row r="2455" spans="1:16" ht="13.2" x14ac:dyDescent="0.25">
      <c r="A2455" t="s">
        <v>11</v>
      </c>
      <c r="B2455" s="9" t="s">
        <v>129</v>
      </c>
      <c r="C2455" s="9" t="s">
        <v>128</v>
      </c>
      <c r="D2455" s="3" t="s">
        <v>2</v>
      </c>
      <c r="E2455" s="8" t="s">
        <v>127</v>
      </c>
      <c r="F2455" s="4" t="s">
        <v>13</v>
      </c>
      <c r="G2455" s="7">
        <v>2</v>
      </c>
      <c r="H2455" s="4">
        <v>0</v>
      </c>
      <c r="I2455" s="4">
        <f>ROUND(G2455*H2455,6)</f>
        <v>0</v>
      </c>
      <c r="L2455" s="6">
        <v>0</v>
      </c>
      <c r="M2455" s="5">
        <f>ROUND(ROUND(L2455,2)*ROUND(G2455,3),2)</f>
        <v>0</v>
      </c>
      <c r="N2455" s="4" t="s">
        <v>55</v>
      </c>
      <c r="O2455">
        <f>(M2455*21)/100</f>
        <v>0</v>
      </c>
      <c r="P2455" t="s">
        <v>6</v>
      </c>
    </row>
    <row r="2456" spans="1:16" ht="13.2" x14ac:dyDescent="0.25">
      <c r="A2456" s="3" t="s">
        <v>5</v>
      </c>
      <c r="E2456" s="1" t="s">
        <v>127</v>
      </c>
    </row>
    <row r="2457" spans="1:16" ht="13.2" x14ac:dyDescent="0.25">
      <c r="A2457" s="3" t="s">
        <v>3</v>
      </c>
      <c r="E2457" s="2" t="s">
        <v>2</v>
      </c>
    </row>
    <row r="2458" spans="1:16" ht="52.8" x14ac:dyDescent="0.25">
      <c r="A2458" t="s">
        <v>1</v>
      </c>
      <c r="E2458" s="1" t="s">
        <v>0</v>
      </c>
    </row>
    <row r="2459" spans="1:16" ht="13.2" x14ac:dyDescent="0.25">
      <c r="A2459" t="s">
        <v>11</v>
      </c>
      <c r="B2459" s="9" t="s">
        <v>126</v>
      </c>
      <c r="C2459" s="9" t="s">
        <v>125</v>
      </c>
      <c r="D2459" s="3" t="s">
        <v>2</v>
      </c>
      <c r="E2459" s="8" t="s">
        <v>124</v>
      </c>
      <c r="F2459" s="4" t="s">
        <v>13</v>
      </c>
      <c r="G2459" s="7">
        <v>2</v>
      </c>
      <c r="H2459" s="4">
        <v>0</v>
      </c>
      <c r="I2459" s="4">
        <f>ROUND(G2459*H2459,6)</f>
        <v>0</v>
      </c>
      <c r="L2459" s="6">
        <v>0</v>
      </c>
      <c r="M2459" s="5">
        <f>ROUND(ROUND(L2459,2)*ROUND(G2459,3),2)</f>
        <v>0</v>
      </c>
      <c r="N2459" s="4" t="s">
        <v>55</v>
      </c>
      <c r="O2459">
        <f>(M2459*21)/100</f>
        <v>0</v>
      </c>
      <c r="P2459" t="s">
        <v>6</v>
      </c>
    </row>
    <row r="2460" spans="1:16" ht="13.2" x14ac:dyDescent="0.25">
      <c r="A2460" s="3" t="s">
        <v>5</v>
      </c>
      <c r="E2460" s="1" t="s">
        <v>124</v>
      </c>
    </row>
    <row r="2461" spans="1:16" ht="13.2" x14ac:dyDescent="0.25">
      <c r="A2461" s="3" t="s">
        <v>3</v>
      </c>
      <c r="E2461" s="2" t="s">
        <v>2</v>
      </c>
    </row>
    <row r="2462" spans="1:16" ht="52.8" x14ac:dyDescent="0.25">
      <c r="A2462" t="s">
        <v>1</v>
      </c>
      <c r="E2462" s="1" t="s">
        <v>0</v>
      </c>
    </row>
    <row r="2463" spans="1:16" ht="13.2" x14ac:dyDescent="0.25">
      <c r="A2463" t="s">
        <v>11</v>
      </c>
      <c r="B2463" s="9" t="s">
        <v>123</v>
      </c>
      <c r="C2463" s="9" t="s">
        <v>122</v>
      </c>
      <c r="D2463" s="3" t="s">
        <v>2</v>
      </c>
      <c r="E2463" s="8" t="s">
        <v>121</v>
      </c>
      <c r="F2463" s="4" t="s">
        <v>79</v>
      </c>
      <c r="G2463" s="7">
        <v>490</v>
      </c>
      <c r="H2463" s="4">
        <v>0</v>
      </c>
      <c r="I2463" s="4">
        <f>ROUND(G2463*H2463,6)</f>
        <v>0</v>
      </c>
      <c r="L2463" s="6">
        <v>0</v>
      </c>
      <c r="M2463" s="5">
        <f>ROUND(ROUND(L2463,2)*ROUND(G2463,3),2)</f>
        <v>0</v>
      </c>
      <c r="N2463" s="4" t="s">
        <v>55</v>
      </c>
      <c r="O2463">
        <f>(M2463*21)/100</f>
        <v>0</v>
      </c>
      <c r="P2463" t="s">
        <v>6</v>
      </c>
    </row>
    <row r="2464" spans="1:16" ht="13.2" x14ac:dyDescent="0.25">
      <c r="A2464" s="3" t="s">
        <v>5</v>
      </c>
      <c r="E2464" s="1" t="s">
        <v>121</v>
      </c>
    </row>
    <row r="2465" spans="1:16" ht="13.2" x14ac:dyDescent="0.25">
      <c r="A2465" s="3" t="s">
        <v>3</v>
      </c>
      <c r="E2465" s="2" t="s">
        <v>2</v>
      </c>
    </row>
    <row r="2466" spans="1:16" ht="52.8" x14ac:dyDescent="0.25">
      <c r="A2466" t="s">
        <v>1</v>
      </c>
      <c r="E2466" s="1" t="s">
        <v>0</v>
      </c>
    </row>
    <row r="2467" spans="1:16" ht="13.2" x14ac:dyDescent="0.25">
      <c r="A2467" t="s">
        <v>11</v>
      </c>
      <c r="B2467" s="9" t="s">
        <v>120</v>
      </c>
      <c r="C2467" s="9" t="s">
        <v>119</v>
      </c>
      <c r="D2467" s="3" t="s">
        <v>2</v>
      </c>
      <c r="E2467" s="8" t="s">
        <v>118</v>
      </c>
      <c r="F2467" s="4" t="s">
        <v>79</v>
      </c>
      <c r="G2467" s="7">
        <v>195</v>
      </c>
      <c r="H2467" s="4">
        <v>0</v>
      </c>
      <c r="I2467" s="4">
        <f>ROUND(G2467*H2467,6)</f>
        <v>0</v>
      </c>
      <c r="L2467" s="6">
        <v>0</v>
      </c>
      <c r="M2467" s="5">
        <f>ROUND(ROUND(L2467,2)*ROUND(G2467,3),2)</f>
        <v>0</v>
      </c>
      <c r="N2467" s="4" t="s">
        <v>55</v>
      </c>
      <c r="O2467">
        <f>(M2467*21)/100</f>
        <v>0</v>
      </c>
      <c r="P2467" t="s">
        <v>6</v>
      </c>
    </row>
    <row r="2468" spans="1:16" ht="13.2" x14ac:dyDescent="0.25">
      <c r="A2468" s="3" t="s">
        <v>5</v>
      </c>
      <c r="E2468" s="1" t="s">
        <v>118</v>
      </c>
    </row>
    <row r="2469" spans="1:16" ht="13.2" x14ac:dyDescent="0.25">
      <c r="A2469" s="3" t="s">
        <v>3</v>
      </c>
      <c r="E2469" s="2" t="s">
        <v>2</v>
      </c>
    </row>
    <row r="2470" spans="1:16" ht="52.8" x14ac:dyDescent="0.25">
      <c r="A2470" t="s">
        <v>1</v>
      </c>
      <c r="E2470" s="1" t="s">
        <v>0</v>
      </c>
    </row>
    <row r="2471" spans="1:16" ht="13.2" x14ac:dyDescent="0.25">
      <c r="A2471" t="s">
        <v>11</v>
      </c>
      <c r="B2471" s="9" t="s">
        <v>117</v>
      </c>
      <c r="C2471" s="9" t="s">
        <v>116</v>
      </c>
      <c r="D2471" s="3" t="s">
        <v>2</v>
      </c>
      <c r="E2471" s="8" t="s">
        <v>115</v>
      </c>
      <c r="F2471" s="4" t="s">
        <v>13</v>
      </c>
      <c r="G2471" s="7">
        <v>20</v>
      </c>
      <c r="H2471" s="4">
        <v>0</v>
      </c>
      <c r="I2471" s="4">
        <f>ROUND(G2471*H2471,6)</f>
        <v>0</v>
      </c>
      <c r="L2471" s="6">
        <v>0</v>
      </c>
      <c r="M2471" s="5">
        <f>ROUND(ROUND(L2471,2)*ROUND(G2471,3),2)</f>
        <v>0</v>
      </c>
      <c r="N2471" s="4" t="s">
        <v>55</v>
      </c>
      <c r="O2471">
        <f>(M2471*21)/100</f>
        <v>0</v>
      </c>
      <c r="P2471" t="s">
        <v>6</v>
      </c>
    </row>
    <row r="2472" spans="1:16" ht="13.2" x14ac:dyDescent="0.25">
      <c r="A2472" s="3" t="s">
        <v>5</v>
      </c>
      <c r="E2472" s="1" t="s">
        <v>115</v>
      </c>
    </row>
    <row r="2473" spans="1:16" ht="13.2" x14ac:dyDescent="0.25">
      <c r="A2473" s="3" t="s">
        <v>3</v>
      </c>
      <c r="E2473" s="2" t="s">
        <v>2</v>
      </c>
    </row>
    <row r="2474" spans="1:16" ht="52.8" x14ac:dyDescent="0.25">
      <c r="A2474" t="s">
        <v>1</v>
      </c>
      <c r="E2474" s="1" t="s">
        <v>0</v>
      </c>
    </row>
    <row r="2475" spans="1:16" ht="13.2" x14ac:dyDescent="0.25">
      <c r="A2475" t="s">
        <v>11</v>
      </c>
      <c r="B2475" s="9" t="s">
        <v>114</v>
      </c>
      <c r="C2475" s="9" t="s">
        <v>113</v>
      </c>
      <c r="D2475" s="3" t="s">
        <v>2</v>
      </c>
      <c r="E2475" s="8" t="s">
        <v>112</v>
      </c>
      <c r="F2475" s="4" t="s">
        <v>41</v>
      </c>
      <c r="G2475" s="7">
        <v>1</v>
      </c>
      <c r="H2475" s="4">
        <v>0</v>
      </c>
      <c r="I2475" s="4">
        <f>ROUND(G2475*H2475,6)</f>
        <v>0</v>
      </c>
      <c r="L2475" s="6">
        <v>0</v>
      </c>
      <c r="M2475" s="5">
        <f>ROUND(ROUND(L2475,2)*ROUND(G2475,3),2)</f>
        <v>0</v>
      </c>
      <c r="N2475" s="4" t="s">
        <v>55</v>
      </c>
      <c r="O2475">
        <f>(M2475*21)/100</f>
        <v>0</v>
      </c>
      <c r="P2475" t="s">
        <v>6</v>
      </c>
    </row>
    <row r="2476" spans="1:16" ht="13.2" x14ac:dyDescent="0.25">
      <c r="A2476" s="3" t="s">
        <v>5</v>
      </c>
      <c r="E2476" s="1" t="s">
        <v>112</v>
      </c>
    </row>
    <row r="2477" spans="1:16" ht="13.2" x14ac:dyDescent="0.25">
      <c r="A2477" s="3" t="s">
        <v>3</v>
      </c>
      <c r="E2477" s="2" t="s">
        <v>2</v>
      </c>
    </row>
    <row r="2478" spans="1:16" ht="52.8" x14ac:dyDescent="0.25">
      <c r="A2478" t="s">
        <v>1</v>
      </c>
      <c r="E2478" s="1" t="s">
        <v>0</v>
      </c>
    </row>
    <row r="2479" spans="1:16" ht="13.2" x14ac:dyDescent="0.25">
      <c r="A2479" t="s">
        <v>50</v>
      </c>
      <c r="C2479" s="11" t="s">
        <v>111</v>
      </c>
      <c r="E2479" s="10" t="s">
        <v>110</v>
      </c>
      <c r="J2479" s="5">
        <f>0</f>
        <v>0</v>
      </c>
      <c r="K2479" s="5">
        <f>0</f>
        <v>0</v>
      </c>
      <c r="L2479" s="5">
        <f>0+L2480+L2484+L2488+L2492+L2496+L2500+L2504+L2508+L2512+L2516</f>
        <v>0</v>
      </c>
      <c r="M2479" s="5">
        <f>0+M2480+M2484+M2488+M2492+M2496+M2500+M2504+M2508+M2512+M2516</f>
        <v>0</v>
      </c>
    </row>
    <row r="2480" spans="1:16" ht="13.2" x14ac:dyDescent="0.25">
      <c r="A2480" t="s">
        <v>11</v>
      </c>
      <c r="B2480" s="9" t="s">
        <v>109</v>
      </c>
      <c r="C2480" s="9" t="s">
        <v>108</v>
      </c>
      <c r="D2480" s="3" t="s">
        <v>2</v>
      </c>
      <c r="E2480" s="8" t="s">
        <v>107</v>
      </c>
      <c r="F2480" s="4" t="s">
        <v>13</v>
      </c>
      <c r="G2480" s="7">
        <v>20</v>
      </c>
      <c r="H2480" s="4">
        <v>0</v>
      </c>
      <c r="I2480" s="4">
        <f>ROUND(G2480*H2480,6)</f>
        <v>0</v>
      </c>
      <c r="L2480" s="6">
        <v>0</v>
      </c>
      <c r="M2480" s="5">
        <f>ROUND(ROUND(L2480,2)*ROUND(G2480,3),2)</f>
        <v>0</v>
      </c>
      <c r="N2480" s="4" t="s">
        <v>55</v>
      </c>
      <c r="O2480">
        <f>(M2480*21)/100</f>
        <v>0</v>
      </c>
      <c r="P2480" t="s">
        <v>6</v>
      </c>
    </row>
    <row r="2481" spans="1:16" ht="13.2" x14ac:dyDescent="0.25">
      <c r="A2481" s="3" t="s">
        <v>5</v>
      </c>
      <c r="E2481" s="1" t="s">
        <v>107</v>
      </c>
    </row>
    <row r="2482" spans="1:16" ht="13.2" x14ac:dyDescent="0.25">
      <c r="A2482" s="3" t="s">
        <v>3</v>
      </c>
      <c r="E2482" s="2" t="s">
        <v>2</v>
      </c>
    </row>
    <row r="2483" spans="1:16" ht="52.8" x14ac:dyDescent="0.25">
      <c r="A2483" t="s">
        <v>1</v>
      </c>
      <c r="E2483" s="1" t="s">
        <v>0</v>
      </c>
    </row>
    <row r="2484" spans="1:16" ht="13.2" x14ac:dyDescent="0.25">
      <c r="A2484" t="s">
        <v>11</v>
      </c>
      <c r="B2484" s="9" t="s">
        <v>106</v>
      </c>
      <c r="C2484" s="9" t="s">
        <v>105</v>
      </c>
      <c r="D2484" s="3" t="s">
        <v>2</v>
      </c>
      <c r="E2484" s="8" t="s">
        <v>104</v>
      </c>
      <c r="F2484" s="4" t="s">
        <v>13</v>
      </c>
      <c r="G2484" s="7">
        <v>170</v>
      </c>
      <c r="H2484" s="4">
        <v>0</v>
      </c>
      <c r="I2484" s="4">
        <f>ROUND(G2484*H2484,6)</f>
        <v>0</v>
      </c>
      <c r="L2484" s="6">
        <v>0</v>
      </c>
      <c r="M2484" s="5">
        <f>ROUND(ROUND(L2484,2)*ROUND(G2484,3),2)</f>
        <v>0</v>
      </c>
      <c r="N2484" s="4" t="s">
        <v>55</v>
      </c>
      <c r="O2484">
        <f>(M2484*21)/100</f>
        <v>0</v>
      </c>
      <c r="P2484" t="s">
        <v>6</v>
      </c>
    </row>
    <row r="2485" spans="1:16" ht="13.2" x14ac:dyDescent="0.25">
      <c r="A2485" s="3" t="s">
        <v>5</v>
      </c>
      <c r="E2485" s="1" t="s">
        <v>104</v>
      </c>
    </row>
    <row r="2486" spans="1:16" ht="13.2" x14ac:dyDescent="0.25">
      <c r="A2486" s="3" t="s">
        <v>3</v>
      </c>
      <c r="E2486" s="2" t="s">
        <v>2</v>
      </c>
    </row>
    <row r="2487" spans="1:16" ht="52.8" x14ac:dyDescent="0.25">
      <c r="A2487" t="s">
        <v>1</v>
      </c>
      <c r="E2487" s="1" t="s">
        <v>0</v>
      </c>
    </row>
    <row r="2488" spans="1:16" ht="13.2" x14ac:dyDescent="0.25">
      <c r="A2488" t="s">
        <v>11</v>
      </c>
      <c r="B2488" s="9" t="s">
        <v>103</v>
      </c>
      <c r="C2488" s="9" t="s">
        <v>102</v>
      </c>
      <c r="D2488" s="3" t="s">
        <v>2</v>
      </c>
      <c r="E2488" s="8" t="s">
        <v>101</v>
      </c>
      <c r="F2488" s="4" t="s">
        <v>13</v>
      </c>
      <c r="G2488" s="7">
        <v>94</v>
      </c>
      <c r="H2488" s="4">
        <v>0</v>
      </c>
      <c r="I2488" s="4">
        <f>ROUND(G2488*H2488,6)</f>
        <v>0</v>
      </c>
      <c r="L2488" s="6">
        <v>0</v>
      </c>
      <c r="M2488" s="5">
        <f>ROUND(ROUND(L2488,2)*ROUND(G2488,3),2)</f>
        <v>0</v>
      </c>
      <c r="N2488" s="4" t="s">
        <v>55</v>
      </c>
      <c r="O2488">
        <f>(M2488*21)/100</f>
        <v>0</v>
      </c>
      <c r="P2488" t="s">
        <v>6</v>
      </c>
    </row>
    <row r="2489" spans="1:16" ht="13.2" x14ac:dyDescent="0.25">
      <c r="A2489" s="3" t="s">
        <v>5</v>
      </c>
      <c r="E2489" s="1" t="s">
        <v>101</v>
      </c>
    </row>
    <row r="2490" spans="1:16" ht="13.2" x14ac:dyDescent="0.25">
      <c r="A2490" s="3" t="s">
        <v>3</v>
      </c>
      <c r="E2490" s="2" t="s">
        <v>2</v>
      </c>
    </row>
    <row r="2491" spans="1:16" ht="52.8" x14ac:dyDescent="0.25">
      <c r="A2491" t="s">
        <v>1</v>
      </c>
      <c r="E2491" s="1" t="s">
        <v>0</v>
      </c>
    </row>
    <row r="2492" spans="1:16" ht="13.2" x14ac:dyDescent="0.25">
      <c r="A2492" t="s">
        <v>11</v>
      </c>
      <c r="B2492" s="9" t="s">
        <v>100</v>
      </c>
      <c r="C2492" s="9" t="s">
        <v>99</v>
      </c>
      <c r="D2492" s="3" t="s">
        <v>2</v>
      </c>
      <c r="E2492" s="8" t="s">
        <v>98</v>
      </c>
      <c r="F2492" s="4" t="s">
        <v>8</v>
      </c>
      <c r="G2492" s="7">
        <v>250</v>
      </c>
      <c r="H2492" s="4">
        <v>0</v>
      </c>
      <c r="I2492" s="4">
        <f>ROUND(G2492*H2492,6)</f>
        <v>0</v>
      </c>
      <c r="L2492" s="6">
        <v>0</v>
      </c>
      <c r="M2492" s="5">
        <f>ROUND(ROUND(L2492,2)*ROUND(G2492,3),2)</f>
        <v>0</v>
      </c>
      <c r="N2492" s="4" t="s">
        <v>55</v>
      </c>
      <c r="O2492">
        <f>(M2492*21)/100</f>
        <v>0</v>
      </c>
      <c r="P2492" t="s">
        <v>6</v>
      </c>
    </row>
    <row r="2493" spans="1:16" ht="13.2" x14ac:dyDescent="0.25">
      <c r="A2493" s="3" t="s">
        <v>5</v>
      </c>
      <c r="E2493" s="1" t="s">
        <v>98</v>
      </c>
    </row>
    <row r="2494" spans="1:16" ht="13.2" x14ac:dyDescent="0.25">
      <c r="A2494" s="3" t="s">
        <v>3</v>
      </c>
      <c r="E2494" s="2" t="s">
        <v>2</v>
      </c>
    </row>
    <row r="2495" spans="1:16" ht="52.8" x14ac:dyDescent="0.25">
      <c r="A2495" t="s">
        <v>1</v>
      </c>
      <c r="E2495" s="1" t="s">
        <v>0</v>
      </c>
    </row>
    <row r="2496" spans="1:16" ht="13.2" x14ac:dyDescent="0.25">
      <c r="A2496" t="s">
        <v>11</v>
      </c>
      <c r="B2496" s="9" t="s">
        <v>97</v>
      </c>
      <c r="C2496" s="9" t="s">
        <v>96</v>
      </c>
      <c r="D2496" s="3" t="s">
        <v>2</v>
      </c>
      <c r="E2496" s="8" t="s">
        <v>95</v>
      </c>
      <c r="F2496" s="4" t="s">
        <v>8</v>
      </c>
      <c r="G2496" s="7">
        <v>540</v>
      </c>
      <c r="H2496" s="4">
        <v>0</v>
      </c>
      <c r="I2496" s="4">
        <f>ROUND(G2496*H2496,6)</f>
        <v>0</v>
      </c>
      <c r="L2496" s="6">
        <v>0</v>
      </c>
      <c r="M2496" s="5">
        <f>ROUND(ROUND(L2496,2)*ROUND(G2496,3),2)</f>
        <v>0</v>
      </c>
      <c r="N2496" s="4" t="s">
        <v>55</v>
      </c>
      <c r="O2496">
        <f>(M2496*21)/100</f>
        <v>0</v>
      </c>
      <c r="P2496" t="s">
        <v>6</v>
      </c>
    </row>
    <row r="2497" spans="1:16" ht="13.2" x14ac:dyDescent="0.25">
      <c r="A2497" s="3" t="s">
        <v>5</v>
      </c>
      <c r="E2497" s="1" t="s">
        <v>95</v>
      </c>
    </row>
    <row r="2498" spans="1:16" ht="13.2" x14ac:dyDescent="0.25">
      <c r="A2498" s="3" t="s">
        <v>3</v>
      </c>
      <c r="E2498" s="2" t="s">
        <v>2</v>
      </c>
    </row>
    <row r="2499" spans="1:16" ht="52.8" x14ac:dyDescent="0.25">
      <c r="A2499" t="s">
        <v>1</v>
      </c>
      <c r="E2499" s="1" t="s">
        <v>0</v>
      </c>
    </row>
    <row r="2500" spans="1:16" ht="13.2" x14ac:dyDescent="0.25">
      <c r="A2500" t="s">
        <v>11</v>
      </c>
      <c r="B2500" s="9" t="s">
        <v>94</v>
      </c>
      <c r="C2500" s="9" t="s">
        <v>93</v>
      </c>
      <c r="D2500" s="3" t="s">
        <v>2</v>
      </c>
      <c r="E2500" s="8" t="s">
        <v>92</v>
      </c>
      <c r="F2500" s="4" t="s">
        <v>8</v>
      </c>
      <c r="G2500" s="7">
        <v>120</v>
      </c>
      <c r="H2500" s="4">
        <v>0</v>
      </c>
      <c r="I2500" s="4">
        <f>ROUND(G2500*H2500,6)</f>
        <v>0</v>
      </c>
      <c r="L2500" s="6">
        <v>0</v>
      </c>
      <c r="M2500" s="5">
        <f>ROUND(ROUND(L2500,2)*ROUND(G2500,3),2)</f>
        <v>0</v>
      </c>
      <c r="N2500" s="4" t="s">
        <v>55</v>
      </c>
      <c r="O2500">
        <f>(M2500*21)/100</f>
        <v>0</v>
      </c>
      <c r="P2500" t="s">
        <v>6</v>
      </c>
    </row>
    <row r="2501" spans="1:16" ht="13.2" x14ac:dyDescent="0.25">
      <c r="A2501" s="3" t="s">
        <v>5</v>
      </c>
      <c r="E2501" s="1" t="s">
        <v>92</v>
      </c>
    </row>
    <row r="2502" spans="1:16" ht="13.2" x14ac:dyDescent="0.25">
      <c r="A2502" s="3" t="s">
        <v>3</v>
      </c>
      <c r="E2502" s="2" t="s">
        <v>2</v>
      </c>
    </row>
    <row r="2503" spans="1:16" ht="52.8" x14ac:dyDescent="0.25">
      <c r="A2503" t="s">
        <v>1</v>
      </c>
      <c r="E2503" s="1" t="s">
        <v>0</v>
      </c>
    </row>
    <row r="2504" spans="1:16" ht="13.2" x14ac:dyDescent="0.25">
      <c r="A2504" t="s">
        <v>11</v>
      </c>
      <c r="B2504" s="9" t="s">
        <v>91</v>
      </c>
      <c r="C2504" s="9" t="s">
        <v>90</v>
      </c>
      <c r="D2504" s="3" t="s">
        <v>2</v>
      </c>
      <c r="E2504" s="8" t="s">
        <v>88</v>
      </c>
      <c r="F2504" s="4" t="s">
        <v>89</v>
      </c>
      <c r="G2504" s="7">
        <v>1</v>
      </c>
      <c r="H2504" s="4">
        <v>0</v>
      </c>
      <c r="I2504" s="4">
        <f>ROUND(G2504*H2504,6)</f>
        <v>0</v>
      </c>
      <c r="L2504" s="6">
        <v>0</v>
      </c>
      <c r="M2504" s="5">
        <f>ROUND(ROUND(L2504,2)*ROUND(G2504,3),2)</f>
        <v>0</v>
      </c>
      <c r="N2504" s="4" t="s">
        <v>55</v>
      </c>
      <c r="O2504">
        <f>(M2504*21)/100</f>
        <v>0</v>
      </c>
      <c r="P2504" t="s">
        <v>6</v>
      </c>
    </row>
    <row r="2505" spans="1:16" ht="13.2" x14ac:dyDescent="0.25">
      <c r="A2505" s="3" t="s">
        <v>5</v>
      </c>
      <c r="E2505" s="1" t="s">
        <v>88</v>
      </c>
    </row>
    <row r="2506" spans="1:16" ht="13.2" x14ac:dyDescent="0.25">
      <c r="A2506" s="3" t="s">
        <v>3</v>
      </c>
      <c r="E2506" s="2" t="s">
        <v>2</v>
      </c>
    </row>
    <row r="2507" spans="1:16" ht="52.8" x14ac:dyDescent="0.25">
      <c r="A2507" t="s">
        <v>1</v>
      </c>
      <c r="E2507" s="1" t="s">
        <v>0</v>
      </c>
    </row>
    <row r="2508" spans="1:16" ht="13.2" x14ac:dyDescent="0.25">
      <c r="A2508" t="s">
        <v>11</v>
      </c>
      <c r="B2508" s="9" t="s">
        <v>87</v>
      </c>
      <c r="C2508" s="9" t="s">
        <v>86</v>
      </c>
      <c r="D2508" s="3" t="s">
        <v>2</v>
      </c>
      <c r="E2508" s="8" t="s">
        <v>85</v>
      </c>
      <c r="F2508" s="4" t="s">
        <v>41</v>
      </c>
      <c r="G2508" s="7">
        <v>1</v>
      </c>
      <c r="H2508" s="4">
        <v>0</v>
      </c>
      <c r="I2508" s="4">
        <f>ROUND(G2508*H2508,6)</f>
        <v>0</v>
      </c>
      <c r="L2508" s="6">
        <v>0</v>
      </c>
      <c r="M2508" s="5">
        <f>ROUND(ROUND(L2508,2)*ROUND(G2508,3),2)</f>
        <v>0</v>
      </c>
      <c r="N2508" s="4" t="s">
        <v>55</v>
      </c>
      <c r="O2508">
        <f>(M2508*21)/100</f>
        <v>0</v>
      </c>
      <c r="P2508" t="s">
        <v>6</v>
      </c>
    </row>
    <row r="2509" spans="1:16" ht="13.2" x14ac:dyDescent="0.25">
      <c r="A2509" s="3" t="s">
        <v>5</v>
      </c>
      <c r="E2509" s="1" t="s">
        <v>85</v>
      </c>
    </row>
    <row r="2510" spans="1:16" ht="13.2" x14ac:dyDescent="0.25">
      <c r="A2510" s="3" t="s">
        <v>3</v>
      </c>
      <c r="E2510" s="2" t="s">
        <v>2</v>
      </c>
    </row>
    <row r="2511" spans="1:16" ht="52.8" x14ac:dyDescent="0.25">
      <c r="A2511" t="s">
        <v>1</v>
      </c>
      <c r="E2511" s="1" t="s">
        <v>0</v>
      </c>
    </row>
    <row r="2512" spans="1:16" ht="13.2" x14ac:dyDescent="0.25">
      <c r="A2512" t="s">
        <v>11</v>
      </c>
      <c r="B2512" s="9" t="s">
        <v>84</v>
      </c>
      <c r="C2512" s="9" t="s">
        <v>83</v>
      </c>
      <c r="D2512" s="3" t="s">
        <v>2</v>
      </c>
      <c r="E2512" s="8" t="s">
        <v>82</v>
      </c>
      <c r="F2512" s="4" t="s">
        <v>13</v>
      </c>
      <c r="G2512" s="7">
        <v>2</v>
      </c>
      <c r="H2512" s="4">
        <v>0</v>
      </c>
      <c r="I2512" s="4">
        <f>ROUND(G2512*H2512,6)</f>
        <v>0</v>
      </c>
      <c r="L2512" s="6">
        <v>0</v>
      </c>
      <c r="M2512" s="5">
        <f>ROUND(ROUND(L2512,2)*ROUND(G2512,3),2)</f>
        <v>0</v>
      </c>
      <c r="N2512" s="4" t="s">
        <v>55</v>
      </c>
      <c r="O2512">
        <f>(M2512*21)/100</f>
        <v>0</v>
      </c>
      <c r="P2512" t="s">
        <v>6</v>
      </c>
    </row>
    <row r="2513" spans="1:16" ht="13.2" x14ac:dyDescent="0.25">
      <c r="A2513" s="3" t="s">
        <v>5</v>
      </c>
      <c r="E2513" s="1" t="s">
        <v>82</v>
      </c>
    </row>
    <row r="2514" spans="1:16" ht="13.2" x14ac:dyDescent="0.25">
      <c r="A2514" s="3" t="s">
        <v>3</v>
      </c>
      <c r="E2514" s="2" t="s">
        <v>2</v>
      </c>
    </row>
    <row r="2515" spans="1:16" ht="52.8" x14ac:dyDescent="0.25">
      <c r="A2515" t="s">
        <v>1</v>
      </c>
      <c r="E2515" s="1" t="s">
        <v>0</v>
      </c>
    </row>
    <row r="2516" spans="1:16" ht="13.2" x14ac:dyDescent="0.25">
      <c r="A2516" t="s">
        <v>11</v>
      </c>
      <c r="B2516" s="9" t="s">
        <v>81</v>
      </c>
      <c r="C2516" s="9" t="s">
        <v>80</v>
      </c>
      <c r="D2516" s="3" t="s">
        <v>2</v>
      </c>
      <c r="E2516" s="8" t="s">
        <v>78</v>
      </c>
      <c r="F2516" s="4" t="s">
        <v>79</v>
      </c>
      <c r="G2516" s="7">
        <v>180</v>
      </c>
      <c r="H2516" s="4">
        <v>0</v>
      </c>
      <c r="I2516" s="4">
        <f>ROUND(G2516*H2516,6)</f>
        <v>0</v>
      </c>
      <c r="L2516" s="6">
        <v>0</v>
      </c>
      <c r="M2516" s="5">
        <f>ROUND(ROUND(L2516,2)*ROUND(G2516,3),2)</f>
        <v>0</v>
      </c>
      <c r="N2516" s="4" t="s">
        <v>55</v>
      </c>
      <c r="O2516">
        <f>(M2516*21)/100</f>
        <v>0</v>
      </c>
      <c r="P2516" t="s">
        <v>6</v>
      </c>
    </row>
    <row r="2517" spans="1:16" ht="13.2" x14ac:dyDescent="0.25">
      <c r="A2517" s="3" t="s">
        <v>5</v>
      </c>
      <c r="E2517" s="1" t="s">
        <v>78</v>
      </c>
    </row>
    <row r="2518" spans="1:16" ht="13.2" x14ac:dyDescent="0.25">
      <c r="A2518" s="3" t="s">
        <v>3</v>
      </c>
      <c r="E2518" s="2" t="s">
        <v>2</v>
      </c>
    </row>
    <row r="2519" spans="1:16" ht="52.8" x14ac:dyDescent="0.25">
      <c r="A2519" t="s">
        <v>1</v>
      </c>
      <c r="E2519" s="1" t="s">
        <v>0</v>
      </c>
    </row>
    <row r="2520" spans="1:16" ht="13.2" x14ac:dyDescent="0.25">
      <c r="A2520" t="s">
        <v>53</v>
      </c>
      <c r="C2520" s="11" t="s">
        <v>77</v>
      </c>
      <c r="E2520" s="10" t="s">
        <v>76</v>
      </c>
      <c r="J2520" s="5">
        <f>0+J2521</f>
        <v>0</v>
      </c>
      <c r="K2520" s="5">
        <f>0+K2521</f>
        <v>0</v>
      </c>
      <c r="L2520" s="5">
        <f>0+L2521</f>
        <v>0</v>
      </c>
      <c r="M2520" s="5">
        <f>0+M2521</f>
        <v>0</v>
      </c>
    </row>
    <row r="2521" spans="1:16" ht="13.2" x14ac:dyDescent="0.25">
      <c r="A2521" t="s">
        <v>50</v>
      </c>
      <c r="C2521" s="11" t="s">
        <v>75</v>
      </c>
      <c r="E2521" s="10" t="s">
        <v>74</v>
      </c>
      <c r="J2521" s="5">
        <f>0</f>
        <v>0</v>
      </c>
      <c r="K2521" s="5">
        <f>0</f>
        <v>0</v>
      </c>
      <c r="L2521" s="5">
        <f>0+L2522+L2526+L2530+L2534+L2538+L2542+L2546+L2550+L2554</f>
        <v>0</v>
      </c>
      <c r="M2521" s="5">
        <f>0+M2522+M2526+M2530+M2534+M2538+M2542+M2546+M2550+M2554</f>
        <v>0</v>
      </c>
    </row>
    <row r="2522" spans="1:16" ht="13.2" x14ac:dyDescent="0.25">
      <c r="A2522" t="s">
        <v>11</v>
      </c>
      <c r="B2522" s="9" t="s">
        <v>48</v>
      </c>
      <c r="C2522" s="9" t="s">
        <v>73</v>
      </c>
      <c r="D2522" s="3" t="s">
        <v>2</v>
      </c>
      <c r="E2522" s="8" t="s">
        <v>72</v>
      </c>
      <c r="F2522" s="4" t="s">
        <v>13</v>
      </c>
      <c r="G2522" s="7">
        <v>34</v>
      </c>
      <c r="H2522" s="4">
        <v>0</v>
      </c>
      <c r="I2522" s="4">
        <f>ROUND(G2522*H2522,6)</f>
        <v>0</v>
      </c>
      <c r="L2522" s="6">
        <v>0</v>
      </c>
      <c r="M2522" s="5">
        <f>ROUND(ROUND(L2522,2)*ROUND(G2522,3),2)</f>
        <v>0</v>
      </c>
      <c r="N2522" s="4" t="s">
        <v>55</v>
      </c>
      <c r="O2522">
        <f>(M2522*21)/100</f>
        <v>0</v>
      </c>
      <c r="P2522" t="s">
        <v>6</v>
      </c>
    </row>
    <row r="2523" spans="1:16" ht="13.2" x14ac:dyDescent="0.25">
      <c r="A2523" s="3" t="s">
        <v>5</v>
      </c>
      <c r="E2523" s="1" t="s">
        <v>72</v>
      </c>
    </row>
    <row r="2524" spans="1:16" ht="13.2" x14ac:dyDescent="0.25">
      <c r="A2524" s="3" t="s">
        <v>3</v>
      </c>
      <c r="E2524" s="2" t="s">
        <v>2</v>
      </c>
    </row>
    <row r="2525" spans="1:16" ht="52.8" x14ac:dyDescent="0.25">
      <c r="A2525" t="s">
        <v>1</v>
      </c>
      <c r="E2525" s="1" t="s">
        <v>0</v>
      </c>
    </row>
    <row r="2526" spans="1:16" ht="13.2" x14ac:dyDescent="0.25">
      <c r="A2526" t="s">
        <v>11</v>
      </c>
      <c r="B2526" s="9" t="s">
        <v>6</v>
      </c>
      <c r="C2526" s="9" t="s">
        <v>71</v>
      </c>
      <c r="D2526" s="3" t="s">
        <v>2</v>
      </c>
      <c r="E2526" s="8" t="s">
        <v>70</v>
      </c>
      <c r="F2526" s="4" t="s">
        <v>13</v>
      </c>
      <c r="G2526" s="7">
        <v>6</v>
      </c>
      <c r="H2526" s="4">
        <v>0</v>
      </c>
      <c r="I2526" s="4">
        <f>ROUND(G2526*H2526,6)</f>
        <v>0</v>
      </c>
      <c r="L2526" s="6">
        <v>0</v>
      </c>
      <c r="M2526" s="5">
        <f>ROUND(ROUND(L2526,2)*ROUND(G2526,3),2)</f>
        <v>0</v>
      </c>
      <c r="N2526" s="4" t="s">
        <v>55</v>
      </c>
      <c r="O2526">
        <f>(M2526*21)/100</f>
        <v>0</v>
      </c>
      <c r="P2526" t="s">
        <v>6</v>
      </c>
    </row>
    <row r="2527" spans="1:16" ht="13.2" x14ac:dyDescent="0.25">
      <c r="A2527" s="3" t="s">
        <v>5</v>
      </c>
      <c r="E2527" s="1" t="s">
        <v>70</v>
      </c>
    </row>
    <row r="2528" spans="1:16" ht="13.2" x14ac:dyDescent="0.25">
      <c r="A2528" s="3" t="s">
        <v>3</v>
      </c>
      <c r="E2528" s="2" t="s">
        <v>2</v>
      </c>
    </row>
    <row r="2529" spans="1:16" ht="52.8" x14ac:dyDescent="0.25">
      <c r="A2529" t="s">
        <v>1</v>
      </c>
      <c r="E2529" s="1" t="s">
        <v>0</v>
      </c>
    </row>
    <row r="2530" spans="1:16" ht="13.2" x14ac:dyDescent="0.25">
      <c r="A2530" t="s">
        <v>11</v>
      </c>
      <c r="B2530" s="9" t="s">
        <v>43</v>
      </c>
      <c r="C2530" s="9" t="s">
        <v>69</v>
      </c>
      <c r="D2530" s="3" t="s">
        <v>2</v>
      </c>
      <c r="E2530" s="8" t="s">
        <v>68</v>
      </c>
      <c r="F2530" s="4" t="s">
        <v>13</v>
      </c>
      <c r="G2530" s="7">
        <v>15</v>
      </c>
      <c r="H2530" s="4">
        <v>0</v>
      </c>
      <c r="I2530" s="4">
        <f>ROUND(G2530*H2530,6)</f>
        <v>0</v>
      </c>
      <c r="L2530" s="6">
        <v>0</v>
      </c>
      <c r="M2530" s="5">
        <f>ROUND(ROUND(L2530,2)*ROUND(G2530,3),2)</f>
        <v>0</v>
      </c>
      <c r="N2530" s="4" t="s">
        <v>55</v>
      </c>
      <c r="O2530">
        <f>(M2530*21)/100</f>
        <v>0</v>
      </c>
      <c r="P2530" t="s">
        <v>6</v>
      </c>
    </row>
    <row r="2531" spans="1:16" ht="13.2" x14ac:dyDescent="0.25">
      <c r="A2531" s="3" t="s">
        <v>5</v>
      </c>
      <c r="E2531" s="1" t="s">
        <v>68</v>
      </c>
    </row>
    <row r="2532" spans="1:16" ht="13.2" x14ac:dyDescent="0.25">
      <c r="A2532" s="3" t="s">
        <v>3</v>
      </c>
      <c r="E2532" s="2" t="s">
        <v>2</v>
      </c>
    </row>
    <row r="2533" spans="1:16" ht="52.8" x14ac:dyDescent="0.25">
      <c r="A2533" t="s">
        <v>1</v>
      </c>
      <c r="E2533" s="1" t="s">
        <v>0</v>
      </c>
    </row>
    <row r="2534" spans="1:16" ht="13.2" x14ac:dyDescent="0.25">
      <c r="A2534" t="s">
        <v>11</v>
      </c>
      <c r="B2534" s="9" t="s">
        <v>39</v>
      </c>
      <c r="C2534" s="9" t="s">
        <v>67</v>
      </c>
      <c r="D2534" s="3" t="s">
        <v>2</v>
      </c>
      <c r="E2534" s="8" t="s">
        <v>66</v>
      </c>
      <c r="F2534" s="4" t="s">
        <v>13</v>
      </c>
      <c r="G2534" s="7">
        <v>5</v>
      </c>
      <c r="H2534" s="4">
        <v>0</v>
      </c>
      <c r="I2534" s="4">
        <f>ROUND(G2534*H2534,6)</f>
        <v>0</v>
      </c>
      <c r="L2534" s="6">
        <v>0</v>
      </c>
      <c r="M2534" s="5">
        <f>ROUND(ROUND(L2534,2)*ROUND(G2534,3),2)</f>
        <v>0</v>
      </c>
      <c r="N2534" s="4" t="s">
        <v>55</v>
      </c>
      <c r="O2534">
        <f>(M2534*21)/100</f>
        <v>0</v>
      </c>
      <c r="P2534" t="s">
        <v>6</v>
      </c>
    </row>
    <row r="2535" spans="1:16" ht="13.2" x14ac:dyDescent="0.25">
      <c r="A2535" s="3" t="s">
        <v>5</v>
      </c>
      <c r="E2535" s="1" t="s">
        <v>66</v>
      </c>
    </row>
    <row r="2536" spans="1:16" ht="13.2" x14ac:dyDescent="0.25">
      <c r="A2536" s="3" t="s">
        <v>3</v>
      </c>
      <c r="E2536" s="2" t="s">
        <v>2</v>
      </c>
    </row>
    <row r="2537" spans="1:16" ht="52.8" x14ac:dyDescent="0.25">
      <c r="A2537" t="s">
        <v>1</v>
      </c>
      <c r="E2537" s="1" t="s">
        <v>0</v>
      </c>
    </row>
    <row r="2538" spans="1:16" ht="13.2" x14ac:dyDescent="0.25">
      <c r="A2538" t="s">
        <v>11</v>
      </c>
      <c r="B2538" s="9" t="s">
        <v>36</v>
      </c>
      <c r="C2538" s="9" t="s">
        <v>65</v>
      </c>
      <c r="D2538" s="3" t="s">
        <v>2</v>
      </c>
      <c r="E2538" s="8" t="s">
        <v>63</v>
      </c>
      <c r="F2538" s="4" t="s">
        <v>64</v>
      </c>
      <c r="G2538" s="7">
        <v>4</v>
      </c>
      <c r="H2538" s="4">
        <v>0</v>
      </c>
      <c r="I2538" s="4">
        <f>ROUND(G2538*H2538,6)</f>
        <v>0</v>
      </c>
      <c r="L2538" s="6">
        <v>0</v>
      </c>
      <c r="M2538" s="5">
        <f>ROUND(ROUND(L2538,2)*ROUND(G2538,3),2)</f>
        <v>0</v>
      </c>
      <c r="N2538" s="4" t="s">
        <v>55</v>
      </c>
      <c r="O2538">
        <f>(M2538*21)/100</f>
        <v>0</v>
      </c>
      <c r="P2538" t="s">
        <v>6</v>
      </c>
    </row>
    <row r="2539" spans="1:16" ht="13.2" x14ac:dyDescent="0.25">
      <c r="A2539" s="3" t="s">
        <v>5</v>
      </c>
      <c r="E2539" s="1" t="s">
        <v>63</v>
      </c>
    </row>
    <row r="2540" spans="1:16" ht="13.2" x14ac:dyDescent="0.25">
      <c r="A2540" s="3" t="s">
        <v>3</v>
      </c>
      <c r="E2540" s="2" t="s">
        <v>2</v>
      </c>
    </row>
    <row r="2541" spans="1:16" ht="52.8" x14ac:dyDescent="0.25">
      <c r="A2541" t="s">
        <v>1</v>
      </c>
      <c r="E2541" s="1" t="s">
        <v>0</v>
      </c>
    </row>
    <row r="2542" spans="1:16" ht="13.2" x14ac:dyDescent="0.25">
      <c r="A2542" t="s">
        <v>11</v>
      </c>
      <c r="B2542" s="9" t="s">
        <v>33</v>
      </c>
      <c r="C2542" s="9" t="s">
        <v>62</v>
      </c>
      <c r="D2542" s="3" t="s">
        <v>2</v>
      </c>
      <c r="E2542" s="8" t="s">
        <v>61</v>
      </c>
      <c r="F2542" s="4" t="s">
        <v>8</v>
      </c>
      <c r="G2542" s="7">
        <v>153</v>
      </c>
      <c r="H2542" s="4">
        <v>0</v>
      </c>
      <c r="I2542" s="4">
        <f>ROUND(G2542*H2542,6)</f>
        <v>0</v>
      </c>
      <c r="L2542" s="6">
        <v>0</v>
      </c>
      <c r="M2542" s="5">
        <f>ROUND(ROUND(L2542,2)*ROUND(G2542,3),2)</f>
        <v>0</v>
      </c>
      <c r="N2542" s="4" t="s">
        <v>55</v>
      </c>
      <c r="O2542">
        <f>(M2542*21)/100</f>
        <v>0</v>
      </c>
      <c r="P2542" t="s">
        <v>6</v>
      </c>
    </row>
    <row r="2543" spans="1:16" ht="13.2" x14ac:dyDescent="0.25">
      <c r="A2543" s="3" t="s">
        <v>5</v>
      </c>
      <c r="E2543" s="1" t="s">
        <v>61</v>
      </c>
    </row>
    <row r="2544" spans="1:16" ht="13.2" x14ac:dyDescent="0.25">
      <c r="A2544" s="3" t="s">
        <v>3</v>
      </c>
      <c r="E2544" s="2" t="s">
        <v>2</v>
      </c>
    </row>
    <row r="2545" spans="1:16" ht="52.8" x14ac:dyDescent="0.25">
      <c r="A2545" t="s">
        <v>1</v>
      </c>
      <c r="E2545" s="1" t="s">
        <v>0</v>
      </c>
    </row>
    <row r="2546" spans="1:16" ht="13.2" x14ac:dyDescent="0.25">
      <c r="A2546" t="s">
        <v>11</v>
      </c>
      <c r="B2546" s="9" t="s">
        <v>30</v>
      </c>
      <c r="C2546" s="9" t="s">
        <v>60</v>
      </c>
      <c r="D2546" s="3" t="s">
        <v>2</v>
      </c>
      <c r="E2546" s="8" t="s">
        <v>59</v>
      </c>
      <c r="F2546" s="4" t="s">
        <v>41</v>
      </c>
      <c r="G2546" s="7">
        <v>1</v>
      </c>
      <c r="H2546" s="4">
        <v>0</v>
      </c>
      <c r="I2546" s="4">
        <f>ROUND(G2546*H2546,6)</f>
        <v>0</v>
      </c>
      <c r="L2546" s="6">
        <v>0</v>
      </c>
      <c r="M2546" s="5">
        <f>ROUND(ROUND(L2546,2)*ROUND(G2546,3),2)</f>
        <v>0</v>
      </c>
      <c r="N2546" s="4" t="s">
        <v>55</v>
      </c>
      <c r="O2546">
        <f>(M2546*21)/100</f>
        <v>0</v>
      </c>
      <c r="P2546" t="s">
        <v>6</v>
      </c>
    </row>
    <row r="2547" spans="1:16" ht="13.2" x14ac:dyDescent="0.25">
      <c r="A2547" s="3" t="s">
        <v>5</v>
      </c>
      <c r="E2547" s="1" t="s">
        <v>59</v>
      </c>
    </row>
    <row r="2548" spans="1:16" ht="13.2" x14ac:dyDescent="0.25">
      <c r="A2548" s="3" t="s">
        <v>3</v>
      </c>
      <c r="E2548" s="2" t="s">
        <v>2</v>
      </c>
    </row>
    <row r="2549" spans="1:16" ht="52.8" x14ac:dyDescent="0.25">
      <c r="A2549" t="s">
        <v>1</v>
      </c>
      <c r="E2549" s="1" t="s">
        <v>0</v>
      </c>
    </row>
    <row r="2550" spans="1:16" ht="13.2" x14ac:dyDescent="0.25">
      <c r="A2550" t="s">
        <v>11</v>
      </c>
      <c r="B2550" s="9" t="s">
        <v>27</v>
      </c>
      <c r="C2550" s="9" t="s">
        <v>58</v>
      </c>
      <c r="D2550" s="3" t="s">
        <v>2</v>
      </c>
      <c r="E2550" s="8" t="s">
        <v>57</v>
      </c>
      <c r="F2550" s="4" t="s">
        <v>13</v>
      </c>
      <c r="G2550" s="7">
        <v>1</v>
      </c>
      <c r="H2550" s="4">
        <v>0</v>
      </c>
      <c r="I2550" s="4">
        <f>ROUND(G2550*H2550,6)</f>
        <v>0</v>
      </c>
      <c r="L2550" s="6">
        <v>0</v>
      </c>
      <c r="M2550" s="5">
        <f>ROUND(ROUND(L2550,2)*ROUND(G2550,3),2)</f>
        <v>0</v>
      </c>
      <c r="N2550" s="4" t="s">
        <v>55</v>
      </c>
      <c r="O2550">
        <f>(M2550*21)/100</f>
        <v>0</v>
      </c>
      <c r="P2550" t="s">
        <v>6</v>
      </c>
    </row>
    <row r="2551" spans="1:16" ht="13.2" x14ac:dyDescent="0.25">
      <c r="A2551" s="3" t="s">
        <v>5</v>
      </c>
      <c r="E2551" s="1" t="s">
        <v>57</v>
      </c>
    </row>
    <row r="2552" spans="1:16" ht="13.2" x14ac:dyDescent="0.25">
      <c r="A2552" s="3" t="s">
        <v>3</v>
      </c>
      <c r="E2552" s="2" t="s">
        <v>2</v>
      </c>
    </row>
    <row r="2553" spans="1:16" ht="52.8" x14ac:dyDescent="0.25">
      <c r="A2553" t="s">
        <v>1</v>
      </c>
      <c r="E2553" s="1" t="s">
        <v>0</v>
      </c>
    </row>
    <row r="2554" spans="1:16" ht="13.2" x14ac:dyDescent="0.25">
      <c r="A2554" t="s">
        <v>11</v>
      </c>
      <c r="B2554" s="9" t="s">
        <v>24</v>
      </c>
      <c r="C2554" s="9" t="s">
        <v>56</v>
      </c>
      <c r="D2554" s="3" t="s">
        <v>2</v>
      </c>
      <c r="E2554" s="8" t="s">
        <v>54</v>
      </c>
      <c r="F2554" s="4" t="s">
        <v>41</v>
      </c>
      <c r="G2554" s="7">
        <v>1</v>
      </c>
      <c r="H2554" s="4">
        <v>0</v>
      </c>
      <c r="I2554" s="4">
        <f>ROUND(G2554*H2554,6)</f>
        <v>0</v>
      </c>
      <c r="L2554" s="6">
        <v>0</v>
      </c>
      <c r="M2554" s="5">
        <f>ROUND(ROUND(L2554,2)*ROUND(G2554,3),2)</f>
        <v>0</v>
      </c>
      <c r="N2554" s="4" t="s">
        <v>55</v>
      </c>
      <c r="O2554">
        <f>(M2554*21)/100</f>
        <v>0</v>
      </c>
      <c r="P2554" t="s">
        <v>6</v>
      </c>
    </row>
    <row r="2555" spans="1:16" ht="13.2" x14ac:dyDescent="0.25">
      <c r="A2555" s="3" t="s">
        <v>5</v>
      </c>
      <c r="E2555" s="1" t="s">
        <v>54</v>
      </c>
    </row>
    <row r="2556" spans="1:16" ht="13.2" x14ac:dyDescent="0.25">
      <c r="A2556" s="3" t="s">
        <v>3</v>
      </c>
      <c r="E2556" s="2" t="s">
        <v>2</v>
      </c>
    </row>
    <row r="2557" spans="1:16" ht="52.8" x14ac:dyDescent="0.25">
      <c r="A2557" t="s">
        <v>1</v>
      </c>
      <c r="E2557" s="1" t="s">
        <v>0</v>
      </c>
    </row>
    <row r="2558" spans="1:16" ht="13.2" x14ac:dyDescent="0.25">
      <c r="A2558" t="s">
        <v>53</v>
      </c>
      <c r="C2558" s="11" t="s">
        <v>52</v>
      </c>
      <c r="E2558" s="10" t="s">
        <v>51</v>
      </c>
      <c r="J2558" s="5">
        <f>0+J2559</f>
        <v>0</v>
      </c>
      <c r="K2558" s="5">
        <f>0+K2559</f>
        <v>0</v>
      </c>
      <c r="L2558" s="5">
        <f>0+L2559</f>
        <v>0</v>
      </c>
      <c r="M2558" s="5">
        <f>0+M2559</f>
        <v>0</v>
      </c>
    </row>
    <row r="2559" spans="1:16" ht="13.2" x14ac:dyDescent="0.25">
      <c r="A2559" t="s">
        <v>50</v>
      </c>
      <c r="C2559" s="11" t="s">
        <v>48</v>
      </c>
      <c r="E2559" s="10" t="s">
        <v>49</v>
      </c>
      <c r="J2559" s="5">
        <f>0</f>
        <v>0</v>
      </c>
      <c r="K2559" s="5">
        <f>0</f>
        <v>0</v>
      </c>
      <c r="L2559" s="5">
        <f>0+L2560+L2564+L2568+L2572+L2576+L2580+L2584+L2588+L2592+L2596+L2600+L2604+L2608</f>
        <v>0</v>
      </c>
      <c r="M2559" s="5">
        <f>0+M2560+M2564+M2568+M2572+M2576+M2580+M2584+M2588+M2592+M2596+M2600+M2604+M2608</f>
        <v>0</v>
      </c>
    </row>
    <row r="2560" spans="1:16" ht="13.2" x14ac:dyDescent="0.25">
      <c r="A2560" t="s">
        <v>11</v>
      </c>
      <c r="B2560" s="9" t="s">
        <v>48</v>
      </c>
      <c r="C2560" s="9" t="s">
        <v>47</v>
      </c>
      <c r="D2560" s="3" t="s">
        <v>2</v>
      </c>
      <c r="E2560" s="8" t="s">
        <v>46</v>
      </c>
      <c r="F2560" s="4" t="s">
        <v>41</v>
      </c>
      <c r="G2560" s="7">
        <v>1</v>
      </c>
      <c r="H2560" s="4">
        <v>0</v>
      </c>
      <c r="I2560" s="4">
        <f>ROUND(G2560*H2560,6)</f>
        <v>0</v>
      </c>
      <c r="L2560" s="6">
        <v>0</v>
      </c>
      <c r="M2560" s="5">
        <f>ROUND(ROUND(L2560,2)*ROUND(G2560,3),2)</f>
        <v>0</v>
      </c>
      <c r="N2560" s="4" t="s">
        <v>7</v>
      </c>
      <c r="O2560">
        <f>(M2560*21)/100</f>
        <v>0</v>
      </c>
      <c r="P2560" t="s">
        <v>6</v>
      </c>
    </row>
    <row r="2561" spans="1:16" ht="13.2" x14ac:dyDescent="0.25">
      <c r="A2561" s="3" t="s">
        <v>5</v>
      </c>
      <c r="E2561" s="1" t="s">
        <v>46</v>
      </c>
    </row>
    <row r="2562" spans="1:16" ht="13.2" x14ac:dyDescent="0.25">
      <c r="A2562" s="3" t="s">
        <v>3</v>
      </c>
      <c r="E2562" s="2" t="s">
        <v>2</v>
      </c>
    </row>
    <row r="2563" spans="1:16" ht="52.8" x14ac:dyDescent="0.25">
      <c r="A2563" t="s">
        <v>1</v>
      </c>
      <c r="E2563" s="1" t="s">
        <v>0</v>
      </c>
    </row>
    <row r="2564" spans="1:16" ht="13.2" x14ac:dyDescent="0.25">
      <c r="A2564" t="s">
        <v>11</v>
      </c>
      <c r="B2564" s="9" t="s">
        <v>6</v>
      </c>
      <c r="C2564" s="9" t="s">
        <v>45</v>
      </c>
      <c r="D2564" s="3" t="s">
        <v>2</v>
      </c>
      <c r="E2564" s="8" t="s">
        <v>44</v>
      </c>
      <c r="F2564" s="4" t="s">
        <v>41</v>
      </c>
      <c r="G2564" s="7">
        <v>1</v>
      </c>
      <c r="H2564" s="4">
        <v>0</v>
      </c>
      <c r="I2564" s="4">
        <f>ROUND(G2564*H2564,6)</f>
        <v>0</v>
      </c>
      <c r="L2564" s="6">
        <v>0</v>
      </c>
      <c r="M2564" s="5">
        <f>ROUND(ROUND(L2564,2)*ROUND(G2564,3),2)</f>
        <v>0</v>
      </c>
      <c r="N2564" s="4" t="s">
        <v>7</v>
      </c>
      <c r="O2564">
        <f>(M2564*21)/100</f>
        <v>0</v>
      </c>
      <c r="P2564" t="s">
        <v>6</v>
      </c>
    </row>
    <row r="2565" spans="1:16" ht="13.2" x14ac:dyDescent="0.25">
      <c r="A2565" s="3" t="s">
        <v>5</v>
      </c>
      <c r="E2565" s="1" t="s">
        <v>44</v>
      </c>
    </row>
    <row r="2566" spans="1:16" ht="13.2" x14ac:dyDescent="0.25">
      <c r="A2566" s="3" t="s">
        <v>3</v>
      </c>
      <c r="E2566" s="2" t="s">
        <v>2</v>
      </c>
    </row>
    <row r="2567" spans="1:16" ht="52.8" x14ac:dyDescent="0.25">
      <c r="A2567" t="s">
        <v>1</v>
      </c>
      <c r="E2567" s="1" t="s">
        <v>0</v>
      </c>
    </row>
    <row r="2568" spans="1:16" ht="13.2" x14ac:dyDescent="0.25">
      <c r="A2568" t="s">
        <v>11</v>
      </c>
      <c r="B2568" s="9" t="s">
        <v>43</v>
      </c>
      <c r="C2568" s="9" t="s">
        <v>42</v>
      </c>
      <c r="D2568" s="3" t="s">
        <v>2</v>
      </c>
      <c r="E2568" s="8" t="s">
        <v>40</v>
      </c>
      <c r="F2568" s="4" t="s">
        <v>41</v>
      </c>
      <c r="G2568" s="7">
        <v>1</v>
      </c>
      <c r="H2568" s="4">
        <v>0</v>
      </c>
      <c r="I2568" s="4">
        <f>ROUND(G2568*H2568,6)</f>
        <v>0</v>
      </c>
      <c r="L2568" s="6">
        <v>0</v>
      </c>
      <c r="M2568" s="5">
        <f>ROUND(ROUND(L2568,2)*ROUND(G2568,3),2)</f>
        <v>0</v>
      </c>
      <c r="N2568" s="4" t="s">
        <v>7</v>
      </c>
      <c r="O2568">
        <f>(M2568*21)/100</f>
        <v>0</v>
      </c>
      <c r="P2568" t="s">
        <v>6</v>
      </c>
    </row>
    <row r="2569" spans="1:16" ht="13.2" x14ac:dyDescent="0.25">
      <c r="A2569" s="3" t="s">
        <v>5</v>
      </c>
      <c r="E2569" s="1" t="s">
        <v>40</v>
      </c>
    </row>
    <row r="2570" spans="1:16" ht="13.2" x14ac:dyDescent="0.25">
      <c r="A2570" s="3" t="s">
        <v>3</v>
      </c>
      <c r="E2570" s="2" t="s">
        <v>2</v>
      </c>
    </row>
    <row r="2571" spans="1:16" ht="52.8" x14ac:dyDescent="0.25">
      <c r="A2571" t="s">
        <v>1</v>
      </c>
      <c r="E2571" s="1" t="s">
        <v>0</v>
      </c>
    </row>
    <row r="2572" spans="1:16" ht="13.2" x14ac:dyDescent="0.25">
      <c r="A2572" t="s">
        <v>11</v>
      </c>
      <c r="B2572" s="9" t="s">
        <v>39</v>
      </c>
      <c r="C2572" s="9" t="s">
        <v>38</v>
      </c>
      <c r="D2572" s="3" t="s">
        <v>2</v>
      </c>
      <c r="E2572" s="8" t="s">
        <v>37</v>
      </c>
      <c r="F2572" s="4" t="s">
        <v>13</v>
      </c>
      <c r="G2572" s="7">
        <v>2</v>
      </c>
      <c r="H2572" s="4">
        <v>0</v>
      </c>
      <c r="I2572" s="4">
        <f>ROUND(G2572*H2572,6)</f>
        <v>0</v>
      </c>
      <c r="L2572" s="6">
        <v>0</v>
      </c>
      <c r="M2572" s="5">
        <f>ROUND(ROUND(L2572,2)*ROUND(G2572,3),2)</f>
        <v>0</v>
      </c>
      <c r="N2572" s="4" t="s">
        <v>7</v>
      </c>
      <c r="O2572">
        <f>(M2572*21)/100</f>
        <v>0</v>
      </c>
      <c r="P2572" t="s">
        <v>6</v>
      </c>
    </row>
    <row r="2573" spans="1:16" ht="13.2" x14ac:dyDescent="0.25">
      <c r="A2573" s="3" t="s">
        <v>5</v>
      </c>
      <c r="E2573" s="1" t="s">
        <v>37</v>
      </c>
    </row>
    <row r="2574" spans="1:16" ht="13.2" x14ac:dyDescent="0.25">
      <c r="A2574" s="3" t="s">
        <v>3</v>
      </c>
      <c r="E2574" s="2" t="s">
        <v>2</v>
      </c>
    </row>
    <row r="2575" spans="1:16" ht="52.8" x14ac:dyDescent="0.25">
      <c r="A2575" t="s">
        <v>1</v>
      </c>
      <c r="E2575" s="1" t="s">
        <v>0</v>
      </c>
    </row>
    <row r="2576" spans="1:16" ht="13.2" x14ac:dyDescent="0.25">
      <c r="A2576" t="s">
        <v>11</v>
      </c>
      <c r="B2576" s="9" t="s">
        <v>36</v>
      </c>
      <c r="C2576" s="9" t="s">
        <v>35</v>
      </c>
      <c r="D2576" s="3" t="s">
        <v>2</v>
      </c>
      <c r="E2576" s="8" t="s">
        <v>34</v>
      </c>
      <c r="F2576" s="4" t="s">
        <v>13</v>
      </c>
      <c r="G2576" s="7">
        <v>2</v>
      </c>
      <c r="H2576" s="4">
        <v>0</v>
      </c>
      <c r="I2576" s="4">
        <f>ROUND(G2576*H2576,6)</f>
        <v>0</v>
      </c>
      <c r="L2576" s="6">
        <v>0</v>
      </c>
      <c r="M2576" s="5">
        <f>ROUND(ROUND(L2576,2)*ROUND(G2576,3),2)</f>
        <v>0</v>
      </c>
      <c r="N2576" s="4" t="s">
        <v>7</v>
      </c>
      <c r="O2576">
        <f>(M2576*21)/100</f>
        <v>0</v>
      </c>
      <c r="P2576" t="s">
        <v>6</v>
      </c>
    </row>
    <row r="2577" spans="1:16" ht="13.2" x14ac:dyDescent="0.25">
      <c r="A2577" s="3" t="s">
        <v>5</v>
      </c>
      <c r="E2577" s="1" t="s">
        <v>34</v>
      </c>
    </row>
    <row r="2578" spans="1:16" ht="13.2" x14ac:dyDescent="0.25">
      <c r="A2578" s="3" t="s">
        <v>3</v>
      </c>
      <c r="E2578" s="2" t="s">
        <v>2</v>
      </c>
    </row>
    <row r="2579" spans="1:16" ht="52.8" x14ac:dyDescent="0.25">
      <c r="A2579" t="s">
        <v>1</v>
      </c>
      <c r="E2579" s="1" t="s">
        <v>0</v>
      </c>
    </row>
    <row r="2580" spans="1:16" ht="13.2" x14ac:dyDescent="0.25">
      <c r="A2580" t="s">
        <v>11</v>
      </c>
      <c r="B2580" s="9" t="s">
        <v>33</v>
      </c>
      <c r="C2580" s="9" t="s">
        <v>32</v>
      </c>
      <c r="D2580" s="3" t="s">
        <v>2</v>
      </c>
      <c r="E2580" s="8" t="s">
        <v>31</v>
      </c>
      <c r="F2580" s="4" t="s">
        <v>13</v>
      </c>
      <c r="G2580" s="7">
        <v>2</v>
      </c>
      <c r="H2580" s="4">
        <v>0</v>
      </c>
      <c r="I2580" s="4">
        <f>ROUND(G2580*H2580,6)</f>
        <v>0</v>
      </c>
      <c r="L2580" s="6">
        <v>0</v>
      </c>
      <c r="M2580" s="5">
        <f>ROUND(ROUND(L2580,2)*ROUND(G2580,3),2)</f>
        <v>0</v>
      </c>
      <c r="N2580" s="4" t="s">
        <v>7</v>
      </c>
      <c r="O2580">
        <f>(M2580*21)/100</f>
        <v>0</v>
      </c>
      <c r="P2580" t="s">
        <v>6</v>
      </c>
    </row>
    <row r="2581" spans="1:16" ht="13.2" x14ac:dyDescent="0.25">
      <c r="A2581" s="3" t="s">
        <v>5</v>
      </c>
      <c r="E2581" s="1" t="s">
        <v>31</v>
      </c>
    </row>
    <row r="2582" spans="1:16" ht="13.2" x14ac:dyDescent="0.25">
      <c r="A2582" s="3" t="s">
        <v>3</v>
      </c>
      <c r="E2582" s="2" t="s">
        <v>2</v>
      </c>
    </row>
    <row r="2583" spans="1:16" ht="52.8" x14ac:dyDescent="0.25">
      <c r="A2583" t="s">
        <v>1</v>
      </c>
      <c r="E2583" s="1" t="s">
        <v>0</v>
      </c>
    </row>
    <row r="2584" spans="1:16" ht="13.2" x14ac:dyDescent="0.25">
      <c r="A2584" t="s">
        <v>11</v>
      </c>
      <c r="B2584" s="9" t="s">
        <v>30</v>
      </c>
      <c r="C2584" s="9" t="s">
        <v>29</v>
      </c>
      <c r="D2584" s="3" t="s">
        <v>2</v>
      </c>
      <c r="E2584" s="8" t="s">
        <v>28</v>
      </c>
      <c r="F2584" s="4" t="s">
        <v>13</v>
      </c>
      <c r="G2584" s="7">
        <v>2</v>
      </c>
      <c r="H2584" s="4">
        <v>0</v>
      </c>
      <c r="I2584" s="4">
        <f>ROUND(G2584*H2584,6)</f>
        <v>0</v>
      </c>
      <c r="L2584" s="6">
        <v>0</v>
      </c>
      <c r="M2584" s="5">
        <f>ROUND(ROUND(L2584,2)*ROUND(G2584,3),2)</f>
        <v>0</v>
      </c>
      <c r="N2584" s="4" t="s">
        <v>7</v>
      </c>
      <c r="O2584">
        <f>(M2584*21)/100</f>
        <v>0</v>
      </c>
      <c r="P2584" t="s">
        <v>6</v>
      </c>
    </row>
    <row r="2585" spans="1:16" ht="13.2" x14ac:dyDescent="0.25">
      <c r="A2585" s="3" t="s">
        <v>5</v>
      </c>
      <c r="E2585" s="1" t="s">
        <v>28</v>
      </c>
    </row>
    <row r="2586" spans="1:16" ht="13.2" x14ac:dyDescent="0.25">
      <c r="A2586" s="3" t="s">
        <v>3</v>
      </c>
      <c r="E2586" s="2" t="s">
        <v>2</v>
      </c>
    </row>
    <row r="2587" spans="1:16" ht="52.8" x14ac:dyDescent="0.25">
      <c r="A2587" t="s">
        <v>1</v>
      </c>
      <c r="E2587" s="1" t="s">
        <v>0</v>
      </c>
    </row>
    <row r="2588" spans="1:16" ht="26.4" x14ac:dyDescent="0.25">
      <c r="A2588" t="s">
        <v>11</v>
      </c>
      <c r="B2588" s="9" t="s">
        <v>27</v>
      </c>
      <c r="C2588" s="9" t="s">
        <v>26</v>
      </c>
      <c r="D2588" s="3" t="s">
        <v>2</v>
      </c>
      <c r="E2588" s="8" t="s">
        <v>25</v>
      </c>
      <c r="F2588" s="4" t="s">
        <v>13</v>
      </c>
      <c r="G2588" s="7">
        <v>12</v>
      </c>
      <c r="H2588" s="4">
        <v>0</v>
      </c>
      <c r="I2588" s="4">
        <f>ROUND(G2588*H2588,6)</f>
        <v>0</v>
      </c>
      <c r="L2588" s="6">
        <v>0</v>
      </c>
      <c r="M2588" s="5">
        <f>ROUND(ROUND(L2588,2)*ROUND(G2588,3),2)</f>
        <v>0</v>
      </c>
      <c r="N2588" s="4" t="s">
        <v>7</v>
      </c>
      <c r="O2588">
        <f>(M2588*21)/100</f>
        <v>0</v>
      </c>
      <c r="P2588" t="s">
        <v>6</v>
      </c>
    </row>
    <row r="2589" spans="1:16" ht="26.4" x14ac:dyDescent="0.25">
      <c r="A2589" s="3" t="s">
        <v>5</v>
      </c>
      <c r="E2589" s="1" t="s">
        <v>25</v>
      </c>
    </row>
    <row r="2590" spans="1:16" ht="13.2" x14ac:dyDescent="0.25">
      <c r="A2590" s="3" t="s">
        <v>3</v>
      </c>
      <c r="E2590" s="2" t="s">
        <v>2</v>
      </c>
    </row>
    <row r="2591" spans="1:16" ht="52.8" x14ac:dyDescent="0.25">
      <c r="A2591" t="s">
        <v>1</v>
      </c>
      <c r="E2591" s="1" t="s">
        <v>0</v>
      </c>
    </row>
    <row r="2592" spans="1:16" ht="26.4" x14ac:dyDescent="0.25">
      <c r="A2592" t="s">
        <v>11</v>
      </c>
      <c r="B2592" s="9" t="s">
        <v>24</v>
      </c>
      <c r="C2592" s="9" t="s">
        <v>23</v>
      </c>
      <c r="D2592" s="3" t="s">
        <v>2</v>
      </c>
      <c r="E2592" s="8" t="s">
        <v>22</v>
      </c>
      <c r="F2592" s="4" t="s">
        <v>8</v>
      </c>
      <c r="G2592" s="7">
        <v>280</v>
      </c>
      <c r="H2592" s="4">
        <v>0</v>
      </c>
      <c r="I2592" s="4">
        <f>ROUND(G2592*H2592,6)</f>
        <v>0</v>
      </c>
      <c r="L2592" s="6">
        <v>0</v>
      </c>
      <c r="M2592" s="5">
        <f>ROUND(ROUND(L2592,2)*ROUND(G2592,3),2)</f>
        <v>0</v>
      </c>
      <c r="N2592" s="4" t="s">
        <v>7</v>
      </c>
      <c r="O2592">
        <f>(M2592*21)/100</f>
        <v>0</v>
      </c>
      <c r="P2592" t="s">
        <v>6</v>
      </c>
    </row>
    <row r="2593" spans="1:16" ht="26.4" x14ac:dyDescent="0.25">
      <c r="A2593" s="3" t="s">
        <v>5</v>
      </c>
      <c r="E2593" s="1" t="s">
        <v>22</v>
      </c>
    </row>
    <row r="2594" spans="1:16" ht="13.2" x14ac:dyDescent="0.25">
      <c r="A2594" s="3" t="s">
        <v>3</v>
      </c>
      <c r="E2594" s="2" t="s">
        <v>2</v>
      </c>
    </row>
    <row r="2595" spans="1:16" ht="52.8" x14ac:dyDescent="0.25">
      <c r="A2595" t="s">
        <v>1</v>
      </c>
      <c r="E2595" s="1" t="s">
        <v>0</v>
      </c>
    </row>
    <row r="2596" spans="1:16" ht="26.4" x14ac:dyDescent="0.25">
      <c r="A2596" t="s">
        <v>11</v>
      </c>
      <c r="B2596" s="9" t="s">
        <v>21</v>
      </c>
      <c r="C2596" s="9" t="s">
        <v>20</v>
      </c>
      <c r="D2596" s="3" t="s">
        <v>2</v>
      </c>
      <c r="E2596" s="8" t="s">
        <v>19</v>
      </c>
      <c r="F2596" s="4" t="s">
        <v>13</v>
      </c>
      <c r="G2596" s="7">
        <v>2</v>
      </c>
      <c r="H2596" s="4">
        <v>0</v>
      </c>
      <c r="I2596" s="4">
        <f>ROUND(G2596*H2596,6)</f>
        <v>0</v>
      </c>
      <c r="L2596" s="6">
        <v>0</v>
      </c>
      <c r="M2596" s="5">
        <f>ROUND(ROUND(L2596,2)*ROUND(G2596,3),2)</f>
        <v>0</v>
      </c>
      <c r="N2596" s="4" t="s">
        <v>7</v>
      </c>
      <c r="O2596">
        <f>(M2596*21)/100</f>
        <v>0</v>
      </c>
      <c r="P2596" t="s">
        <v>6</v>
      </c>
    </row>
    <row r="2597" spans="1:16" ht="26.4" x14ac:dyDescent="0.25">
      <c r="A2597" s="3" t="s">
        <v>5</v>
      </c>
      <c r="E2597" s="1" t="s">
        <v>19</v>
      </c>
    </row>
    <row r="2598" spans="1:16" ht="13.2" x14ac:dyDescent="0.25">
      <c r="A2598" s="3" t="s">
        <v>3</v>
      </c>
      <c r="E2598" s="2" t="s">
        <v>2</v>
      </c>
    </row>
    <row r="2599" spans="1:16" ht="52.8" x14ac:dyDescent="0.25">
      <c r="A2599" t="s">
        <v>1</v>
      </c>
      <c r="E2599" s="1" t="s">
        <v>0</v>
      </c>
    </row>
    <row r="2600" spans="1:16" ht="26.4" x14ac:dyDescent="0.25">
      <c r="A2600" t="s">
        <v>11</v>
      </c>
      <c r="B2600" s="9" t="s">
        <v>18</v>
      </c>
      <c r="C2600" s="9" t="s">
        <v>17</v>
      </c>
      <c r="D2600" s="3" t="s">
        <v>2</v>
      </c>
      <c r="E2600" s="8" t="s">
        <v>16</v>
      </c>
      <c r="F2600" s="4" t="s">
        <v>13</v>
      </c>
      <c r="G2600" s="7">
        <v>4</v>
      </c>
      <c r="H2600" s="4">
        <v>0</v>
      </c>
      <c r="I2600" s="4">
        <f>ROUND(G2600*H2600,6)</f>
        <v>0</v>
      </c>
      <c r="L2600" s="6">
        <v>0</v>
      </c>
      <c r="M2600" s="5">
        <f>ROUND(ROUND(L2600,2)*ROUND(G2600,3),2)</f>
        <v>0</v>
      </c>
      <c r="N2600" s="4" t="s">
        <v>7</v>
      </c>
      <c r="O2600">
        <f>(M2600*21)/100</f>
        <v>0</v>
      </c>
      <c r="P2600" t="s">
        <v>6</v>
      </c>
    </row>
    <row r="2601" spans="1:16" ht="26.4" x14ac:dyDescent="0.25">
      <c r="A2601" s="3" t="s">
        <v>5</v>
      </c>
      <c r="E2601" s="1" t="s">
        <v>16</v>
      </c>
    </row>
    <row r="2602" spans="1:16" ht="13.2" x14ac:dyDescent="0.25">
      <c r="A2602" s="3" t="s">
        <v>3</v>
      </c>
      <c r="E2602" s="2" t="s">
        <v>2</v>
      </c>
    </row>
    <row r="2603" spans="1:16" ht="52.8" x14ac:dyDescent="0.25">
      <c r="A2603" t="s">
        <v>1</v>
      </c>
      <c r="E2603" s="1" t="s">
        <v>0</v>
      </c>
    </row>
    <row r="2604" spans="1:16" ht="26.4" x14ac:dyDescent="0.25">
      <c r="A2604" t="s">
        <v>11</v>
      </c>
      <c r="B2604" s="9" t="s">
        <v>15</v>
      </c>
      <c r="C2604" s="9" t="s">
        <v>14</v>
      </c>
      <c r="D2604" s="3" t="s">
        <v>2</v>
      </c>
      <c r="E2604" s="8" t="s">
        <v>12</v>
      </c>
      <c r="F2604" s="4" t="s">
        <v>13</v>
      </c>
      <c r="G2604" s="7">
        <v>16</v>
      </c>
      <c r="H2604" s="4">
        <v>0</v>
      </c>
      <c r="I2604" s="4">
        <f>ROUND(G2604*H2604,6)</f>
        <v>0</v>
      </c>
      <c r="L2604" s="6">
        <v>0</v>
      </c>
      <c r="M2604" s="5">
        <f>ROUND(ROUND(L2604,2)*ROUND(G2604,3),2)</f>
        <v>0</v>
      </c>
      <c r="N2604" s="4" t="s">
        <v>7</v>
      </c>
      <c r="O2604">
        <f>(M2604*21)/100</f>
        <v>0</v>
      </c>
      <c r="P2604" t="s">
        <v>6</v>
      </c>
    </row>
    <row r="2605" spans="1:16" ht="26.4" x14ac:dyDescent="0.25">
      <c r="A2605" s="3" t="s">
        <v>5</v>
      </c>
      <c r="E2605" s="1" t="s">
        <v>12</v>
      </c>
    </row>
    <row r="2606" spans="1:16" ht="13.2" x14ac:dyDescent="0.25">
      <c r="A2606" s="3" t="s">
        <v>3</v>
      </c>
      <c r="E2606" s="2" t="s">
        <v>2</v>
      </c>
    </row>
    <row r="2607" spans="1:16" ht="52.8" x14ac:dyDescent="0.25">
      <c r="A2607" t="s">
        <v>1</v>
      </c>
      <c r="E2607" s="1" t="s">
        <v>0</v>
      </c>
    </row>
    <row r="2608" spans="1:16" ht="13.2" x14ac:dyDescent="0.25">
      <c r="A2608" t="s">
        <v>11</v>
      </c>
      <c r="B2608" s="9" t="s">
        <v>10</v>
      </c>
      <c r="C2608" s="9" t="s">
        <v>9</v>
      </c>
      <c r="D2608" s="3" t="s">
        <v>2</v>
      </c>
      <c r="E2608" s="8" t="s">
        <v>4</v>
      </c>
      <c r="F2608" s="4" t="s">
        <v>8</v>
      </c>
      <c r="G2608" s="7">
        <v>4</v>
      </c>
      <c r="H2608" s="4">
        <v>0</v>
      </c>
      <c r="I2608" s="4">
        <f>ROUND(G2608*H2608,6)</f>
        <v>0</v>
      </c>
      <c r="L2608" s="6">
        <v>0</v>
      </c>
      <c r="M2608" s="5">
        <f>ROUND(ROUND(L2608,2)*ROUND(G2608,3),2)</f>
        <v>0</v>
      </c>
      <c r="N2608" s="4" t="s">
        <v>7</v>
      </c>
      <c r="O2608">
        <f>(M2608*21)/100</f>
        <v>0</v>
      </c>
      <c r="P2608" t="s">
        <v>6</v>
      </c>
    </row>
    <row r="2609" spans="1:5" ht="13.2" x14ac:dyDescent="0.25">
      <c r="A2609" s="3" t="s">
        <v>5</v>
      </c>
      <c r="E2609" s="1" t="s">
        <v>4</v>
      </c>
    </row>
    <row r="2610" spans="1:5" ht="13.2" x14ac:dyDescent="0.25">
      <c r="A2610" s="3" t="s">
        <v>3</v>
      </c>
      <c r="E2610" s="2" t="s">
        <v>2</v>
      </c>
    </row>
    <row r="2611" spans="1:5" ht="52.8" x14ac:dyDescent="0.25">
      <c r="A2611" t="s">
        <v>1</v>
      </c>
      <c r="E2611" s="1" t="s">
        <v>0</v>
      </c>
    </row>
  </sheetData>
  <sheetProtection password="923D" sheet="1" objects="1" scenarios="1"/>
  <mergeCells count="18">
    <mergeCell ref="C4:D4"/>
    <mergeCell ref="A5:A7"/>
    <mergeCell ref="B5:B7"/>
    <mergeCell ref="C5:C7"/>
    <mergeCell ref="D5:D7"/>
    <mergeCell ref="E5:E7"/>
    <mergeCell ref="C1:C2"/>
    <mergeCell ref="E1:E2"/>
    <mergeCell ref="E3:H3"/>
    <mergeCell ref="E4:H4"/>
    <mergeCell ref="C3:D3"/>
    <mergeCell ref="N5:N7"/>
    <mergeCell ref="F5:F7"/>
    <mergeCell ref="G5:G7"/>
    <mergeCell ref="H5:H7"/>
    <mergeCell ref="I5:I7"/>
    <mergeCell ref="L5:M6"/>
    <mergeCell ref="J6:K6"/>
  </mergeCells>
  <pageMargins left="0.75" right="0.75" top="1" bottom="1" header="0.5" footer="0.5"/>
  <pageSetup paperSize="9" orientation="landscape"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SO 11-61-01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Prokopov, Oleksandr</dc:creator>
  <cp:lastModifiedBy>Prokopov, Oleksandr</cp:lastModifiedBy>
  <dcterms:created xsi:type="dcterms:W3CDTF">2026-05-22T05:39:14Z</dcterms:created>
  <dcterms:modified xsi:type="dcterms:W3CDTF">2026-05-22T05:40:44Z</dcterms:modified>
</cp:coreProperties>
</file>
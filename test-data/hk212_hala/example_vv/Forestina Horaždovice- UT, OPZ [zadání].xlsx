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stavby\2025\HD Forestina\Finální výkazy\"/>
    </mc:Choice>
  </mc:AlternateContent>
  <bookViews>
    <workbookView xWindow="0" yWindow="0" windowWidth="0" windowHeight="0"/>
  </bookViews>
  <sheets>
    <sheet name="Rekapitulace stavby" sheetId="1" r:id="rId1"/>
    <sheet name="01 - 01-Vytápění-Kotelna" sheetId="2" r:id="rId2"/>
    <sheet name="02 - Vytápění- otop. sous..." sheetId="3" r:id="rId3"/>
    <sheet name="04 - OPZ-hala" sheetId="4" r:id="rId4"/>
    <sheet name="03 - STL plynovody" sheetId="5" r:id="rId5"/>
    <sheet name="05 - OPZ-kotelna" sheetId="6" r:id="rId6"/>
    <sheet name="06 - Vytápění hala" sheetId="7" r:id="rId7"/>
  </sheets>
  <definedNames>
    <definedName name="_xlnm.Print_Area" localSheetId="0">'Rekapitulace stavby'!$D$4:$AO$76,'Rekapitulace stavby'!$C$82:$AQ$101</definedName>
    <definedName name="_xlnm.Print_Titles" localSheetId="0">'Rekapitulace stavby'!$92:$92</definedName>
    <definedName name="_xlnm._FilterDatabase" localSheetId="1" hidden="1">'01 - 01-Vytápění-Kotelna'!$C$122:$K$234</definedName>
    <definedName name="_xlnm.Print_Area" localSheetId="1">'01 - 01-Vytápění-Kotelna'!$C$4:$J$76,'01 - 01-Vytápění-Kotelna'!$C$82:$J$104,'01 - 01-Vytápění-Kotelna'!$C$110:$J$234</definedName>
    <definedName name="_xlnm.Print_Titles" localSheetId="1">'01 - 01-Vytápění-Kotelna'!$122:$122</definedName>
    <definedName name="_xlnm._FilterDatabase" localSheetId="2" hidden="1">'02 - Vytápění- otop. sous...'!$C$123:$K$190</definedName>
    <definedName name="_xlnm.Print_Area" localSheetId="2">'02 - Vytápění- otop. sous...'!$C$4:$J$76,'02 - Vytápění- otop. sous...'!$C$82:$J$105,'02 - Vytápění- otop. sous...'!$C$111:$J$190</definedName>
    <definedName name="_xlnm.Print_Titles" localSheetId="2">'02 - Vytápění- otop. sous...'!$123:$123</definedName>
    <definedName name="_xlnm._FilterDatabase" localSheetId="3" hidden="1">'04 - OPZ-hala'!$C$117:$K$146</definedName>
    <definedName name="_xlnm.Print_Area" localSheetId="3">'04 - OPZ-hala'!$C$4:$J$76,'04 - OPZ-hala'!$C$82:$J$99,'04 - OPZ-hala'!$C$105:$J$146</definedName>
    <definedName name="_xlnm.Print_Titles" localSheetId="3">'04 - OPZ-hala'!$117:$117</definedName>
    <definedName name="_xlnm._FilterDatabase" localSheetId="4" hidden="1">'03 - STL plynovody'!$C$120:$K$152</definedName>
    <definedName name="_xlnm.Print_Area" localSheetId="4">'03 - STL plynovody'!$C$4:$J$76,'03 - STL plynovody'!$C$82:$J$102,'03 - STL plynovody'!$C$108:$J$152</definedName>
    <definedName name="_xlnm.Print_Titles" localSheetId="4">'03 - STL plynovody'!$120:$120</definedName>
    <definedName name="_xlnm._FilterDatabase" localSheetId="5" hidden="1">'05 - OPZ-kotelna'!$C$118:$K$144</definedName>
    <definedName name="_xlnm.Print_Area" localSheetId="5">'05 - OPZ-kotelna'!$C$4:$J$76,'05 - OPZ-kotelna'!$C$82:$J$100,'05 - OPZ-kotelna'!$C$106:$J$144</definedName>
    <definedName name="_xlnm.Print_Titles" localSheetId="5">'05 - OPZ-kotelna'!$118:$118</definedName>
    <definedName name="_xlnm._FilterDatabase" localSheetId="6" hidden="1">'06 - Vytápění hala'!$C$121:$K$158</definedName>
    <definedName name="_xlnm.Print_Area" localSheetId="6">'06 - Vytápění hala'!$C$4:$J$76,'06 - Vytápění hala'!$C$82:$J$103,'06 - Vytápění hala'!$C$109:$J$158</definedName>
    <definedName name="_xlnm.Print_Titles" localSheetId="6">'06 - Vytápění hala'!$121:$121</definedName>
  </definedNames>
  <calcPr/>
</workbook>
</file>

<file path=xl/calcChain.xml><?xml version="1.0" encoding="utf-8"?>
<calcChain xmlns="http://schemas.openxmlformats.org/spreadsheetml/2006/main">
  <c i="7" l="1" r="J37"/>
  <c r="J36"/>
  <c i="1" r="AY100"/>
  <c i="7" r="J35"/>
  <c i="1" r="AX100"/>
  <c i="7"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5"/>
  <c r="BH155"/>
  <c r="BG155"/>
  <c r="BF155"/>
  <c r="T155"/>
  <c r="R155"/>
  <c r="P155"/>
  <c r="BI154"/>
  <c r="BH154"/>
  <c r="BG154"/>
  <c r="BF154"/>
  <c r="T154"/>
  <c r="R154"/>
  <c r="P154"/>
  <c r="BI153"/>
  <c r="BH153"/>
  <c r="BG153"/>
  <c r="BF153"/>
  <c r="T153"/>
  <c r="R153"/>
  <c r="P153"/>
  <c r="BI152"/>
  <c r="BH152"/>
  <c r="BG152"/>
  <c r="BF152"/>
  <c r="T152"/>
  <c r="R152"/>
  <c r="P152"/>
  <c r="BI150"/>
  <c r="BH150"/>
  <c r="BG150"/>
  <c r="BF150"/>
  <c r="T150"/>
  <c r="R150"/>
  <c r="P150"/>
  <c r="BI149"/>
  <c r="BH149"/>
  <c r="BG149"/>
  <c r="BF149"/>
  <c r="T149"/>
  <c r="R149"/>
  <c r="P149"/>
  <c r="BI148"/>
  <c r="BH148"/>
  <c r="BG148"/>
  <c r="BF148"/>
  <c r="T148"/>
  <c r="R148"/>
  <c r="P148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92"/>
  <c r="J17"/>
  <c r="J12"/>
  <c r="J116"/>
  <c r="E7"/>
  <c r="E112"/>
  <c i="6" r="J37"/>
  <c r="J36"/>
  <c i="1" r="AY99"/>
  <c i="6" r="J35"/>
  <c i="1" r="AX99"/>
  <c i="6" r="BI144"/>
  <c r="BH144"/>
  <c r="BG144"/>
  <c r="BF144"/>
  <c r="T144"/>
  <c r="T143"/>
  <c r="R144"/>
  <c r="R143"/>
  <c r="P144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J116"/>
  <c r="J115"/>
  <c r="F115"/>
  <c r="F113"/>
  <c r="E111"/>
  <c r="J92"/>
  <c r="J91"/>
  <c r="F91"/>
  <c r="F89"/>
  <c r="E87"/>
  <c r="J18"/>
  <c r="E18"/>
  <c r="F116"/>
  <c r="J17"/>
  <c r="J12"/>
  <c r="J89"/>
  <c r="E7"/>
  <c r="E109"/>
  <c i="5" r="J37"/>
  <c r="J36"/>
  <c i="1" r="AY98"/>
  <c i="5" r="J35"/>
  <c i="1" r="AX98"/>
  <c i="5" r="BI152"/>
  <c r="BH152"/>
  <c r="BG152"/>
  <c r="BF152"/>
  <c r="T152"/>
  <c r="R152"/>
  <c r="P152"/>
  <c r="BI151"/>
  <c r="BH151"/>
  <c r="BG151"/>
  <c r="BF151"/>
  <c r="T151"/>
  <c r="R151"/>
  <c r="P151"/>
  <c r="BI149"/>
  <c r="BH149"/>
  <c r="BG149"/>
  <c r="BF149"/>
  <c r="T149"/>
  <c r="R149"/>
  <c r="P149"/>
  <c r="BI148"/>
  <c r="BH148"/>
  <c r="BG148"/>
  <c r="BF148"/>
  <c r="T148"/>
  <c r="R148"/>
  <c r="P148"/>
  <c r="BI147"/>
  <c r="BH147"/>
  <c r="BG147"/>
  <c r="BF147"/>
  <c r="T147"/>
  <c r="R147"/>
  <c r="P147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J118"/>
  <c r="J117"/>
  <c r="F117"/>
  <c r="F115"/>
  <c r="E113"/>
  <c r="J92"/>
  <c r="J91"/>
  <c r="F91"/>
  <c r="F89"/>
  <c r="E87"/>
  <c r="J18"/>
  <c r="E18"/>
  <c r="F118"/>
  <c r="J17"/>
  <c r="J12"/>
  <c r="J115"/>
  <c r="E7"/>
  <c r="E85"/>
  <c i="4" r="J37"/>
  <c r="J36"/>
  <c i="1" r="AY97"/>
  <c i="4" r="J35"/>
  <c i="1" r="AX97"/>
  <c i="4"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BI125"/>
  <c r="BH125"/>
  <c r="BG125"/>
  <c r="BF125"/>
  <c r="T125"/>
  <c r="R125"/>
  <c r="P125"/>
  <c r="BI124"/>
  <c r="BH124"/>
  <c r="BG124"/>
  <c r="BF124"/>
  <c r="T124"/>
  <c r="R124"/>
  <c r="P124"/>
  <c r="BI123"/>
  <c r="BH123"/>
  <c r="BG123"/>
  <c r="BF123"/>
  <c r="T123"/>
  <c r="R123"/>
  <c r="P123"/>
  <c r="BI122"/>
  <c r="BH122"/>
  <c r="BG122"/>
  <c r="BF122"/>
  <c r="T122"/>
  <c r="R122"/>
  <c r="P122"/>
  <c r="BI121"/>
  <c r="BH121"/>
  <c r="BG121"/>
  <c r="BF121"/>
  <c r="T121"/>
  <c r="R121"/>
  <c r="P121"/>
  <c r="J115"/>
  <c r="J114"/>
  <c r="F114"/>
  <c r="F112"/>
  <c r="E110"/>
  <c r="J92"/>
  <c r="J91"/>
  <c r="F91"/>
  <c r="F89"/>
  <c r="E87"/>
  <c r="J18"/>
  <c r="E18"/>
  <c r="F115"/>
  <c r="J17"/>
  <c r="J12"/>
  <c r="J112"/>
  <c r="E7"/>
  <c r="E108"/>
  <c i="3" r="J37"/>
  <c r="J36"/>
  <c i="1" r="AY96"/>
  <c i="3" r="J35"/>
  <c i="1" r="AX96"/>
  <c i="3" r="BI190"/>
  <c r="BH190"/>
  <c r="BG190"/>
  <c r="BF190"/>
  <c r="T190"/>
  <c r="R190"/>
  <c r="P190"/>
  <c r="BI189"/>
  <c r="BH189"/>
  <c r="BG189"/>
  <c r="BF189"/>
  <c r="T189"/>
  <c r="R189"/>
  <c r="P189"/>
  <c r="BI188"/>
  <c r="BH188"/>
  <c r="BG188"/>
  <c r="BF188"/>
  <c r="T188"/>
  <c r="R188"/>
  <c r="P188"/>
  <c r="BI187"/>
  <c r="BH187"/>
  <c r="BG187"/>
  <c r="BF187"/>
  <c r="T187"/>
  <c r="R187"/>
  <c r="P187"/>
  <c r="BI185"/>
  <c r="BH185"/>
  <c r="BG185"/>
  <c r="BF185"/>
  <c r="T185"/>
  <c r="R185"/>
  <c r="P185"/>
  <c r="BI184"/>
  <c r="BH184"/>
  <c r="BG184"/>
  <c r="BF184"/>
  <c r="T184"/>
  <c r="R184"/>
  <c r="P184"/>
  <c r="BI182"/>
  <c r="BH182"/>
  <c r="BG182"/>
  <c r="BF182"/>
  <c r="T182"/>
  <c r="R182"/>
  <c r="P182"/>
  <c r="BI181"/>
  <c r="BH181"/>
  <c r="BG181"/>
  <c r="BF181"/>
  <c r="T181"/>
  <c r="R181"/>
  <c r="P181"/>
  <c r="BI180"/>
  <c r="BH180"/>
  <c r="BG180"/>
  <c r="BF180"/>
  <c r="T180"/>
  <c r="R180"/>
  <c r="P180"/>
  <c r="BI178"/>
  <c r="BH178"/>
  <c r="BG178"/>
  <c r="BF178"/>
  <c r="T178"/>
  <c r="R178"/>
  <c r="P178"/>
  <c r="BI177"/>
  <c r="BH177"/>
  <c r="BG177"/>
  <c r="BF177"/>
  <c r="T177"/>
  <c r="R177"/>
  <c r="P177"/>
  <c r="BI176"/>
  <c r="BH176"/>
  <c r="BG176"/>
  <c r="BF176"/>
  <c r="T176"/>
  <c r="R176"/>
  <c r="P176"/>
  <c r="BI175"/>
  <c r="BH175"/>
  <c r="BG175"/>
  <c r="BF175"/>
  <c r="T175"/>
  <c r="R175"/>
  <c r="P175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70"/>
  <c r="BH170"/>
  <c r="BG170"/>
  <c r="BF170"/>
  <c r="T170"/>
  <c r="R170"/>
  <c r="P170"/>
  <c r="BI169"/>
  <c r="BH169"/>
  <c r="BG169"/>
  <c r="BF169"/>
  <c r="T169"/>
  <c r="R169"/>
  <c r="P169"/>
  <c r="BI168"/>
  <c r="BH168"/>
  <c r="BG168"/>
  <c r="BF168"/>
  <c r="T168"/>
  <c r="R168"/>
  <c r="P168"/>
  <c r="BI167"/>
  <c r="BH167"/>
  <c r="BG167"/>
  <c r="BF167"/>
  <c r="T167"/>
  <c r="R167"/>
  <c r="P167"/>
  <c r="BI166"/>
  <c r="BH166"/>
  <c r="BG166"/>
  <c r="BF166"/>
  <c r="T166"/>
  <c r="R166"/>
  <c r="P166"/>
  <c r="BI165"/>
  <c r="BH165"/>
  <c r="BG165"/>
  <c r="BF165"/>
  <c r="T165"/>
  <c r="R165"/>
  <c r="P165"/>
  <c r="BI164"/>
  <c r="BH164"/>
  <c r="BG164"/>
  <c r="BF164"/>
  <c r="T164"/>
  <c r="R164"/>
  <c r="P164"/>
  <c r="BI163"/>
  <c r="BH163"/>
  <c r="BG163"/>
  <c r="BF163"/>
  <c r="T163"/>
  <c r="R163"/>
  <c r="P163"/>
  <c r="BI162"/>
  <c r="BH162"/>
  <c r="BG162"/>
  <c r="BF162"/>
  <c r="T162"/>
  <c r="R162"/>
  <c r="P162"/>
  <c r="BI161"/>
  <c r="BH161"/>
  <c r="BG161"/>
  <c r="BF161"/>
  <c r="T161"/>
  <c r="R161"/>
  <c r="P161"/>
  <c r="BI159"/>
  <c r="BH159"/>
  <c r="BG159"/>
  <c r="BF159"/>
  <c r="T159"/>
  <c r="R159"/>
  <c r="P159"/>
  <c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5"/>
  <c r="BH155"/>
  <c r="BG155"/>
  <c r="BF155"/>
  <c r="T155"/>
  <c r="R155"/>
  <c r="P155"/>
  <c r="BI153"/>
  <c r="BH153"/>
  <c r="BG153"/>
  <c r="BF153"/>
  <c r="T153"/>
  <c r="R153"/>
  <c r="P153"/>
  <c r="BI152"/>
  <c r="BH152"/>
  <c r="BG152"/>
  <c r="BF152"/>
  <c r="T152"/>
  <c r="R152"/>
  <c r="P152"/>
  <c r="BI151"/>
  <c r="BH151"/>
  <c r="BG151"/>
  <c r="BF151"/>
  <c r="T151"/>
  <c r="R151"/>
  <c r="P151"/>
  <c r="BI150"/>
  <c r="BH150"/>
  <c r="BG150"/>
  <c r="BF150"/>
  <c r="T150"/>
  <c r="R150"/>
  <c r="P150"/>
  <c r="BI149"/>
  <c r="BH149"/>
  <c r="BG149"/>
  <c r="BF149"/>
  <c r="T149"/>
  <c r="R149"/>
  <c r="P149"/>
  <c r="BI148"/>
  <c r="BH148"/>
  <c r="BG148"/>
  <c r="BF148"/>
  <c r="T148"/>
  <c r="R148"/>
  <c r="P148"/>
  <c r="BI147"/>
  <c r="BH147"/>
  <c r="BG147"/>
  <c r="BF147"/>
  <c r="T147"/>
  <c r="R147"/>
  <c r="P147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5"/>
  <c r="BH135"/>
  <c r="BG135"/>
  <c r="BF135"/>
  <c r="T135"/>
  <c r="R135"/>
  <c r="P135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J121"/>
  <c r="J120"/>
  <c r="F120"/>
  <c r="F118"/>
  <c r="E116"/>
  <c r="J92"/>
  <c r="J91"/>
  <c r="F91"/>
  <c r="F89"/>
  <c r="E87"/>
  <c r="J18"/>
  <c r="E18"/>
  <c r="F121"/>
  <c r="J17"/>
  <c r="J12"/>
  <c r="J118"/>
  <c r="E7"/>
  <c r="E114"/>
  <c i="2" r="J37"/>
  <c r="J36"/>
  <c i="1" r="AY95"/>
  <c i="2" r="J35"/>
  <c i="1" r="AX95"/>
  <c i="2" r="BI234"/>
  <c r="BH234"/>
  <c r="BG234"/>
  <c r="BF234"/>
  <c r="T234"/>
  <c r="R234"/>
  <c r="P234"/>
  <c r="BI233"/>
  <c r="BH233"/>
  <c r="BG233"/>
  <c r="BF233"/>
  <c r="T233"/>
  <c r="R233"/>
  <c r="P233"/>
  <c r="BI231"/>
  <c r="BH231"/>
  <c r="BG231"/>
  <c r="BF231"/>
  <c r="T231"/>
  <c r="R231"/>
  <c r="P231"/>
  <c r="BI230"/>
  <c r="BH230"/>
  <c r="BG230"/>
  <c r="BF230"/>
  <c r="T230"/>
  <c r="R230"/>
  <c r="P230"/>
  <c r="BI229"/>
  <c r="BH229"/>
  <c r="BG229"/>
  <c r="BF229"/>
  <c r="T229"/>
  <c r="R229"/>
  <c r="P229"/>
  <c r="BI228"/>
  <c r="BH228"/>
  <c r="BG228"/>
  <c r="BF228"/>
  <c r="T228"/>
  <c r="R228"/>
  <c r="P228"/>
  <c r="BI227"/>
  <c r="BH227"/>
  <c r="BG227"/>
  <c r="BF227"/>
  <c r="T227"/>
  <c r="R227"/>
  <c r="P227"/>
  <c r="BI226"/>
  <c r="BH226"/>
  <c r="BG226"/>
  <c r="BF226"/>
  <c r="T226"/>
  <c r="R226"/>
  <c r="P226"/>
  <c r="BI225"/>
  <c r="BH225"/>
  <c r="BG225"/>
  <c r="BF225"/>
  <c r="T225"/>
  <c r="R225"/>
  <c r="P225"/>
  <c r="BI224"/>
  <c r="BH224"/>
  <c r="BG224"/>
  <c r="BF224"/>
  <c r="T224"/>
  <c r="R224"/>
  <c r="P224"/>
  <c r="BI223"/>
  <c r="BH223"/>
  <c r="BG223"/>
  <c r="BF223"/>
  <c r="T223"/>
  <c r="R223"/>
  <c r="P223"/>
  <c r="BI222"/>
  <c r="BH222"/>
  <c r="BG222"/>
  <c r="BF222"/>
  <c r="T222"/>
  <c r="R222"/>
  <c r="P222"/>
  <c r="BI221"/>
  <c r="BH221"/>
  <c r="BG221"/>
  <c r="BF221"/>
  <c r="T221"/>
  <c r="R221"/>
  <c r="P221"/>
  <c r="BI220"/>
  <c r="BH220"/>
  <c r="BG220"/>
  <c r="BF220"/>
  <c r="T220"/>
  <c r="R220"/>
  <c r="P220"/>
  <c r="BI219"/>
  <c r="BH219"/>
  <c r="BG219"/>
  <c r="BF219"/>
  <c r="T219"/>
  <c r="R219"/>
  <c r="P219"/>
  <c r="BI218"/>
  <c r="BH218"/>
  <c r="BG218"/>
  <c r="BF218"/>
  <c r="T218"/>
  <c r="R218"/>
  <c r="P218"/>
  <c r="BI217"/>
  <c r="BH217"/>
  <c r="BG217"/>
  <c r="BF217"/>
  <c r="T217"/>
  <c r="R217"/>
  <c r="P217"/>
  <c r="BI216"/>
  <c r="BH216"/>
  <c r="BG216"/>
  <c r="BF216"/>
  <c r="T216"/>
  <c r="R216"/>
  <c r="P216"/>
  <c r="BI215"/>
  <c r="BH215"/>
  <c r="BG215"/>
  <c r="BF215"/>
  <c r="T215"/>
  <c r="R215"/>
  <c r="P215"/>
  <c r="BI214"/>
  <c r="BH214"/>
  <c r="BG214"/>
  <c r="BF214"/>
  <c r="T214"/>
  <c r="R214"/>
  <c r="P214"/>
  <c r="BI213"/>
  <c r="BH213"/>
  <c r="BG213"/>
  <c r="BF213"/>
  <c r="T213"/>
  <c r="R213"/>
  <c r="P213"/>
  <c r="BI212"/>
  <c r="BH212"/>
  <c r="BG212"/>
  <c r="BF212"/>
  <c r="T212"/>
  <c r="R212"/>
  <c r="P212"/>
  <c r="BI211"/>
  <c r="BH211"/>
  <c r="BG211"/>
  <c r="BF211"/>
  <c r="T211"/>
  <c r="R211"/>
  <c r="P211"/>
  <c r="BI210"/>
  <c r="BH210"/>
  <c r="BG210"/>
  <c r="BF210"/>
  <c r="T210"/>
  <c r="R210"/>
  <c r="P210"/>
  <c r="BI209"/>
  <c r="BH209"/>
  <c r="BG209"/>
  <c r="BF209"/>
  <c r="T209"/>
  <c r="R209"/>
  <c r="P209"/>
  <c r="BI208"/>
  <c r="BH208"/>
  <c r="BG208"/>
  <c r="BF208"/>
  <c r="T208"/>
  <c r="R208"/>
  <c r="P208"/>
  <c r="BI207"/>
  <c r="BH207"/>
  <c r="BG207"/>
  <c r="BF207"/>
  <c r="T207"/>
  <c r="R207"/>
  <c r="P207"/>
  <c r="BI206"/>
  <c r="BH206"/>
  <c r="BG206"/>
  <c r="BF206"/>
  <c r="T206"/>
  <c r="R206"/>
  <c r="P206"/>
  <c r="BI205"/>
  <c r="BH205"/>
  <c r="BG205"/>
  <c r="BF205"/>
  <c r="T205"/>
  <c r="R205"/>
  <c r="P205"/>
  <c r="BI203"/>
  <c r="BH203"/>
  <c r="BG203"/>
  <c r="BF203"/>
  <c r="T203"/>
  <c r="R203"/>
  <c r="P203"/>
  <c r="BI202"/>
  <c r="BH202"/>
  <c r="BG202"/>
  <c r="BF202"/>
  <c r="T202"/>
  <c r="R202"/>
  <c r="P202"/>
  <c r="BI201"/>
  <c r="BH201"/>
  <c r="BG201"/>
  <c r="BF201"/>
  <c r="T201"/>
  <c r="R201"/>
  <c r="P201"/>
  <c r="BI200"/>
  <c r="BH200"/>
  <c r="BG200"/>
  <c r="BF200"/>
  <c r="T200"/>
  <c r="R200"/>
  <c r="P200"/>
  <c r="BI199"/>
  <c r="BH199"/>
  <c r="BG199"/>
  <c r="BF199"/>
  <c r="T199"/>
  <c r="R199"/>
  <c r="P199"/>
  <c r="BI198"/>
  <c r="BH198"/>
  <c r="BG198"/>
  <c r="BF198"/>
  <c r="T198"/>
  <c r="R198"/>
  <c r="P198"/>
  <c r="BI197"/>
  <c r="BH197"/>
  <c r="BG197"/>
  <c r="BF197"/>
  <c r="T197"/>
  <c r="R197"/>
  <c r="P197"/>
  <c r="BI196"/>
  <c r="BH196"/>
  <c r="BG196"/>
  <c r="BF196"/>
  <c r="T196"/>
  <c r="R196"/>
  <c r="P196"/>
  <c r="BI195"/>
  <c r="BH195"/>
  <c r="BG195"/>
  <c r="BF195"/>
  <c r="T195"/>
  <c r="R195"/>
  <c r="P195"/>
  <c r="BI194"/>
  <c r="BH194"/>
  <c r="BG194"/>
  <c r="BF194"/>
  <c r="T194"/>
  <c r="R194"/>
  <c r="P194"/>
  <c r="BI193"/>
  <c r="BH193"/>
  <c r="BG193"/>
  <c r="BF193"/>
  <c r="T193"/>
  <c r="R193"/>
  <c r="P193"/>
  <c r="BI192"/>
  <c r="BH192"/>
  <c r="BG192"/>
  <c r="BF192"/>
  <c r="T192"/>
  <c r="R192"/>
  <c r="P192"/>
  <c r="BI191"/>
  <c r="BH191"/>
  <c r="BG191"/>
  <c r="BF191"/>
  <c r="T191"/>
  <c r="R191"/>
  <c r="P191"/>
  <c r="BI190"/>
  <c r="BH190"/>
  <c r="BG190"/>
  <c r="BF190"/>
  <c r="T190"/>
  <c r="R190"/>
  <c r="P190"/>
  <c r="BI189"/>
  <c r="BH189"/>
  <c r="BG189"/>
  <c r="BF189"/>
  <c r="T189"/>
  <c r="R189"/>
  <c r="P189"/>
  <c r="BI188"/>
  <c r="BH188"/>
  <c r="BG188"/>
  <c r="BF188"/>
  <c r="T188"/>
  <c r="R188"/>
  <c r="P188"/>
  <c r="BI186"/>
  <c r="BH186"/>
  <c r="BG186"/>
  <c r="BF186"/>
  <c r="T186"/>
  <c r="R186"/>
  <c r="P186"/>
  <c r="BI185"/>
  <c r="BH185"/>
  <c r="BG185"/>
  <c r="BF185"/>
  <c r="T185"/>
  <c r="R185"/>
  <c r="P185"/>
  <c r="BI184"/>
  <c r="BH184"/>
  <c r="BG184"/>
  <c r="BF184"/>
  <c r="T184"/>
  <c r="R184"/>
  <c r="P184"/>
  <c r="BI183"/>
  <c r="BH183"/>
  <c r="BG183"/>
  <c r="BF183"/>
  <c r="T183"/>
  <c r="R183"/>
  <c r="P183"/>
  <c r="BI182"/>
  <c r="BH182"/>
  <c r="BG182"/>
  <c r="BF182"/>
  <c r="T182"/>
  <c r="R182"/>
  <c r="P182"/>
  <c r="BI181"/>
  <c r="BH181"/>
  <c r="BG181"/>
  <c r="BF181"/>
  <c r="T181"/>
  <c r="R181"/>
  <c r="P181"/>
  <c r="BI180"/>
  <c r="BH180"/>
  <c r="BG180"/>
  <c r="BF180"/>
  <c r="T180"/>
  <c r="R180"/>
  <c r="P180"/>
  <c r="BI179"/>
  <c r="BH179"/>
  <c r="BG179"/>
  <c r="BF179"/>
  <c r="T179"/>
  <c r="R179"/>
  <c r="P179"/>
  <c r="BI178"/>
  <c r="BH178"/>
  <c r="BG178"/>
  <c r="BF178"/>
  <c r="T178"/>
  <c r="R178"/>
  <c r="P178"/>
  <c r="BI177"/>
  <c r="BH177"/>
  <c r="BG177"/>
  <c r="BF177"/>
  <c r="T177"/>
  <c r="R177"/>
  <c r="P177"/>
  <c r="BI176"/>
  <c r="BH176"/>
  <c r="BG176"/>
  <c r="BF176"/>
  <c r="T176"/>
  <c r="R176"/>
  <c r="P176"/>
  <c r="BI175"/>
  <c r="BH175"/>
  <c r="BG175"/>
  <c r="BF175"/>
  <c r="T175"/>
  <c r="R175"/>
  <c r="P175"/>
  <c r="BI174"/>
  <c r="BH174"/>
  <c r="BG174"/>
  <c r="BF174"/>
  <c r="T174"/>
  <c r="R174"/>
  <c r="P174"/>
  <c r="BI173"/>
  <c r="BH173"/>
  <c r="BG173"/>
  <c r="BF173"/>
  <c r="T173"/>
  <c r="R173"/>
  <c r="P173"/>
  <c r="BI172"/>
  <c r="BH172"/>
  <c r="BG172"/>
  <c r="BF172"/>
  <c r="T172"/>
  <c r="R172"/>
  <c r="P172"/>
  <c r="BI171"/>
  <c r="BH171"/>
  <c r="BG171"/>
  <c r="BF171"/>
  <c r="T171"/>
  <c r="R171"/>
  <c r="P171"/>
  <c r="BI170"/>
  <c r="BH170"/>
  <c r="BG170"/>
  <c r="BF170"/>
  <c r="T170"/>
  <c r="R170"/>
  <c r="P170"/>
  <c r="BI169"/>
  <c r="BH169"/>
  <c r="BG169"/>
  <c r="BF169"/>
  <c r="T169"/>
  <c r="R169"/>
  <c r="P169"/>
  <c r="BI168"/>
  <c r="BH168"/>
  <c r="BG168"/>
  <c r="BF168"/>
  <c r="T168"/>
  <c r="R168"/>
  <c r="P168"/>
  <c r="BI167"/>
  <c r="BH167"/>
  <c r="BG167"/>
  <c r="BF167"/>
  <c r="T167"/>
  <c r="R167"/>
  <c r="P167"/>
  <c r="BI166"/>
  <c r="BH166"/>
  <c r="BG166"/>
  <c r="BF166"/>
  <c r="T166"/>
  <c r="R166"/>
  <c r="P166"/>
  <c r="BI165"/>
  <c r="BH165"/>
  <c r="BG165"/>
  <c r="BF165"/>
  <c r="T165"/>
  <c r="R165"/>
  <c r="P165"/>
  <c r="BI164"/>
  <c r="BH164"/>
  <c r="BG164"/>
  <c r="BF164"/>
  <c r="T164"/>
  <c r="R164"/>
  <c r="P164"/>
  <c r="BI163"/>
  <c r="BH163"/>
  <c r="BG163"/>
  <c r="BF163"/>
  <c r="T163"/>
  <c r="R163"/>
  <c r="P163"/>
  <c r="BI162"/>
  <c r="BH162"/>
  <c r="BG162"/>
  <c r="BF162"/>
  <c r="T162"/>
  <c r="R162"/>
  <c r="P162"/>
  <c r="BI160"/>
  <c r="BH160"/>
  <c r="BG160"/>
  <c r="BF160"/>
  <c r="T160"/>
  <c r="R160"/>
  <c r="P160"/>
  <c r="BI159"/>
  <c r="BH159"/>
  <c r="BG159"/>
  <c r="BF159"/>
  <c r="T159"/>
  <c r="R159"/>
  <c r="P159"/>
  <c r="BI158"/>
  <c r="BH158"/>
  <c r="BG158"/>
  <c r="BF158"/>
  <c r="T158"/>
  <c r="R158"/>
  <c r="P158"/>
  <c r="BI157"/>
  <c r="BH157"/>
  <c r="BG157"/>
  <c r="BF157"/>
  <c r="T157"/>
  <c r="R157"/>
  <c r="P157"/>
  <c r="BI156"/>
  <c r="BH156"/>
  <c r="BG156"/>
  <c r="BF156"/>
  <c r="T156"/>
  <c r="R156"/>
  <c r="P156"/>
  <c r="BI155"/>
  <c r="BH155"/>
  <c r="BG155"/>
  <c r="BF155"/>
  <c r="T155"/>
  <c r="R155"/>
  <c r="P155"/>
  <c r="BI154"/>
  <c r="BH154"/>
  <c r="BG154"/>
  <c r="BF154"/>
  <c r="T154"/>
  <c r="R154"/>
  <c r="P154"/>
  <c r="BI153"/>
  <c r="BH153"/>
  <c r="BG153"/>
  <c r="BF153"/>
  <c r="T153"/>
  <c r="R153"/>
  <c r="P153"/>
  <c r="BI152"/>
  <c r="BH152"/>
  <c r="BG152"/>
  <c r="BF152"/>
  <c r="T152"/>
  <c r="R152"/>
  <c r="P152"/>
  <c r="BI151"/>
  <c r="BH151"/>
  <c r="BG151"/>
  <c r="BF151"/>
  <c r="T151"/>
  <c r="R151"/>
  <c r="P151"/>
  <c r="BI150"/>
  <c r="BH150"/>
  <c r="BG150"/>
  <c r="BF150"/>
  <c r="T150"/>
  <c r="R150"/>
  <c r="P150"/>
  <c r="BI149"/>
  <c r="BH149"/>
  <c r="BG149"/>
  <c r="BF149"/>
  <c r="T149"/>
  <c r="R149"/>
  <c r="P149"/>
  <c r="BI148"/>
  <c r="BH148"/>
  <c r="BG148"/>
  <c r="BF148"/>
  <c r="T148"/>
  <c r="R148"/>
  <c r="P148"/>
  <c r="BI147"/>
  <c r="BH147"/>
  <c r="BG147"/>
  <c r="BF147"/>
  <c r="T147"/>
  <c r="R147"/>
  <c r="P147"/>
  <c r="BI146"/>
  <c r="BH146"/>
  <c r="BG146"/>
  <c r="BF146"/>
  <c r="T146"/>
  <c r="R146"/>
  <c r="P146"/>
  <c r="BI145"/>
  <c r="BH145"/>
  <c r="BG145"/>
  <c r="BF145"/>
  <c r="T145"/>
  <c r="R145"/>
  <c r="P145"/>
  <c r="BI144"/>
  <c r="BH144"/>
  <c r="BG144"/>
  <c r="BF144"/>
  <c r="T144"/>
  <c r="R144"/>
  <c r="P144"/>
  <c r="BI143"/>
  <c r="BH143"/>
  <c r="BG143"/>
  <c r="BF143"/>
  <c r="T143"/>
  <c r="R143"/>
  <c r="P143"/>
  <c r="BI142"/>
  <c r="BH142"/>
  <c r="BG142"/>
  <c r="BF142"/>
  <c r="T142"/>
  <c r="R142"/>
  <c r="P142"/>
  <c r="BI141"/>
  <c r="BH141"/>
  <c r="BG141"/>
  <c r="BF141"/>
  <c r="T141"/>
  <c r="R141"/>
  <c r="P141"/>
  <c r="BI140"/>
  <c r="BH140"/>
  <c r="BG140"/>
  <c r="BF140"/>
  <c r="T140"/>
  <c r="R140"/>
  <c r="P140"/>
  <c r="BI139"/>
  <c r="BH139"/>
  <c r="BG139"/>
  <c r="BF139"/>
  <c r="T139"/>
  <c r="R139"/>
  <c r="P139"/>
  <c r="BI138"/>
  <c r="BH138"/>
  <c r="BG138"/>
  <c r="BF138"/>
  <c r="T138"/>
  <c r="R138"/>
  <c r="P138"/>
  <c r="BI137"/>
  <c r="BH137"/>
  <c r="BG137"/>
  <c r="BF137"/>
  <c r="T137"/>
  <c r="R137"/>
  <c r="P137"/>
  <c r="BI136"/>
  <c r="BH136"/>
  <c r="BG136"/>
  <c r="BF136"/>
  <c r="T136"/>
  <c r="R136"/>
  <c r="P136"/>
  <c r="BI134"/>
  <c r="BH134"/>
  <c r="BG134"/>
  <c r="BF134"/>
  <c r="T134"/>
  <c r="R134"/>
  <c r="P134"/>
  <c r="BI133"/>
  <c r="BH133"/>
  <c r="BG133"/>
  <c r="BF133"/>
  <c r="T133"/>
  <c r="R133"/>
  <c r="P133"/>
  <c r="BI132"/>
  <c r="BH132"/>
  <c r="BG132"/>
  <c r="BF132"/>
  <c r="T132"/>
  <c r="R132"/>
  <c r="P132"/>
  <c r="BI131"/>
  <c r="BH131"/>
  <c r="BG131"/>
  <c r="BF131"/>
  <c r="T131"/>
  <c r="R131"/>
  <c r="P131"/>
  <c r="BI130"/>
  <c r="BH130"/>
  <c r="BG130"/>
  <c r="BF130"/>
  <c r="T130"/>
  <c r="R130"/>
  <c r="P130"/>
  <c r="BI129"/>
  <c r="BH129"/>
  <c r="BG129"/>
  <c r="BF129"/>
  <c r="T129"/>
  <c r="R129"/>
  <c r="P129"/>
  <c r="BI128"/>
  <c r="BH128"/>
  <c r="BG128"/>
  <c r="BF128"/>
  <c r="T128"/>
  <c r="R128"/>
  <c r="P128"/>
  <c r="BI127"/>
  <c r="BH127"/>
  <c r="BG127"/>
  <c r="BF127"/>
  <c r="T127"/>
  <c r="R127"/>
  <c r="P127"/>
  <c r="BI126"/>
  <c r="BH126"/>
  <c r="BG126"/>
  <c r="BF126"/>
  <c r="T126"/>
  <c r="R126"/>
  <c r="P126"/>
  <c r="J120"/>
  <c r="J119"/>
  <c r="F119"/>
  <c r="F117"/>
  <c r="E115"/>
  <c r="J92"/>
  <c r="J91"/>
  <c r="F91"/>
  <c r="F89"/>
  <c r="E87"/>
  <c r="J18"/>
  <c r="E18"/>
  <c r="F92"/>
  <c r="J17"/>
  <c r="J12"/>
  <c r="J89"/>
  <c r="E7"/>
  <c r="E113"/>
  <c i="1" r="L90"/>
  <c r="AM90"/>
  <c r="AM89"/>
  <c r="L89"/>
  <c r="AM87"/>
  <c r="L87"/>
  <c r="L85"/>
  <c r="L84"/>
  <c i="2" r="J230"/>
  <c r="BK226"/>
  <c r="J190"/>
  <c r="BK165"/>
  <c r="BK157"/>
  <c r="BK152"/>
  <c r="BK142"/>
  <c r="J136"/>
  <c r="J233"/>
  <c r="BK221"/>
  <c r="BK211"/>
  <c r="BK208"/>
  <c r="J201"/>
  <c r="BK198"/>
  <c r="J193"/>
  <c r="J171"/>
  <c r="J165"/>
  <c r="BK149"/>
  <c r="BK126"/>
  <c i="3" r="BK178"/>
  <c r="J173"/>
  <c r="J162"/>
  <c r="J157"/>
  <c r="J149"/>
  <c r="BK143"/>
  <c r="J138"/>
  <c r="BK189"/>
  <c r="J178"/>
  <c r="BK173"/>
  <c r="BK163"/>
  <c r="BK155"/>
  <c r="BK145"/>
  <c r="BK135"/>
  <c r="BK127"/>
  <c r="BK187"/>
  <c r="J172"/>
  <c r="J164"/>
  <c r="J155"/>
  <c r="J140"/>
  <c r="J135"/>
  <c r="BK129"/>
  <c r="J190"/>
  <c r="J181"/>
  <c r="BK171"/>
  <c r="BK162"/>
  <c r="J148"/>
  <c r="BK133"/>
  <c i="4" r="BK141"/>
  <c r="J134"/>
  <c r="BK127"/>
  <c r="J145"/>
  <c r="BK138"/>
  <c r="BK134"/>
  <c r="J127"/>
  <c r="BK145"/>
  <c r="J138"/>
  <c r="BK123"/>
  <c r="J144"/>
  <c r="BK129"/>
  <c i="5" r="BK151"/>
  <c r="J138"/>
  <c r="BK152"/>
  <c r="J144"/>
  <c r="BK139"/>
  <c r="J136"/>
  <c r="BK127"/>
  <c r="BK145"/>
  <c r="J139"/>
  <c r="J128"/>
  <c i="6" r="J141"/>
  <c r="BK134"/>
  <c r="J131"/>
  <c r="J125"/>
  <c r="J140"/>
  <c r="J133"/>
  <c r="BK124"/>
  <c r="BK142"/>
  <c r="BK132"/>
  <c r="J124"/>
  <c r="J129"/>
  <c i="7" r="J153"/>
  <c r="J144"/>
  <c r="BK131"/>
  <c r="BK153"/>
  <c r="J143"/>
  <c r="J135"/>
  <c r="J125"/>
  <c r="J154"/>
  <c r="BK126"/>
  <c r="BK155"/>
  <c r="BK143"/>
  <c r="BK128"/>
  <c i="2" r="BK233"/>
  <c r="BK223"/>
  <c r="J218"/>
  <c r="J216"/>
  <c r="J213"/>
  <c r="J208"/>
  <c r="J205"/>
  <c r="BK200"/>
  <c r="J194"/>
  <c r="BK183"/>
  <c r="BK177"/>
  <c r="J175"/>
  <c r="BK169"/>
  <c r="BK163"/>
  <c r="J152"/>
  <c r="J147"/>
  <c r="J145"/>
  <c r="J140"/>
  <c r="BK136"/>
  <c r="J129"/>
  <c r="J231"/>
  <c r="BK229"/>
  <c r="BK228"/>
  <c r="BK225"/>
  <c r="BK224"/>
  <c r="BK213"/>
  <c r="BK209"/>
  <c r="BK205"/>
  <c r="BK197"/>
  <c r="BK194"/>
  <c r="BK190"/>
  <c r="BK184"/>
  <c r="BK179"/>
  <c r="J176"/>
  <c r="BK171"/>
  <c r="J166"/>
  <c r="J162"/>
  <c r="J157"/>
  <c r="BK150"/>
  <c r="BK146"/>
  <c r="BK140"/>
  <c r="J134"/>
  <c r="J130"/>
  <c r="J127"/>
  <c r="J224"/>
  <c r="BK219"/>
  <c r="J217"/>
  <c r="J214"/>
  <c r="BK202"/>
  <c r="BK195"/>
  <c r="J184"/>
  <c r="BK180"/>
  <c r="BK174"/>
  <c r="BK164"/>
  <c r="J156"/>
  <c r="J153"/>
  <c r="BK143"/>
  <c r="J137"/>
  <c r="BK127"/>
  <c r="BK227"/>
  <c r="J220"/>
  <c r="BK210"/>
  <c r="BK203"/>
  <c r="J197"/>
  <c r="BK186"/>
  <c r="J179"/>
  <c r="J170"/>
  <c r="J159"/>
  <c r="BK145"/>
  <c r="BK131"/>
  <c i="3" r="J177"/>
  <c r="BK172"/>
  <c r="BK158"/>
  <c r="J150"/>
  <c r="BK148"/>
  <c r="BK142"/>
  <c r="J129"/>
  <c r="J182"/>
  <c r="BK177"/>
  <c r="J170"/>
  <c r="BK164"/>
  <c r="BK156"/>
  <c r="J151"/>
  <c r="BK138"/>
  <c r="BK131"/>
  <c r="BK190"/>
  <c r="J185"/>
  <c r="BK170"/>
  <c r="J165"/>
  <c r="J147"/>
  <c r="J141"/>
  <c r="BK137"/>
  <c r="J131"/>
  <c r="BK185"/>
  <c r="J180"/>
  <c r="J169"/>
  <c r="BK166"/>
  <c r="BK151"/>
  <c r="BK146"/>
  <c i="4" r="BK144"/>
  <c r="BK139"/>
  <c r="J129"/>
  <c r="J125"/>
  <c r="J146"/>
  <c r="J140"/>
  <c r="BK136"/>
  <c r="BK128"/>
  <c r="J124"/>
  <c r="BK143"/>
  <c r="BK135"/>
  <c r="BK126"/>
  <c r="J136"/>
  <c r="BK122"/>
  <c i="5" r="J148"/>
  <c r="BK124"/>
  <c r="J149"/>
  <c r="BK143"/>
  <c r="BK138"/>
  <c r="BK129"/>
  <c r="BK128"/>
  <c r="BK126"/>
  <c r="BK125"/>
  <c r="J152"/>
  <c r="BK149"/>
  <c r="BK148"/>
  <c r="BK147"/>
  <c r="J141"/>
  <c r="J140"/>
  <c r="BK136"/>
  <c r="J135"/>
  <c r="BK134"/>
  <c r="BK133"/>
  <c r="BK132"/>
  <c r="J147"/>
  <c r="J143"/>
  <c r="BK135"/>
  <c r="J126"/>
  <c i="6" r="J136"/>
  <c r="J130"/>
  <c r="BK122"/>
  <c r="BK141"/>
  <c r="J134"/>
  <c r="BK127"/>
  <c r="J122"/>
  <c r="J138"/>
  <c r="J127"/>
  <c r="BK135"/>
  <c r="BK125"/>
  <c i="7" r="BK150"/>
  <c r="BK138"/>
  <c r="J155"/>
  <c r="BK152"/>
  <c r="J141"/>
  <c r="J132"/>
  <c r="BK158"/>
  <c r="J146"/>
  <c r="J142"/>
  <c r="BK141"/>
  <c r="J140"/>
  <c r="J138"/>
  <c r="J137"/>
  <c r="BK134"/>
  <c r="BK133"/>
  <c r="BK132"/>
  <c r="J129"/>
  <c r="J128"/>
  <c r="J127"/>
  <c r="J158"/>
  <c r="BK144"/>
  <c r="J139"/>
  <c r="J134"/>
  <c i="2" r="BK188"/>
  <c r="BK176"/>
  <c r="BK172"/>
  <c r="BK166"/>
  <c r="BK160"/>
  <c r="BK153"/>
  <c r="BK148"/>
  <c r="J142"/>
  <c r="BK138"/>
  <c r="J132"/>
  <c r="J234"/>
  <c r="BK230"/>
  <c r="J229"/>
  <c r="J225"/>
  <c r="BK222"/>
  <c r="BK217"/>
  <c r="J211"/>
  <c r="BK207"/>
  <c r="J198"/>
  <c r="J192"/>
  <c r="BK185"/>
  <c r="J180"/>
  <c r="J177"/>
  <c r="BK175"/>
  <c r="BK168"/>
  <c r="J160"/>
  <c r="BK156"/>
  <c r="J151"/>
  <c r="J148"/>
  <c r="J143"/>
  <c r="BK137"/>
  <c r="BK133"/>
  <c r="BK128"/>
  <c r="J227"/>
  <c r="J221"/>
  <c r="BK218"/>
  <c r="J215"/>
  <c r="J206"/>
  <c r="BK192"/>
  <c r="J188"/>
  <c r="BK182"/>
  <c r="BK170"/>
  <c r="BK159"/>
  <c r="BK154"/>
  <c r="J144"/>
  <c r="J139"/>
  <c r="BK132"/>
  <c r="J126"/>
  <c r="J223"/>
  <c r="BK215"/>
  <c r="J207"/>
  <c r="J200"/>
  <c r="J195"/>
  <c r="J185"/>
  <c r="J178"/>
  <c r="J169"/>
  <c r="J150"/>
  <c r="J133"/>
  <c i="3" r="BK181"/>
  <c r="BK176"/>
  <c r="J171"/>
  <c r="BK161"/>
  <c r="BK153"/>
  <c r="BK147"/>
  <c r="BK141"/>
  <c r="BK134"/>
  <c r="J128"/>
  <c r="BK180"/>
  <c r="J176"/>
  <c r="BK165"/>
  <c r="BK157"/>
  <c r="J153"/>
  <c r="BK140"/>
  <c r="J132"/>
  <c r="J130"/>
  <c r="BK188"/>
  <c r="J166"/>
  <c r="J156"/>
  <c r="J144"/>
  <c r="J139"/>
  <c r="J134"/>
  <c r="BK128"/>
  <c r="J184"/>
  <c r="BK175"/>
  <c r="BK168"/>
  <c r="J163"/>
  <c r="BK149"/>
  <c r="J145"/>
  <c i="4" r="J142"/>
  <c r="BK133"/>
  <c r="J126"/>
  <c r="J121"/>
  <c r="J139"/>
  <c r="J135"/>
  <c r="BK131"/>
  <c r="J122"/>
  <c r="J141"/>
  <c r="J131"/>
  <c r="BK124"/>
  <c r="J133"/>
  <c r="J128"/>
  <c i="5" r="BK137"/>
  <c r="J151"/>
  <c r="J145"/>
  <c r="BK141"/>
  <c r="J134"/>
  <c r="BK146"/>
  <c r="BK140"/>
  <c r="J129"/>
  <c r="J124"/>
  <c i="6" r="J137"/>
  <c r="J132"/>
  <c r="BK126"/>
  <c r="J142"/>
  <c r="J135"/>
  <c r="J126"/>
  <c r="J144"/>
  <c r="BK139"/>
  <c r="BK137"/>
  <c r="BK130"/>
  <c r="BK123"/>
  <c i="7" r="J152"/>
  <c r="J145"/>
  <c r="BK127"/>
  <c r="BK148"/>
  <c r="BK139"/>
  <c r="BK129"/>
  <c r="J156"/>
  <c r="J148"/>
  <c r="BK156"/>
  <c r="BK145"/>
  <c r="BK137"/>
  <c r="J126"/>
  <c i="2" r="BK231"/>
  <c r="J226"/>
  <c r="BK214"/>
  <c r="J203"/>
  <c r="J196"/>
  <c r="BK193"/>
  <c r="J186"/>
  <c r="BK181"/>
  <c r="BK173"/>
  <c r="J167"/>
  <c r="BK162"/>
  <c r="J154"/>
  <c r="BK151"/>
  <c r="J146"/>
  <c r="J141"/>
  <c r="BK134"/>
  <c r="BK130"/>
  <c i="1" r="AS94"/>
  <c i="2" r="J219"/>
  <c r="J212"/>
  <c r="BK206"/>
  <c r="BK199"/>
  <c r="BK196"/>
  <c r="J191"/>
  <c r="BK189"/>
  <c r="J182"/>
  <c r="BK178"/>
  <c r="J174"/>
  <c r="BK167"/>
  <c r="J164"/>
  <c r="BK158"/>
  <c r="J155"/>
  <c r="J149"/>
  <c r="BK144"/>
  <c r="J138"/>
  <c r="J131"/>
  <c r="BK129"/>
  <c r="J228"/>
  <c r="BK220"/>
  <c r="BK216"/>
  <c r="J210"/>
  <c r="BK201"/>
  <c r="BK191"/>
  <c r="J189"/>
  <c r="J181"/>
  <c r="J173"/>
  <c r="J163"/>
  <c r="BK155"/>
  <c r="BK147"/>
  <c r="BK141"/>
  <c r="J128"/>
  <c r="BK234"/>
  <c r="J222"/>
  <c r="BK212"/>
  <c r="J209"/>
  <c r="J202"/>
  <c r="J199"/>
  <c r="J183"/>
  <c r="J172"/>
  <c r="J168"/>
  <c r="J158"/>
  <c r="BK139"/>
  <c i="3" r="J188"/>
  <c r="J175"/>
  <c r="BK169"/>
  <c r="BK159"/>
  <c r="J152"/>
  <c r="J146"/>
  <c r="BK144"/>
  <c r="BK139"/>
  <c r="BK130"/>
  <c r="J187"/>
  <c r="J174"/>
  <c r="J168"/>
  <c r="J161"/>
  <c r="BK152"/>
  <c r="J142"/>
  <c r="J137"/>
  <c r="J189"/>
  <c r="BK184"/>
  <c r="BK167"/>
  <c r="J158"/>
  <c r="BK150"/>
  <c r="J143"/>
  <c r="J133"/>
  <c r="J127"/>
  <c r="BK182"/>
  <c r="BK174"/>
  <c r="J167"/>
  <c r="J159"/>
  <c r="BK132"/>
  <c i="4" r="J143"/>
  <c r="BK140"/>
  <c r="BK132"/>
  <c r="J123"/>
  <c r="BK142"/>
  <c r="J137"/>
  <c r="J132"/>
  <c r="BK125"/>
  <c r="BK146"/>
  <c r="BK137"/>
  <c r="BK130"/>
  <c r="BK121"/>
  <c r="J130"/>
  <c i="5" r="J142"/>
  <c r="J127"/>
  <c r="J146"/>
  <c r="BK142"/>
  <c r="J137"/>
  <c r="J133"/>
  <c r="J125"/>
  <c r="BK144"/>
  <c r="J132"/>
  <c i="6" r="BK138"/>
  <c r="BK133"/>
  <c r="BK129"/>
  <c r="BK144"/>
  <c r="J139"/>
  <c r="J128"/>
  <c r="J123"/>
  <c r="BK140"/>
  <c r="BK131"/>
  <c r="BK136"/>
  <c r="BK128"/>
  <c i="7" r="BK146"/>
  <c r="J133"/>
  <c r="BK154"/>
  <c r="BK149"/>
  <c r="BK140"/>
  <c r="J131"/>
  <c r="J157"/>
  <c r="J149"/>
  <c r="BK157"/>
  <c r="J150"/>
  <c r="BK142"/>
  <c r="BK135"/>
  <c r="BK125"/>
  <c i="2" l="1" r="BK125"/>
  <c r="J125"/>
  <c r="J98"/>
  <c r="R135"/>
  <c r="P161"/>
  <c r="P187"/>
  <c r="T204"/>
  <c r="T232"/>
  <c i="3" r="R126"/>
  <c r="BK136"/>
  <c r="J136"/>
  <c r="J99"/>
  <c r="P154"/>
  <c r="T160"/>
  <c r="T179"/>
  <c r="R183"/>
  <c r="P186"/>
  <c i="4" r="P120"/>
  <c r="P119"/>
  <c r="P118"/>
  <c i="1" r="AU97"/>
  <c i="5" r="T123"/>
  <c r="T122"/>
  <c r="BK131"/>
  <c r="J131"/>
  <c r="J100"/>
  <c r="BK150"/>
  <c r="J150"/>
  <c r="J101"/>
  <c i="6" r="P121"/>
  <c r="P120"/>
  <c r="P119"/>
  <c i="1" r="AU99"/>
  <c i="2" r="P125"/>
  <c r="P135"/>
  <c r="BK161"/>
  <c r="J161"/>
  <c r="J100"/>
  <c r="BK187"/>
  <c r="J187"/>
  <c r="J101"/>
  <c r="BK204"/>
  <c r="J204"/>
  <c r="J102"/>
  <c r="BK232"/>
  <c r="J232"/>
  <c r="J103"/>
  <c i="3" r="T126"/>
  <c r="P136"/>
  <c r="BK154"/>
  <c r="J154"/>
  <c r="J100"/>
  <c r="BK160"/>
  <c r="J160"/>
  <c r="J101"/>
  <c r="BK179"/>
  <c r="J179"/>
  <c r="J102"/>
  <c r="BK183"/>
  <c r="J183"/>
  <c r="J103"/>
  <c r="T183"/>
  <c r="T186"/>
  <c i="4" r="T120"/>
  <c r="T119"/>
  <c r="T118"/>
  <c i="5" r="R123"/>
  <c r="R122"/>
  <c r="T131"/>
  <c r="T130"/>
  <c r="T150"/>
  <c i="6" r="T121"/>
  <c r="T120"/>
  <c r="T119"/>
  <c i="2" r="R125"/>
  <c r="BK135"/>
  <c r="J135"/>
  <c r="J99"/>
  <c r="T161"/>
  <c r="T187"/>
  <c r="P204"/>
  <c r="P232"/>
  <c i="3" r="P126"/>
  <c r="R136"/>
  <c r="R154"/>
  <c r="R160"/>
  <c r="R179"/>
  <c r="P183"/>
  <c r="R186"/>
  <c i="4" r="R120"/>
  <c r="R119"/>
  <c r="R118"/>
  <c i="5" r="BK123"/>
  <c r="J123"/>
  <c r="J98"/>
  <c r="R131"/>
  <c r="R130"/>
  <c r="P150"/>
  <c i="6" r="BK121"/>
  <c r="J121"/>
  <c r="J98"/>
  <c i="7" r="BK124"/>
  <c r="P130"/>
  <c i="2" r="T125"/>
  <c r="T135"/>
  <c r="R161"/>
  <c r="R187"/>
  <c r="R204"/>
  <c r="R232"/>
  <c i="3" r="BK126"/>
  <c r="J126"/>
  <c r="J98"/>
  <c r="T136"/>
  <c r="T154"/>
  <c r="P160"/>
  <c r="P179"/>
  <c r="BK186"/>
  <c r="J186"/>
  <c r="J104"/>
  <c i="4" r="BK120"/>
  <c r="J120"/>
  <c r="J98"/>
  <c i="5" r="P123"/>
  <c r="P122"/>
  <c r="P131"/>
  <c r="P130"/>
  <c r="R150"/>
  <c i="6" r="R121"/>
  <c r="R120"/>
  <c r="R119"/>
  <c i="7" r="P124"/>
  <c r="R124"/>
  <c r="T124"/>
  <c r="BK130"/>
  <c r="J130"/>
  <c r="J99"/>
  <c r="R130"/>
  <c r="T130"/>
  <c r="BK136"/>
  <c r="J136"/>
  <c r="J100"/>
  <c r="P136"/>
  <c r="R136"/>
  <c r="T136"/>
  <c r="BK147"/>
  <c r="J147"/>
  <c r="J101"/>
  <c r="P147"/>
  <c r="R147"/>
  <c r="T147"/>
  <c r="BK151"/>
  <c r="J151"/>
  <c r="J102"/>
  <c r="P151"/>
  <c r="R151"/>
  <c r="T151"/>
  <c i="6" r="BK143"/>
  <c r="J143"/>
  <c r="J99"/>
  <c i="7" r="F119"/>
  <c r="BE132"/>
  <c r="BE146"/>
  <c r="BE148"/>
  <c r="BE149"/>
  <c r="BE152"/>
  <c r="BE153"/>
  <c r="BE131"/>
  <c r="BE138"/>
  <c r="BE143"/>
  <c r="BE144"/>
  <c r="BE150"/>
  <c r="E85"/>
  <c r="J89"/>
  <c r="BE126"/>
  <c r="BE127"/>
  <c r="BE133"/>
  <c r="BE145"/>
  <c r="BE156"/>
  <c r="BE158"/>
  <c r="BE125"/>
  <c r="BE128"/>
  <c r="BE129"/>
  <c r="BE134"/>
  <c r="BE135"/>
  <c r="BE137"/>
  <c r="BE139"/>
  <c r="BE140"/>
  <c r="BE141"/>
  <c r="BE142"/>
  <c r="BE154"/>
  <c r="BE155"/>
  <c r="BE157"/>
  <c i="6" r="BE126"/>
  <c r="BE131"/>
  <c r="BE138"/>
  <c r="BE141"/>
  <c r="E85"/>
  <c r="F92"/>
  <c r="J113"/>
  <c r="BE122"/>
  <c r="BE124"/>
  <c r="BE125"/>
  <c r="BE128"/>
  <c r="BE129"/>
  <c r="BE133"/>
  <c r="BE134"/>
  <c r="BE135"/>
  <c r="BE130"/>
  <c r="BE132"/>
  <c r="BE136"/>
  <c r="BE137"/>
  <c r="BE144"/>
  <c r="BE123"/>
  <c r="BE127"/>
  <c r="BE139"/>
  <c r="BE140"/>
  <c r="BE142"/>
  <c i="5" r="J89"/>
  <c r="BE124"/>
  <c r="BE133"/>
  <c r="BE136"/>
  <c r="BE141"/>
  <c r="BE148"/>
  <c r="BE152"/>
  <c r="E111"/>
  <c r="BE126"/>
  <c r="BE127"/>
  <c r="BE137"/>
  <c r="BE138"/>
  <c r="BE142"/>
  <c r="BE144"/>
  <c r="BE151"/>
  <c r="F92"/>
  <c r="BE135"/>
  <c r="BE125"/>
  <c r="BE128"/>
  <c r="BE129"/>
  <c r="BE132"/>
  <c r="BE134"/>
  <c r="BE139"/>
  <c r="BE140"/>
  <c r="BE143"/>
  <c r="BE145"/>
  <c r="BE146"/>
  <c r="BE147"/>
  <c r="BE149"/>
  <c i="4" r="BE125"/>
  <c r="BE130"/>
  <c r="BE131"/>
  <c r="BE134"/>
  <c r="BE137"/>
  <c r="BE138"/>
  <c r="BE143"/>
  <c r="BE144"/>
  <c r="BE145"/>
  <c r="J89"/>
  <c r="F92"/>
  <c r="BE124"/>
  <c r="BE127"/>
  <c r="BE128"/>
  <c r="BE139"/>
  <c r="BE140"/>
  <c r="BE141"/>
  <c r="BE142"/>
  <c r="BE146"/>
  <c r="E85"/>
  <c r="BE122"/>
  <c r="BE126"/>
  <c r="BE133"/>
  <c r="BE121"/>
  <c r="BE123"/>
  <c r="BE129"/>
  <c r="BE132"/>
  <c r="BE135"/>
  <c r="BE136"/>
  <c i="3" r="J89"/>
  <c r="F92"/>
  <c r="BE127"/>
  <c r="BE130"/>
  <c r="BE134"/>
  <c r="BE138"/>
  <c r="BE139"/>
  <c r="BE140"/>
  <c r="BE141"/>
  <c r="BE143"/>
  <c r="BE145"/>
  <c r="BE147"/>
  <c r="BE152"/>
  <c r="BE153"/>
  <c r="BE155"/>
  <c r="BE156"/>
  <c r="BE157"/>
  <c r="BE164"/>
  <c r="BE170"/>
  <c r="BE176"/>
  <c r="BE177"/>
  <c r="BE187"/>
  <c r="BE188"/>
  <c r="BE190"/>
  <c r="BE142"/>
  <c r="BE148"/>
  <c r="BE151"/>
  <c r="BE158"/>
  <c r="BE159"/>
  <c r="BE161"/>
  <c r="BE167"/>
  <c r="BE172"/>
  <c r="BE174"/>
  <c r="BE175"/>
  <c r="BE178"/>
  <c r="E85"/>
  <c r="BE128"/>
  <c r="BE133"/>
  <c r="BE146"/>
  <c r="BE149"/>
  <c r="BE171"/>
  <c r="BE181"/>
  <c r="BE184"/>
  <c r="BE129"/>
  <c r="BE131"/>
  <c r="BE132"/>
  <c r="BE135"/>
  <c r="BE137"/>
  <c r="BE144"/>
  <c r="BE150"/>
  <c r="BE162"/>
  <c r="BE163"/>
  <c r="BE165"/>
  <c r="BE166"/>
  <c r="BE168"/>
  <c r="BE169"/>
  <c r="BE173"/>
  <c r="BE180"/>
  <c r="BE182"/>
  <c r="BE185"/>
  <c r="BE189"/>
  <c i="2" r="E85"/>
  <c r="F120"/>
  <c r="BE127"/>
  <c r="BE128"/>
  <c r="BE129"/>
  <c r="BE132"/>
  <c r="BE134"/>
  <c r="BE136"/>
  <c r="BE137"/>
  <c r="BE140"/>
  <c r="BE141"/>
  <c r="BE142"/>
  <c r="BE143"/>
  <c r="BE146"/>
  <c r="BE148"/>
  <c r="BE152"/>
  <c r="BE154"/>
  <c r="BE155"/>
  <c r="BE156"/>
  <c r="BE163"/>
  <c r="BE165"/>
  <c r="BE174"/>
  <c r="BE175"/>
  <c r="BE176"/>
  <c r="BE180"/>
  <c r="BE181"/>
  <c r="BE183"/>
  <c r="BE188"/>
  <c r="BE189"/>
  <c r="BE191"/>
  <c r="BE205"/>
  <c r="BE213"/>
  <c r="BE226"/>
  <c r="BE234"/>
  <c r="J117"/>
  <c r="BE130"/>
  <c r="BE131"/>
  <c r="BE133"/>
  <c r="BE138"/>
  <c r="BE139"/>
  <c r="BE144"/>
  <c r="BE145"/>
  <c r="BE160"/>
  <c r="BE162"/>
  <c r="BE166"/>
  <c r="BE168"/>
  <c r="BE171"/>
  <c r="BE177"/>
  <c r="BE185"/>
  <c r="BE193"/>
  <c r="BE196"/>
  <c r="BE197"/>
  <c r="BE199"/>
  <c r="BE202"/>
  <c r="BE203"/>
  <c r="BE207"/>
  <c r="BE208"/>
  <c r="BE212"/>
  <c r="BE221"/>
  <c r="BE223"/>
  <c r="BE227"/>
  <c r="BE147"/>
  <c r="BE151"/>
  <c r="BE153"/>
  <c r="BE159"/>
  <c r="BE169"/>
  <c r="BE172"/>
  <c r="BE186"/>
  <c r="BE194"/>
  <c r="BE201"/>
  <c r="BE210"/>
  <c r="BE214"/>
  <c r="BE215"/>
  <c r="BE216"/>
  <c r="BE219"/>
  <c r="BE220"/>
  <c r="BE224"/>
  <c r="BE225"/>
  <c r="BE228"/>
  <c r="BE229"/>
  <c r="BE230"/>
  <c r="BE231"/>
  <c r="BE233"/>
  <c r="BE126"/>
  <c r="BE149"/>
  <c r="BE150"/>
  <c r="BE157"/>
  <c r="BE158"/>
  <c r="BE164"/>
  <c r="BE167"/>
  <c r="BE170"/>
  <c r="BE173"/>
  <c r="BE178"/>
  <c r="BE179"/>
  <c r="BE182"/>
  <c r="BE184"/>
  <c r="BE190"/>
  <c r="BE192"/>
  <c r="BE195"/>
  <c r="BE198"/>
  <c r="BE200"/>
  <c r="BE206"/>
  <c r="BE209"/>
  <c r="BE211"/>
  <c r="BE217"/>
  <c r="BE218"/>
  <c r="BE222"/>
  <c r="F36"/>
  <c i="1" r="BC95"/>
  <c i="3" r="F37"/>
  <c i="1" r="BD96"/>
  <c i="3" r="F34"/>
  <c i="1" r="BA96"/>
  <c i="4" r="F37"/>
  <c i="1" r="BD97"/>
  <c i="5" r="F36"/>
  <c i="1" r="BC98"/>
  <c i="6" r="F37"/>
  <c i="1" r="BD99"/>
  <c i="7" r="J34"/>
  <c i="1" r="AW100"/>
  <c i="7" r="F37"/>
  <c i="1" r="BD100"/>
  <c i="2" r="F37"/>
  <c i="1" r="BD95"/>
  <c i="3" r="F35"/>
  <c i="1" r="BB96"/>
  <c i="4" r="J34"/>
  <c i="1" r="AW97"/>
  <c i="5" r="F35"/>
  <c i="1" r="BB98"/>
  <c i="5" r="F34"/>
  <c i="1" r="BA98"/>
  <c i="6" r="F35"/>
  <c i="1" r="BB99"/>
  <c i="7" r="F34"/>
  <c i="1" r="BA100"/>
  <c i="2" r="F34"/>
  <c i="1" r="BA95"/>
  <c i="3" r="J34"/>
  <c i="1" r="AW96"/>
  <c i="4" r="F35"/>
  <c i="1" r="BB97"/>
  <c i="4" r="F36"/>
  <c i="1" r="BC97"/>
  <c i="5" r="F37"/>
  <c i="1" r="BD98"/>
  <c i="6" r="F36"/>
  <c i="1" r="BC99"/>
  <c i="7" r="F35"/>
  <c i="1" r="BB100"/>
  <c i="2" r="F35"/>
  <c i="1" r="BB95"/>
  <c i="2" r="J34"/>
  <c i="1" r="AW95"/>
  <c i="3" r="F36"/>
  <c i="1" r="BC96"/>
  <c i="4" r="F34"/>
  <c i="1" r="BA97"/>
  <c i="5" r="J34"/>
  <c i="1" r="AW98"/>
  <c i="6" r="J34"/>
  <c i="1" r="AW99"/>
  <c i="6" r="F34"/>
  <c i="1" r="BA99"/>
  <c i="7" r="F36"/>
  <c i="1" r="BC100"/>
  <c i="5" l="1" r="P121"/>
  <c i="1" r="AU98"/>
  <c i="2" r="T124"/>
  <c r="T123"/>
  <c i="3" r="P125"/>
  <c r="P124"/>
  <c i="1" r="AU96"/>
  <c i="2" r="R124"/>
  <c r="R123"/>
  <c r="P124"/>
  <c r="P123"/>
  <c i="1" r="AU95"/>
  <c i="5" r="T121"/>
  <c i="7" r="R123"/>
  <c r="R122"/>
  <c r="T123"/>
  <c r="T122"/>
  <c r="P123"/>
  <c r="P122"/>
  <c i="1" r="AU100"/>
  <c i="7" r="BK123"/>
  <c r="J123"/>
  <c r="J97"/>
  <c i="5" r="R121"/>
  <c i="3" r="T125"/>
  <c r="T124"/>
  <c r="R125"/>
  <c r="R124"/>
  <c i="2" r="BK124"/>
  <c r="J124"/>
  <c r="J97"/>
  <c i="5" r="BK122"/>
  <c r="J122"/>
  <c r="J97"/>
  <c i="6" r="BK120"/>
  <c r="J120"/>
  <c r="J97"/>
  <c i="7" r="J124"/>
  <c r="J98"/>
  <c i="3" r="BK125"/>
  <c r="J125"/>
  <c r="J97"/>
  <c i="4" r="BK119"/>
  <c r="J119"/>
  <c r="J97"/>
  <c i="5" r="BK130"/>
  <c r="J130"/>
  <c r="J99"/>
  <c i="3" r="J33"/>
  <c i="1" r="AV96"/>
  <c r="AT96"/>
  <c i="3" r="F33"/>
  <c i="1" r="AZ96"/>
  <c i="4" r="F33"/>
  <c i="1" r="AZ97"/>
  <c i="5" r="F33"/>
  <c i="1" r="AZ98"/>
  <c i="6" r="F33"/>
  <c i="1" r="AZ99"/>
  <c r="BA94"/>
  <c r="W30"/>
  <c r="BD94"/>
  <c r="W33"/>
  <c i="2" r="F33"/>
  <c i="1" r="AZ95"/>
  <c i="4" r="J33"/>
  <c i="1" r="AV97"/>
  <c r="AT97"/>
  <c i="6" r="J33"/>
  <c i="1" r="AV99"/>
  <c r="AT99"/>
  <c r="BC94"/>
  <c r="AY94"/>
  <c i="7" r="F33"/>
  <c i="1" r="AZ100"/>
  <c i="2" r="J33"/>
  <c i="1" r="AV95"/>
  <c r="AT95"/>
  <c i="5" r="J33"/>
  <c i="1" r="AV98"/>
  <c r="AT98"/>
  <c i="7" r="J33"/>
  <c i="1" r="AV100"/>
  <c r="AT100"/>
  <c r="BB94"/>
  <c r="W31"/>
  <c i="3" l="1" r="BK124"/>
  <c r="J124"/>
  <c i="4" r="BK118"/>
  <c r="J118"/>
  <c i="6" r="BK119"/>
  <c r="J119"/>
  <c r="J96"/>
  <c i="7" r="BK122"/>
  <c r="J122"/>
  <c i="5" r="BK121"/>
  <c r="J121"/>
  <c i="2" r="BK123"/>
  <c r="J123"/>
  <c r="J96"/>
  <c i="1" r="AU94"/>
  <c i="3" r="J30"/>
  <c i="1" r="AG96"/>
  <c r="AW94"/>
  <c r="AK30"/>
  <c i="4" r="J30"/>
  <c i="1" r="AG97"/>
  <c i="7" r="J30"/>
  <c i="1" r="AG100"/>
  <c r="AZ94"/>
  <c r="AV94"/>
  <c r="AK29"/>
  <c r="W32"/>
  <c i="5" r="J30"/>
  <c i="1" r="AG98"/>
  <c r="AX94"/>
  <c i="5" l="1" r="J39"/>
  <c i="4" r="J39"/>
  <c i="3" r="J39"/>
  <c i="7" r="J39"/>
  <c i="4" r="J96"/>
  <c i="3" r="J96"/>
  <c i="5" r="J96"/>
  <c i="7" r="J96"/>
  <c i="1" r="AN96"/>
  <c r="AN97"/>
  <c r="AN98"/>
  <c r="AN100"/>
  <c i="6" r="J30"/>
  <c i="1" r="AG99"/>
  <c r="AT94"/>
  <c i="2" r="J30"/>
  <c i="1" r="AG95"/>
  <c r="AN95"/>
  <c r="W29"/>
  <c i="2" l="1" r="J39"/>
  <c i="6" r="J39"/>
  <c i="1" r="AN99"/>
  <c r="AG94"/>
  <c r="AK26"/>
  <c r="AK35"/>
  <c l="1" r="AN94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<sst xmlns="http://schemas.openxmlformats.org/spreadsheetml/2006/main">
  <si>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</si>
  <si>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</si>
  <si>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</si>
  <si>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</si>
  <si>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</si>
  <si>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{5bd23308-3bfb-4d81-bd89-38a25544a1b3}</t>
  </si>
  <si>
    <t>0,01</t>
  </si>
  <si>
    <t>21</t>
  </si>
  <si>
    <t>12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</si>
  <si>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</si>
  <si>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</si>
  <si>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</si>
  <si>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</si>
  <si>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</si>
  <si>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2025-015a</t>
  </si>
  <si>
    <t xml:space="preserve">Měnit lze pouze buňky se žlutým podbarvením!_x000d_
_x000d_
1) na prvním listu Rekapitulace stavby vyplňte v sestavě_x000d_
_x000d_
    a) Souhrnný list_x000d_
       - údaje o Uchazeči_x000d_
         (přenesou se do ostatních sestav i v jiných listech)_x000d_
_x000d_
    b) Rekapitulace objektů_x000d_
       - potřebné Ostatní náklady_x000d_
_x000d_
2) na vybraných listech vyplňte v sestavě_x000d_
_x000d_
    a) Krycí list_x000d_
       - údaje o Uchazeči, pokud se liší od údajů o Uchazeči na Souhrnném listu_x000d_
         (údaje se přenesou do ostatních sestav v daném listu)_x000d_
_x000d_
    b) Rekapitulace rozpočtu_x000d_
       - potřebné Ostatní náklady_x000d_
_x000d_
    c) Celkové náklady za stavbu_x000d_
       - ceny u položek_x000d_
       - množství, pokud má žluté podbarvení_x000d_
       - a v případě potřeby poznámku (ta je ve skrytém sloupci)</t>
  </si>
  <si>
    <t>Stavba:</t>
  </si>
  <si>
    <t>Forestina Horaždovice- UT, OPZ</t>
  </si>
  <si>
    <t>KSO:</t>
  </si>
  <si>
    <t>CC-CZ:</t>
  </si>
  <si>
    <t>Místo:</t>
  </si>
  <si>
    <t>Horaždovice</t>
  </si>
  <si>
    <t>Datum:</t>
  </si>
  <si>
    <t>10. 6. 2025</t>
  </si>
  <si>
    <t>Zadavatel:</t>
  </si>
  <si>
    <t>IČ:</t>
  </si>
  <si>
    <t xml:space="preserve"> </t>
  </si>
  <si>
    <t>DIČ:</t>
  </si>
  <si>
    <t>Uchazeč:</t>
  </si>
  <si>
    <t>Vyplň údaj</t>
  </si>
  <si>
    <t>Projektant:</t>
  </si>
  <si>
    <t>True</t>
  </si>
  <si>
    <t>Zpracovatel:</t>
  </si>
  <si>
    <t xml:space="preserve">Ing. pavel Míka 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</si>
  <si>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</si>
  <si>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</si>
  <si>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</si>
  <si>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</si>
  <si>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</si>
  <si>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</si>
  <si>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</si>
  <si>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</si>
  <si>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</si>
  <si>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</si>
  <si>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</si>
  <si>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</si>
  <si>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</si>
  <si>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</si>
  <si>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</si>
  <si>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</si>
  <si>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</si>
  <si>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</si>
  <si>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</si>
  <si>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</si>
  <si>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</si>
  <si>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</si>
  <si>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</si>
  <si>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</si>
  <si>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</si>
  <si>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</si>
  <si>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</si>
  <si>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</si>
  <si>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</si>
  <si>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</si>
  <si>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</si>
  <si>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</si>
  <si>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</si>
  <si>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</si>
  <si>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</si>
  <si>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</si>
  <si>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</si>
  <si>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</si>
  <si>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</si>
  <si>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</si>
  <si>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</si>
  <si>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</si>
  <si>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</si>
  <si>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</si>
  <si>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</si>
  <si>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</si>
  <si>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01</t>
  </si>
  <si>
    <t>01-Vytápění-Kotelna</t>
  </si>
  <si>
    <t>STA</t>
  </si>
  <si>
    <t>1</t>
  </si>
  <si>
    <t>{73a9dc88-eb3a-4920-abea-4f50dbef5ac9}</t>
  </si>
  <si>
    <t>2</t>
  </si>
  <si>
    <t>02</t>
  </si>
  <si>
    <t>Vytápění- otop. soustava</t>
  </si>
  <si>
    <t>{e9affe57-f689-401a-88a4-8b8ea07bc34d}</t>
  </si>
  <si>
    <t>04</t>
  </si>
  <si>
    <t>OPZ-hala</t>
  </si>
  <si>
    <t>{83e74491-71ed-4358-b3db-27541940fbfa}</t>
  </si>
  <si>
    <t>03</t>
  </si>
  <si>
    <t>STL plynovody</t>
  </si>
  <si>
    <t>{a28ed53c-5b09-4b53-99f4-2126368c3590}</t>
  </si>
  <si>
    <t>05</t>
  </si>
  <si>
    <t>OPZ-kotelna</t>
  </si>
  <si>
    <t>{b9e403ff-1b7a-4ef1-adb4-5d55cc01d705}</t>
  </si>
  <si>
    <t>06</t>
  </si>
  <si>
    <t>Vytápění hala</t>
  </si>
  <si>
    <t>{a0134f3c-f4e8-4dcf-a2ee-93c8314f65e6}</t>
  </si>
  <si>
    <t>KRYCÍ LIST SOUPISU PRACÍ</t>
  </si>
  <si>
    <t>Objekt:</t>
  </si>
  <si>
    <t>01 - 01-Vytápění-Kotelna</t>
  </si>
  <si>
    <t>REKAPITULACE ČLENĚNÍ SOUPISU PRACÍ</t>
  </si>
  <si>
    <t>Kód dílu - Popis</t>
  </si>
  <si>
    <t>Cena celkem [CZK]</t>
  </si>
  <si>
    <t>Náklady ze soupisu prací</t>
  </si>
  <si>
    <t>-1</t>
  </si>
  <si>
    <t>PSV - Práce a dodávky PSV</t>
  </si>
  <si>
    <t xml:space="preserve">    713 - Izolace tepelné</t>
  </si>
  <si>
    <t xml:space="preserve">    731 - Ústřední vytápění - kotelny</t>
  </si>
  <si>
    <t xml:space="preserve">    732 - Ústřední vytápění - strojovny</t>
  </si>
  <si>
    <t xml:space="preserve">    733 - Ústřední vytápění - rozvodné potrubí</t>
  </si>
  <si>
    <t xml:space="preserve">    734 - Ústřední vytápění - armatury</t>
  </si>
  <si>
    <t xml:space="preserve">    783 - Dokončovací práce - nátěry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</si>
  <si>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</si>
  <si>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</si>
  <si>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</si>
  <si>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</si>
  <si>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</si>
  <si>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</si>
  <si>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</si>
  <si>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</si>
  <si>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</si>
  <si>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</si>
  <si>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</si>
  <si>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</si>
  <si>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</si>
  <si>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PSV</t>
  </si>
  <si>
    <t>Práce a dodávky PSV</t>
  </si>
  <si>
    <t>ROZPOCET</t>
  </si>
  <si>
    <t>713</t>
  </si>
  <si>
    <t>Izolace tepelné</t>
  </si>
  <si>
    <t>K</t>
  </si>
  <si>
    <t>713411145</t>
  </si>
  <si>
    <t>Montáž izolace tepelné potrubí a ohybů pásy nebo rohožemi s povrchovou úpravou hliníkovou fólií připevněnými samolepící hliníkovou páskou ohybů jednovrstvá</t>
  </si>
  <si>
    <t>m2</t>
  </si>
  <si>
    <t>16</t>
  </si>
  <si>
    <t>-877364958</t>
  </si>
  <si>
    <t>713463211</t>
  </si>
  <si>
    <t xml:space="preserve">Montáž izolace tepelné potrubí a ohybů tvarovkami nebo deskami  potrubními pouzdry s povrchovou úpravou hliníkovou fólií (izolační materiál ve specifikaci) přelepenými samolepící hliníkovou páskou potrubí jednovrstvá D do 50 mm</t>
  </si>
  <si>
    <t>m</t>
  </si>
  <si>
    <t>794477127</t>
  </si>
  <si>
    <t>3</t>
  </si>
  <si>
    <t>M</t>
  </si>
  <si>
    <t>RKW.32038</t>
  </si>
  <si>
    <t>Potrubní pouzdra ROCKWOOL 800 vnitřní D 35mm, délka 1000mm, tloušťka izolace 30mm</t>
  </si>
  <si>
    <t>32</t>
  </si>
  <si>
    <t>-33424660</t>
  </si>
  <si>
    <t>4</t>
  </si>
  <si>
    <t>RKW.14575</t>
  </si>
  <si>
    <t>Potrubní pouzdra ROCKWOOL 800 vnitřní D 60mm, délka 1000mm, tloušťka izolace 40mm</t>
  </si>
  <si>
    <t>489715420</t>
  </si>
  <si>
    <t>5</t>
  </si>
  <si>
    <t>RKW.18448</t>
  </si>
  <si>
    <t>Potrubní pouzdra ROCKWOOL 800 vnitřní D 76mm, délka 1000mm, tloušťka izolace 40mm</t>
  </si>
  <si>
    <t>1664615518</t>
  </si>
  <si>
    <t>6</t>
  </si>
  <si>
    <t>713463411</t>
  </si>
  <si>
    <t xml:space="preserve">Montáž izolace tepelné potrubí a ohybů tvarovkami nebo deskami  potrubními pouzdry návlekovými izolačními hadicemi potrubí a ohybů</t>
  </si>
  <si>
    <t>185184568</t>
  </si>
  <si>
    <t>7</t>
  </si>
  <si>
    <t>MLT.I00001004</t>
  </si>
  <si>
    <t>izolace potrubí Mirelon Pro 28x25mm</t>
  </si>
  <si>
    <t>-841275942</t>
  </si>
  <si>
    <t>8</t>
  </si>
  <si>
    <t>MLT.I00000804</t>
  </si>
  <si>
    <t>izolace potrubí Mirelon Pro 22x25mm</t>
  </si>
  <si>
    <t>-1419073045</t>
  </si>
  <si>
    <t>9</t>
  </si>
  <si>
    <t>998713203</t>
  </si>
  <si>
    <t>Přesun hmot pro izolace tepelné stanovený procentní sazbou (%) z ceny vodorovná dopravní vzdálenost do 50 m v objektech výšky přes 12 do 24 m</t>
  </si>
  <si>
    <t>%</t>
  </si>
  <si>
    <t>1226884210</t>
  </si>
  <si>
    <t>731</t>
  </si>
  <si>
    <t>Ústřední vytápění - kotelny</t>
  </si>
  <si>
    <t>10</t>
  </si>
  <si>
    <t>731244494</t>
  </si>
  <si>
    <t>Montáž kotle ocelového závěsného na plyn kondenzačního o výkonu do 50 kW</t>
  </si>
  <si>
    <t>soubor</t>
  </si>
  <si>
    <t>-512264998</t>
  </si>
  <si>
    <t>11</t>
  </si>
  <si>
    <t>48417436</t>
  </si>
  <si>
    <t>_x000d_
Závěsný plynový konden kotel THRs 50 modul.výkonem, top.výkon 9,5-45,55kW ( pro tepl. spád 80/60°C), výměník z nerez. oceli, nerez.předsměš.hořák, hořáková automatika LMs14 , vestavění kotlové čerpadlo, PV ( přetlak 400kPa) ,ostatní podrob.viz specifikaci</t>
  </si>
  <si>
    <t>kus</t>
  </si>
  <si>
    <t>519203516</t>
  </si>
  <si>
    <t>48417400.1</t>
  </si>
  <si>
    <t>Kotlový adaptér DN 125/80 s měřícím otvorem pro připojení DN 125/80(součástí kotle)</t>
  </si>
  <si>
    <t>ks</t>
  </si>
  <si>
    <t>24402157</t>
  </si>
  <si>
    <t>13</t>
  </si>
  <si>
    <t>48417400.2</t>
  </si>
  <si>
    <t xml:space="preserve">Neutralizační zařízení pro vícekotlová zařízení do 100kW vč. granulátu _x000d_
</t>
  </si>
  <si>
    <t>1758791629</t>
  </si>
  <si>
    <t>14</t>
  </si>
  <si>
    <t>48417400.3</t>
  </si>
  <si>
    <t>Kotevní technika pro sestavení kotevního rámu kotlů +kotvení potrubí v kotelně(např. systémová technika Koňařík)- nosné profily 62x41, 40x40, 27x18, konzole, příslušenství</t>
  </si>
  <si>
    <t>soub</t>
  </si>
  <si>
    <t>-1618700213</t>
  </si>
  <si>
    <t>30</t>
  </si>
  <si>
    <t>73180.1R</t>
  </si>
  <si>
    <t xml:space="preserve">MaR montáž - Dílenská prováděcí  dokumentace M+R-kotelna</t>
  </si>
  <si>
    <t>kpl</t>
  </si>
  <si>
    <t>9353952</t>
  </si>
  <si>
    <t>31</t>
  </si>
  <si>
    <t>73180.2R</t>
  </si>
  <si>
    <t xml:space="preserve">MaR montáž - Montáž a kompletace rovaděče M+R _x000d_
</t>
  </si>
  <si>
    <t>1519897239</t>
  </si>
  <si>
    <t>73180.3R</t>
  </si>
  <si>
    <t xml:space="preserve">MaR montáž - Kabeláže M+R, (kabelové lišty, propojovací kabely,…)  </t>
  </si>
  <si>
    <t>1269645358</t>
  </si>
  <si>
    <t>33</t>
  </si>
  <si>
    <t>73180.4R</t>
  </si>
  <si>
    <t xml:space="preserve">MaR montáž - Zprovoznění , oživení a zaškolení obsluhy </t>
  </si>
  <si>
    <t>-1347435194</t>
  </si>
  <si>
    <t>34</t>
  </si>
  <si>
    <t>4054100.1</t>
  </si>
  <si>
    <t xml:space="preserve">Kaskádová systémová regulace kotelny= ekvitermní regulace 2 směšovaných topných okruhů, 1x čerpadlový topný okruh ,ohřev TV, havarijní stavy kotelny ( dle specifikace v TZ UT ), vzdálený přístup- specifikace:-   _x000d_
OCI345.06/101: Komunikační Clip-in BSB/LPB, komunikační rozhraní mezi LMS14 a regulacemi RVS </t>
  </si>
  <si>
    <t>2050008893</t>
  </si>
  <si>
    <t>35</t>
  </si>
  <si>
    <t>4054100.2</t>
  </si>
  <si>
    <t>regulace solárního systému s 4 vstupy 1 výstupem s bezpotenciálovým kontaktem</t>
  </si>
  <si>
    <t>609435625</t>
  </si>
  <si>
    <t>36</t>
  </si>
  <si>
    <t>4054100.3</t>
  </si>
  <si>
    <t>1507790228</t>
  </si>
  <si>
    <t>37</t>
  </si>
  <si>
    <t>4054100.4</t>
  </si>
  <si>
    <t>1145416992</t>
  </si>
  <si>
    <t>38</t>
  </si>
  <si>
    <t>4054100.5</t>
  </si>
  <si>
    <t>kpt</t>
  </si>
  <si>
    <t>530681466</t>
  </si>
  <si>
    <t>39</t>
  </si>
  <si>
    <t>4054100.6</t>
  </si>
  <si>
    <t>-1096926865</t>
  </si>
  <si>
    <t>40</t>
  </si>
  <si>
    <t>4054100.7</t>
  </si>
  <si>
    <t>2027231144</t>
  </si>
  <si>
    <t>41</t>
  </si>
  <si>
    <t>4054100.8</t>
  </si>
  <si>
    <t>52044086</t>
  </si>
  <si>
    <t>42</t>
  </si>
  <si>
    <t>4054100.9</t>
  </si>
  <si>
    <t>1297409599</t>
  </si>
  <si>
    <t>43</t>
  </si>
  <si>
    <t>4054100.10</t>
  </si>
  <si>
    <t>-1175436388</t>
  </si>
  <si>
    <t>44</t>
  </si>
  <si>
    <t>4054100.11</t>
  </si>
  <si>
    <t>-88895015</t>
  </si>
  <si>
    <t>15</t>
  </si>
  <si>
    <t>731810302.R</t>
  </si>
  <si>
    <t xml:space="preserve">Montáž odvodu spalin 2 kondenzačních kotlu v kaskádě - DN160/80 , společný kouřovod, zaústění a vedení v komínové šachtě , vyústění nad střechou </t>
  </si>
  <si>
    <t>224446122</t>
  </si>
  <si>
    <t>48470100.R</t>
  </si>
  <si>
    <t>Sdružený kouřovod - CAS koncový kus kaskády se sifonem , DN125</t>
  </si>
  <si>
    <t>1610047140</t>
  </si>
  <si>
    <t>17</t>
  </si>
  <si>
    <t>48470101.R</t>
  </si>
  <si>
    <t>-1285272272</t>
  </si>
  <si>
    <t>25</t>
  </si>
  <si>
    <t>48470109.R</t>
  </si>
  <si>
    <t>-353787161</t>
  </si>
  <si>
    <t>45</t>
  </si>
  <si>
    <t>998731201</t>
  </si>
  <si>
    <t xml:space="preserve">Přesun hmot pro kotelny  stanovený procentní sazbou (%) z ceny vodorovná dopravní vzdálenost do 50 m v objektech výšky do 6 m</t>
  </si>
  <si>
    <t>-914286679</t>
  </si>
  <si>
    <t>732</t>
  </si>
  <si>
    <t>Ústřední vytápění - strojovny</t>
  </si>
  <si>
    <t>46</t>
  </si>
  <si>
    <t>43633315.R</t>
  </si>
  <si>
    <t xml:space="preserve">Filtr mechanický s filtrační vložkou do přívodu dopouštěné vody 1",  se zpětným proplachem, mosaz např.AQUINA  FWS 1</t>
  </si>
  <si>
    <t>-1636240122</t>
  </si>
  <si>
    <t>47</t>
  </si>
  <si>
    <t>43633316.R</t>
  </si>
  <si>
    <t xml:space="preserve">Oddělovací člen  s potrubním oddělovačem  a vodoměrem  pro napojení doplňování na systém pitné vody (vodoměr standardní)- např. REFLEX typ FILLSET FV)*</t>
  </si>
  <si>
    <t>-1623672285</t>
  </si>
  <si>
    <t>48</t>
  </si>
  <si>
    <t>43633318.R</t>
  </si>
  <si>
    <t xml:space="preserve">Pouzdro REFLEX  FILSOFT  FGI  , Rp1/2" ,  max 360l/h,  jednoduché ,  pro osazení  patronou FILSOFT ZERO  FZP3000  ( šedá) pro demineralizaci (kapacita  3000l x 1°dH), s konduktometrem Fillguard Mini   </t>
  </si>
  <si>
    <t>1067626814</t>
  </si>
  <si>
    <t>49</t>
  </si>
  <si>
    <t>43633319.R</t>
  </si>
  <si>
    <t xml:space="preserve">Pronájem  mobilní  demineralizační jednotky pro  první naplnění topného systému upravenou vodu ,+  potřebná  náplň  pro předpokládanou vstupní tvrdost vody 4,9°dH  -pro  prvotní plnění systému </t>
  </si>
  <si>
    <t>-2118959644</t>
  </si>
  <si>
    <t>50</t>
  </si>
  <si>
    <t>43633320.R</t>
  </si>
  <si>
    <t xml:space="preserve">Inhibitor/přípravek pro pro ochranu  systémů HVAC  před korozí a tvorbou vodního kamene , + stabilizaci pH ,   např. FERNOX  Protector  F1, dávkování 0,5%, balení 10l </t>
  </si>
  <si>
    <t>1395049311</t>
  </si>
  <si>
    <t>51</t>
  </si>
  <si>
    <t>732111125</t>
  </si>
  <si>
    <t>Rozdělovače a sběrače tělesa rozdělovačů a sběračů z ocelových trub bezešvých DN 80</t>
  </si>
  <si>
    <t>1150736088</t>
  </si>
  <si>
    <t>52</t>
  </si>
  <si>
    <t>732111225</t>
  </si>
  <si>
    <t>Rozdělovače a sběrače tělesa rozdělovačů a sběračů z ocelových trub bezešvých Příplatek k cenám za každých dalších i započatých 0,5 m délky tělesa DN 80</t>
  </si>
  <si>
    <t>-1755375810</t>
  </si>
  <si>
    <t>53</t>
  </si>
  <si>
    <t>732111314</t>
  </si>
  <si>
    <t>Rozdělovače a sběrače trubková hrdla rozdělovačů a sběračů bez přírub DN 25</t>
  </si>
  <si>
    <t>-999592296</t>
  </si>
  <si>
    <t>54</t>
  </si>
  <si>
    <t>732111315</t>
  </si>
  <si>
    <t>Rozdělovače a sběrače trubková hrdla rozdělovačů a sběračů bez přírub DN 32</t>
  </si>
  <si>
    <t>363250681</t>
  </si>
  <si>
    <t>55</t>
  </si>
  <si>
    <t>732111316</t>
  </si>
  <si>
    <t>Rozdělovače a sběrače trubková hrdla rozdělovačů a sběračů bez přírub DN 40</t>
  </si>
  <si>
    <t>1192354909</t>
  </si>
  <si>
    <t>56</t>
  </si>
  <si>
    <t>48487713.ET</t>
  </si>
  <si>
    <t>rozdělovač-sběrač závitový RS modul M 120 DN 80, L1000</t>
  </si>
  <si>
    <t>-1289742164</t>
  </si>
  <si>
    <t>57</t>
  </si>
  <si>
    <t>732113200.R</t>
  </si>
  <si>
    <t>Montáž závitového vyrovnávače dynamických tlaků M=5m3/h, PN 6 , včetně tepelné izolace</t>
  </si>
  <si>
    <t>820839021</t>
  </si>
  <si>
    <t>58</t>
  </si>
  <si>
    <t>48419690.R</t>
  </si>
  <si>
    <t xml:space="preserve">Hydraulický vyrovnávač tlaku , M= 8m3/h, vývody G2" vč. Tepelné izolace , REFLEX typ SINUS 120x80mm </t>
  </si>
  <si>
    <t>-1003388219</t>
  </si>
  <si>
    <t>59</t>
  </si>
  <si>
    <t>732199100</t>
  </si>
  <si>
    <t>D a M orientačních štítků pro kotelny a strojovny</t>
  </si>
  <si>
    <t>-322239549</t>
  </si>
  <si>
    <t>60</t>
  </si>
  <si>
    <t>732199100.1</t>
  </si>
  <si>
    <t xml:space="preserve">Montáž štítků  orientačních</t>
  </si>
  <si>
    <t>1269067611</t>
  </si>
  <si>
    <t>61</t>
  </si>
  <si>
    <t>732219113.R</t>
  </si>
  <si>
    <t>Montáž ohříváků vody zásobníkových ležatých PN 0,6/0,6, PN 1,6/1,0, PN 1,6/1,6 o obsahu 400 l</t>
  </si>
  <si>
    <t>-1774161315</t>
  </si>
  <si>
    <t>62</t>
  </si>
  <si>
    <t>48417705.R</t>
  </si>
  <si>
    <t>zásobník TUV nepřímotopný nerezový objem 300L 62kW</t>
  </si>
  <si>
    <t>-157928677</t>
  </si>
  <si>
    <t>63</t>
  </si>
  <si>
    <t>732331621.RFX</t>
  </si>
  <si>
    <t>Nádoba tlaková expanzní s membránou Reflex NG závitové připojení PN 0,6 o objemu 200 l</t>
  </si>
  <si>
    <t>-268989705</t>
  </si>
  <si>
    <t>64</t>
  </si>
  <si>
    <t>732331778</t>
  </si>
  <si>
    <t>Nádoby expanzní tlakové příslušenství k expanzním nádobám bezpečnostní uzávěr k měření tlaku G 1</t>
  </si>
  <si>
    <t>-1912514024</t>
  </si>
  <si>
    <t>65</t>
  </si>
  <si>
    <t>732331800.R</t>
  </si>
  <si>
    <t xml:space="preserve">Montáž sestavy oddělovacího členu , mechanického filtru , automatického doplňovacího zařízení a úpravny vody ( demineraliační patrona s konduktometrem) , zprovoznění </t>
  </si>
  <si>
    <t>1563956357</t>
  </si>
  <si>
    <t>66</t>
  </si>
  <si>
    <t>732331805</t>
  </si>
  <si>
    <t>Montáž solenoidového ventilu do DN 15/Rp 1/2", pro doplňování OS</t>
  </si>
  <si>
    <t>208547916</t>
  </si>
  <si>
    <t>67</t>
  </si>
  <si>
    <t>40563100</t>
  </si>
  <si>
    <t xml:space="preserve">Doplňovací  ventil vody do OS PEVEKO typ např. EVPE 2015, přímo ovládaný , 1x230V, bez napětí uzavřen , DN15 ( napojit na KOTELNIK 1.0)_x000d_
</t>
  </si>
  <si>
    <t>370506332</t>
  </si>
  <si>
    <t>69</t>
  </si>
  <si>
    <t>732421406.GRS</t>
  </si>
  <si>
    <t>Čerpadlo teplovodní mokroběžné závitové oběhové Magna1 25-40 DN 25 výtlak do 4,0 m průtok 5,7 m3/h PN 10 pro vytápění</t>
  </si>
  <si>
    <t>-1754561086</t>
  </si>
  <si>
    <t>70</t>
  </si>
  <si>
    <t>732421412.GRS</t>
  </si>
  <si>
    <t>Čerpadlo teplovodní mokroběžné závitové oběhové ALPHA2 25-60 DN 25 výtlak do 6,0 m průtok 2,8 m3/h PN 10 pro vytápění</t>
  </si>
  <si>
    <t>-1732846228</t>
  </si>
  <si>
    <t>71</t>
  </si>
  <si>
    <t>732422216.GRS</t>
  </si>
  <si>
    <t>Čerpadlo teplovodní mokroběžné přírubové Magna3 40-120F DN 40 výtlak do 12 m průtok 16 m3/h jednodílné pro vytápění</t>
  </si>
  <si>
    <t>-1447665918</t>
  </si>
  <si>
    <t>733</t>
  </si>
  <si>
    <t>Ústřední vytápění - rozvodné potrubí</t>
  </si>
  <si>
    <t>72</t>
  </si>
  <si>
    <t>733111118</t>
  </si>
  <si>
    <t>Potrubí z trubek ocelových závitových černých spojovaných svařováním bezešvých běžných nízkotlakých PN 16 do 115°C v kotelnách a strojovnách DN 50</t>
  </si>
  <si>
    <t>-330695058</t>
  </si>
  <si>
    <t>73</t>
  </si>
  <si>
    <t>733113118</t>
  </si>
  <si>
    <t>Potrubí z trubek ocelových závitových černých Příplatek k ceně za zhotovení přípojky z ocelových trubek závitových DN 50</t>
  </si>
  <si>
    <t>-2115411841</t>
  </si>
  <si>
    <t>74</t>
  </si>
  <si>
    <t>733121222</t>
  </si>
  <si>
    <t>Potrubí z trubek ocelových hladkých spojovaných svařováním černých bezešvých v kotelnách a strojovnách Ø 76/3,2</t>
  </si>
  <si>
    <t>-249156016</t>
  </si>
  <si>
    <t>75</t>
  </si>
  <si>
    <t>733190108</t>
  </si>
  <si>
    <t>Zkoušky těsnosti potrubí, manžety prostupové z trubek ocelových zkoušky těsnosti potrubí (za provozu) z trubek ocelových závitových DN 40 do 50</t>
  </si>
  <si>
    <t>-708870214</t>
  </si>
  <si>
    <t>76</t>
  </si>
  <si>
    <t>733190225</t>
  </si>
  <si>
    <t>Zkoušky těsnosti potrubí, manžety prostupové z trubek ocelových zkoušky těsnosti potrubí (za provozu) z trubek ocelových hladkých Ø přes 60,3/2,9 do 89/5,0</t>
  </si>
  <si>
    <t>1164944464</t>
  </si>
  <si>
    <t>77</t>
  </si>
  <si>
    <t>733222304</t>
  </si>
  <si>
    <t>Potrubí z trubek měděných polotvrdých spojovaných lisováním PN 16, T= +110°C Ø 22/1</t>
  </si>
  <si>
    <t>-2097746648</t>
  </si>
  <si>
    <t>78</t>
  </si>
  <si>
    <t>733223304</t>
  </si>
  <si>
    <t>Potrubí z trubek měděných tvrdých spojovaných lisováním PN 16, T= +110°C Ø 28/1,5</t>
  </si>
  <si>
    <t>-2089669779</t>
  </si>
  <si>
    <t>79</t>
  </si>
  <si>
    <t>733223305</t>
  </si>
  <si>
    <t>Potrubí z trubek měděných tvrdých spojovaných lisováním PN 16, T= +110°C Ø 35/1,5</t>
  </si>
  <si>
    <t>-983880876</t>
  </si>
  <si>
    <t>80</t>
  </si>
  <si>
    <t>733224204</t>
  </si>
  <si>
    <t>Potrubí z trubek měděných Příplatek k cenám za potrubí vedené v kotelnách a strojovnách Ø 22/1,5</t>
  </si>
  <si>
    <t>1262844692</t>
  </si>
  <si>
    <t>81</t>
  </si>
  <si>
    <t>733224205</t>
  </si>
  <si>
    <t>Potrubí z trubek měděných Příplatek k cenám za potrubí vedené v kotelnách a strojovnách Ø 28/1,5</t>
  </si>
  <si>
    <t>-2147327812</t>
  </si>
  <si>
    <t>82</t>
  </si>
  <si>
    <t>733224206</t>
  </si>
  <si>
    <t>Potrubí z trubek měděných Příplatek k cenám za potrubí vedené v kotelnách a strojovnách Ø 35/1,5</t>
  </si>
  <si>
    <t>1813751130</t>
  </si>
  <si>
    <t>83</t>
  </si>
  <si>
    <t>733224224</t>
  </si>
  <si>
    <t>Potrubí z trubek měděných Příplatek k cenám za zhotovení přípojky z trubek měděných Ø 22/1</t>
  </si>
  <si>
    <t>2089340844</t>
  </si>
  <si>
    <t>84</t>
  </si>
  <si>
    <t>733224225</t>
  </si>
  <si>
    <t>Potrubí z trubek měděných Příplatek k cenám za zhotovení přípojky z trubek měděných Ø 28/1,5</t>
  </si>
  <si>
    <t>548630418</t>
  </si>
  <si>
    <t>85</t>
  </si>
  <si>
    <t>733224226</t>
  </si>
  <si>
    <t>Potrubí z trubek měděných Příplatek k cenám za zhotovení přípojky z trubek měděných Ø 35/1,5</t>
  </si>
  <si>
    <t>-2131249582</t>
  </si>
  <si>
    <t>86</t>
  </si>
  <si>
    <t>733291101</t>
  </si>
  <si>
    <t>Zkoušky těsnosti potrubí z trubek měděných Ø do 35/1,5</t>
  </si>
  <si>
    <t>142116384</t>
  </si>
  <si>
    <t>87</t>
  </si>
  <si>
    <t>998733203</t>
  </si>
  <si>
    <t>Přesun hmot pro rozvody potrubí stanovený procentní sazbou z ceny vodorovná dopravní vzdálenost do 50 m v objektech výšky přes 12 do 24 m</t>
  </si>
  <si>
    <t>-1385609254</t>
  </si>
  <si>
    <t>734</t>
  </si>
  <si>
    <t>Ústřední vytápění - armatury</t>
  </si>
  <si>
    <t>88</t>
  </si>
  <si>
    <t>734209113</t>
  </si>
  <si>
    <t>Montáž závitových armatur se 2 závity G 1/2 (DN 15)</t>
  </si>
  <si>
    <t>-140767938</t>
  </si>
  <si>
    <t>89</t>
  </si>
  <si>
    <t>734209114</t>
  </si>
  <si>
    <t>Montáž závitových armatur se 2 závity G 3/4 (DN 20)</t>
  </si>
  <si>
    <t>807614185</t>
  </si>
  <si>
    <t>90</t>
  </si>
  <si>
    <t>734209116</t>
  </si>
  <si>
    <t>Montáž závitových armatur se 2 závity G 5/4 (DN 32)</t>
  </si>
  <si>
    <t>1521747324</t>
  </si>
  <si>
    <t>91</t>
  </si>
  <si>
    <t>734209118</t>
  </si>
  <si>
    <t>Montáž závitových armatur se 2 závity G 2 (DN 50)</t>
  </si>
  <si>
    <t>-1223715447</t>
  </si>
  <si>
    <t>92</t>
  </si>
  <si>
    <t>734209123</t>
  </si>
  <si>
    <t>Montáž závitových armatur se 3 závity G 1/2 (DN 15)</t>
  </si>
  <si>
    <t>1557492553</t>
  </si>
  <si>
    <t>93</t>
  </si>
  <si>
    <t>734209127</t>
  </si>
  <si>
    <t>Montáž závitových armatur se 3 závity G 6/4 (DN 40)</t>
  </si>
  <si>
    <t>1391409020</t>
  </si>
  <si>
    <t>94</t>
  </si>
  <si>
    <t>551260155.100R</t>
  </si>
  <si>
    <t xml:space="preserve">Sada trojcestný směšovací ventil se servopohonem  SIEMENS typ VXG 44.40-25, závitový ,DN 40, kv=25,0m3/h, + servopohon SAS 31.00, 1x230V, 3bodový, 120 s, 400N, sada zavit šroubení 3x11/2" </t>
  </si>
  <si>
    <t>784795401</t>
  </si>
  <si>
    <t>96</t>
  </si>
  <si>
    <t>FLC.FL30006.R</t>
  </si>
  <si>
    <t>odlučovač vzduchu absorpční Flamcovent S 2"</t>
  </si>
  <si>
    <t>295767064</t>
  </si>
  <si>
    <t>97</t>
  </si>
  <si>
    <t>IMI.52851620</t>
  </si>
  <si>
    <t>STAD uzavírací sa vyvažovací ventil DN20 s vypouštění G3/4, PN25</t>
  </si>
  <si>
    <t>1191204078</t>
  </si>
  <si>
    <t>99</t>
  </si>
  <si>
    <t>IMI.52851650</t>
  </si>
  <si>
    <t>STAD uzavírací sa vyvažovací ventil DN50 s vypouštění G3/4, PN25</t>
  </si>
  <si>
    <t>1664633344</t>
  </si>
  <si>
    <t>101</t>
  </si>
  <si>
    <t>42241018.100R</t>
  </si>
  <si>
    <t>ventil vyvažovací stoupačkový vnitřní závit PN 25 T 120°C bez vypouštění 5/4"</t>
  </si>
  <si>
    <t>-1648323210</t>
  </si>
  <si>
    <t>102</t>
  </si>
  <si>
    <t>42241018.101R</t>
  </si>
  <si>
    <t>-729675446</t>
  </si>
  <si>
    <t>103</t>
  </si>
  <si>
    <t>734211127.100R</t>
  </si>
  <si>
    <t>Ventily odvzdušňovací závitové automatické se zpětnou klapkou PN 14 do 120°C G 1/2</t>
  </si>
  <si>
    <t>-340464106</t>
  </si>
  <si>
    <t>104</t>
  </si>
  <si>
    <t>734242413.GCM</t>
  </si>
  <si>
    <t>Ventil závitový Giacomini R60 zpětný přímý G 3/4 PN 16 do 110°C</t>
  </si>
  <si>
    <t>1159846137</t>
  </si>
  <si>
    <t>105</t>
  </si>
  <si>
    <t>734242414.GCM</t>
  </si>
  <si>
    <t>Ventil závitový Giacomini R60 zpětný přímý G 1 PN 16 do 110°C</t>
  </si>
  <si>
    <t>-1015125137</t>
  </si>
  <si>
    <t>106</t>
  </si>
  <si>
    <t>734242415.GCM</t>
  </si>
  <si>
    <t>Ventil závitový Giacomini R60 zpětný přímý G 5/4 PN 16 do 110°C</t>
  </si>
  <si>
    <t>-1531592243</t>
  </si>
  <si>
    <t>107</t>
  </si>
  <si>
    <t>734242416.GCM</t>
  </si>
  <si>
    <t>Ventil závitový Giacomini R60 zpětný přímý G 6/4 PN 16 do 110°C</t>
  </si>
  <si>
    <t>-1321212190</t>
  </si>
  <si>
    <t>108</t>
  </si>
  <si>
    <t>734291123</t>
  </si>
  <si>
    <t>Ostatní armatury kohouty plnicí a vypouštěcí PN 10 do 90°C G 1/2</t>
  </si>
  <si>
    <t>1571970518</t>
  </si>
  <si>
    <t>109</t>
  </si>
  <si>
    <t>734291273.GCM</t>
  </si>
  <si>
    <t>Filtr závitový Giacomini R74M přímý G 3/4 PN 30 do 110°C s vnitřními závity a integrovaným magnetem</t>
  </si>
  <si>
    <t>511079925</t>
  </si>
  <si>
    <t>110</t>
  </si>
  <si>
    <t>734291274</t>
  </si>
  <si>
    <t>Ostatní armatury filtry závitové PN 30 do 110°C přímé s vnitřními závity a integrovaným magnetem G 1</t>
  </si>
  <si>
    <t>-1634292940</t>
  </si>
  <si>
    <t>112</t>
  </si>
  <si>
    <t>734291277.GCM</t>
  </si>
  <si>
    <t>Filtr závitový Giacomini R74M přímý G 2 PN 30 do 110°C s vnitřními závity a integrovaným magnetem</t>
  </si>
  <si>
    <t>2036328563</t>
  </si>
  <si>
    <t>113</t>
  </si>
  <si>
    <t>734292715.GCM</t>
  </si>
  <si>
    <t>Kohout kulový Giacomini R250D přímý G 1 PN 42 do 185°C vnitřní závit</t>
  </si>
  <si>
    <t>327263853</t>
  </si>
  <si>
    <t>114</t>
  </si>
  <si>
    <t>734292716.GCM</t>
  </si>
  <si>
    <t>Kohout kulový Giacomini R250D přímý G 1 1/4 PN 42 do 185°C vnitřní závit</t>
  </si>
  <si>
    <t>-893281268</t>
  </si>
  <si>
    <t>115</t>
  </si>
  <si>
    <t>734292717.GCM</t>
  </si>
  <si>
    <t>Kohout kulový Giacomini R250D přímý G 1 1/2 PN 42 do 185°C vnitřní závit</t>
  </si>
  <si>
    <t>140404866</t>
  </si>
  <si>
    <t>116</t>
  </si>
  <si>
    <t>734292718.GCM</t>
  </si>
  <si>
    <t>Kohout kulový Giacomini R250D přímý G 2 PN 42 do 185°C vnitřní závit</t>
  </si>
  <si>
    <t>-1649907118</t>
  </si>
  <si>
    <t>117</t>
  </si>
  <si>
    <t>734411101</t>
  </si>
  <si>
    <t>Teploměry technické s pevným stonkem a jímkou zadní připojení (axiální) průměr 63 mm délka stonku 50 mm</t>
  </si>
  <si>
    <t>-1433009985</t>
  </si>
  <si>
    <t>118</t>
  </si>
  <si>
    <t>734421103</t>
  </si>
  <si>
    <t>Tlakoměry s pevným stonkem a zpětnou klapkou zadní připojení (axiální) tlaku 0–16 bar průměru 63 mm</t>
  </si>
  <si>
    <t>-9049229</t>
  </si>
  <si>
    <t>783</t>
  </si>
  <si>
    <t>Dokončovací práce - nátěry</t>
  </si>
  <si>
    <t>119</t>
  </si>
  <si>
    <t>783614653</t>
  </si>
  <si>
    <t>Základní antikorozní nátěr armatur a kovových potrubí jednonásobný potrubí do DN 50 mm syntetický samozákladující</t>
  </si>
  <si>
    <t>2113747138</t>
  </si>
  <si>
    <t>120</t>
  </si>
  <si>
    <t>783614663</t>
  </si>
  <si>
    <t>Základní antikorozní nátěr armatur a kovových potrubí jednonásobný potrubí přes DN 50 do DN 100 mm syntetický samozákladující</t>
  </si>
  <si>
    <t>-512540630</t>
  </si>
  <si>
    <t>02 - Vytápění- otop. soustava</t>
  </si>
  <si>
    <t xml:space="preserve">    736 - Ústřední vytápění - plošné vytápění a chlazení</t>
  </si>
  <si>
    <t xml:space="preserve">    767 - Konstrukce zámečnické</t>
  </si>
  <si>
    <t>HZS - Hodinové zúčtovací sazby a stavební přípomoce</t>
  </si>
  <si>
    <t>Montáž izolace tepelné potrubí a ohybů tvarovkami nebo deskami potrubními pouzdry s povrchovou úpravou hliníkovou fólií (izolační materiál ve specifikaci) přelepenými samolepící hliníkovou páskou potrubí jednovrstvá D do 50 mm</t>
  </si>
  <si>
    <t>1225265016</t>
  </si>
  <si>
    <t>63154534</t>
  </si>
  <si>
    <t>pouzdro izolační potrubní z minerální vlny s Al fólií max. 250/100°C 48/30mm</t>
  </si>
  <si>
    <t>-1498930629</t>
  </si>
  <si>
    <t>63154575</t>
  </si>
  <si>
    <t>pouzdro izolační potrubní z minerální vlny s Al fólií max. 250/100°C 60/40mm</t>
  </si>
  <si>
    <t>310972760</t>
  </si>
  <si>
    <t>63154577</t>
  </si>
  <si>
    <t>pouzdro izolační potrubní z minerální vlny s Al fólií max. 250/100°C 76/40mm</t>
  </si>
  <si>
    <t>-1665166685</t>
  </si>
  <si>
    <t>-769129388</t>
  </si>
  <si>
    <t>28377045</t>
  </si>
  <si>
    <t>pouzdro izolační potrubní z pěnového polyetylenu 22/20mm</t>
  </si>
  <si>
    <t>1066150854</t>
  </si>
  <si>
    <t>28377049</t>
  </si>
  <si>
    <t>pouzdro izolační potrubní z pěnového polyetylenu 28/25mm</t>
  </si>
  <si>
    <t>-1215661146</t>
  </si>
  <si>
    <t>28377063</t>
  </si>
  <si>
    <t>pouzdro izolační potrubní z pěnového polyetylenu 45/25mm</t>
  </si>
  <si>
    <t>-554447192</t>
  </si>
  <si>
    <t>998713202</t>
  </si>
  <si>
    <t>Přesun hmot pro izolace tepelné stanovený procentní sazbou (%) z ceny vodorovná dopravní vzdálenost do 50 m v objektech výšky přes 6 do 12 m</t>
  </si>
  <si>
    <t>-115382477</t>
  </si>
  <si>
    <t>733111506</t>
  </si>
  <si>
    <t>Potrubí z trubek ocelových závitových černých spojovaných lisováním bezešvých PN 16 do 110°C DN 32</t>
  </si>
  <si>
    <t>1362037454</t>
  </si>
  <si>
    <t>733111507</t>
  </si>
  <si>
    <t>Potrubí z trubek ocelových závitových černých spojovaných lisováním bezešvých PN 16 do 110°C DN 40</t>
  </si>
  <si>
    <t>-255151281</t>
  </si>
  <si>
    <t>733111508</t>
  </si>
  <si>
    <t>Potrubí z trubek ocelových závitových černých spojovaných lisováním bezešvých PN 16 do 110°C DN 50</t>
  </si>
  <si>
    <t>-1454001599</t>
  </si>
  <si>
    <t>18</t>
  </si>
  <si>
    <t>733111510.R</t>
  </si>
  <si>
    <t>Potrubí ocelové závitové černé bezešvé spojované lisováním DN 65</t>
  </si>
  <si>
    <t>-67448257</t>
  </si>
  <si>
    <t>19</t>
  </si>
  <si>
    <t>733113117</t>
  </si>
  <si>
    <t>Potrubí z trubek ocelových závitových černých Příplatek k ceně za zhotovení přípojky z ocelových trubek závitových DN 40</t>
  </si>
  <si>
    <t>13721234</t>
  </si>
  <si>
    <t>20</t>
  </si>
  <si>
    <t>-1521473867</t>
  </si>
  <si>
    <t>733123122</t>
  </si>
  <si>
    <t>Potrubí z trubek ocelových hladkých Příplatek k cenám za zhotovení přípojky z trubek ocelových hladkých Ø 76/3,6</t>
  </si>
  <si>
    <t>-1392606552</t>
  </si>
  <si>
    <t>22</t>
  </si>
  <si>
    <t>733190107</t>
  </si>
  <si>
    <t>Zkoušky těsnosti potrubí, manžety prostupové z trubek ocelových zkoušky těsnosti potrubí (za provozu) z trubek ocelových závitových DN do 40</t>
  </si>
  <si>
    <t>-779014808</t>
  </si>
  <si>
    <t>23</t>
  </si>
  <si>
    <t>-1606091681</t>
  </si>
  <si>
    <t>24</t>
  </si>
  <si>
    <t>-1936209332</t>
  </si>
  <si>
    <t>-600062339</t>
  </si>
  <si>
    <t>1357278627</t>
  </si>
  <si>
    <t>733224222</t>
  </si>
  <si>
    <t>Potrubí z trubek měděných Příplatek k cenám za zhotovení přípojky z trubek měděných Ø 15/1</t>
  </si>
  <si>
    <t>1420163652</t>
  </si>
  <si>
    <t>1620322074</t>
  </si>
  <si>
    <t>418923785</t>
  </si>
  <si>
    <t>733231115</t>
  </si>
  <si>
    <t>Kompenzátory pro měděné potrubí tvaru U s hladkými ohyby s konci na vnitřní pájení D 28</t>
  </si>
  <si>
    <t>1550096498</t>
  </si>
  <si>
    <t>Zkoušky těsnosti potrubí z trubek měděných Ø do 35/1,5</t>
  </si>
  <si>
    <t>-2040361574</t>
  </si>
  <si>
    <t>26</t>
  </si>
  <si>
    <t>734211126</t>
  </si>
  <si>
    <t>Ventily odvzdušňovací závitové automatické se zpětnou klapkou PN 14 do 120°C G 3/8</t>
  </si>
  <si>
    <t>-1828459838</t>
  </si>
  <si>
    <t>734220124.IMI</t>
  </si>
  <si>
    <t>Ventil závitový Heimeier STAD regulační přímý G 1 PN 25 do 120°C vyvažovací s vypouštěním</t>
  </si>
  <si>
    <t>1853321778</t>
  </si>
  <si>
    <t>734291123.GCM</t>
  </si>
  <si>
    <t>Kohout plnící a vypouštěcí Giacomini R608 G 1/2 PN 10 do 90°C závitový</t>
  </si>
  <si>
    <t>1017378337</t>
  </si>
  <si>
    <t>1914012359</t>
  </si>
  <si>
    <t>734295041.R</t>
  </si>
  <si>
    <t>Směšovací uzel VZT vč. čerpadla a propojení</t>
  </si>
  <si>
    <t>2024547594</t>
  </si>
  <si>
    <t>736</t>
  </si>
  <si>
    <t>Ústřední vytápění - plošné vytápění a chlazení</t>
  </si>
  <si>
    <t>736110212.GCM</t>
  </si>
  <si>
    <t>Podlahové vytápění - rozvodné potrubí GIACOMINI R996T PE-Xb 17x2,0 mm pro systémovou desku rozteč 150 mm</t>
  </si>
  <si>
    <t>1032816334</t>
  </si>
  <si>
    <t>736110213.GCM</t>
  </si>
  <si>
    <t>Podlahové vytápění - rozvodné potrubí GIACOMINI R996T PE-Xb 17x2,0 mm pro systémovou desku rozteč 200 mm</t>
  </si>
  <si>
    <t>-1978026003</t>
  </si>
  <si>
    <t>736110214.GCM</t>
  </si>
  <si>
    <t>Podlahové vytápění - rozvodné potrubí GIACOMINI R996T PE-Xb 17x2,0 mm pro systémovou desku rozteč 250 mm</t>
  </si>
  <si>
    <t>75256691</t>
  </si>
  <si>
    <t>736110261.GCM</t>
  </si>
  <si>
    <t>Podlahové vytápění - systémová deska s kombinovanou tepelnou a kročejovou izolací GIACOMINI R979Y230CZ výšky 30 mm</t>
  </si>
  <si>
    <t>964704413</t>
  </si>
  <si>
    <t>736110652</t>
  </si>
  <si>
    <t>Trubkové teplovodní podlahové vytápění doplňkové prvky okrajový izolační pruh</t>
  </si>
  <si>
    <t>-95581738</t>
  </si>
  <si>
    <t>736111022</t>
  </si>
  <si>
    <t>Trubkové teplovodní podlahové vytápění rozdělovače mosazné s automatickou regulací průtoku tříokruhové</t>
  </si>
  <si>
    <t>961988532</t>
  </si>
  <si>
    <t>736111023</t>
  </si>
  <si>
    <t>Trubkové teplovodní podlahové vytápění rozdělovače mosazné s automatickou regulací průtoku čtyřokruhové</t>
  </si>
  <si>
    <t>1508332321</t>
  </si>
  <si>
    <t>68</t>
  </si>
  <si>
    <t>736111024</t>
  </si>
  <si>
    <t>Trubkové teplovodní podlahové vytápění rozdělovače mosazné s automatickou regulací průtoku pětiokruhové</t>
  </si>
  <si>
    <t>1569631473</t>
  </si>
  <si>
    <t>736111025</t>
  </si>
  <si>
    <t>Trubkové teplovodní podlahové vytápění rozdělovače mosazné s automatickou regulací průtoku šestiokruhové</t>
  </si>
  <si>
    <t>299953757</t>
  </si>
  <si>
    <t>736111026</t>
  </si>
  <si>
    <t>Trubkové teplovodní podlahové vytápění rozdělovače mosazné s automatickou regulací průtoku sedmiokruhové</t>
  </si>
  <si>
    <t>-207608924</t>
  </si>
  <si>
    <t>736111027</t>
  </si>
  <si>
    <t>Trubkové teplovodní podlahové vytápění rozdělovače mosazné s automatickou regulací průtoku osmiokruhové</t>
  </si>
  <si>
    <t>-1809438823</t>
  </si>
  <si>
    <t>736111034</t>
  </si>
  <si>
    <t>Trubkové teplovodní podlahové vytápění připojovací šroubení rozdělovače, potrubí 17x2,0 mm</t>
  </si>
  <si>
    <t>-396942480</t>
  </si>
  <si>
    <t>736111101</t>
  </si>
  <si>
    <t>Trubkové teplovodní podlahové vytápění skříně rozdělovače pod omítku, pro rozdělovač s počtem okruhů 2-5</t>
  </si>
  <si>
    <t>-825460713</t>
  </si>
  <si>
    <t>736111102</t>
  </si>
  <si>
    <t>Trubkové teplovodní podlahové vytápění skříně rozdělovače pod omítku, pro rozdělovač s počtem okruhů 4-7</t>
  </si>
  <si>
    <t>-1855438592</t>
  </si>
  <si>
    <t>736111103</t>
  </si>
  <si>
    <t>Trubkové teplovodní podlahové vytápění skříně rozdělovače pod omítku, pro rozdělovač s počtem okruhů 6-9</t>
  </si>
  <si>
    <t>438193184</t>
  </si>
  <si>
    <t>736111133</t>
  </si>
  <si>
    <t>Trubkové teplovodní podlahové vytápění regulační zařízení elektrotermická hlavice</t>
  </si>
  <si>
    <t>-1617835866</t>
  </si>
  <si>
    <t>998736111</t>
  </si>
  <si>
    <t>Přesun hmot pro plošné vytápění stanovený z hmotnosti přesunovaného materiálu vodorovná dopravní vzdálenost do 50 m s omezením mechanizace v objektech výšky do 6 m</t>
  </si>
  <si>
    <t>t</t>
  </si>
  <si>
    <t>1643019242</t>
  </si>
  <si>
    <t>998736193</t>
  </si>
  <si>
    <t>Přesun hmot pro plošné vytápění stanovený z hmotnosti přesunovaného materiálu vodorovná dopravní vzdálenost do 50 m Příplatek k cenám za zvětšený přesun přes vymezenou vodorovnou dopravní vzdálenost do 500 m</t>
  </si>
  <si>
    <t>-1449985701</t>
  </si>
  <si>
    <t>767</t>
  </si>
  <si>
    <t>Konstrukce zámečnické</t>
  </si>
  <si>
    <t>767995112</t>
  </si>
  <si>
    <t xml:space="preserve">Montáž ostatních atypických zámečnických konstrukcí  hmotnosti přes 5 do 10 kg</t>
  </si>
  <si>
    <t>kg</t>
  </si>
  <si>
    <t>-159494991</t>
  </si>
  <si>
    <t>767 999000</t>
  </si>
  <si>
    <t xml:space="preserve">Dodávka materiálu a výroba uložení potrubí   pro   kotvení potrubí - systémová kotevní technika - kotevní tyče,nosníky, konzoly s povrchovou úpravou          </t>
  </si>
  <si>
    <t>-1814085784</t>
  </si>
  <si>
    <t>998767201</t>
  </si>
  <si>
    <t xml:space="preserve">Přesun hmot pro zámečnické konstrukce  stanovený procentní sazbou (%) z ceny vodorovná dopravní vzdálenost do 50 m v objektech výšky do 6 m</t>
  </si>
  <si>
    <t>1707058744</t>
  </si>
  <si>
    <t>729279803</t>
  </si>
  <si>
    <t>-416284205</t>
  </si>
  <si>
    <t>HZS</t>
  </si>
  <si>
    <t>Hodinové zúčtovací sazby a stavební přípomoce</t>
  </si>
  <si>
    <t>HZS2216</t>
  </si>
  <si>
    <t xml:space="preserve">Hydraulické zaregulování otopného systému pomocí vyvažovacích armatur a vystavení protokolu </t>
  </si>
  <si>
    <t>512</t>
  </si>
  <si>
    <t>-171511279</t>
  </si>
  <si>
    <t>HZS2217</t>
  </si>
  <si>
    <t xml:space="preserve">Dodatečné prostupy stropní konstrukcí pro rozvody UT - ŽB  stropem, stěnou - vrtání 2xpr.20mm, </t>
  </si>
  <si>
    <t>-647247084</t>
  </si>
  <si>
    <t>HZS2219</t>
  </si>
  <si>
    <t xml:space="preserve">Prostupy požárně dělícími konstrukcemi -UT potrubí, do DN40-požární zpěnující páska,požární tmel </t>
  </si>
  <si>
    <t>-1422780431</t>
  </si>
  <si>
    <t>HZS2220</t>
  </si>
  <si>
    <t>443040253</t>
  </si>
  <si>
    <t>04 - OPZ-hala</t>
  </si>
  <si>
    <t xml:space="preserve">    723 - Zdravotechnika - vnitřní plynovod</t>
  </si>
  <si>
    <t>723</t>
  </si>
  <si>
    <t>Zdravotechnika - vnitřní plynovod</t>
  </si>
  <si>
    <t>723111304.VGA</t>
  </si>
  <si>
    <t>Potrubí ocelové závitové černé bezešvé Viega Magapress G spojované lisováním DN 25</t>
  </si>
  <si>
    <t>-1564891476</t>
  </si>
  <si>
    <t>723111305.VGA</t>
  </si>
  <si>
    <t>Potrubí ocelové závitové černé bezešvé Viega Magapress G spojované lisováním DN 32</t>
  </si>
  <si>
    <t>1176528157</t>
  </si>
  <si>
    <t>723111306.VGA</t>
  </si>
  <si>
    <t>Potrubí ocelové závitové černé bezešvé Viega Magapress G spojované lisováním DN 40</t>
  </si>
  <si>
    <t>-1328436398</t>
  </si>
  <si>
    <t>723111307.VGA</t>
  </si>
  <si>
    <t>Potrubí ocelové závitové černé bezešvé Viega Magapress G spojované lisováním DN 50</t>
  </si>
  <si>
    <t>1063835360</t>
  </si>
  <si>
    <t>723150313</t>
  </si>
  <si>
    <t>Potrubí z ocelových trubek hladkých černých spojovaných svařováním tvářených za tepla Ø 76/3,2</t>
  </si>
  <si>
    <t>1677036862</t>
  </si>
  <si>
    <t>27</t>
  </si>
  <si>
    <t>723150344</t>
  </si>
  <si>
    <t>Potrubí z ocelových trubek hladkých černých spojovaných redukce - zhotovení kováním přes 1 DN DN 65/ 40</t>
  </si>
  <si>
    <t>-2107624294</t>
  </si>
  <si>
    <t>723150368</t>
  </si>
  <si>
    <t>Potrubí z ocelových trubek hladkých černých spojovaných chráničky Ø 76/3,2</t>
  </si>
  <si>
    <t>1089292387</t>
  </si>
  <si>
    <t>723160206</t>
  </si>
  <si>
    <t>Přípojka k plynoměru spojované na závit bez ochozu G 6/4", vč kul kohoutu 6/4"</t>
  </si>
  <si>
    <t>-1431507683</t>
  </si>
  <si>
    <t>723160336</t>
  </si>
  <si>
    <t>Rozpěrka přípojek plynoměru G 6/4"</t>
  </si>
  <si>
    <t>1711735518</t>
  </si>
  <si>
    <t>723190204</t>
  </si>
  <si>
    <t>Přípojky plynovodní ke strojům a zařízením z trubek ocelových závitových černých spojovaných na závit, bezešvých, běžných DN 25</t>
  </si>
  <si>
    <t>548000818</t>
  </si>
  <si>
    <t>723190251</t>
  </si>
  <si>
    <t>Přípojky plynovodní ke strojům a zařízením z trubek vyvedení a upevnění plynovodních výpustek na potrubí DN 15</t>
  </si>
  <si>
    <t>-2050310526</t>
  </si>
  <si>
    <t>723190253</t>
  </si>
  <si>
    <t>Přípojky plynovodní ke strojům a zařízením z trubek vyvedení a upevnění plynovodních výpustek na potrubí DN 25</t>
  </si>
  <si>
    <t>1290717244</t>
  </si>
  <si>
    <t>723190907</t>
  </si>
  <si>
    <t xml:space="preserve">Opravy plynovodního potrubí  odvzdušnění a napuštění potrubí</t>
  </si>
  <si>
    <t>226201534</t>
  </si>
  <si>
    <t>723190909</t>
  </si>
  <si>
    <t xml:space="preserve">Opravy plynovodního potrubí  neúřední zkouška těsnosti dosavadního potrubí</t>
  </si>
  <si>
    <t>-1987442147</t>
  </si>
  <si>
    <t>723221304</t>
  </si>
  <si>
    <t>Armatury s jedním závitem ventily vzorkovací rohové PN 5 vnitřní závit G 1/2"</t>
  </si>
  <si>
    <t>-982223596</t>
  </si>
  <si>
    <t>38841149</t>
  </si>
  <si>
    <t xml:space="preserve">Tlakoměr plynový D100 , 0-10kPa,+ manometrový kohout s připojením M20x1,5mm, manometrová U smyčka , návarek G1/2"_x000d_
</t>
  </si>
  <si>
    <t>779973815</t>
  </si>
  <si>
    <t>42234500</t>
  </si>
  <si>
    <t>kohout tlakoměrový mosazný s čepem a nátrubkový pro PN25 s připojenímmM20x1,5mm pro plyn</t>
  </si>
  <si>
    <t>2049277077</t>
  </si>
  <si>
    <t>42272610</t>
  </si>
  <si>
    <t xml:space="preserve">přípojka manometru se závitrm  M20x1,5</t>
  </si>
  <si>
    <t>-1430108493</t>
  </si>
  <si>
    <t>723231162</t>
  </si>
  <si>
    <t>Kohout kulový přímý G 1/2" PN 42 do 185°C plnoprůtokový vnitřní závit těžká řada,s atestem pro plyn</t>
  </si>
  <si>
    <t>-554596954</t>
  </si>
  <si>
    <t>723231164</t>
  </si>
  <si>
    <t>Armatury se dvěma závity kohouty kulové PN 42 do 185°C plnoprůtokové vnitřní závit těžká řada G 1"</t>
  </si>
  <si>
    <t>1791593744</t>
  </si>
  <si>
    <t>723234312.1R</t>
  </si>
  <si>
    <t>Armatury se dvěma závity středotlaké regulátory tlaku plynu jednostupňové pro zemní plyn, výkon do 10 m3/hod</t>
  </si>
  <si>
    <t>-1497222913</t>
  </si>
  <si>
    <t>38841150</t>
  </si>
  <si>
    <t xml:space="preserve">Regulátor tlaku plynu s dvoustupňovou regulací tlaku a bezpečnostním uzávěrem (provedení : průtok 25m3/h, vst. tlak 50-400 kPa, výstup. tlak 2,1 kPa, B40. </t>
  </si>
  <si>
    <t>467176943</t>
  </si>
  <si>
    <t>42931003</t>
  </si>
  <si>
    <t>filtr plynový se závitovým připojením PN 6 T 80°C G 1"</t>
  </si>
  <si>
    <t>661261773</t>
  </si>
  <si>
    <t>723239106</t>
  </si>
  <si>
    <t>Armatury se dvěma závity montáž armatur se dvěma závity ostatních typů G 2"</t>
  </si>
  <si>
    <t>-1452869328</t>
  </si>
  <si>
    <t>723261913</t>
  </si>
  <si>
    <t>Montáž plynoměrů při rekonstrukci plynoinstalací s odvzdušněním a odzkoušením maximální průtok Q (m3/h) 16 m3/h</t>
  </si>
  <si>
    <t>740903112</t>
  </si>
  <si>
    <t>28</t>
  </si>
  <si>
    <t>998723202</t>
  </si>
  <si>
    <t>Přesun hmot pro vnitřní plynovod stanovený procentní sazbou (%) z ceny vodorovná dopravní vzdálenost do 50 m základní v objektech výšky přes 6 do 12 m</t>
  </si>
  <si>
    <t>667865234</t>
  </si>
  <si>
    <t>03 - STL plynovody</t>
  </si>
  <si>
    <t>HSV - Práce a dodávky HSV</t>
  </si>
  <si>
    <t xml:space="preserve">    1 - Zemní práce</t>
  </si>
  <si>
    <t>M - Práce a dodávky M</t>
  </si>
  <si>
    <t xml:space="preserve">    23-M - Montáže potrubí -STL plynovodní přípojka</t>
  </si>
  <si>
    <t>HZS - Hodinové zúčtovací sazby - plyn a stav.přípomoce HSV</t>
  </si>
  <si>
    <t>HSV</t>
  </si>
  <si>
    <t>Práce a dodávky HSV</t>
  </si>
  <si>
    <t>Zemní práce</t>
  </si>
  <si>
    <t>132251103</t>
  </si>
  <si>
    <t>Hloubení nezapažených rýh šířky do 800 mm strojně s urovnáním dna do předepsaného profilu a spádu v hornině třídy těžitelnosti I skupiny 3 přes 50 do 100 m3</t>
  </si>
  <si>
    <t>m3</t>
  </si>
  <si>
    <t>-1486647925</t>
  </si>
  <si>
    <t>161151103</t>
  </si>
  <si>
    <t>Svislé přemístění výkopku strojně bez naložení do dopravní nádoby avšak s vyprázdněním dopravní nádoby na hromadu nebo do dopravního prostředku z horniny třídy těžitelnosti I skupiny 1 až 3 při hloubce výkopu přes 4 do 8 m</t>
  </si>
  <si>
    <t>1380433772</t>
  </si>
  <si>
    <t>162351103</t>
  </si>
  <si>
    <t>Vodorovné přemístění výkopku nebo sypaniny po suchu na obvyklém dopravním prostředku, bez naložení výkopku, avšak se složením bez rozhrnutí z horniny třídy těžitelnosti I skupiny 1 až 3 na vzdálenost přes 50 do 500 m</t>
  </si>
  <si>
    <t>802131304</t>
  </si>
  <si>
    <t>174111101</t>
  </si>
  <si>
    <t>Zásyp sypaninou z jakékoliv horniny ručně s uložením výkopku ve vrstvách se zhutněním jam, šachet, rýh nebo kolem objektů v těchto vykopávkách</t>
  </si>
  <si>
    <t>404730676</t>
  </si>
  <si>
    <t>175151101</t>
  </si>
  <si>
    <t>Obsypání potrubí strojně sypaninou z vhodných hornin třídy těžitelnosti I a II, skupiny 1 až 4 nebo materiálem připraveným podél výkopu ve vzdálenosti do 3 m od jeho kraje, pro jakoukoliv hloubku výkopu a míru zhutnění bez prohození sypaniny</t>
  </si>
  <si>
    <t>-1490503338</t>
  </si>
  <si>
    <t>58337310</t>
  </si>
  <si>
    <t>štěrkopísek frakce 0/4</t>
  </si>
  <si>
    <t>539752188</t>
  </si>
  <si>
    <t>Práce a dodávky M</t>
  </si>
  <si>
    <t>23-M</t>
  </si>
  <si>
    <t>Montáže potrubí -STL plynovodní přípojka</t>
  </si>
  <si>
    <t>28613911.3</t>
  </si>
  <si>
    <t xml:space="preserve">HUP OPZ- kohout kulový DN25 s přechodkou na PE  D32</t>
  </si>
  <si>
    <t>128</t>
  </si>
  <si>
    <t>-1260217427</t>
  </si>
  <si>
    <t>230202031</t>
  </si>
  <si>
    <t>Montáž plastové chráničky pro plynovody průměru do 63 mm</t>
  </si>
  <si>
    <t>2072937963</t>
  </si>
  <si>
    <t>230202071</t>
  </si>
  <si>
    <t>Nasunutí potrubní sekce do chráničky pro plynovody nasouvané potrubí plastové dn do 63 mm</t>
  </si>
  <si>
    <t>-1170537024</t>
  </si>
  <si>
    <t>230202211</t>
  </si>
  <si>
    <t>Montáž manžety na chráničku pro plynovody potrubí ocelového D do 60,3 mm</t>
  </si>
  <si>
    <t>1843540742</t>
  </si>
  <si>
    <t>38855050.R1</t>
  </si>
  <si>
    <t xml:space="preserve">Rám s dvířky   pro niku pro HUP , regulační a měřící řadu , pozink.+ bílý komaxit nátěr ,  rozměr 800x800mm_x000d_
</t>
  </si>
  <si>
    <t>447556517</t>
  </si>
  <si>
    <t>230205025</t>
  </si>
  <si>
    <t>Montáž potrubí PE průměru do 110 mm návin nebo tyč, svařované na tupo nebo elektrospojkou Ø 32, tl. stěny 3,0 mm</t>
  </si>
  <si>
    <t>-636670224</t>
  </si>
  <si>
    <t>28613911</t>
  </si>
  <si>
    <t>potrubí plynovodní PE 100RC SDR 11 PN 0,4MPa D 32x3,0mm</t>
  </si>
  <si>
    <t>1906997565</t>
  </si>
  <si>
    <t>230205035</t>
  </si>
  <si>
    <t>Montáž plynovodního potrubí PE průměru do 110 mm návin nebo tyč, svařované na tupo nebo elektrospojkou Ø 50, tl. stěny 4,6 mm</t>
  </si>
  <si>
    <t>-1575560679</t>
  </si>
  <si>
    <t>28613526</t>
  </si>
  <si>
    <t>potrubí vodovodní třívrstvé PE100 RC SDR11 50x4,60mm</t>
  </si>
  <si>
    <t>1594460493</t>
  </si>
  <si>
    <t>230205225</t>
  </si>
  <si>
    <t>Montáž trubních dílů PE průměru do 110 mm elektrotvarovky nebo svařované na tupo Ø 32, tl. stěny 3,0 mm</t>
  </si>
  <si>
    <t>-974470866</t>
  </si>
  <si>
    <t>28653052</t>
  </si>
  <si>
    <t>elektrokoleno 90° PE 100 D 32mm</t>
  </si>
  <si>
    <t>908076190</t>
  </si>
  <si>
    <t>230205235</t>
  </si>
  <si>
    <t>Montáž plynovodních trubních dílů PE průměru do 110 mm elektrotvarovky nebo svařované na tupo Ø 50, tl. stěny 4,6 mm</t>
  </si>
  <si>
    <t>910212484</t>
  </si>
  <si>
    <t>28614812</t>
  </si>
  <si>
    <t>koleno 90° SDR11 PE 100 PN16 D 50mm</t>
  </si>
  <si>
    <t>1097853312</t>
  </si>
  <si>
    <t>230208513</t>
  </si>
  <si>
    <t>Odplynění a inertizace ocelového potrubí DN do 100 mm</t>
  </si>
  <si>
    <t>117359215</t>
  </si>
  <si>
    <t>230230016</t>
  </si>
  <si>
    <t>Tlakové zkoušky hlavní vzduchem 0,6 MPa DN 50</t>
  </si>
  <si>
    <t>-146282406</t>
  </si>
  <si>
    <t>899721111</t>
  </si>
  <si>
    <t>Signalizační vodič na potrubí PVC DN do 150 mm</t>
  </si>
  <si>
    <t>-1232270356</t>
  </si>
  <si>
    <t>899722112</t>
  </si>
  <si>
    <t>Krytí potrubí z plastů výstražnou fólií z PVC šířky 25 cm</t>
  </si>
  <si>
    <t>243507073</t>
  </si>
  <si>
    <t>998276101</t>
  </si>
  <si>
    <t>Přesun hmot pro trubní vedení hloubené z trub z plastických hmot nebo sklolaminátových pro vodovody nebo kanalizace v otevřeném výkopu dopravní vzdálenost do 15 m</t>
  </si>
  <si>
    <t>490656449</t>
  </si>
  <si>
    <t>Hodinové zúčtovací sazby - plyn a stav.přípomoce HSV</t>
  </si>
  <si>
    <t>HZSHSV2218</t>
  </si>
  <si>
    <t xml:space="preserve">Ostatní nespacifikované práce (zavedení potrubí do pilíře, kotvení , vysypání pilíře pískem, ap. </t>
  </si>
  <si>
    <t>hod</t>
  </si>
  <si>
    <t>-1784165779</t>
  </si>
  <si>
    <t>HZSPL2213</t>
  </si>
  <si>
    <t xml:space="preserve">Revize STL plynovodu ( STL přípojky) s vystavením protokolu </t>
  </si>
  <si>
    <t>2022221624</t>
  </si>
  <si>
    <t>05 - OPZ-kotelna</t>
  </si>
  <si>
    <t>114167080</t>
  </si>
  <si>
    <t>-1099307004</t>
  </si>
  <si>
    <t>-525860860</t>
  </si>
  <si>
    <t>-303999880</t>
  </si>
  <si>
    <t>-853324201</t>
  </si>
  <si>
    <t>455924761</t>
  </si>
  <si>
    <t>-1144922454</t>
  </si>
  <si>
    <t>-507996369</t>
  </si>
  <si>
    <t>-878905255</t>
  </si>
  <si>
    <t>723229110.R1</t>
  </si>
  <si>
    <t>Montáž sestavy tlakoměrové se závitem M20x1,5 - tlakoměr+kohout tlakoměrový+připojovací nátrubek M20x1,5</t>
  </si>
  <si>
    <t>1466998192</t>
  </si>
  <si>
    <t>1287352232</t>
  </si>
  <si>
    <t>-223621549</t>
  </si>
  <si>
    <t>-1203098734</t>
  </si>
  <si>
    <t>-719196256</t>
  </si>
  <si>
    <t>-1639479353</t>
  </si>
  <si>
    <t>723231166</t>
  </si>
  <si>
    <t>Armatury se dvěma závity kohouty kulové PN 42 do 650°C plnoprůtokové vnitřní závit těžká řada G 1 1/2"</t>
  </si>
  <si>
    <t>-1489307659</t>
  </si>
  <si>
    <t>1679204877</t>
  </si>
  <si>
    <t>-589069277</t>
  </si>
  <si>
    <t>38841150.r</t>
  </si>
  <si>
    <t>1049530701</t>
  </si>
  <si>
    <t>723239104</t>
  </si>
  <si>
    <t>Armatury se dvěma závity montáž armatur se dvěma závity ostatních typů G 1 1/4"</t>
  </si>
  <si>
    <t>-106818297</t>
  </si>
  <si>
    <t>807748849</t>
  </si>
  <si>
    <t>HZSPL2214</t>
  </si>
  <si>
    <t xml:space="preserve">Revize vnitřního domovního plynovodu OPZ s vystavením protokolu a předání celého OPZ </t>
  </si>
  <si>
    <t>-1074941631</t>
  </si>
  <si>
    <t>06 - Vytápění hala</t>
  </si>
  <si>
    <t xml:space="preserve">    735 - Ústřední vytápění - otopná tělesa</t>
  </si>
  <si>
    <t>731244008</t>
  </si>
  <si>
    <t>Kotle ocelové teplovodní plynové závěsné kondenzační pro vytápění 7,4-49,5 kW</t>
  </si>
  <si>
    <t>854246419</t>
  </si>
  <si>
    <t>Kotle ocelové teplovodní plynové stacionární kondenzační montáž kotlů kondenzačních ostatních typů o výkonu přes 28 do 50 kW</t>
  </si>
  <si>
    <t>465239293</t>
  </si>
  <si>
    <t>731810322</t>
  </si>
  <si>
    <t>Nucené odtahy spalin od kondenzačních kotlů soustředným potrubím vedeným svisle plochou střechou, průměru 80/125 mm</t>
  </si>
  <si>
    <t>400715433</t>
  </si>
  <si>
    <t>731810342</t>
  </si>
  <si>
    <t>Nucené odtahy spalin od kondenzačních kotlů prodloužení soustředného potrubí, průměru 80/125 mm</t>
  </si>
  <si>
    <t>-1874686848</t>
  </si>
  <si>
    <t>998731211</t>
  </si>
  <si>
    <t>Přesun hmot pro kotelny stanovený procentní sazbou (%) z ceny vodorovná dopravní vzdálenost do 50 m základní v objektech výšky do 6 m</t>
  </si>
  <si>
    <t>1466267833</t>
  </si>
  <si>
    <t>732113118</t>
  </si>
  <si>
    <t>Rozdělovače a sběrače hydraulické vyrovnávače dynamických tlaků závitové PN 6 (průtok Q m3/h) G 2 (4 m3/h)</t>
  </si>
  <si>
    <t>1769352421</t>
  </si>
  <si>
    <t>732331615.RFX</t>
  </si>
  <si>
    <t>Nádoba tlaková expanzní s membránou Reflex N závitové připojení PN 0,4 o objemu 35 l</t>
  </si>
  <si>
    <t>-173790431</t>
  </si>
  <si>
    <t>Nádoby expanzní tlakové pro topné a chladicí soustavy příslušenství k expanzním nádobám bezpečnostní uzávěr k měření tlaku G 1</t>
  </si>
  <si>
    <t>-1106810819</t>
  </si>
  <si>
    <t>732421415.GRS</t>
  </si>
  <si>
    <t>Čerpadlo teplovodní mokroběžné závitové oběhové Magna1 25-60 DN 25 výtlak do 6,0 m průtok 4,5 m3/h PN 10 pro vytápění</t>
  </si>
  <si>
    <t>1093715284</t>
  </si>
  <si>
    <t>998732211</t>
  </si>
  <si>
    <t>Přesun hmot pro strojovny stanovený procentní sazbou (%) z ceny vodorovná dopravní vzdálenost do 50 m s omezením mechanizace v objektech výšky do 6 m</t>
  </si>
  <si>
    <t>1567663349</t>
  </si>
  <si>
    <t>733111116</t>
  </si>
  <si>
    <t>Potrubí z trubek ocelových závitových černých spojovaných svařováním bezešvých běžných nízkotlakých PN 16 do 115°C v kotelnách a strojovnách DN 32</t>
  </si>
  <si>
    <t>1826147572</t>
  </si>
  <si>
    <t>733111504</t>
  </si>
  <si>
    <t>Potrubí z trubek ocelových závitových černých spojovaných lisováním bezešvých PN 16 do 110°C DN 20</t>
  </si>
  <si>
    <t>-1845907332</t>
  </si>
  <si>
    <t>733111505</t>
  </si>
  <si>
    <t>Potrubí z trubek ocelových závitových černých spojovaných lisováním bezešvých PN 16 do 110°C DN 25</t>
  </si>
  <si>
    <t>-643858608</t>
  </si>
  <si>
    <t>733113114</t>
  </si>
  <si>
    <t>Potrubí z trubek ocelových závitových černých Příplatek k ceně za zhotovení přípojky z ocelových trubek závitových DN 20</t>
  </si>
  <si>
    <t>-397884146</t>
  </si>
  <si>
    <t>733141102</t>
  </si>
  <si>
    <t>Odvzdušňovací nádobky, odlučovače a odkalovače nádobky z trubek ocelových do DN 50</t>
  </si>
  <si>
    <t>1811091349</t>
  </si>
  <si>
    <t>733141412</t>
  </si>
  <si>
    <t>Odvzdušňovací nádobky, odlučovače a odkalovače odkalovače PN 10 do 120°C přivařovací DN 50</t>
  </si>
  <si>
    <t>344583281</t>
  </si>
  <si>
    <t>Zkoušky těsnosti potrubí, manžety prostupové z trubek ocelových zkoušky těsnosti potrubí (za provozu) z trubek ocelových závitových DN do 40</t>
  </si>
  <si>
    <t>1452941263</t>
  </si>
  <si>
    <t>733811241</t>
  </si>
  <si>
    <t>Ochrana potrubí termoizolačními trubicemi z pěnového polyetylenu PE přilepenými v příčných a podélných spojích, tloušťky izolace přes 13 do 20 mm, vnitřního průměru izolace DN do 22 mm</t>
  </si>
  <si>
    <t>-489191061</t>
  </si>
  <si>
    <t>733811242</t>
  </si>
  <si>
    <t>Ochrana potrubí termoizolačními trubicemi z pěnového polyetylenu PE přilepenými v příčných a podélných spojích, tloušťky izolace přes 13 do 20 mm, vnitřního průměru izolace DN přes 22 do 45 mm</t>
  </si>
  <si>
    <t>1391278229</t>
  </si>
  <si>
    <t>998733202</t>
  </si>
  <si>
    <t>Přesun hmot pro rozvody potrubí stanovený procentní sazbou z ceny vodorovná dopravní vzdálenost do 50 m základní v objektech výšky přes 6 do 12 m</t>
  </si>
  <si>
    <t>-2070085885</t>
  </si>
  <si>
    <t>734220113.IMI</t>
  </si>
  <si>
    <t>Ventil závitový Heimeier STAD regulační přímý G 3/4 PN 25 do 120°C vyvažovací bez vypouštění</t>
  </si>
  <si>
    <t>-237998864</t>
  </si>
  <si>
    <t>-390111789</t>
  </si>
  <si>
    <t>998734201</t>
  </si>
  <si>
    <t>Přesun hmot pro armatury stanovený procentní sazbou (%) z ceny vodorovná dopravní vzdálenost do 50 m základní v objektech výšky do 6 m</t>
  </si>
  <si>
    <t>-272066679</t>
  </si>
  <si>
    <t>735</t>
  </si>
  <si>
    <t>Ústřední vytápění - otopná tělesa</t>
  </si>
  <si>
    <t>735151500.R</t>
  </si>
  <si>
    <t xml:space="preserve">Dodávka salavých teplovodních panelů Kotrbatý, vč dopravy </t>
  </si>
  <si>
    <t>1600071370</t>
  </si>
  <si>
    <t>735151501.R</t>
  </si>
  <si>
    <t xml:space="preserve">Dodávka teplovzdušných jednotek ROBUR , vč. odkouření , regulace, dopravy a uvedení do provozu </t>
  </si>
  <si>
    <t>305845257</t>
  </si>
  <si>
    <t>29</t>
  </si>
  <si>
    <t>735151503.R</t>
  </si>
  <si>
    <t xml:space="preserve">Dodávka stratifikačních ventilátorů FLOWAIR vč. dopravy a uvedení do provozu </t>
  </si>
  <si>
    <t>-2122344656</t>
  </si>
  <si>
    <t>735151502.R</t>
  </si>
  <si>
    <t xml:space="preserve">Montáž  salavých teplovodních panelů Kotrbatý</t>
  </si>
  <si>
    <t>434084210</t>
  </si>
  <si>
    <t>735151504.R</t>
  </si>
  <si>
    <t xml:space="preserve">Montáž  teplovovzdušných jednotek ROBUR </t>
  </si>
  <si>
    <t>719599223</t>
  </si>
  <si>
    <t>735151505.R</t>
  </si>
  <si>
    <t xml:space="preserve">Montáž  destratifikačních ventilátoru Flowair</t>
  </si>
  <si>
    <t>1201538600</t>
  </si>
  <si>
    <t>735151579</t>
  </si>
  <si>
    <t>Otopná tělesa panelová dvoudesková PN 1,0 MPa, T do 110°C se dvěma přídavnými přestupními plochami výšky tělesa 600 mm stavební délky / výkonu 1200 mm / 2015 W</t>
  </si>
  <si>
    <t>-1638181492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</si>
</sst>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4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247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0" fillId="0" borderId="0" xfId="0" applyFont="1" applyAlignment="1" applyProtection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3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4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4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5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left" vertical="center"/>
    </xf>
    <xf numFmtId="4" fontId="4" fillId="3" borderId="7" xfId="0" applyNumberFormat="1" applyFont="1" applyFill="1" applyBorder="1" applyAlignment="1" applyProtection="1">
      <alignment vertical="center"/>
    </xf>
    <xf numFmtId="0" fontId="0" fillId="3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6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4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8" fillId="0" borderId="14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18" fillId="0" borderId="14" xfId="0" applyFont="1" applyBorder="1" applyAlignment="1" applyProtection="1">
      <alignment horizontal="left" vertical="center"/>
    </xf>
    <xf numFmtId="0" fontId="18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19" fillId="4" borderId="6" xfId="0" applyFont="1" applyFill="1" applyBorder="1" applyAlignment="1" applyProtection="1">
      <alignment horizontal="center" vertical="center"/>
    </xf>
    <xf numFmtId="0" fontId="19" fillId="4" borderId="7" xfId="0" applyFont="1" applyFill="1" applyBorder="1" applyAlignment="1" applyProtection="1">
      <alignment horizontal="left" vertical="center"/>
    </xf>
    <xf numFmtId="0" fontId="0" fillId="4" borderId="7" xfId="0" applyFont="1" applyFill="1" applyBorder="1" applyAlignment="1" applyProtection="1">
      <alignment vertical="center"/>
    </xf>
    <xf numFmtId="0" fontId="19" fillId="4" borderId="7" xfId="0" applyFont="1" applyFill="1" applyBorder="1" applyAlignment="1" applyProtection="1">
      <alignment horizontal="center" vertical="center"/>
    </xf>
    <xf numFmtId="0" fontId="19" fillId="4" borderId="7" xfId="0" applyFont="1" applyFill="1" applyBorder="1" applyAlignment="1" applyProtection="1">
      <alignment horizontal="right" vertical="center"/>
    </xf>
    <xf numFmtId="0" fontId="19" fillId="4" borderId="8" xfId="0" applyFont="1" applyFill="1" applyBorder="1" applyAlignment="1" applyProtection="1">
      <alignment horizontal="left" vertical="center"/>
    </xf>
    <xf numFmtId="0" fontId="19" fillId="4" borderId="0" xfId="0" applyFont="1" applyFill="1" applyAlignment="1" applyProtection="1">
      <alignment horizontal="center" vertical="center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7" xfId="0" applyFont="1" applyBorder="1" applyAlignment="1" applyProtection="1">
      <alignment horizontal="center" vertical="center" wrapText="1"/>
    </xf>
    <xf numFmtId="0" fontId="20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" fontId="21" fillId="0" borderId="0" xfId="0" applyNumberFormat="1" applyFont="1" applyAlignment="1" applyProtection="1">
      <alignment horizontal="right" vertical="center"/>
    </xf>
    <xf numFmtId="4" fontId="21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17" fillId="0" borderId="14" xfId="0" applyNumberFormat="1" applyFont="1" applyBorder="1" applyAlignment="1" applyProtection="1">
      <alignment vertical="center"/>
    </xf>
    <xf numFmtId="4" fontId="17" fillId="0" borderId="0" xfId="0" applyNumberFormat="1" applyFont="1" applyBorder="1" applyAlignment="1" applyProtection="1">
      <alignment vertical="center"/>
    </xf>
    <xf numFmtId="166" fontId="17" fillId="0" borderId="0" xfId="0" applyNumberFormat="1" applyFont="1" applyBorder="1" applyAlignment="1" applyProtection="1">
      <alignment vertical="center"/>
    </xf>
    <xf numFmtId="4" fontId="17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4" fillId="0" borderId="0" xfId="0" applyFont="1" applyAlignment="1" applyProtection="1">
      <alignment vertical="center"/>
    </xf>
    <xf numFmtId="0" fontId="24" fillId="0" borderId="0" xfId="0" applyFont="1" applyAlignment="1" applyProtection="1">
      <alignment horizontal="left" vertical="center" wrapText="1"/>
    </xf>
    <xf numFmtId="0" fontId="25" fillId="0" borderId="0" xfId="0" applyFont="1" applyAlignment="1" applyProtection="1">
      <alignment vertical="center"/>
    </xf>
    <xf numFmtId="4" fontId="25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6" fillId="0" borderId="14" xfId="0" applyNumberFormat="1" applyFont="1" applyBorder="1" applyAlignment="1" applyProtection="1">
      <alignment vertical="center"/>
    </xf>
    <xf numFmtId="4" fontId="26" fillId="0" borderId="0" xfId="0" applyNumberFormat="1" applyFont="1" applyBorder="1" applyAlignment="1" applyProtection="1">
      <alignment vertical="center"/>
    </xf>
    <xf numFmtId="166" fontId="26" fillId="0" borderId="0" xfId="0" applyNumberFormat="1" applyFont="1" applyBorder="1" applyAlignment="1" applyProtection="1">
      <alignment vertical="center"/>
    </xf>
    <xf numFmtId="4" fontId="26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6" fillId="0" borderId="19" xfId="0" applyNumberFormat="1" applyFont="1" applyBorder="1" applyAlignment="1" applyProtection="1">
      <alignment vertical="center"/>
    </xf>
    <xf numFmtId="4" fontId="26" fillId="0" borderId="20" xfId="0" applyNumberFormat="1" applyFont="1" applyBorder="1" applyAlignment="1" applyProtection="1">
      <alignment vertical="center"/>
    </xf>
    <xf numFmtId="166" fontId="26" fillId="0" borderId="20" xfId="0" applyNumberFormat="1" applyFont="1" applyBorder="1" applyAlignment="1" applyProtection="1">
      <alignment vertical="center"/>
    </xf>
    <xf numFmtId="4" fontId="26" fillId="0" borderId="21" xfId="0" applyNumberFormat="1" applyFont="1" applyBorder="1" applyAlignment="1" applyProtection="1">
      <alignment vertical="center"/>
    </xf>
    <xf numFmtId="0" fontId="0" fillId="0" borderId="1" xfId="0" applyBorder="1"/>
    <xf numFmtId="0" fontId="0" fillId="0" borderId="2" xfId="0" applyBorder="1"/>
    <xf numFmtId="0" fontId="10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4" fontId="2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19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19" fillId="4" borderId="0" xfId="0" applyFont="1" applyFill="1" applyAlignment="1" applyProtection="1">
      <alignment horizontal="right" vertical="center"/>
    </xf>
    <xf numFmtId="0" fontId="28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19" fillId="4" borderId="16" xfId="0" applyFont="1" applyFill="1" applyBorder="1" applyAlignment="1" applyProtection="1">
      <alignment horizontal="center" vertical="center" wrapText="1"/>
    </xf>
    <xf numFmtId="0" fontId="19" fillId="4" borderId="17" xfId="0" applyFont="1" applyFill="1" applyBorder="1" applyAlignment="1" applyProtection="1">
      <alignment horizontal="center" vertical="center" wrapText="1"/>
    </xf>
    <xf numFmtId="0" fontId="19" fillId="4" borderId="18" xfId="0" applyFont="1" applyFill="1" applyBorder="1" applyAlignment="1" applyProtection="1">
      <alignment horizontal="center" vertical="center" wrapText="1"/>
    </xf>
    <xf numFmtId="0" fontId="19" fillId="4" borderId="0" xfId="0" applyFont="1" applyFill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1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29" fillId="0" borderId="12" xfId="0" applyNumberFormat="1" applyFont="1" applyBorder="1" applyAlignment="1" applyProtection="1"/>
    <xf numFmtId="166" fontId="29" fillId="0" borderId="13" xfId="0" applyNumberFormat="1" applyFont="1" applyBorder="1" applyAlignment="1" applyProtection="1"/>
    <xf numFmtId="4" fontId="30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19" fillId="0" borderId="22" xfId="0" applyFont="1" applyBorder="1" applyAlignment="1" applyProtection="1">
      <alignment horizontal="center" vertical="center"/>
    </xf>
    <xf numFmtId="49" fontId="19" fillId="0" borderId="22" xfId="0" applyNumberFormat="1" applyFont="1" applyBorder="1" applyAlignment="1" applyProtection="1">
      <alignment horizontal="left" vertical="center" wrapText="1"/>
    </xf>
    <xf numFmtId="0" fontId="19" fillId="0" borderId="22" xfId="0" applyFont="1" applyBorder="1" applyAlignment="1" applyProtection="1">
      <alignment horizontal="left" vertical="center" wrapText="1"/>
    </xf>
    <xf numFmtId="0" fontId="19" fillId="0" borderId="22" xfId="0" applyFont="1" applyBorder="1" applyAlignment="1" applyProtection="1">
      <alignment horizontal="center" vertical="center" wrapText="1"/>
    </xf>
    <xf numFmtId="167" fontId="19" fillId="0" borderId="22" xfId="0" applyNumberFormat="1" applyFont="1" applyBorder="1" applyAlignment="1" applyProtection="1">
      <alignment vertical="center"/>
    </xf>
    <xf numFmtId="4" fontId="19" fillId="2" borderId="22" xfId="0" applyNumberFormat="1" applyFont="1" applyFill="1" applyBorder="1" applyAlignment="1" applyProtection="1">
      <alignment vertical="center"/>
      <protection locked="0"/>
    </xf>
    <xf numFmtId="4" fontId="19" fillId="0" borderId="22" xfId="0" applyNumberFormat="1" applyFont="1" applyBorder="1" applyAlignment="1" applyProtection="1">
      <alignment vertical="center"/>
    </xf>
    <xf numFmtId="0" fontId="0" fillId="0" borderId="22" xfId="0" applyFont="1" applyBorder="1" applyAlignment="1" applyProtection="1">
      <alignment vertical="center"/>
    </xf>
    <xf numFmtId="0" fontId="20" fillId="2" borderId="14" xfId="0" applyFont="1" applyFill="1" applyBorder="1" applyAlignment="1" applyProtection="1">
      <alignment horizontal="left" vertical="center"/>
      <protection locked="0"/>
    </xf>
    <xf numFmtId="0" fontId="20" fillId="0" borderId="0" xfId="0" applyFont="1" applyBorder="1" applyAlignment="1" applyProtection="1">
      <alignment horizontal="center" vertical="center"/>
    </xf>
    <xf numFmtId="166" fontId="20" fillId="0" borderId="0" xfId="0" applyNumberFormat="1" applyFont="1" applyBorder="1" applyAlignment="1" applyProtection="1">
      <alignment vertical="center"/>
    </xf>
    <xf numFmtId="166" fontId="20" fillId="0" borderId="15" xfId="0" applyNumberFormat="1" applyFont="1" applyBorder="1" applyAlignment="1" applyProtection="1">
      <alignment vertical="center"/>
    </xf>
    <xf numFmtId="0" fontId="19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1" fillId="0" borderId="22" xfId="0" applyFont="1" applyBorder="1" applyAlignment="1" applyProtection="1">
      <alignment horizontal="center" vertical="center"/>
    </xf>
    <xf numFmtId="49" fontId="31" fillId="0" borderId="22" xfId="0" applyNumberFormat="1" applyFont="1" applyBorder="1" applyAlignment="1" applyProtection="1">
      <alignment horizontal="left" vertical="center" wrapText="1"/>
    </xf>
    <xf numFmtId="0" fontId="31" fillId="0" borderId="22" xfId="0" applyFont="1" applyBorder="1" applyAlignment="1" applyProtection="1">
      <alignment horizontal="left" vertical="center" wrapText="1"/>
    </xf>
    <xf numFmtId="0" fontId="31" fillId="0" borderId="22" xfId="0" applyFont="1" applyBorder="1" applyAlignment="1" applyProtection="1">
      <alignment horizontal="center" vertical="center" wrapText="1"/>
    </xf>
    <xf numFmtId="167" fontId="31" fillId="0" borderId="22" xfId="0" applyNumberFormat="1" applyFont="1" applyBorder="1" applyAlignment="1" applyProtection="1">
      <alignment vertical="center"/>
    </xf>
    <xf numFmtId="4" fontId="31" fillId="2" borderId="22" xfId="0" applyNumberFormat="1" applyFont="1" applyFill="1" applyBorder="1" applyAlignment="1" applyProtection="1">
      <alignment vertical="center"/>
      <protection locked="0"/>
    </xf>
    <xf numFmtId="4" fontId="31" fillId="0" borderId="22" xfId="0" applyNumberFormat="1" applyFont="1" applyBorder="1" applyAlignment="1" applyProtection="1">
      <alignment vertical="center"/>
    </xf>
    <xf numFmtId="0" fontId="32" fillId="0" borderId="22" xfId="0" applyFont="1" applyBorder="1" applyAlignment="1" applyProtection="1">
      <alignment vertical="center"/>
    </xf>
    <xf numFmtId="0" fontId="32" fillId="0" borderId="3" xfId="0" applyFont="1" applyBorder="1" applyAlignment="1">
      <alignment vertical="center"/>
    </xf>
    <xf numFmtId="0" fontId="31" fillId="2" borderId="14" xfId="0" applyFont="1" applyFill="1" applyBorder="1" applyAlignment="1" applyProtection="1">
      <alignment horizontal="left" vertical="center"/>
      <protection locked="0"/>
    </xf>
    <xf numFmtId="0" fontId="31" fillId="0" borderId="0" xfId="0" applyFont="1" applyBorder="1" applyAlignment="1" applyProtection="1">
      <alignment horizontal="center" vertical="center"/>
    </xf>
    <xf numFmtId="167" fontId="19" fillId="2" borderId="22" xfId="0" applyNumberFormat="1" applyFont="1" applyFill="1" applyBorder="1" applyAlignment="1" applyProtection="1">
      <alignment vertical="center"/>
      <protection locked="0"/>
    </xf>
    <xf numFmtId="0" fontId="20" fillId="2" borderId="19" xfId="0" applyFont="1" applyFill="1" applyBorder="1" applyAlignment="1" applyProtection="1">
      <alignment horizontal="left" vertical="center"/>
      <protection locked="0"/>
    </xf>
    <xf numFmtId="0" fontId="20" fillId="0" borderId="20" xfId="0" applyFont="1" applyBorder="1" applyAlignment="1" applyProtection="1">
      <alignment horizontal="center" vertical="center"/>
    </xf>
    <xf numFmtId="0" fontId="0" fillId="0" borderId="20" xfId="0" applyFont="1" applyBorder="1" applyAlignment="1" applyProtection="1">
      <alignment vertical="center"/>
    </xf>
    <xf numFmtId="166" fontId="20" fillId="0" borderId="20" xfId="0" applyNumberFormat="1" applyFont="1" applyBorder="1" applyAlignment="1" applyProtection="1">
      <alignment vertical="center"/>
    </xf>
    <xf numFmtId="166" fontId="20" fillId="0" borderId="21" xfId="0" applyNumberFormat="1" applyFont="1" applyBorder="1" applyAlignment="1" applyProtection="1">
      <alignment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theme" Target="theme/theme1.xml" /><Relationship Id="rId10" Type="http://schemas.openxmlformats.org/officeDocument/2006/relationships/calcChain" Target="calcChain.xml" /><Relationship Id="rId11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3" t="s">
        <v>0</v>
      </c>
      <c r="AZ1" s="13" t="s">
        <v>1</v>
      </c>
      <c r="BA1" s="13" t="s">
        <v>2</v>
      </c>
      <c r="BB1" s="13" t="s">
        <v>3</v>
      </c>
      <c r="BT1" s="13" t="s">
        <v>4</v>
      </c>
      <c r="BU1" s="13" t="s">
        <v>4</v>
      </c>
      <c r="BV1" s="13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4" t="s">
        <v>6</v>
      </c>
      <c r="BT2" s="14" t="s">
        <v>7</v>
      </c>
    </row>
    <row r="3" s="1" customFormat="1" ht="6.96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7"/>
      <c r="BS3" s="14" t="s">
        <v>6</v>
      </c>
      <c r="BT3" s="14" t="s">
        <v>8</v>
      </c>
    </row>
    <row r="4" s="1" customFormat="1" ht="24.96" customHeight="1">
      <c r="B4" s="18"/>
      <c r="C4" s="19"/>
      <c r="D4" s="20" t="s">
        <v>9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7"/>
      <c r="AS4" s="21" t="s">
        <v>10</v>
      </c>
      <c r="BE4" s="22" t="s">
        <v>11</v>
      </c>
      <c r="BS4" s="14" t="s">
        <v>12</v>
      </c>
    </row>
    <row r="5" s="1" customFormat="1" ht="12" customHeight="1">
      <c r="B5" s="18"/>
      <c r="C5" s="19"/>
      <c r="D5" s="23" t="s">
        <v>13</v>
      </c>
      <c r="E5" s="19"/>
      <c r="F5" s="19"/>
      <c r="G5" s="19"/>
      <c r="H5" s="19"/>
      <c r="I5" s="19"/>
      <c r="J5" s="19"/>
      <c r="K5" s="24" t="s">
        <v>14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7"/>
      <c r="BE5" s="25" t="s">
        <v>15</v>
      </c>
      <c r="BS5" s="14" t="s">
        <v>6</v>
      </c>
    </row>
    <row r="6" s="1" customFormat="1" ht="36.96" customHeight="1">
      <c r="B6" s="18"/>
      <c r="C6" s="19"/>
      <c r="D6" s="26" t="s">
        <v>16</v>
      </c>
      <c r="E6" s="19"/>
      <c r="F6" s="19"/>
      <c r="G6" s="19"/>
      <c r="H6" s="19"/>
      <c r="I6" s="19"/>
      <c r="J6" s="19"/>
      <c r="K6" s="27" t="s">
        <v>17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7"/>
      <c r="BE6" s="28"/>
      <c r="BS6" s="14" t="s">
        <v>6</v>
      </c>
    </row>
    <row r="7" s="1" customFormat="1" ht="12" customHeight="1">
      <c r="B7" s="18"/>
      <c r="C7" s="19"/>
      <c r="D7" s="29" t="s">
        <v>18</v>
      </c>
      <c r="E7" s="19"/>
      <c r="F7" s="19"/>
      <c r="G7" s="19"/>
      <c r="H7" s="19"/>
      <c r="I7" s="19"/>
      <c r="J7" s="19"/>
      <c r="K7" s="24" t="s">
        <v>1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29" t="s">
        <v>19</v>
      </c>
      <c r="AL7" s="19"/>
      <c r="AM7" s="19"/>
      <c r="AN7" s="24" t="s">
        <v>1</v>
      </c>
      <c r="AO7" s="19"/>
      <c r="AP7" s="19"/>
      <c r="AQ7" s="19"/>
      <c r="AR7" s="17"/>
      <c r="BE7" s="28"/>
      <c r="BS7" s="14" t="s">
        <v>6</v>
      </c>
    </row>
    <row r="8" s="1" customFormat="1" ht="12" customHeight="1">
      <c r="B8" s="18"/>
      <c r="C8" s="19"/>
      <c r="D8" s="29" t="s">
        <v>20</v>
      </c>
      <c r="E8" s="19"/>
      <c r="F8" s="19"/>
      <c r="G8" s="19"/>
      <c r="H8" s="19"/>
      <c r="I8" s="19"/>
      <c r="J8" s="19"/>
      <c r="K8" s="24" t="s">
        <v>21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9" t="s">
        <v>22</v>
      </c>
      <c r="AL8" s="19"/>
      <c r="AM8" s="19"/>
      <c r="AN8" s="30" t="s">
        <v>23</v>
      </c>
      <c r="AO8" s="19"/>
      <c r="AP8" s="19"/>
      <c r="AQ8" s="19"/>
      <c r="AR8" s="17"/>
      <c r="BE8" s="28"/>
      <c r="BS8" s="14" t="s">
        <v>6</v>
      </c>
    </row>
    <row r="9" s="1" customFormat="1" ht="14.4" customHeight="1"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7"/>
      <c r="BE9" s="28"/>
      <c r="BS9" s="14" t="s">
        <v>6</v>
      </c>
    </row>
    <row r="10" s="1" customFormat="1" ht="12" customHeight="1">
      <c r="B10" s="18"/>
      <c r="C10" s="19"/>
      <c r="D10" s="29" t="s">
        <v>24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29" t="s">
        <v>25</v>
      </c>
      <c r="AL10" s="19"/>
      <c r="AM10" s="19"/>
      <c r="AN10" s="24" t="s">
        <v>1</v>
      </c>
      <c r="AO10" s="19"/>
      <c r="AP10" s="19"/>
      <c r="AQ10" s="19"/>
      <c r="AR10" s="17"/>
      <c r="BE10" s="28"/>
      <c r="BS10" s="14" t="s">
        <v>6</v>
      </c>
    </row>
    <row r="11" s="1" customFormat="1" ht="18.48" customHeight="1">
      <c r="B11" s="18"/>
      <c r="C11" s="19"/>
      <c r="D11" s="19"/>
      <c r="E11" s="24" t="s">
        <v>26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9" t="s">
        <v>27</v>
      </c>
      <c r="AL11" s="19"/>
      <c r="AM11" s="19"/>
      <c r="AN11" s="24" t="s">
        <v>1</v>
      </c>
      <c r="AO11" s="19"/>
      <c r="AP11" s="19"/>
      <c r="AQ11" s="19"/>
      <c r="AR11" s="17"/>
      <c r="BE11" s="28"/>
      <c r="BS11" s="14" t="s">
        <v>6</v>
      </c>
    </row>
    <row r="12" s="1" customFormat="1" ht="6.96" customHeight="1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7"/>
      <c r="BE12" s="28"/>
      <c r="BS12" s="14" t="s">
        <v>6</v>
      </c>
    </row>
    <row r="13" s="1" customFormat="1" ht="12" customHeight="1">
      <c r="B13" s="18"/>
      <c r="C13" s="19"/>
      <c r="D13" s="29" t="s">
        <v>28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29" t="s">
        <v>25</v>
      </c>
      <c r="AL13" s="19"/>
      <c r="AM13" s="19"/>
      <c r="AN13" s="31" t="s">
        <v>29</v>
      </c>
      <c r="AO13" s="19"/>
      <c r="AP13" s="19"/>
      <c r="AQ13" s="19"/>
      <c r="AR13" s="17"/>
      <c r="BE13" s="28"/>
      <c r="BS13" s="14" t="s">
        <v>6</v>
      </c>
    </row>
    <row r="14">
      <c r="B14" s="18"/>
      <c r="C14" s="19"/>
      <c r="D14" s="19"/>
      <c r="E14" s="31" t="s">
        <v>29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29" t="s">
        <v>27</v>
      </c>
      <c r="AL14" s="19"/>
      <c r="AM14" s="19"/>
      <c r="AN14" s="31" t="s">
        <v>29</v>
      </c>
      <c r="AO14" s="19"/>
      <c r="AP14" s="19"/>
      <c r="AQ14" s="19"/>
      <c r="AR14" s="17"/>
      <c r="BE14" s="28"/>
      <c r="BS14" s="14" t="s">
        <v>6</v>
      </c>
    </row>
    <row r="15" s="1" customFormat="1" ht="6.96" customHeight="1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7"/>
      <c r="BE15" s="28"/>
      <c r="BS15" s="14" t="s">
        <v>4</v>
      </c>
    </row>
    <row r="16" s="1" customFormat="1" ht="12" customHeight="1">
      <c r="B16" s="18"/>
      <c r="C16" s="19"/>
      <c r="D16" s="29" t="s">
        <v>30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29" t="s">
        <v>25</v>
      </c>
      <c r="AL16" s="19"/>
      <c r="AM16" s="19"/>
      <c r="AN16" s="24" t="s">
        <v>1</v>
      </c>
      <c r="AO16" s="19"/>
      <c r="AP16" s="19"/>
      <c r="AQ16" s="19"/>
      <c r="AR16" s="17"/>
      <c r="BE16" s="28"/>
      <c r="BS16" s="14" t="s">
        <v>4</v>
      </c>
    </row>
    <row r="17" s="1" customFormat="1" ht="18.48" customHeight="1">
      <c r="B17" s="18"/>
      <c r="C17" s="19"/>
      <c r="D17" s="19"/>
      <c r="E17" s="24" t="s">
        <v>26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29" t="s">
        <v>27</v>
      </c>
      <c r="AL17" s="19"/>
      <c r="AM17" s="19"/>
      <c r="AN17" s="24" t="s">
        <v>1</v>
      </c>
      <c r="AO17" s="19"/>
      <c r="AP17" s="19"/>
      <c r="AQ17" s="19"/>
      <c r="AR17" s="17"/>
      <c r="BE17" s="28"/>
      <c r="BS17" s="14" t="s">
        <v>31</v>
      </c>
    </row>
    <row r="18" s="1" customFormat="1" ht="6.96" customHeight="1"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7"/>
      <c r="BE18" s="28"/>
      <c r="BS18" s="14" t="s">
        <v>6</v>
      </c>
    </row>
    <row r="19" s="1" customFormat="1" ht="12" customHeight="1">
      <c r="B19" s="18"/>
      <c r="C19" s="19"/>
      <c r="D19" s="29" t="s">
        <v>32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29" t="s">
        <v>25</v>
      </c>
      <c r="AL19" s="19"/>
      <c r="AM19" s="19"/>
      <c r="AN19" s="24" t="s">
        <v>1</v>
      </c>
      <c r="AO19" s="19"/>
      <c r="AP19" s="19"/>
      <c r="AQ19" s="19"/>
      <c r="AR19" s="17"/>
      <c r="BE19" s="28"/>
      <c r="BS19" s="14" t="s">
        <v>6</v>
      </c>
    </row>
    <row r="20" s="1" customFormat="1" ht="18.48" customHeight="1">
      <c r="B20" s="18"/>
      <c r="C20" s="19"/>
      <c r="D20" s="19"/>
      <c r="E20" s="24" t="s">
        <v>33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29" t="s">
        <v>27</v>
      </c>
      <c r="AL20" s="19"/>
      <c r="AM20" s="19"/>
      <c r="AN20" s="24" t="s">
        <v>1</v>
      </c>
      <c r="AO20" s="19"/>
      <c r="AP20" s="19"/>
      <c r="AQ20" s="19"/>
      <c r="AR20" s="17"/>
      <c r="BE20" s="28"/>
      <c r="BS20" s="14" t="s">
        <v>4</v>
      </c>
    </row>
    <row r="21" s="1" customFormat="1" ht="6.96" customHeight="1"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7"/>
      <c r="BE21" s="28"/>
    </row>
    <row r="22" s="1" customFormat="1" ht="12" customHeight="1">
      <c r="B22" s="18"/>
      <c r="C22" s="19"/>
      <c r="D22" s="29" t="s">
        <v>34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7"/>
      <c r="BE22" s="28"/>
    </row>
    <row r="23" s="1" customFormat="1" ht="16.5" customHeight="1">
      <c r="B23" s="18"/>
      <c r="C23" s="19"/>
      <c r="D23" s="19"/>
      <c r="E23" s="33" t="s">
        <v>1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19"/>
      <c r="AP23" s="19"/>
      <c r="AQ23" s="19"/>
      <c r="AR23" s="17"/>
      <c r="BE23" s="28"/>
    </row>
    <row r="24" s="1" customFormat="1" ht="6.96" customHeight="1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7"/>
      <c r="BE24" s="28"/>
    </row>
    <row r="25" s="1" customFormat="1" ht="6.96" customHeight="1">
      <c r="B25" s="18"/>
      <c r="C25" s="1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19"/>
      <c r="AQ25" s="19"/>
      <c r="AR25" s="17"/>
      <c r="BE25" s="28"/>
    </row>
    <row r="26" s="2" customFormat="1" ht="25.92" customHeight="1">
      <c r="A26" s="35"/>
      <c r="B26" s="36"/>
      <c r="C26" s="37"/>
      <c r="D26" s="38" t="s">
        <v>35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40">
        <f>ROUND(AG94,2)</f>
        <v>0</v>
      </c>
      <c r="AL26" s="39"/>
      <c r="AM26" s="39"/>
      <c r="AN26" s="39"/>
      <c r="AO26" s="39"/>
      <c r="AP26" s="37"/>
      <c r="AQ26" s="37"/>
      <c r="AR26" s="41"/>
      <c r="BE26" s="28"/>
    </row>
    <row r="27" s="2" customFormat="1" ht="6.96" customHeight="1">
      <c r="A27" s="35"/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41"/>
      <c r="BE27" s="28"/>
    </row>
    <row r="28" s="2" customFormat="1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7"/>
      <c r="L28" s="42" t="s">
        <v>36</v>
      </c>
      <c r="M28" s="42"/>
      <c r="N28" s="42"/>
      <c r="O28" s="42"/>
      <c r="P28" s="42"/>
      <c r="Q28" s="37"/>
      <c r="R28" s="37"/>
      <c r="S28" s="37"/>
      <c r="T28" s="37"/>
      <c r="U28" s="37"/>
      <c r="V28" s="37"/>
      <c r="W28" s="42" t="s">
        <v>37</v>
      </c>
      <c r="X28" s="42"/>
      <c r="Y28" s="42"/>
      <c r="Z28" s="42"/>
      <c r="AA28" s="42"/>
      <c r="AB28" s="42"/>
      <c r="AC28" s="42"/>
      <c r="AD28" s="42"/>
      <c r="AE28" s="42"/>
      <c r="AF28" s="37"/>
      <c r="AG28" s="37"/>
      <c r="AH28" s="37"/>
      <c r="AI28" s="37"/>
      <c r="AJ28" s="37"/>
      <c r="AK28" s="42" t="s">
        <v>38</v>
      </c>
      <c r="AL28" s="42"/>
      <c r="AM28" s="42"/>
      <c r="AN28" s="42"/>
      <c r="AO28" s="42"/>
      <c r="AP28" s="37"/>
      <c r="AQ28" s="37"/>
      <c r="AR28" s="41"/>
      <c r="BE28" s="28"/>
    </row>
    <row r="29" s="3" customFormat="1" ht="14.4" customHeight="1">
      <c r="A29" s="3"/>
      <c r="B29" s="43"/>
      <c r="C29" s="44"/>
      <c r="D29" s="29" t="s">
        <v>39</v>
      </c>
      <c r="E29" s="44"/>
      <c r="F29" s="29" t="s">
        <v>40</v>
      </c>
      <c r="G29" s="44"/>
      <c r="H29" s="44"/>
      <c r="I29" s="44"/>
      <c r="J29" s="44"/>
      <c r="K29" s="44"/>
      <c r="L29" s="45">
        <v>0.20999999999999999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6">
        <f>ROUND(AZ94, 2)</f>
        <v>0</v>
      </c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6">
        <f>ROUND(AV94, 2)</f>
        <v>0</v>
      </c>
      <c r="AL29" s="44"/>
      <c r="AM29" s="44"/>
      <c r="AN29" s="44"/>
      <c r="AO29" s="44"/>
      <c r="AP29" s="44"/>
      <c r="AQ29" s="44"/>
      <c r="AR29" s="47"/>
      <c r="BE29" s="48"/>
    </row>
    <row r="30" s="3" customFormat="1" ht="14.4" customHeight="1">
      <c r="A30" s="3"/>
      <c r="B30" s="43"/>
      <c r="C30" s="44"/>
      <c r="D30" s="44"/>
      <c r="E30" s="44"/>
      <c r="F30" s="29" t="s">
        <v>41</v>
      </c>
      <c r="G30" s="44"/>
      <c r="H30" s="44"/>
      <c r="I30" s="44"/>
      <c r="J30" s="44"/>
      <c r="K30" s="44"/>
      <c r="L30" s="45">
        <v>0.12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6">
        <f>ROUND(BA94, 2)</f>
        <v>0</v>
      </c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6">
        <f>ROUND(AW94, 2)</f>
        <v>0</v>
      </c>
      <c r="AL30" s="44"/>
      <c r="AM30" s="44"/>
      <c r="AN30" s="44"/>
      <c r="AO30" s="44"/>
      <c r="AP30" s="44"/>
      <c r="AQ30" s="44"/>
      <c r="AR30" s="47"/>
      <c r="BE30" s="48"/>
    </row>
    <row r="31" hidden="1" s="3" customFormat="1" ht="14.4" customHeight="1">
      <c r="A31" s="3"/>
      <c r="B31" s="43"/>
      <c r="C31" s="44"/>
      <c r="D31" s="44"/>
      <c r="E31" s="44"/>
      <c r="F31" s="29" t="s">
        <v>42</v>
      </c>
      <c r="G31" s="44"/>
      <c r="H31" s="44"/>
      <c r="I31" s="44"/>
      <c r="J31" s="44"/>
      <c r="K31" s="44"/>
      <c r="L31" s="45">
        <v>0.20999999999999999</v>
      </c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6">
        <f>ROUND(BB94, 2)</f>
        <v>0</v>
      </c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6">
        <v>0</v>
      </c>
      <c r="AL31" s="44"/>
      <c r="AM31" s="44"/>
      <c r="AN31" s="44"/>
      <c r="AO31" s="44"/>
      <c r="AP31" s="44"/>
      <c r="AQ31" s="44"/>
      <c r="AR31" s="47"/>
      <c r="BE31" s="48"/>
    </row>
    <row r="32" hidden="1" s="3" customFormat="1" ht="14.4" customHeight="1">
      <c r="A32" s="3"/>
      <c r="B32" s="43"/>
      <c r="C32" s="44"/>
      <c r="D32" s="44"/>
      <c r="E32" s="44"/>
      <c r="F32" s="29" t="s">
        <v>43</v>
      </c>
      <c r="G32" s="44"/>
      <c r="H32" s="44"/>
      <c r="I32" s="44"/>
      <c r="J32" s="44"/>
      <c r="K32" s="44"/>
      <c r="L32" s="45">
        <v>0.12</v>
      </c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6">
        <f>ROUND(BC94, 2)</f>
        <v>0</v>
      </c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6">
        <v>0</v>
      </c>
      <c r="AL32" s="44"/>
      <c r="AM32" s="44"/>
      <c r="AN32" s="44"/>
      <c r="AO32" s="44"/>
      <c r="AP32" s="44"/>
      <c r="AQ32" s="44"/>
      <c r="AR32" s="47"/>
      <c r="BE32" s="48"/>
    </row>
    <row r="33" hidden="1" s="3" customFormat="1" ht="14.4" customHeight="1">
      <c r="A33" s="3"/>
      <c r="B33" s="43"/>
      <c r="C33" s="44"/>
      <c r="D33" s="44"/>
      <c r="E33" s="44"/>
      <c r="F33" s="29" t="s">
        <v>44</v>
      </c>
      <c r="G33" s="44"/>
      <c r="H33" s="44"/>
      <c r="I33" s="44"/>
      <c r="J33" s="44"/>
      <c r="K33" s="44"/>
      <c r="L33" s="45">
        <v>0</v>
      </c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6">
        <f>ROUND(BD94, 2)</f>
        <v>0</v>
      </c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6">
        <v>0</v>
      </c>
      <c r="AL33" s="44"/>
      <c r="AM33" s="44"/>
      <c r="AN33" s="44"/>
      <c r="AO33" s="44"/>
      <c r="AP33" s="44"/>
      <c r="AQ33" s="44"/>
      <c r="AR33" s="47"/>
      <c r="BE33" s="48"/>
    </row>
    <row r="34" s="2" customFormat="1" ht="6.96" customHeight="1">
      <c r="A34" s="35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41"/>
      <c r="BE34" s="28"/>
    </row>
    <row r="35" s="2" customFormat="1" ht="25.92" customHeight="1">
      <c r="A35" s="35"/>
      <c r="B35" s="36"/>
      <c r="C35" s="49"/>
      <c r="D35" s="50" t="s">
        <v>45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2" t="s">
        <v>46</v>
      </c>
      <c r="U35" s="51"/>
      <c r="V35" s="51"/>
      <c r="W35" s="51"/>
      <c r="X35" s="53" t="s">
        <v>47</v>
      </c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4">
        <f>SUM(AK26:AK33)</f>
        <v>0</v>
      </c>
      <c r="AL35" s="51"/>
      <c r="AM35" s="51"/>
      <c r="AN35" s="51"/>
      <c r="AO35" s="55"/>
      <c r="AP35" s="49"/>
      <c r="AQ35" s="49"/>
      <c r="AR35" s="41"/>
      <c r="BE35" s="35"/>
    </row>
    <row r="36" s="2" customFormat="1" ht="6.96" customHeight="1">
      <c r="A36" s="35"/>
      <c r="B36" s="36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41"/>
      <c r="BE36" s="35"/>
    </row>
    <row r="37" s="2" customFormat="1" ht="14.4" customHeight="1">
      <c r="A37" s="35"/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41"/>
      <c r="BE37" s="35"/>
    </row>
    <row r="38" s="1" customFormat="1" ht="14.4" customHeight="1"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7"/>
    </row>
    <row r="39" s="1" customFormat="1" ht="14.4" customHeight="1"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7"/>
    </row>
    <row r="40" s="1" customFormat="1" ht="14.4" customHeight="1"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7"/>
    </row>
    <row r="41" s="1" customFormat="1" ht="14.4" customHeight="1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7"/>
    </row>
    <row r="42" s="1" customFormat="1" ht="14.4" customHeight="1"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7"/>
    </row>
    <row r="43" s="1" customFormat="1" ht="14.4" customHeight="1"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7"/>
    </row>
    <row r="44" s="1" customFormat="1" ht="14.4" customHeight="1"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7"/>
    </row>
    <row r="45" s="1" customFormat="1" ht="14.4" customHeight="1"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7"/>
    </row>
    <row r="46" s="1" customFormat="1" ht="14.4" customHeight="1"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7"/>
    </row>
    <row r="47" s="1" customFormat="1" ht="14.4" customHeight="1"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7"/>
    </row>
    <row r="48" s="1" customFormat="1" ht="14.4" customHeight="1"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7"/>
    </row>
    <row r="49" s="2" customFormat="1" ht="14.4" customHeight="1">
      <c r="B49" s="56"/>
      <c r="C49" s="57"/>
      <c r="D49" s="58" t="s">
        <v>48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8" t="s">
        <v>49</v>
      </c>
      <c r="AI49" s="59"/>
      <c r="AJ49" s="59"/>
      <c r="AK49" s="59"/>
      <c r="AL49" s="59"/>
      <c r="AM49" s="59"/>
      <c r="AN49" s="59"/>
      <c r="AO49" s="59"/>
      <c r="AP49" s="57"/>
      <c r="AQ49" s="57"/>
      <c r="AR49" s="60"/>
    </row>
    <row r="50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7"/>
    </row>
    <row r="51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7"/>
    </row>
    <row r="52"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7"/>
    </row>
    <row r="53"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7"/>
    </row>
    <row r="54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7"/>
    </row>
    <row r="55"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7"/>
    </row>
    <row r="56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7"/>
    </row>
    <row r="57"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7"/>
    </row>
    <row r="58"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7"/>
    </row>
    <row r="59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7"/>
    </row>
    <row r="60" s="2" customFormat="1">
      <c r="A60" s="35"/>
      <c r="B60" s="36"/>
      <c r="C60" s="37"/>
      <c r="D60" s="61" t="s">
        <v>50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61" t="s">
        <v>51</v>
      </c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61" t="s">
        <v>50</v>
      </c>
      <c r="AI60" s="39"/>
      <c r="AJ60" s="39"/>
      <c r="AK60" s="39"/>
      <c r="AL60" s="39"/>
      <c r="AM60" s="61" t="s">
        <v>51</v>
      </c>
      <c r="AN60" s="39"/>
      <c r="AO60" s="39"/>
      <c r="AP60" s="37"/>
      <c r="AQ60" s="37"/>
      <c r="AR60" s="41"/>
      <c r="BE60" s="35"/>
    </row>
    <row r="61"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7"/>
    </row>
    <row r="62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7"/>
    </row>
    <row r="63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7"/>
    </row>
    <row r="64" s="2" customFormat="1">
      <c r="A64" s="35"/>
      <c r="B64" s="36"/>
      <c r="C64" s="37"/>
      <c r="D64" s="58" t="s">
        <v>52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58" t="s">
        <v>53</v>
      </c>
      <c r="AI64" s="62"/>
      <c r="AJ64" s="62"/>
      <c r="AK64" s="62"/>
      <c r="AL64" s="62"/>
      <c r="AM64" s="62"/>
      <c r="AN64" s="62"/>
      <c r="AO64" s="62"/>
      <c r="AP64" s="37"/>
      <c r="AQ64" s="37"/>
      <c r="AR64" s="41"/>
      <c r="BE64" s="35"/>
    </row>
    <row r="65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7"/>
    </row>
    <row r="66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7"/>
    </row>
    <row r="67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7"/>
    </row>
    <row r="68"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7"/>
    </row>
    <row r="69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7"/>
    </row>
    <row r="70"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7"/>
    </row>
    <row r="71"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7"/>
    </row>
    <row r="72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7"/>
    </row>
    <row r="73"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7"/>
    </row>
    <row r="74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7"/>
    </row>
    <row r="75" s="2" customFormat="1">
      <c r="A75" s="35"/>
      <c r="B75" s="36"/>
      <c r="C75" s="37"/>
      <c r="D75" s="61" t="s">
        <v>50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61" t="s">
        <v>51</v>
      </c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61" t="s">
        <v>50</v>
      </c>
      <c r="AI75" s="39"/>
      <c r="AJ75" s="39"/>
      <c r="AK75" s="39"/>
      <c r="AL75" s="39"/>
      <c r="AM75" s="61" t="s">
        <v>51</v>
      </c>
      <c r="AN75" s="39"/>
      <c r="AO75" s="39"/>
      <c r="AP75" s="37"/>
      <c r="AQ75" s="37"/>
      <c r="AR75" s="41"/>
      <c r="BE75" s="35"/>
    </row>
    <row r="76" s="2" customFormat="1">
      <c r="A76" s="35"/>
      <c r="B76" s="36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41"/>
      <c r="BE76" s="35"/>
    </row>
    <row r="77" s="2" customFormat="1" ht="6.96" customHeight="1">
      <c r="A77" s="35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41"/>
      <c r="BE77" s="35"/>
    </row>
    <row r="81" s="2" customFormat="1" ht="6.96" customHeight="1">
      <c r="A81" s="35"/>
      <c r="B81" s="65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41"/>
      <c r="BE81" s="35"/>
    </row>
    <row r="82" s="2" customFormat="1" ht="24.96" customHeight="1">
      <c r="A82" s="35"/>
      <c r="B82" s="36"/>
      <c r="C82" s="20" t="s">
        <v>54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41"/>
      <c r="BE82" s="35"/>
    </row>
    <row r="83" s="2" customFormat="1" ht="6.96" customHeight="1">
      <c r="A83" s="35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41"/>
      <c r="BE83" s="35"/>
    </row>
    <row r="84" s="4" customFormat="1" ht="12" customHeight="1">
      <c r="A84" s="4"/>
      <c r="B84" s="67"/>
      <c r="C84" s="29" t="s">
        <v>13</v>
      </c>
      <c r="D84" s="68"/>
      <c r="E84" s="68"/>
      <c r="F84" s="68"/>
      <c r="G84" s="68"/>
      <c r="H84" s="68"/>
      <c r="I84" s="68"/>
      <c r="J84" s="68"/>
      <c r="K84" s="68"/>
      <c r="L84" s="68" t="str">
        <f>K5</f>
        <v>2025-015a</v>
      </c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9"/>
      <c r="BE84" s="4"/>
    </row>
    <row r="85" s="5" customFormat="1" ht="36.96" customHeight="1">
      <c r="A85" s="5"/>
      <c r="B85" s="70"/>
      <c r="C85" s="71" t="s">
        <v>16</v>
      </c>
      <c r="D85" s="72"/>
      <c r="E85" s="72"/>
      <c r="F85" s="72"/>
      <c r="G85" s="72"/>
      <c r="H85" s="72"/>
      <c r="I85" s="72"/>
      <c r="J85" s="72"/>
      <c r="K85" s="72"/>
      <c r="L85" s="73" t="str">
        <f>K6</f>
        <v>Forestina Horaždovice- UT, OPZ</v>
      </c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4"/>
      <c r="BE85" s="5"/>
    </row>
    <row r="86" s="2" customFormat="1" ht="6.96" customHeight="1">
      <c r="A86" s="35"/>
      <c r="B86" s="36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41"/>
      <c r="BE86" s="35"/>
    </row>
    <row r="87" s="2" customFormat="1" ht="12" customHeight="1">
      <c r="A87" s="35"/>
      <c r="B87" s="36"/>
      <c r="C87" s="29" t="s">
        <v>20</v>
      </c>
      <c r="D87" s="37"/>
      <c r="E87" s="37"/>
      <c r="F87" s="37"/>
      <c r="G87" s="37"/>
      <c r="H87" s="37"/>
      <c r="I87" s="37"/>
      <c r="J87" s="37"/>
      <c r="K87" s="37"/>
      <c r="L87" s="75" t="str">
        <f>IF(K8="","",K8)</f>
        <v>Horaždovice</v>
      </c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29" t="s">
        <v>22</v>
      </c>
      <c r="AJ87" s="37"/>
      <c r="AK87" s="37"/>
      <c r="AL87" s="37"/>
      <c r="AM87" s="76" t="str">
        <f>IF(AN8= "","",AN8)</f>
        <v>10. 6. 2025</v>
      </c>
      <c r="AN87" s="76"/>
      <c r="AO87" s="37"/>
      <c r="AP87" s="37"/>
      <c r="AQ87" s="37"/>
      <c r="AR87" s="41"/>
      <c r="BE87" s="35"/>
    </row>
    <row r="88" s="2" customFormat="1" ht="6.96" customHeight="1">
      <c r="A88" s="35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41"/>
      <c r="BE88" s="35"/>
    </row>
    <row r="89" s="2" customFormat="1" ht="15.15" customHeight="1">
      <c r="A89" s="35"/>
      <c r="B89" s="36"/>
      <c r="C89" s="29" t="s">
        <v>24</v>
      </c>
      <c r="D89" s="37"/>
      <c r="E89" s="37"/>
      <c r="F89" s="37"/>
      <c r="G89" s="37"/>
      <c r="H89" s="37"/>
      <c r="I89" s="37"/>
      <c r="J89" s="37"/>
      <c r="K89" s="37"/>
      <c r="L89" s="68" t="str">
        <f>IF(E11= "","",E11)</f>
        <v xml:space="preserve"> </v>
      </c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29" t="s">
        <v>30</v>
      </c>
      <c r="AJ89" s="37"/>
      <c r="AK89" s="37"/>
      <c r="AL89" s="37"/>
      <c r="AM89" s="77" t="str">
        <f>IF(E17="","",E17)</f>
        <v xml:space="preserve"> </v>
      </c>
      <c r="AN89" s="68"/>
      <c r="AO89" s="68"/>
      <c r="AP89" s="68"/>
      <c r="AQ89" s="37"/>
      <c r="AR89" s="41"/>
      <c r="AS89" s="78" t="s">
        <v>55</v>
      </c>
      <c r="AT89" s="79"/>
      <c r="AU89" s="80"/>
      <c r="AV89" s="80"/>
      <c r="AW89" s="80"/>
      <c r="AX89" s="80"/>
      <c r="AY89" s="80"/>
      <c r="AZ89" s="80"/>
      <c r="BA89" s="80"/>
      <c r="BB89" s="80"/>
      <c r="BC89" s="80"/>
      <c r="BD89" s="81"/>
      <c r="BE89" s="35"/>
    </row>
    <row r="90" s="2" customFormat="1" ht="15.15" customHeight="1">
      <c r="A90" s="35"/>
      <c r="B90" s="36"/>
      <c r="C90" s="29" t="s">
        <v>28</v>
      </c>
      <c r="D90" s="37"/>
      <c r="E90" s="37"/>
      <c r="F90" s="37"/>
      <c r="G90" s="37"/>
      <c r="H90" s="37"/>
      <c r="I90" s="37"/>
      <c r="J90" s="37"/>
      <c r="K90" s="37"/>
      <c r="L90" s="68" t="str">
        <f>IF(E14= "Vyplň údaj","",E14)</f>
        <v/>
      </c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29" t="s">
        <v>32</v>
      </c>
      <c r="AJ90" s="37"/>
      <c r="AK90" s="37"/>
      <c r="AL90" s="37"/>
      <c r="AM90" s="77" t="str">
        <f>IF(E20="","",E20)</f>
        <v xml:space="preserve">Ing. pavel Míka </v>
      </c>
      <c r="AN90" s="68"/>
      <c r="AO90" s="68"/>
      <c r="AP90" s="68"/>
      <c r="AQ90" s="37"/>
      <c r="AR90" s="41"/>
      <c r="AS90" s="82"/>
      <c r="AT90" s="83"/>
      <c r="AU90" s="84"/>
      <c r="AV90" s="84"/>
      <c r="AW90" s="84"/>
      <c r="AX90" s="84"/>
      <c r="AY90" s="84"/>
      <c r="AZ90" s="84"/>
      <c r="BA90" s="84"/>
      <c r="BB90" s="84"/>
      <c r="BC90" s="84"/>
      <c r="BD90" s="85"/>
      <c r="BE90" s="35"/>
    </row>
    <row r="91" s="2" customFormat="1" ht="10.8" customHeight="1">
      <c r="A91" s="35"/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41"/>
      <c r="AS91" s="86"/>
      <c r="AT91" s="87"/>
      <c r="AU91" s="88"/>
      <c r="AV91" s="88"/>
      <c r="AW91" s="88"/>
      <c r="AX91" s="88"/>
      <c r="AY91" s="88"/>
      <c r="AZ91" s="88"/>
      <c r="BA91" s="88"/>
      <c r="BB91" s="88"/>
      <c r="BC91" s="88"/>
      <c r="BD91" s="89"/>
      <c r="BE91" s="35"/>
    </row>
    <row r="92" s="2" customFormat="1" ht="29.28" customHeight="1">
      <c r="A92" s="35"/>
      <c r="B92" s="36"/>
      <c r="C92" s="90" t="s">
        <v>56</v>
      </c>
      <c r="D92" s="91"/>
      <c r="E92" s="91"/>
      <c r="F92" s="91"/>
      <c r="G92" s="91"/>
      <c r="H92" s="92"/>
      <c r="I92" s="93" t="s">
        <v>57</v>
      </c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4" t="s">
        <v>58</v>
      </c>
      <c r="AH92" s="91"/>
      <c r="AI92" s="91"/>
      <c r="AJ92" s="91"/>
      <c r="AK92" s="91"/>
      <c r="AL92" s="91"/>
      <c r="AM92" s="91"/>
      <c r="AN92" s="93" t="s">
        <v>59</v>
      </c>
      <c r="AO92" s="91"/>
      <c r="AP92" s="95"/>
      <c r="AQ92" s="96" t="s">
        <v>60</v>
      </c>
      <c r="AR92" s="41"/>
      <c r="AS92" s="97" t="s">
        <v>61</v>
      </c>
      <c r="AT92" s="98" t="s">
        <v>62</v>
      </c>
      <c r="AU92" s="98" t="s">
        <v>63</v>
      </c>
      <c r="AV92" s="98" t="s">
        <v>64</v>
      </c>
      <c r="AW92" s="98" t="s">
        <v>65</v>
      </c>
      <c r="AX92" s="98" t="s">
        <v>66</v>
      </c>
      <c r="AY92" s="98" t="s">
        <v>67</v>
      </c>
      <c r="AZ92" s="98" t="s">
        <v>68</v>
      </c>
      <c r="BA92" s="98" t="s">
        <v>69</v>
      </c>
      <c r="BB92" s="98" t="s">
        <v>70</v>
      </c>
      <c r="BC92" s="98" t="s">
        <v>71</v>
      </c>
      <c r="BD92" s="99" t="s">
        <v>72</v>
      </c>
      <c r="BE92" s="35"/>
    </row>
    <row r="93" s="2" customFormat="1" ht="10.8" customHeight="1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41"/>
      <c r="AS93" s="100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2"/>
      <c r="BE93" s="35"/>
    </row>
    <row r="94" s="6" customFormat="1" ht="32.4" customHeight="1">
      <c r="A94" s="6"/>
      <c r="B94" s="103"/>
      <c r="C94" s="104" t="s">
        <v>73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6">
        <f>ROUND(SUM(AG95:AG100),2)</f>
        <v>0</v>
      </c>
      <c r="AH94" s="106"/>
      <c r="AI94" s="106"/>
      <c r="AJ94" s="106"/>
      <c r="AK94" s="106"/>
      <c r="AL94" s="106"/>
      <c r="AM94" s="106"/>
      <c r="AN94" s="107">
        <f>SUM(AG94,AT94)</f>
        <v>0</v>
      </c>
      <c r="AO94" s="107"/>
      <c r="AP94" s="107"/>
      <c r="AQ94" s="108" t="s">
        <v>1</v>
      </c>
      <c r="AR94" s="109"/>
      <c r="AS94" s="110">
        <f>ROUND(SUM(AS95:AS100),2)</f>
        <v>0</v>
      </c>
      <c r="AT94" s="111">
        <f>ROUND(SUM(AV94:AW94),2)</f>
        <v>0</v>
      </c>
      <c r="AU94" s="112">
        <f>ROUND(SUM(AU95:AU100),5)</f>
        <v>0</v>
      </c>
      <c r="AV94" s="111">
        <f>ROUND(AZ94*L29,2)</f>
        <v>0</v>
      </c>
      <c r="AW94" s="111">
        <f>ROUND(BA94*L30,2)</f>
        <v>0</v>
      </c>
      <c r="AX94" s="111">
        <f>ROUND(BB94*L29,2)</f>
        <v>0</v>
      </c>
      <c r="AY94" s="111">
        <f>ROUND(BC94*L30,2)</f>
        <v>0</v>
      </c>
      <c r="AZ94" s="111">
        <f>ROUND(SUM(AZ95:AZ100),2)</f>
        <v>0</v>
      </c>
      <c r="BA94" s="111">
        <f>ROUND(SUM(BA95:BA100),2)</f>
        <v>0</v>
      </c>
      <c r="BB94" s="111">
        <f>ROUND(SUM(BB95:BB100),2)</f>
        <v>0</v>
      </c>
      <c r="BC94" s="111">
        <f>ROUND(SUM(BC95:BC100),2)</f>
        <v>0</v>
      </c>
      <c r="BD94" s="113">
        <f>ROUND(SUM(BD95:BD100),2)</f>
        <v>0</v>
      </c>
      <c r="BE94" s="6"/>
      <c r="BS94" s="114" t="s">
        <v>74</v>
      </c>
      <c r="BT94" s="114" t="s">
        <v>75</v>
      </c>
      <c r="BU94" s="115" t="s">
        <v>76</v>
      </c>
      <c r="BV94" s="114" t="s">
        <v>77</v>
      </c>
      <c r="BW94" s="114" t="s">
        <v>5</v>
      </c>
      <c r="BX94" s="114" t="s">
        <v>78</v>
      </c>
      <c r="CL94" s="114" t="s">
        <v>1</v>
      </c>
    </row>
    <row r="95" s="7" customFormat="1" ht="16.5" customHeight="1">
      <c r="A95" s="116" t="s">
        <v>79</v>
      </c>
      <c r="B95" s="117"/>
      <c r="C95" s="118"/>
      <c r="D95" s="119" t="s">
        <v>80</v>
      </c>
      <c r="E95" s="119"/>
      <c r="F95" s="119"/>
      <c r="G95" s="119"/>
      <c r="H95" s="119"/>
      <c r="I95" s="120"/>
      <c r="J95" s="119" t="s">
        <v>81</v>
      </c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21">
        <f>'01 - 01-Vytápění-Kotelna'!J30</f>
        <v>0</v>
      </c>
      <c r="AH95" s="120"/>
      <c r="AI95" s="120"/>
      <c r="AJ95" s="120"/>
      <c r="AK95" s="120"/>
      <c r="AL95" s="120"/>
      <c r="AM95" s="120"/>
      <c r="AN95" s="121">
        <f>SUM(AG95,AT95)</f>
        <v>0</v>
      </c>
      <c r="AO95" s="120"/>
      <c r="AP95" s="120"/>
      <c r="AQ95" s="122" t="s">
        <v>82</v>
      </c>
      <c r="AR95" s="123"/>
      <c r="AS95" s="124">
        <v>0</v>
      </c>
      <c r="AT95" s="125">
        <f>ROUND(SUM(AV95:AW95),2)</f>
        <v>0</v>
      </c>
      <c r="AU95" s="126">
        <f>'01 - 01-Vytápění-Kotelna'!P123</f>
        <v>0</v>
      </c>
      <c r="AV95" s="125">
        <f>'01 - 01-Vytápění-Kotelna'!J33</f>
        <v>0</v>
      </c>
      <c r="AW95" s="125">
        <f>'01 - 01-Vytápění-Kotelna'!J34</f>
        <v>0</v>
      </c>
      <c r="AX95" s="125">
        <f>'01 - 01-Vytápění-Kotelna'!J35</f>
        <v>0</v>
      </c>
      <c r="AY95" s="125">
        <f>'01 - 01-Vytápění-Kotelna'!J36</f>
        <v>0</v>
      </c>
      <c r="AZ95" s="125">
        <f>'01 - 01-Vytápění-Kotelna'!F33</f>
        <v>0</v>
      </c>
      <c r="BA95" s="125">
        <f>'01 - 01-Vytápění-Kotelna'!F34</f>
        <v>0</v>
      </c>
      <c r="BB95" s="125">
        <f>'01 - 01-Vytápění-Kotelna'!F35</f>
        <v>0</v>
      </c>
      <c r="BC95" s="125">
        <f>'01 - 01-Vytápění-Kotelna'!F36</f>
        <v>0</v>
      </c>
      <c r="BD95" s="127">
        <f>'01 - 01-Vytápění-Kotelna'!F37</f>
        <v>0</v>
      </c>
      <c r="BE95" s="7"/>
      <c r="BT95" s="128" t="s">
        <v>83</v>
      </c>
      <c r="BV95" s="128" t="s">
        <v>77</v>
      </c>
      <c r="BW95" s="128" t="s">
        <v>84</v>
      </c>
      <c r="BX95" s="128" t="s">
        <v>5</v>
      </c>
      <c r="CL95" s="128" t="s">
        <v>1</v>
      </c>
      <c r="CM95" s="128" t="s">
        <v>85</v>
      </c>
    </row>
    <row r="96" s="7" customFormat="1" ht="16.5" customHeight="1">
      <c r="A96" s="116" t="s">
        <v>79</v>
      </c>
      <c r="B96" s="117"/>
      <c r="C96" s="118"/>
      <c r="D96" s="119" t="s">
        <v>86</v>
      </c>
      <c r="E96" s="119"/>
      <c r="F96" s="119"/>
      <c r="G96" s="119"/>
      <c r="H96" s="119"/>
      <c r="I96" s="120"/>
      <c r="J96" s="119" t="s">
        <v>87</v>
      </c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21">
        <f>'02 - Vytápění- otop. sous...'!J30</f>
        <v>0</v>
      </c>
      <c r="AH96" s="120"/>
      <c r="AI96" s="120"/>
      <c r="AJ96" s="120"/>
      <c r="AK96" s="120"/>
      <c r="AL96" s="120"/>
      <c r="AM96" s="120"/>
      <c r="AN96" s="121">
        <f>SUM(AG96,AT96)</f>
        <v>0</v>
      </c>
      <c r="AO96" s="120"/>
      <c r="AP96" s="120"/>
      <c r="AQ96" s="122" t="s">
        <v>82</v>
      </c>
      <c r="AR96" s="123"/>
      <c r="AS96" s="124">
        <v>0</v>
      </c>
      <c r="AT96" s="125">
        <f>ROUND(SUM(AV96:AW96),2)</f>
        <v>0</v>
      </c>
      <c r="AU96" s="126">
        <f>'02 - Vytápění- otop. sous...'!P124</f>
        <v>0</v>
      </c>
      <c r="AV96" s="125">
        <f>'02 - Vytápění- otop. sous...'!J33</f>
        <v>0</v>
      </c>
      <c r="AW96" s="125">
        <f>'02 - Vytápění- otop. sous...'!J34</f>
        <v>0</v>
      </c>
      <c r="AX96" s="125">
        <f>'02 - Vytápění- otop. sous...'!J35</f>
        <v>0</v>
      </c>
      <c r="AY96" s="125">
        <f>'02 - Vytápění- otop. sous...'!J36</f>
        <v>0</v>
      </c>
      <c r="AZ96" s="125">
        <f>'02 - Vytápění- otop. sous...'!F33</f>
        <v>0</v>
      </c>
      <c r="BA96" s="125">
        <f>'02 - Vytápění- otop. sous...'!F34</f>
        <v>0</v>
      </c>
      <c r="BB96" s="125">
        <f>'02 - Vytápění- otop. sous...'!F35</f>
        <v>0</v>
      </c>
      <c r="BC96" s="125">
        <f>'02 - Vytápění- otop. sous...'!F36</f>
        <v>0</v>
      </c>
      <c r="BD96" s="127">
        <f>'02 - Vytápění- otop. sous...'!F37</f>
        <v>0</v>
      </c>
      <c r="BE96" s="7"/>
      <c r="BT96" s="128" t="s">
        <v>83</v>
      </c>
      <c r="BV96" s="128" t="s">
        <v>77</v>
      </c>
      <c r="BW96" s="128" t="s">
        <v>88</v>
      </c>
      <c r="BX96" s="128" t="s">
        <v>5</v>
      </c>
      <c r="CL96" s="128" t="s">
        <v>1</v>
      </c>
      <c r="CM96" s="128" t="s">
        <v>85</v>
      </c>
    </row>
    <row r="97" s="7" customFormat="1" ht="16.5" customHeight="1">
      <c r="A97" s="116" t="s">
        <v>79</v>
      </c>
      <c r="B97" s="117"/>
      <c r="C97" s="118"/>
      <c r="D97" s="119" t="s">
        <v>89</v>
      </c>
      <c r="E97" s="119"/>
      <c r="F97" s="119"/>
      <c r="G97" s="119"/>
      <c r="H97" s="119"/>
      <c r="I97" s="120"/>
      <c r="J97" s="119" t="s">
        <v>90</v>
      </c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21">
        <f>'04 - OPZ-hala'!J30</f>
        <v>0</v>
      </c>
      <c r="AH97" s="120"/>
      <c r="AI97" s="120"/>
      <c r="AJ97" s="120"/>
      <c r="AK97" s="120"/>
      <c r="AL97" s="120"/>
      <c r="AM97" s="120"/>
      <c r="AN97" s="121">
        <f>SUM(AG97,AT97)</f>
        <v>0</v>
      </c>
      <c r="AO97" s="120"/>
      <c r="AP97" s="120"/>
      <c r="AQ97" s="122" t="s">
        <v>82</v>
      </c>
      <c r="AR97" s="123"/>
      <c r="AS97" s="124">
        <v>0</v>
      </c>
      <c r="AT97" s="125">
        <f>ROUND(SUM(AV97:AW97),2)</f>
        <v>0</v>
      </c>
      <c r="AU97" s="126">
        <f>'04 - OPZ-hala'!P118</f>
        <v>0</v>
      </c>
      <c r="AV97" s="125">
        <f>'04 - OPZ-hala'!J33</f>
        <v>0</v>
      </c>
      <c r="AW97" s="125">
        <f>'04 - OPZ-hala'!J34</f>
        <v>0</v>
      </c>
      <c r="AX97" s="125">
        <f>'04 - OPZ-hala'!J35</f>
        <v>0</v>
      </c>
      <c r="AY97" s="125">
        <f>'04 - OPZ-hala'!J36</f>
        <v>0</v>
      </c>
      <c r="AZ97" s="125">
        <f>'04 - OPZ-hala'!F33</f>
        <v>0</v>
      </c>
      <c r="BA97" s="125">
        <f>'04 - OPZ-hala'!F34</f>
        <v>0</v>
      </c>
      <c r="BB97" s="125">
        <f>'04 - OPZ-hala'!F35</f>
        <v>0</v>
      </c>
      <c r="BC97" s="125">
        <f>'04 - OPZ-hala'!F36</f>
        <v>0</v>
      </c>
      <c r="BD97" s="127">
        <f>'04 - OPZ-hala'!F37</f>
        <v>0</v>
      </c>
      <c r="BE97" s="7"/>
      <c r="BT97" s="128" t="s">
        <v>83</v>
      </c>
      <c r="BV97" s="128" t="s">
        <v>77</v>
      </c>
      <c r="BW97" s="128" t="s">
        <v>91</v>
      </c>
      <c r="BX97" s="128" t="s">
        <v>5</v>
      </c>
      <c r="CL97" s="128" t="s">
        <v>1</v>
      </c>
      <c r="CM97" s="128" t="s">
        <v>85</v>
      </c>
    </row>
    <row r="98" s="7" customFormat="1" ht="16.5" customHeight="1">
      <c r="A98" s="116" t="s">
        <v>79</v>
      </c>
      <c r="B98" s="117"/>
      <c r="C98" s="118"/>
      <c r="D98" s="119" t="s">
        <v>92</v>
      </c>
      <c r="E98" s="119"/>
      <c r="F98" s="119"/>
      <c r="G98" s="119"/>
      <c r="H98" s="119"/>
      <c r="I98" s="120"/>
      <c r="J98" s="119" t="s">
        <v>93</v>
      </c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21">
        <f>'03 - STL plynovody'!J30</f>
        <v>0</v>
      </c>
      <c r="AH98" s="120"/>
      <c r="AI98" s="120"/>
      <c r="AJ98" s="120"/>
      <c r="AK98" s="120"/>
      <c r="AL98" s="120"/>
      <c r="AM98" s="120"/>
      <c r="AN98" s="121">
        <f>SUM(AG98,AT98)</f>
        <v>0</v>
      </c>
      <c r="AO98" s="120"/>
      <c r="AP98" s="120"/>
      <c r="AQ98" s="122" t="s">
        <v>82</v>
      </c>
      <c r="AR98" s="123"/>
      <c r="AS98" s="124">
        <v>0</v>
      </c>
      <c r="AT98" s="125">
        <f>ROUND(SUM(AV98:AW98),2)</f>
        <v>0</v>
      </c>
      <c r="AU98" s="126">
        <f>'03 - STL plynovody'!P121</f>
        <v>0</v>
      </c>
      <c r="AV98" s="125">
        <f>'03 - STL plynovody'!J33</f>
        <v>0</v>
      </c>
      <c r="AW98" s="125">
        <f>'03 - STL plynovody'!J34</f>
        <v>0</v>
      </c>
      <c r="AX98" s="125">
        <f>'03 - STL plynovody'!J35</f>
        <v>0</v>
      </c>
      <c r="AY98" s="125">
        <f>'03 - STL plynovody'!J36</f>
        <v>0</v>
      </c>
      <c r="AZ98" s="125">
        <f>'03 - STL plynovody'!F33</f>
        <v>0</v>
      </c>
      <c r="BA98" s="125">
        <f>'03 - STL plynovody'!F34</f>
        <v>0</v>
      </c>
      <c r="BB98" s="125">
        <f>'03 - STL plynovody'!F35</f>
        <v>0</v>
      </c>
      <c r="BC98" s="125">
        <f>'03 - STL plynovody'!F36</f>
        <v>0</v>
      </c>
      <c r="BD98" s="127">
        <f>'03 - STL plynovody'!F37</f>
        <v>0</v>
      </c>
      <c r="BE98" s="7"/>
      <c r="BT98" s="128" t="s">
        <v>83</v>
      </c>
      <c r="BV98" s="128" t="s">
        <v>77</v>
      </c>
      <c r="BW98" s="128" t="s">
        <v>94</v>
      </c>
      <c r="BX98" s="128" t="s">
        <v>5</v>
      </c>
      <c r="CL98" s="128" t="s">
        <v>1</v>
      </c>
      <c r="CM98" s="128" t="s">
        <v>85</v>
      </c>
    </row>
    <row r="99" s="7" customFormat="1" ht="16.5" customHeight="1">
      <c r="A99" s="116" t="s">
        <v>79</v>
      </c>
      <c r="B99" s="117"/>
      <c r="C99" s="118"/>
      <c r="D99" s="119" t="s">
        <v>95</v>
      </c>
      <c r="E99" s="119"/>
      <c r="F99" s="119"/>
      <c r="G99" s="119"/>
      <c r="H99" s="119"/>
      <c r="I99" s="120"/>
      <c r="J99" s="119" t="s">
        <v>96</v>
      </c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21">
        <f>'05 - OPZ-kotelna'!J30</f>
        <v>0</v>
      </c>
      <c r="AH99" s="120"/>
      <c r="AI99" s="120"/>
      <c r="AJ99" s="120"/>
      <c r="AK99" s="120"/>
      <c r="AL99" s="120"/>
      <c r="AM99" s="120"/>
      <c r="AN99" s="121">
        <f>SUM(AG99,AT99)</f>
        <v>0</v>
      </c>
      <c r="AO99" s="120"/>
      <c r="AP99" s="120"/>
      <c r="AQ99" s="122" t="s">
        <v>82</v>
      </c>
      <c r="AR99" s="123"/>
      <c r="AS99" s="124">
        <v>0</v>
      </c>
      <c r="AT99" s="125">
        <f>ROUND(SUM(AV99:AW99),2)</f>
        <v>0</v>
      </c>
      <c r="AU99" s="126">
        <f>'05 - OPZ-kotelna'!P119</f>
        <v>0</v>
      </c>
      <c r="AV99" s="125">
        <f>'05 - OPZ-kotelna'!J33</f>
        <v>0</v>
      </c>
      <c r="AW99" s="125">
        <f>'05 - OPZ-kotelna'!J34</f>
        <v>0</v>
      </c>
      <c r="AX99" s="125">
        <f>'05 - OPZ-kotelna'!J35</f>
        <v>0</v>
      </c>
      <c r="AY99" s="125">
        <f>'05 - OPZ-kotelna'!J36</f>
        <v>0</v>
      </c>
      <c r="AZ99" s="125">
        <f>'05 - OPZ-kotelna'!F33</f>
        <v>0</v>
      </c>
      <c r="BA99" s="125">
        <f>'05 - OPZ-kotelna'!F34</f>
        <v>0</v>
      </c>
      <c r="BB99" s="125">
        <f>'05 - OPZ-kotelna'!F35</f>
        <v>0</v>
      </c>
      <c r="BC99" s="125">
        <f>'05 - OPZ-kotelna'!F36</f>
        <v>0</v>
      </c>
      <c r="BD99" s="127">
        <f>'05 - OPZ-kotelna'!F37</f>
        <v>0</v>
      </c>
      <c r="BE99" s="7"/>
      <c r="BT99" s="128" t="s">
        <v>83</v>
      </c>
      <c r="BV99" s="128" t="s">
        <v>77</v>
      </c>
      <c r="BW99" s="128" t="s">
        <v>97</v>
      </c>
      <c r="BX99" s="128" t="s">
        <v>5</v>
      </c>
      <c r="CL99" s="128" t="s">
        <v>1</v>
      </c>
      <c r="CM99" s="128" t="s">
        <v>85</v>
      </c>
    </row>
    <row r="100" s="7" customFormat="1" ht="16.5" customHeight="1">
      <c r="A100" s="116" t="s">
        <v>79</v>
      </c>
      <c r="B100" s="117"/>
      <c r="C100" s="118"/>
      <c r="D100" s="119" t="s">
        <v>98</v>
      </c>
      <c r="E100" s="119"/>
      <c r="F100" s="119"/>
      <c r="G100" s="119"/>
      <c r="H100" s="119"/>
      <c r="I100" s="120"/>
      <c r="J100" s="119" t="s">
        <v>99</v>
      </c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21">
        <f>'06 - Vytápění hala'!J30</f>
        <v>0</v>
      </c>
      <c r="AH100" s="120"/>
      <c r="AI100" s="120"/>
      <c r="AJ100" s="120"/>
      <c r="AK100" s="120"/>
      <c r="AL100" s="120"/>
      <c r="AM100" s="120"/>
      <c r="AN100" s="121">
        <f>SUM(AG100,AT100)</f>
        <v>0</v>
      </c>
      <c r="AO100" s="120"/>
      <c r="AP100" s="120"/>
      <c r="AQ100" s="122" t="s">
        <v>82</v>
      </c>
      <c r="AR100" s="123"/>
      <c r="AS100" s="129">
        <v>0</v>
      </c>
      <c r="AT100" s="130">
        <f>ROUND(SUM(AV100:AW100),2)</f>
        <v>0</v>
      </c>
      <c r="AU100" s="131">
        <f>'06 - Vytápění hala'!P122</f>
        <v>0</v>
      </c>
      <c r="AV100" s="130">
        <f>'06 - Vytápění hala'!J33</f>
        <v>0</v>
      </c>
      <c r="AW100" s="130">
        <f>'06 - Vytápění hala'!J34</f>
        <v>0</v>
      </c>
      <c r="AX100" s="130">
        <f>'06 - Vytápění hala'!J35</f>
        <v>0</v>
      </c>
      <c r="AY100" s="130">
        <f>'06 - Vytápění hala'!J36</f>
        <v>0</v>
      </c>
      <c r="AZ100" s="130">
        <f>'06 - Vytápění hala'!F33</f>
        <v>0</v>
      </c>
      <c r="BA100" s="130">
        <f>'06 - Vytápění hala'!F34</f>
        <v>0</v>
      </c>
      <c r="BB100" s="130">
        <f>'06 - Vytápění hala'!F35</f>
        <v>0</v>
      </c>
      <c r="BC100" s="130">
        <f>'06 - Vytápění hala'!F36</f>
        <v>0</v>
      </c>
      <c r="BD100" s="132">
        <f>'06 - Vytápění hala'!F37</f>
        <v>0</v>
      </c>
      <c r="BE100" s="7"/>
      <c r="BT100" s="128" t="s">
        <v>83</v>
      </c>
      <c r="BV100" s="128" t="s">
        <v>77</v>
      </c>
      <c r="BW100" s="128" t="s">
        <v>100</v>
      </c>
      <c r="BX100" s="128" t="s">
        <v>5</v>
      </c>
      <c r="CL100" s="128" t="s">
        <v>1</v>
      </c>
      <c r="CM100" s="128" t="s">
        <v>85</v>
      </c>
    </row>
    <row r="101" s="2" customFormat="1" ht="30" customHeight="1">
      <c r="A101" s="35"/>
      <c r="B101" s="36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41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</row>
    <row r="102" s="2" customFormat="1" ht="6.96" customHeight="1">
      <c r="A102" s="35"/>
      <c r="B102" s="63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41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</row>
  </sheetData>
  <sheetProtection sheet="1" formatColumns="0" formatRows="0" objects="1" scenarios="1" spinCount="100000" saltValue="6iF9QnWR3+zt7yu6IcJVJQMsSAXcbxFKz0/pWW6/5SxvI36SuqecNCPLLt4K9cOfhQYmlWXa0PpYTxMN3iSePQ==" hashValue="4cjyANiFATPy1cBskqv6TrF4MwjFz9sjfn2t7JRFWP6f0IQf385XiERAGDw40KEHzU4Zwt3D8XyKhFSiipCmnA==" algorithmName="SHA-512" password="F695"/>
  <mergeCells count="62">
    <mergeCell ref="L85:AO85"/>
    <mergeCell ref="AM87:AN87"/>
    <mergeCell ref="AM89:AP89"/>
    <mergeCell ref="AS89:AT91"/>
    <mergeCell ref="AM90:AP90"/>
    <mergeCell ref="C92:G92"/>
    <mergeCell ref="AG92:AM92"/>
    <mergeCell ref="I92:AF92"/>
    <mergeCell ref="AN92:AP92"/>
    <mergeCell ref="D95:H95"/>
    <mergeCell ref="AG95:AM95"/>
    <mergeCell ref="J95:AF95"/>
    <mergeCell ref="AN95:AP95"/>
    <mergeCell ref="J96:AF96"/>
    <mergeCell ref="D96:H96"/>
    <mergeCell ref="AG96:AM96"/>
    <mergeCell ref="AN96:AP96"/>
    <mergeCell ref="AN97:AP97"/>
    <mergeCell ref="D97:H97"/>
    <mergeCell ref="J97:AF97"/>
    <mergeCell ref="AG97:AM97"/>
    <mergeCell ref="AN98:AP98"/>
    <mergeCell ref="AG98:AM98"/>
    <mergeCell ref="D98:H98"/>
    <mergeCell ref="J98:AF98"/>
    <mergeCell ref="AN99:AP99"/>
    <mergeCell ref="AG99:AM99"/>
    <mergeCell ref="D99:H99"/>
    <mergeCell ref="J99:AF99"/>
    <mergeCell ref="AN100:AP100"/>
    <mergeCell ref="AG100:AM100"/>
    <mergeCell ref="D100:H100"/>
    <mergeCell ref="J100:AF100"/>
    <mergeCell ref="AG94:AM94"/>
    <mergeCell ref="AN94:AP94"/>
    <mergeCell ref="BE5:BE34"/>
    <mergeCell ref="K5:AO5"/>
    <mergeCell ref="K6:AO6"/>
    <mergeCell ref="E14:AJ14"/>
    <mergeCell ref="E23:AN23"/>
    <mergeCell ref="AK26:AO26"/>
    <mergeCell ref="L28:P28"/>
    <mergeCell ref="W28:AE28"/>
    <mergeCell ref="AK28:AO28"/>
    <mergeCell ref="W29:AE29"/>
    <mergeCell ref="L29:P29"/>
    <mergeCell ref="AK29:AO29"/>
    <mergeCell ref="AK30:AO30"/>
    <mergeCell ref="L30:P30"/>
    <mergeCell ref="W30:AE30"/>
    <mergeCell ref="L31:P31"/>
    <mergeCell ref="W31:AE31"/>
    <mergeCell ref="AK31:AO31"/>
    <mergeCell ref="AK32:AO32"/>
    <mergeCell ref="L32:P32"/>
    <mergeCell ref="W32:AE32"/>
    <mergeCell ref="AK33:AO33"/>
    <mergeCell ref="L33:P33"/>
    <mergeCell ref="W33:AE33"/>
    <mergeCell ref="AK35:AO35"/>
    <mergeCell ref="X35:AB35"/>
    <mergeCell ref="AR2:BE2"/>
  </mergeCells>
  <hyperlinks>
    <hyperlink ref="A95" location="'01 - 01-Vytápění-Kotelna'!C2" display="/"/>
    <hyperlink ref="A96" location="'02 - Vytápění- otop. sous...'!C2" display="/"/>
    <hyperlink ref="A97" location="'04 - OPZ-hala'!C2" display="/"/>
    <hyperlink ref="A98" location="'03 - STL plynovody'!C2" display="/"/>
    <hyperlink ref="A99" location="'05 - OPZ-kotelna'!C2" display="/"/>
    <hyperlink ref="A100" location="'06 - Vytápění hala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4" t="s">
        <v>84</v>
      </c>
    </row>
    <row r="3" s="1" customFormat="1" ht="6.96" customHeight="1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7"/>
      <c r="AT3" s="14" t="s">
        <v>85</v>
      </c>
    </row>
    <row r="4" s="1" customFormat="1" ht="24.96" customHeight="1">
      <c r="B4" s="17"/>
      <c r="D4" s="135" t="s">
        <v>101</v>
      </c>
      <c r="L4" s="17"/>
      <c r="M4" s="136" t="s">
        <v>10</v>
      </c>
      <c r="AT4" s="14" t="s">
        <v>4</v>
      </c>
    </row>
    <row r="5" s="1" customFormat="1" ht="6.96" customHeight="1">
      <c r="B5" s="17"/>
      <c r="L5" s="17"/>
    </row>
    <row r="6" s="1" customFormat="1" ht="12" customHeight="1">
      <c r="B6" s="17"/>
      <c r="D6" s="137" t="s">
        <v>16</v>
      </c>
      <c r="L6" s="17"/>
    </row>
    <row r="7" s="1" customFormat="1" ht="16.5" customHeight="1">
      <c r="B7" s="17"/>
      <c r="E7" s="138" t="str">
        <f>'Rekapitulace stavby'!K6</f>
        <v>Forestina Horaždovice- UT, OPZ</v>
      </c>
      <c r="F7" s="137"/>
      <c r="G7" s="137"/>
      <c r="H7" s="137"/>
      <c r="L7" s="17"/>
    </row>
    <row r="8" s="2" customFormat="1" ht="12" customHeight="1">
      <c r="A8" s="35"/>
      <c r="B8" s="41"/>
      <c r="C8" s="35"/>
      <c r="D8" s="137" t="s">
        <v>102</v>
      </c>
      <c r="E8" s="35"/>
      <c r="F8" s="35"/>
      <c r="G8" s="35"/>
      <c r="H8" s="35"/>
      <c r="I8" s="35"/>
      <c r="J8" s="35"/>
      <c r="K8" s="35"/>
      <c r="L8" s="6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="2" customFormat="1" ht="16.5" customHeight="1">
      <c r="A9" s="35"/>
      <c r="B9" s="41"/>
      <c r="C9" s="35"/>
      <c r="D9" s="35"/>
      <c r="E9" s="139" t="s">
        <v>103</v>
      </c>
      <c r="F9" s="35"/>
      <c r="G9" s="35"/>
      <c r="H9" s="35"/>
      <c r="I9" s="35"/>
      <c r="J9" s="35"/>
      <c r="K9" s="35"/>
      <c r="L9" s="6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="2" customFormat="1">
      <c r="A10" s="35"/>
      <c r="B10" s="41"/>
      <c r="C10" s="35"/>
      <c r="D10" s="35"/>
      <c r="E10" s="35"/>
      <c r="F10" s="35"/>
      <c r="G10" s="35"/>
      <c r="H10" s="35"/>
      <c r="I10" s="35"/>
      <c r="J10" s="35"/>
      <c r="K10" s="35"/>
      <c r="L10" s="6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="2" customFormat="1" ht="12" customHeight="1">
      <c r="A11" s="35"/>
      <c r="B11" s="41"/>
      <c r="C11" s="35"/>
      <c r="D11" s="137" t="s">
        <v>18</v>
      </c>
      <c r="E11" s="35"/>
      <c r="F11" s="140" t="s">
        <v>1</v>
      </c>
      <c r="G11" s="35"/>
      <c r="H11" s="35"/>
      <c r="I11" s="137" t="s">
        <v>19</v>
      </c>
      <c r="J11" s="140" t="s">
        <v>1</v>
      </c>
      <c r="K11" s="35"/>
      <c r="L11" s="6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="2" customFormat="1" ht="12" customHeight="1">
      <c r="A12" s="35"/>
      <c r="B12" s="41"/>
      <c r="C12" s="35"/>
      <c r="D12" s="137" t="s">
        <v>20</v>
      </c>
      <c r="E12" s="35"/>
      <c r="F12" s="140" t="s">
        <v>21</v>
      </c>
      <c r="G12" s="35"/>
      <c r="H12" s="35"/>
      <c r="I12" s="137" t="s">
        <v>22</v>
      </c>
      <c r="J12" s="141" t="str">
        <f>'Rekapitulace stavby'!AN8</f>
        <v>10. 6. 2025</v>
      </c>
      <c r="K12" s="35"/>
      <c r="L12" s="6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="2" customFormat="1" ht="10.8" customHeight="1">
      <c r="A13" s="35"/>
      <c r="B13" s="41"/>
      <c r="C13" s="35"/>
      <c r="D13" s="35"/>
      <c r="E13" s="35"/>
      <c r="F13" s="35"/>
      <c r="G13" s="35"/>
      <c r="H13" s="35"/>
      <c r="I13" s="35"/>
      <c r="J13" s="35"/>
      <c r="K13" s="35"/>
      <c r="L13" s="6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="2" customFormat="1" ht="12" customHeight="1">
      <c r="A14" s="35"/>
      <c r="B14" s="41"/>
      <c r="C14" s="35"/>
      <c r="D14" s="137" t="s">
        <v>24</v>
      </c>
      <c r="E14" s="35"/>
      <c r="F14" s="35"/>
      <c r="G14" s="35"/>
      <c r="H14" s="35"/>
      <c r="I14" s="137" t="s">
        <v>25</v>
      </c>
      <c r="J14" s="140" t="s">
        <v>1</v>
      </c>
      <c r="K14" s="35"/>
      <c r="L14" s="6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="2" customFormat="1" ht="18" customHeight="1">
      <c r="A15" s="35"/>
      <c r="B15" s="41"/>
      <c r="C15" s="35"/>
      <c r="D15" s="35"/>
      <c r="E15" s="140" t="s">
        <v>26</v>
      </c>
      <c r="F15" s="35"/>
      <c r="G15" s="35"/>
      <c r="H15" s="35"/>
      <c r="I15" s="137" t="s">
        <v>27</v>
      </c>
      <c r="J15" s="140" t="s">
        <v>1</v>
      </c>
      <c r="K15" s="35"/>
      <c r="L15" s="6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="2" customFormat="1" ht="6.96" customHeight="1">
      <c r="A16" s="35"/>
      <c r="B16" s="41"/>
      <c r="C16" s="35"/>
      <c r="D16" s="35"/>
      <c r="E16" s="35"/>
      <c r="F16" s="35"/>
      <c r="G16" s="35"/>
      <c r="H16" s="35"/>
      <c r="I16" s="35"/>
      <c r="J16" s="35"/>
      <c r="K16" s="35"/>
      <c r="L16" s="6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="2" customFormat="1" ht="12" customHeight="1">
      <c r="A17" s="35"/>
      <c r="B17" s="41"/>
      <c r="C17" s="35"/>
      <c r="D17" s="137" t="s">
        <v>28</v>
      </c>
      <c r="E17" s="35"/>
      <c r="F17" s="35"/>
      <c r="G17" s="35"/>
      <c r="H17" s="35"/>
      <c r="I17" s="137" t="s">
        <v>25</v>
      </c>
      <c r="J17" s="30" t="str">
        <f>'Rekapitulace stavby'!AN13</f>
        <v>Vyplň údaj</v>
      </c>
      <c r="K17" s="35"/>
      <c r="L17" s="6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="2" customFormat="1" ht="18" customHeight="1">
      <c r="A18" s="35"/>
      <c r="B18" s="41"/>
      <c r="C18" s="35"/>
      <c r="D18" s="35"/>
      <c r="E18" s="30" t="str">
        <f>'Rekapitulace stavby'!E14</f>
        <v>Vyplň údaj</v>
      </c>
      <c r="F18" s="140"/>
      <c r="G18" s="140"/>
      <c r="H18" s="140"/>
      <c r="I18" s="137" t="s">
        <v>27</v>
      </c>
      <c r="J18" s="30" t="str">
        <f>'Rekapitulace stavby'!AN14</f>
        <v>Vyplň údaj</v>
      </c>
      <c r="K18" s="35"/>
      <c r="L18" s="6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="2" customFormat="1" ht="6.96" customHeight="1">
      <c r="A19" s="35"/>
      <c r="B19" s="41"/>
      <c r="C19" s="35"/>
      <c r="D19" s="35"/>
      <c r="E19" s="35"/>
      <c r="F19" s="35"/>
      <c r="G19" s="35"/>
      <c r="H19" s="35"/>
      <c r="I19" s="35"/>
      <c r="J19" s="35"/>
      <c r="K19" s="35"/>
      <c r="L19" s="6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="2" customFormat="1" ht="12" customHeight="1">
      <c r="A20" s="35"/>
      <c r="B20" s="41"/>
      <c r="C20" s="35"/>
      <c r="D20" s="137" t="s">
        <v>30</v>
      </c>
      <c r="E20" s="35"/>
      <c r="F20" s="35"/>
      <c r="G20" s="35"/>
      <c r="H20" s="35"/>
      <c r="I20" s="137" t="s">
        <v>25</v>
      </c>
      <c r="J20" s="140" t="s">
        <v>1</v>
      </c>
      <c r="K20" s="35"/>
      <c r="L20" s="6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="2" customFormat="1" ht="18" customHeight="1">
      <c r="A21" s="35"/>
      <c r="B21" s="41"/>
      <c r="C21" s="35"/>
      <c r="D21" s="35"/>
      <c r="E21" s="140" t="s">
        <v>26</v>
      </c>
      <c r="F21" s="35"/>
      <c r="G21" s="35"/>
      <c r="H21" s="35"/>
      <c r="I21" s="137" t="s">
        <v>27</v>
      </c>
      <c r="J21" s="140" t="s">
        <v>1</v>
      </c>
      <c r="K21" s="35"/>
      <c r="L21" s="6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="2" customFormat="1" ht="6.96" customHeight="1">
      <c r="A22" s="35"/>
      <c r="B22" s="41"/>
      <c r="C22" s="35"/>
      <c r="D22" s="35"/>
      <c r="E22" s="35"/>
      <c r="F22" s="35"/>
      <c r="G22" s="35"/>
      <c r="H22" s="35"/>
      <c r="I22" s="35"/>
      <c r="J22" s="35"/>
      <c r="K22" s="35"/>
      <c r="L22" s="6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="2" customFormat="1" ht="12" customHeight="1">
      <c r="A23" s="35"/>
      <c r="B23" s="41"/>
      <c r="C23" s="35"/>
      <c r="D23" s="137" t="s">
        <v>32</v>
      </c>
      <c r="E23" s="35"/>
      <c r="F23" s="35"/>
      <c r="G23" s="35"/>
      <c r="H23" s="35"/>
      <c r="I23" s="137" t="s">
        <v>25</v>
      </c>
      <c r="J23" s="140" t="s">
        <v>1</v>
      </c>
      <c r="K23" s="35"/>
      <c r="L23" s="6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="2" customFormat="1" ht="18" customHeight="1">
      <c r="A24" s="35"/>
      <c r="B24" s="41"/>
      <c r="C24" s="35"/>
      <c r="D24" s="35"/>
      <c r="E24" s="140" t="s">
        <v>33</v>
      </c>
      <c r="F24" s="35"/>
      <c r="G24" s="35"/>
      <c r="H24" s="35"/>
      <c r="I24" s="137" t="s">
        <v>27</v>
      </c>
      <c r="J24" s="140" t="s">
        <v>1</v>
      </c>
      <c r="K24" s="35"/>
      <c r="L24" s="6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="2" customFormat="1" ht="6.96" customHeight="1">
      <c r="A25" s="35"/>
      <c r="B25" s="41"/>
      <c r="C25" s="35"/>
      <c r="D25" s="35"/>
      <c r="E25" s="35"/>
      <c r="F25" s="35"/>
      <c r="G25" s="35"/>
      <c r="H25" s="35"/>
      <c r="I25" s="35"/>
      <c r="J25" s="35"/>
      <c r="K25" s="35"/>
      <c r="L25" s="6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="2" customFormat="1" ht="12" customHeight="1">
      <c r="A26" s="35"/>
      <c r="B26" s="41"/>
      <c r="C26" s="35"/>
      <c r="D26" s="137" t="s">
        <v>34</v>
      </c>
      <c r="E26" s="35"/>
      <c r="F26" s="35"/>
      <c r="G26" s="35"/>
      <c r="H26" s="35"/>
      <c r="I26" s="35"/>
      <c r="J26" s="35"/>
      <c r="K26" s="35"/>
      <c r="L26" s="6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="8" customFormat="1" ht="16.5" customHeight="1">
      <c r="A27" s="142"/>
      <c r="B27" s="143"/>
      <c r="C27" s="142"/>
      <c r="D27" s="142"/>
      <c r="E27" s="144" t="s">
        <v>1</v>
      </c>
      <c r="F27" s="144"/>
      <c r="G27" s="144"/>
      <c r="H27" s="144"/>
      <c r="I27" s="142"/>
      <c r="J27" s="142"/>
      <c r="K27" s="142"/>
      <c r="L27" s="145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="2" customFormat="1" ht="6.96" customHeight="1">
      <c r="A28" s="35"/>
      <c r="B28" s="41"/>
      <c r="C28" s="35"/>
      <c r="D28" s="35"/>
      <c r="E28" s="35"/>
      <c r="F28" s="35"/>
      <c r="G28" s="35"/>
      <c r="H28" s="35"/>
      <c r="I28" s="35"/>
      <c r="J28" s="35"/>
      <c r="K28" s="35"/>
      <c r="L28" s="6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="2" customFormat="1" ht="6.96" customHeight="1">
      <c r="A29" s="35"/>
      <c r="B29" s="41"/>
      <c r="C29" s="35"/>
      <c r="D29" s="146"/>
      <c r="E29" s="146"/>
      <c r="F29" s="146"/>
      <c r="G29" s="146"/>
      <c r="H29" s="146"/>
      <c r="I29" s="146"/>
      <c r="J29" s="146"/>
      <c r="K29" s="146"/>
      <c r="L29" s="6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="2" customFormat="1" ht="25.44" customHeight="1">
      <c r="A30" s="35"/>
      <c r="B30" s="41"/>
      <c r="C30" s="35"/>
      <c r="D30" s="147" t="s">
        <v>35</v>
      </c>
      <c r="E30" s="35"/>
      <c r="F30" s="35"/>
      <c r="G30" s="35"/>
      <c r="H30" s="35"/>
      <c r="I30" s="35"/>
      <c r="J30" s="148">
        <f>ROUND(J123, 2)</f>
        <v>0</v>
      </c>
      <c r="K30" s="35"/>
      <c r="L30" s="6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="2" customFormat="1" ht="6.96" customHeight="1">
      <c r="A31" s="35"/>
      <c r="B31" s="41"/>
      <c r="C31" s="35"/>
      <c r="D31" s="146"/>
      <c r="E31" s="146"/>
      <c r="F31" s="146"/>
      <c r="G31" s="146"/>
      <c r="H31" s="146"/>
      <c r="I31" s="146"/>
      <c r="J31" s="146"/>
      <c r="K31" s="146"/>
      <c r="L31" s="6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="2" customFormat="1" ht="14.4" customHeight="1">
      <c r="A32" s="35"/>
      <c r="B32" s="41"/>
      <c r="C32" s="35"/>
      <c r="D32" s="35"/>
      <c r="E32" s="35"/>
      <c r="F32" s="149" t="s">
        <v>37</v>
      </c>
      <c r="G32" s="35"/>
      <c r="H32" s="35"/>
      <c r="I32" s="149" t="s">
        <v>36</v>
      </c>
      <c r="J32" s="149" t="s">
        <v>38</v>
      </c>
      <c r="K32" s="35"/>
      <c r="L32" s="6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="2" customFormat="1" ht="14.4" customHeight="1">
      <c r="A33" s="35"/>
      <c r="B33" s="41"/>
      <c r="C33" s="35"/>
      <c r="D33" s="150" t="s">
        <v>39</v>
      </c>
      <c r="E33" s="137" t="s">
        <v>40</v>
      </c>
      <c r="F33" s="151">
        <f>ROUND((SUM(BE123:BE234)),  2)</f>
        <v>0</v>
      </c>
      <c r="G33" s="35"/>
      <c r="H33" s="35"/>
      <c r="I33" s="152">
        <v>0.20999999999999999</v>
      </c>
      <c r="J33" s="151">
        <f>ROUND(((SUM(BE123:BE234))*I33),  2)</f>
        <v>0</v>
      </c>
      <c r="K33" s="35"/>
      <c r="L33" s="6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="2" customFormat="1" ht="14.4" customHeight="1">
      <c r="A34" s="35"/>
      <c r="B34" s="41"/>
      <c r="C34" s="35"/>
      <c r="D34" s="35"/>
      <c r="E34" s="137" t="s">
        <v>41</v>
      </c>
      <c r="F34" s="151">
        <f>ROUND((SUM(BF123:BF234)),  2)</f>
        <v>0</v>
      </c>
      <c r="G34" s="35"/>
      <c r="H34" s="35"/>
      <c r="I34" s="152">
        <v>0.12</v>
      </c>
      <c r="J34" s="151">
        <f>ROUND(((SUM(BF123:BF234))*I34),  2)</f>
        <v>0</v>
      </c>
      <c r="K34" s="35"/>
      <c r="L34" s="6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hidden="1" s="2" customFormat="1" ht="14.4" customHeight="1">
      <c r="A35" s="35"/>
      <c r="B35" s="41"/>
      <c r="C35" s="35"/>
      <c r="D35" s="35"/>
      <c r="E35" s="137" t="s">
        <v>42</v>
      </c>
      <c r="F35" s="151">
        <f>ROUND((SUM(BG123:BG234)),  2)</f>
        <v>0</v>
      </c>
      <c r="G35" s="35"/>
      <c r="H35" s="35"/>
      <c r="I35" s="152">
        <v>0.20999999999999999</v>
      </c>
      <c r="J35" s="151">
        <f>0</f>
        <v>0</v>
      </c>
      <c r="K35" s="35"/>
      <c r="L35" s="6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hidden="1" s="2" customFormat="1" ht="14.4" customHeight="1">
      <c r="A36" s="35"/>
      <c r="B36" s="41"/>
      <c r="C36" s="35"/>
      <c r="D36" s="35"/>
      <c r="E36" s="137" t="s">
        <v>43</v>
      </c>
      <c r="F36" s="151">
        <f>ROUND((SUM(BH123:BH234)),  2)</f>
        <v>0</v>
      </c>
      <c r="G36" s="35"/>
      <c r="H36" s="35"/>
      <c r="I36" s="152">
        <v>0.12</v>
      </c>
      <c r="J36" s="151">
        <f>0</f>
        <v>0</v>
      </c>
      <c r="K36" s="35"/>
      <c r="L36" s="6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hidden="1" s="2" customFormat="1" ht="14.4" customHeight="1">
      <c r="A37" s="35"/>
      <c r="B37" s="41"/>
      <c r="C37" s="35"/>
      <c r="D37" s="35"/>
      <c r="E37" s="137" t="s">
        <v>44</v>
      </c>
      <c r="F37" s="151">
        <f>ROUND((SUM(BI123:BI234)),  2)</f>
        <v>0</v>
      </c>
      <c r="G37" s="35"/>
      <c r="H37" s="35"/>
      <c r="I37" s="152">
        <v>0</v>
      </c>
      <c r="J37" s="151">
        <f>0</f>
        <v>0</v>
      </c>
      <c r="K37" s="35"/>
      <c r="L37" s="6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="2" customFormat="1" ht="6.96" customHeight="1">
      <c r="A38" s="35"/>
      <c r="B38" s="41"/>
      <c r="C38" s="35"/>
      <c r="D38" s="35"/>
      <c r="E38" s="35"/>
      <c r="F38" s="35"/>
      <c r="G38" s="35"/>
      <c r="H38" s="35"/>
      <c r="I38" s="35"/>
      <c r="J38" s="35"/>
      <c r="K38" s="35"/>
      <c r="L38" s="6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="2" customFormat="1" ht="25.44" customHeight="1">
      <c r="A39" s="35"/>
      <c r="B39" s="41"/>
      <c r="C39" s="153"/>
      <c r="D39" s="154" t="s">
        <v>45</v>
      </c>
      <c r="E39" s="155"/>
      <c r="F39" s="155"/>
      <c r="G39" s="156" t="s">
        <v>46</v>
      </c>
      <c r="H39" s="157" t="s">
        <v>47</v>
      </c>
      <c r="I39" s="155"/>
      <c r="J39" s="158">
        <f>SUM(J30:J37)</f>
        <v>0</v>
      </c>
      <c r="K39" s="159"/>
      <c r="L39" s="6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="2" customFormat="1" ht="14.4" customHeight="1">
      <c r="A40" s="35"/>
      <c r="B40" s="41"/>
      <c r="C40" s="35"/>
      <c r="D40" s="35"/>
      <c r="E40" s="35"/>
      <c r="F40" s="35"/>
      <c r="G40" s="35"/>
      <c r="H40" s="35"/>
      <c r="I40" s="35"/>
      <c r="J40" s="35"/>
      <c r="K40" s="35"/>
      <c r="L40" s="6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="1" customFormat="1" ht="14.4" customHeight="1">
      <c r="B41" s="17"/>
      <c r="L41" s="17"/>
    </row>
    <row r="42" s="1" customFormat="1" ht="14.4" customHeight="1">
      <c r="B42" s="17"/>
      <c r="L42" s="17"/>
    </row>
    <row r="43" s="1" customFormat="1" ht="14.4" customHeight="1">
      <c r="B43" s="17"/>
      <c r="L43" s="17"/>
    </row>
    <row r="44" s="1" customFormat="1" ht="14.4" customHeight="1">
      <c r="B44" s="17"/>
      <c r="L44" s="17"/>
    </row>
    <row r="45" s="1" customFormat="1" ht="14.4" customHeight="1">
      <c r="B45" s="17"/>
      <c r="L45" s="17"/>
    </row>
    <row r="46" s="1" customFormat="1" ht="14.4" customHeight="1">
      <c r="B46" s="17"/>
      <c r="L46" s="17"/>
    </row>
    <row r="47" s="1" customFormat="1" ht="14.4" customHeight="1">
      <c r="B47" s="17"/>
      <c r="L47" s="17"/>
    </row>
    <row r="48" s="1" customFormat="1" ht="14.4" customHeight="1">
      <c r="B48" s="17"/>
      <c r="L48" s="17"/>
    </row>
    <row r="49" s="1" customFormat="1" ht="14.4" customHeight="1">
      <c r="B49" s="17"/>
      <c r="L49" s="17"/>
    </row>
    <row r="50" s="2" customFormat="1" ht="14.4" customHeight="1">
      <c r="B50" s="60"/>
      <c r="D50" s="160" t="s">
        <v>48</v>
      </c>
      <c r="E50" s="161"/>
      <c r="F50" s="161"/>
      <c r="G50" s="160" t="s">
        <v>49</v>
      </c>
      <c r="H50" s="161"/>
      <c r="I50" s="161"/>
      <c r="J50" s="161"/>
      <c r="K50" s="161"/>
      <c r="L50" s="60"/>
    </row>
    <row r="51">
      <c r="B51" s="17"/>
      <c r="L51" s="17"/>
    </row>
    <row r="52">
      <c r="B52" s="17"/>
      <c r="L52" s="17"/>
    </row>
    <row r="53">
      <c r="B53" s="17"/>
      <c r="L53" s="17"/>
    </row>
    <row r="54">
      <c r="B54" s="17"/>
      <c r="L54" s="17"/>
    </row>
    <row r="55">
      <c r="B55" s="17"/>
      <c r="L55" s="17"/>
    </row>
    <row r="56">
      <c r="B56" s="17"/>
      <c r="L56" s="17"/>
    </row>
    <row r="57">
      <c r="B57" s="17"/>
      <c r="L57" s="17"/>
    </row>
    <row r="58">
      <c r="B58" s="17"/>
      <c r="L58" s="17"/>
    </row>
    <row r="59">
      <c r="B59" s="17"/>
      <c r="L59" s="17"/>
    </row>
    <row r="60">
      <c r="B60" s="17"/>
      <c r="L60" s="17"/>
    </row>
    <row r="61" s="2" customFormat="1">
      <c r="A61" s="35"/>
      <c r="B61" s="41"/>
      <c r="C61" s="35"/>
      <c r="D61" s="162" t="s">
        <v>50</v>
      </c>
      <c r="E61" s="163"/>
      <c r="F61" s="164" t="s">
        <v>51</v>
      </c>
      <c r="G61" s="162" t="s">
        <v>50</v>
      </c>
      <c r="H61" s="163"/>
      <c r="I61" s="163"/>
      <c r="J61" s="165" t="s">
        <v>51</v>
      </c>
      <c r="K61" s="163"/>
      <c r="L61" s="6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>
      <c r="B62" s="17"/>
      <c r="L62" s="17"/>
    </row>
    <row r="63">
      <c r="B63" s="17"/>
      <c r="L63" s="17"/>
    </row>
    <row r="64">
      <c r="B64" s="17"/>
      <c r="L64" s="17"/>
    </row>
    <row r="65" s="2" customFormat="1">
      <c r="A65" s="35"/>
      <c r="B65" s="41"/>
      <c r="C65" s="35"/>
      <c r="D65" s="160" t="s">
        <v>52</v>
      </c>
      <c r="E65" s="166"/>
      <c r="F65" s="166"/>
      <c r="G65" s="160" t="s">
        <v>53</v>
      </c>
      <c r="H65" s="166"/>
      <c r="I65" s="166"/>
      <c r="J65" s="166"/>
      <c r="K65" s="166"/>
      <c r="L65" s="6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>
      <c r="B66" s="17"/>
      <c r="L66" s="17"/>
    </row>
    <row r="67">
      <c r="B67" s="17"/>
      <c r="L67" s="17"/>
    </row>
    <row r="68">
      <c r="B68" s="17"/>
      <c r="L68" s="17"/>
    </row>
    <row r="69">
      <c r="B69" s="17"/>
      <c r="L69" s="17"/>
    </row>
    <row r="70">
      <c r="B70" s="17"/>
      <c r="L70" s="17"/>
    </row>
    <row r="71">
      <c r="B71" s="17"/>
      <c r="L71" s="17"/>
    </row>
    <row r="72">
      <c r="B72" s="17"/>
      <c r="L72" s="17"/>
    </row>
    <row r="73">
      <c r="B73" s="17"/>
      <c r="L73" s="17"/>
    </row>
    <row r="74">
      <c r="B74" s="17"/>
      <c r="L74" s="17"/>
    </row>
    <row r="75">
      <c r="B75" s="17"/>
      <c r="L75" s="17"/>
    </row>
    <row r="76" s="2" customFormat="1">
      <c r="A76" s="35"/>
      <c r="B76" s="41"/>
      <c r="C76" s="35"/>
      <c r="D76" s="162" t="s">
        <v>50</v>
      </c>
      <c r="E76" s="163"/>
      <c r="F76" s="164" t="s">
        <v>51</v>
      </c>
      <c r="G76" s="162" t="s">
        <v>50</v>
      </c>
      <c r="H76" s="163"/>
      <c r="I76" s="163"/>
      <c r="J76" s="165" t="s">
        <v>51</v>
      </c>
      <c r="K76" s="163"/>
      <c r="L76" s="6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="2" customFormat="1" ht="14.4" customHeight="1">
      <c r="A77" s="35"/>
      <c r="B77" s="167"/>
      <c r="C77" s="168"/>
      <c r="D77" s="168"/>
      <c r="E77" s="168"/>
      <c r="F77" s="168"/>
      <c r="G77" s="168"/>
      <c r="H77" s="168"/>
      <c r="I77" s="168"/>
      <c r="J77" s="168"/>
      <c r="K77" s="168"/>
      <c r="L77" s="6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81" s="2" customFormat="1" ht="6.96" customHeight="1">
      <c r="A81" s="35"/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6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="2" customFormat="1" ht="24.96" customHeight="1">
      <c r="A82" s="35"/>
      <c r="B82" s="36"/>
      <c r="C82" s="20" t="s">
        <v>104</v>
      </c>
      <c r="D82" s="37"/>
      <c r="E82" s="37"/>
      <c r="F82" s="37"/>
      <c r="G82" s="37"/>
      <c r="H82" s="37"/>
      <c r="I82" s="37"/>
      <c r="J82" s="37"/>
      <c r="K82" s="37"/>
      <c r="L82" s="6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="2" customFormat="1" ht="6.96" customHeight="1">
      <c r="A83" s="35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6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="2" customFormat="1" ht="12" customHeight="1">
      <c r="A84" s="35"/>
      <c r="B84" s="36"/>
      <c r="C84" s="29" t="s">
        <v>16</v>
      </c>
      <c r="D84" s="37"/>
      <c r="E84" s="37"/>
      <c r="F84" s="37"/>
      <c r="G84" s="37"/>
      <c r="H84" s="37"/>
      <c r="I84" s="37"/>
      <c r="J84" s="37"/>
      <c r="K84" s="37"/>
      <c r="L84" s="6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="2" customFormat="1" ht="16.5" customHeight="1">
      <c r="A85" s="35"/>
      <c r="B85" s="36"/>
      <c r="C85" s="37"/>
      <c r="D85" s="37"/>
      <c r="E85" s="171" t="str">
        <f>E7</f>
        <v>Forestina Horaždovice- UT, OPZ</v>
      </c>
      <c r="F85" s="29"/>
      <c r="G85" s="29"/>
      <c r="H85" s="29"/>
      <c r="I85" s="37"/>
      <c r="J85" s="37"/>
      <c r="K85" s="37"/>
      <c r="L85" s="6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="2" customFormat="1" ht="12" customHeight="1">
      <c r="A86" s="35"/>
      <c r="B86" s="36"/>
      <c r="C86" s="29" t="s">
        <v>102</v>
      </c>
      <c r="D86" s="37"/>
      <c r="E86" s="37"/>
      <c r="F86" s="37"/>
      <c r="G86" s="37"/>
      <c r="H86" s="37"/>
      <c r="I86" s="37"/>
      <c r="J86" s="37"/>
      <c r="K86" s="37"/>
      <c r="L86" s="6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="2" customFormat="1" ht="16.5" customHeight="1">
      <c r="A87" s="35"/>
      <c r="B87" s="36"/>
      <c r="C87" s="37"/>
      <c r="D87" s="37"/>
      <c r="E87" s="73" t="str">
        <f>E9</f>
        <v>01 - 01-Vytápění-Kotelna</v>
      </c>
      <c r="F87" s="37"/>
      <c r="G87" s="37"/>
      <c r="H87" s="37"/>
      <c r="I87" s="37"/>
      <c r="J87" s="37"/>
      <c r="K87" s="37"/>
      <c r="L87" s="6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="2" customFormat="1" ht="6.96" customHeight="1">
      <c r="A88" s="35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6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="2" customFormat="1" ht="12" customHeight="1">
      <c r="A89" s="35"/>
      <c r="B89" s="36"/>
      <c r="C89" s="29" t="s">
        <v>20</v>
      </c>
      <c r="D89" s="37"/>
      <c r="E89" s="37"/>
      <c r="F89" s="24" t="str">
        <f>F12</f>
        <v>Horaždovice</v>
      </c>
      <c r="G89" s="37"/>
      <c r="H89" s="37"/>
      <c r="I89" s="29" t="s">
        <v>22</v>
      </c>
      <c r="J89" s="76" t="str">
        <f>IF(J12="","",J12)</f>
        <v>10. 6. 2025</v>
      </c>
      <c r="K89" s="37"/>
      <c r="L89" s="6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="2" customFormat="1" ht="6.96" customHeight="1">
      <c r="A90" s="35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6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="2" customFormat="1" ht="15.15" customHeight="1">
      <c r="A91" s="35"/>
      <c r="B91" s="36"/>
      <c r="C91" s="29" t="s">
        <v>24</v>
      </c>
      <c r="D91" s="37"/>
      <c r="E91" s="37"/>
      <c r="F91" s="24" t="str">
        <f>E15</f>
        <v xml:space="preserve"> </v>
      </c>
      <c r="G91" s="37"/>
      <c r="H91" s="37"/>
      <c r="I91" s="29" t="s">
        <v>30</v>
      </c>
      <c r="J91" s="33" t="str">
        <f>E21</f>
        <v xml:space="preserve"> </v>
      </c>
      <c r="K91" s="37"/>
      <c r="L91" s="6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="2" customFormat="1" ht="15.15" customHeight="1">
      <c r="A92" s="35"/>
      <c r="B92" s="36"/>
      <c r="C92" s="29" t="s">
        <v>28</v>
      </c>
      <c r="D92" s="37"/>
      <c r="E92" s="37"/>
      <c r="F92" s="24" t="str">
        <f>IF(E18="","",E18)</f>
        <v>Vyplň údaj</v>
      </c>
      <c r="G92" s="37"/>
      <c r="H92" s="37"/>
      <c r="I92" s="29" t="s">
        <v>32</v>
      </c>
      <c r="J92" s="33" t="str">
        <f>E24</f>
        <v xml:space="preserve">Ing. pavel Míka </v>
      </c>
      <c r="K92" s="37"/>
      <c r="L92" s="6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="2" customFormat="1" ht="10.32" customHeight="1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6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="2" customFormat="1" ht="29.28" customHeight="1">
      <c r="A94" s="35"/>
      <c r="B94" s="36"/>
      <c r="C94" s="172" t="s">
        <v>105</v>
      </c>
      <c r="D94" s="173"/>
      <c r="E94" s="173"/>
      <c r="F94" s="173"/>
      <c r="G94" s="173"/>
      <c r="H94" s="173"/>
      <c r="I94" s="173"/>
      <c r="J94" s="174" t="s">
        <v>106</v>
      </c>
      <c r="K94" s="173"/>
      <c r="L94" s="6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="2" customFormat="1" ht="10.32" customHeight="1">
      <c r="A95" s="35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6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="2" customFormat="1" ht="22.8" customHeight="1">
      <c r="A96" s="35"/>
      <c r="B96" s="36"/>
      <c r="C96" s="175" t="s">
        <v>107</v>
      </c>
      <c r="D96" s="37"/>
      <c r="E96" s="37"/>
      <c r="F96" s="37"/>
      <c r="G96" s="37"/>
      <c r="H96" s="37"/>
      <c r="I96" s="37"/>
      <c r="J96" s="107">
        <f>J123</f>
        <v>0</v>
      </c>
      <c r="K96" s="37"/>
      <c r="L96" s="6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U96" s="14" t="s">
        <v>108</v>
      </c>
    </row>
    <row r="97" s="9" customFormat="1" ht="24.96" customHeight="1">
      <c r="A97" s="9"/>
      <c r="B97" s="176"/>
      <c r="C97" s="177"/>
      <c r="D97" s="178" t="s">
        <v>109</v>
      </c>
      <c r="E97" s="179"/>
      <c r="F97" s="179"/>
      <c r="G97" s="179"/>
      <c r="H97" s="179"/>
      <c r="I97" s="179"/>
      <c r="J97" s="180">
        <f>J124</f>
        <v>0</v>
      </c>
      <c r="K97" s="177"/>
      <c r="L97" s="181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2"/>
      <c r="C98" s="183"/>
      <c r="D98" s="184" t="s">
        <v>110</v>
      </c>
      <c r="E98" s="185"/>
      <c r="F98" s="185"/>
      <c r="G98" s="185"/>
      <c r="H98" s="185"/>
      <c r="I98" s="185"/>
      <c r="J98" s="186">
        <f>J125</f>
        <v>0</v>
      </c>
      <c r="K98" s="183"/>
      <c r="L98" s="187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2"/>
      <c r="C99" s="183"/>
      <c r="D99" s="184" t="s">
        <v>111</v>
      </c>
      <c r="E99" s="185"/>
      <c r="F99" s="185"/>
      <c r="G99" s="185"/>
      <c r="H99" s="185"/>
      <c r="I99" s="185"/>
      <c r="J99" s="186">
        <f>J135</f>
        <v>0</v>
      </c>
      <c r="K99" s="183"/>
      <c r="L99" s="187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2"/>
      <c r="C100" s="183"/>
      <c r="D100" s="184" t="s">
        <v>112</v>
      </c>
      <c r="E100" s="185"/>
      <c r="F100" s="185"/>
      <c r="G100" s="185"/>
      <c r="H100" s="185"/>
      <c r="I100" s="185"/>
      <c r="J100" s="186">
        <f>J161</f>
        <v>0</v>
      </c>
      <c r="K100" s="183"/>
      <c r="L100" s="187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2"/>
      <c r="C101" s="183"/>
      <c r="D101" s="184" t="s">
        <v>113</v>
      </c>
      <c r="E101" s="185"/>
      <c r="F101" s="185"/>
      <c r="G101" s="185"/>
      <c r="H101" s="185"/>
      <c r="I101" s="185"/>
      <c r="J101" s="186">
        <f>J187</f>
        <v>0</v>
      </c>
      <c r="K101" s="183"/>
      <c r="L101" s="187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82"/>
      <c r="C102" s="183"/>
      <c r="D102" s="184" t="s">
        <v>114</v>
      </c>
      <c r="E102" s="185"/>
      <c r="F102" s="185"/>
      <c r="G102" s="185"/>
      <c r="H102" s="185"/>
      <c r="I102" s="185"/>
      <c r="J102" s="186">
        <f>J204</f>
        <v>0</v>
      </c>
      <c r="K102" s="183"/>
      <c r="L102" s="187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10" customFormat="1" ht="19.92" customHeight="1">
      <c r="A103" s="10"/>
      <c r="B103" s="182"/>
      <c r="C103" s="183"/>
      <c r="D103" s="184" t="s">
        <v>115</v>
      </c>
      <c r="E103" s="185"/>
      <c r="F103" s="185"/>
      <c r="G103" s="185"/>
      <c r="H103" s="185"/>
      <c r="I103" s="185"/>
      <c r="J103" s="186">
        <f>J232</f>
        <v>0</v>
      </c>
      <c r="K103" s="183"/>
      <c r="L103" s="187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2" customFormat="1" ht="21.84" customHeight="1">
      <c r="A104" s="35"/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60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 s="2" customFormat="1" ht="6.96" customHeight="1">
      <c r="A105" s="35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0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  <row r="109" s="2" customFormat="1" ht="6.96" customHeight="1">
      <c r="A109" s="35"/>
      <c r="B109" s="65"/>
      <c r="C109" s="66"/>
      <c r="D109" s="66"/>
      <c r="E109" s="66"/>
      <c r="F109" s="66"/>
      <c r="G109" s="66"/>
      <c r="H109" s="66"/>
      <c r="I109" s="66"/>
      <c r="J109" s="66"/>
      <c r="K109" s="66"/>
      <c r="L109" s="6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</row>
    <row r="110" s="2" customFormat="1" ht="24.96" customHeight="1">
      <c r="A110" s="35"/>
      <c r="B110" s="36"/>
      <c r="C110" s="20" t="s">
        <v>116</v>
      </c>
      <c r="D110" s="37"/>
      <c r="E110" s="37"/>
      <c r="F110" s="37"/>
      <c r="G110" s="37"/>
      <c r="H110" s="37"/>
      <c r="I110" s="37"/>
      <c r="J110" s="37"/>
      <c r="K110" s="37"/>
      <c r="L110" s="6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 s="2" customFormat="1" ht="6.96" customHeight="1">
      <c r="A111" s="35"/>
      <c r="B111" s="36"/>
      <c r="C111" s="37"/>
      <c r="D111" s="37"/>
      <c r="E111" s="37"/>
      <c r="F111" s="37"/>
      <c r="G111" s="37"/>
      <c r="H111" s="37"/>
      <c r="I111" s="37"/>
      <c r="J111" s="37"/>
      <c r="K111" s="37"/>
      <c r="L111" s="6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 s="2" customFormat="1" ht="12" customHeight="1">
      <c r="A112" s="35"/>
      <c r="B112" s="36"/>
      <c r="C112" s="29" t="s">
        <v>16</v>
      </c>
      <c r="D112" s="37"/>
      <c r="E112" s="37"/>
      <c r="F112" s="37"/>
      <c r="G112" s="37"/>
      <c r="H112" s="37"/>
      <c r="I112" s="37"/>
      <c r="J112" s="37"/>
      <c r="K112" s="37"/>
      <c r="L112" s="6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 s="2" customFormat="1" ht="16.5" customHeight="1">
      <c r="A113" s="35"/>
      <c r="B113" s="36"/>
      <c r="C113" s="37"/>
      <c r="D113" s="37"/>
      <c r="E113" s="171" t="str">
        <f>E7</f>
        <v>Forestina Horaždovice- UT, OPZ</v>
      </c>
      <c r="F113" s="29"/>
      <c r="G113" s="29"/>
      <c r="H113" s="29"/>
      <c r="I113" s="37"/>
      <c r="J113" s="37"/>
      <c r="K113" s="37"/>
      <c r="L113" s="6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 s="2" customFormat="1" ht="12" customHeight="1">
      <c r="A114" s="35"/>
      <c r="B114" s="36"/>
      <c r="C114" s="29" t="s">
        <v>102</v>
      </c>
      <c r="D114" s="37"/>
      <c r="E114" s="37"/>
      <c r="F114" s="37"/>
      <c r="G114" s="37"/>
      <c r="H114" s="37"/>
      <c r="I114" s="37"/>
      <c r="J114" s="37"/>
      <c r="K114" s="37"/>
      <c r="L114" s="6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 s="2" customFormat="1" ht="16.5" customHeight="1">
      <c r="A115" s="35"/>
      <c r="B115" s="36"/>
      <c r="C115" s="37"/>
      <c r="D115" s="37"/>
      <c r="E115" s="73" t="str">
        <f>E9</f>
        <v>01 - 01-Vytápění-Kotelna</v>
      </c>
      <c r="F115" s="37"/>
      <c r="G115" s="37"/>
      <c r="H115" s="37"/>
      <c r="I115" s="37"/>
      <c r="J115" s="37"/>
      <c r="K115" s="37"/>
      <c r="L115" s="6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 s="2" customFormat="1" ht="6.96" customHeight="1">
      <c r="A116" s="35"/>
      <c r="B116" s="36"/>
      <c r="C116" s="37"/>
      <c r="D116" s="37"/>
      <c r="E116" s="37"/>
      <c r="F116" s="37"/>
      <c r="G116" s="37"/>
      <c r="H116" s="37"/>
      <c r="I116" s="37"/>
      <c r="J116" s="37"/>
      <c r="K116" s="37"/>
      <c r="L116" s="6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="2" customFormat="1" ht="12" customHeight="1">
      <c r="A117" s="35"/>
      <c r="B117" s="36"/>
      <c r="C117" s="29" t="s">
        <v>20</v>
      </c>
      <c r="D117" s="37"/>
      <c r="E117" s="37"/>
      <c r="F117" s="24" t="str">
        <f>F12</f>
        <v>Horaždovice</v>
      </c>
      <c r="G117" s="37"/>
      <c r="H117" s="37"/>
      <c r="I117" s="29" t="s">
        <v>22</v>
      </c>
      <c r="J117" s="76" t="str">
        <f>IF(J12="","",J12)</f>
        <v>10. 6. 2025</v>
      </c>
      <c r="K117" s="37"/>
      <c r="L117" s="60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="2" customFormat="1" ht="6.96" customHeight="1">
      <c r="A118" s="35"/>
      <c r="B118" s="36"/>
      <c r="C118" s="37"/>
      <c r="D118" s="37"/>
      <c r="E118" s="37"/>
      <c r="F118" s="37"/>
      <c r="G118" s="37"/>
      <c r="H118" s="37"/>
      <c r="I118" s="37"/>
      <c r="J118" s="37"/>
      <c r="K118" s="37"/>
      <c r="L118" s="60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</row>
    <row r="119" s="2" customFormat="1" ht="15.15" customHeight="1">
      <c r="A119" s="35"/>
      <c r="B119" s="36"/>
      <c r="C119" s="29" t="s">
        <v>24</v>
      </c>
      <c r="D119" s="37"/>
      <c r="E119" s="37"/>
      <c r="F119" s="24" t="str">
        <f>E15</f>
        <v xml:space="preserve"> </v>
      </c>
      <c r="G119" s="37"/>
      <c r="H119" s="37"/>
      <c r="I119" s="29" t="s">
        <v>30</v>
      </c>
      <c r="J119" s="33" t="str">
        <f>E21</f>
        <v xml:space="preserve"> </v>
      </c>
      <c r="K119" s="37"/>
      <c r="L119" s="60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</row>
    <row r="120" s="2" customFormat="1" ht="15.15" customHeight="1">
      <c r="A120" s="35"/>
      <c r="B120" s="36"/>
      <c r="C120" s="29" t="s">
        <v>28</v>
      </c>
      <c r="D120" s="37"/>
      <c r="E120" s="37"/>
      <c r="F120" s="24" t="str">
        <f>IF(E18="","",E18)</f>
        <v>Vyplň údaj</v>
      </c>
      <c r="G120" s="37"/>
      <c r="H120" s="37"/>
      <c r="I120" s="29" t="s">
        <v>32</v>
      </c>
      <c r="J120" s="33" t="str">
        <f>E24</f>
        <v xml:space="preserve">Ing. pavel Míka </v>
      </c>
      <c r="K120" s="37"/>
      <c r="L120" s="60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</row>
    <row r="121" s="2" customFormat="1" ht="10.32" customHeight="1">
      <c r="A121" s="35"/>
      <c r="B121" s="36"/>
      <c r="C121" s="37"/>
      <c r="D121" s="37"/>
      <c r="E121" s="37"/>
      <c r="F121" s="37"/>
      <c r="G121" s="37"/>
      <c r="H121" s="37"/>
      <c r="I121" s="37"/>
      <c r="J121" s="37"/>
      <c r="K121" s="37"/>
      <c r="L121" s="60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</row>
    <row r="122" s="11" customFormat="1" ht="29.28" customHeight="1">
      <c r="A122" s="188"/>
      <c r="B122" s="189"/>
      <c r="C122" s="190" t="s">
        <v>117</v>
      </c>
      <c r="D122" s="191" t="s">
        <v>60</v>
      </c>
      <c r="E122" s="191" t="s">
        <v>56</v>
      </c>
      <c r="F122" s="191" t="s">
        <v>57</v>
      </c>
      <c r="G122" s="191" t="s">
        <v>118</v>
      </c>
      <c r="H122" s="191" t="s">
        <v>119</v>
      </c>
      <c r="I122" s="191" t="s">
        <v>120</v>
      </c>
      <c r="J122" s="192" t="s">
        <v>106</v>
      </c>
      <c r="K122" s="193" t="s">
        <v>121</v>
      </c>
      <c r="L122" s="194"/>
      <c r="M122" s="97" t="s">
        <v>1</v>
      </c>
      <c r="N122" s="98" t="s">
        <v>39</v>
      </c>
      <c r="O122" s="98" t="s">
        <v>122</v>
      </c>
      <c r="P122" s="98" t="s">
        <v>123</v>
      </c>
      <c r="Q122" s="98" t="s">
        <v>124</v>
      </c>
      <c r="R122" s="98" t="s">
        <v>125</v>
      </c>
      <c r="S122" s="98" t="s">
        <v>126</v>
      </c>
      <c r="T122" s="99" t="s">
        <v>127</v>
      </c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</row>
    <row r="123" s="2" customFormat="1" ht="22.8" customHeight="1">
      <c r="A123" s="35"/>
      <c r="B123" s="36"/>
      <c r="C123" s="104" t="s">
        <v>128</v>
      </c>
      <c r="D123" s="37"/>
      <c r="E123" s="37"/>
      <c r="F123" s="37"/>
      <c r="G123" s="37"/>
      <c r="H123" s="37"/>
      <c r="I123" s="37"/>
      <c r="J123" s="195">
        <f>BK123</f>
        <v>0</v>
      </c>
      <c r="K123" s="37"/>
      <c r="L123" s="41"/>
      <c r="M123" s="100"/>
      <c r="N123" s="196"/>
      <c r="O123" s="101"/>
      <c r="P123" s="197">
        <f>P124</f>
        <v>0</v>
      </c>
      <c r="Q123" s="101"/>
      <c r="R123" s="197">
        <f>R124</f>
        <v>0.77017000000000013</v>
      </c>
      <c r="S123" s="101"/>
      <c r="T123" s="198">
        <f>T124</f>
        <v>0</v>
      </c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T123" s="14" t="s">
        <v>74</v>
      </c>
      <c r="AU123" s="14" t="s">
        <v>108</v>
      </c>
      <c r="BK123" s="199">
        <f>BK124</f>
        <v>0</v>
      </c>
    </row>
    <row r="124" s="12" customFormat="1" ht="25.92" customHeight="1">
      <c r="A124" s="12"/>
      <c r="B124" s="200"/>
      <c r="C124" s="201"/>
      <c r="D124" s="202" t="s">
        <v>74</v>
      </c>
      <c r="E124" s="203" t="s">
        <v>129</v>
      </c>
      <c r="F124" s="203" t="s">
        <v>130</v>
      </c>
      <c r="G124" s="201"/>
      <c r="H124" s="201"/>
      <c r="I124" s="204"/>
      <c r="J124" s="205">
        <f>BK124</f>
        <v>0</v>
      </c>
      <c r="K124" s="201"/>
      <c r="L124" s="206"/>
      <c r="M124" s="207"/>
      <c r="N124" s="208"/>
      <c r="O124" s="208"/>
      <c r="P124" s="209">
        <f>P125+P135+P161+P187+P204+P232</f>
        <v>0</v>
      </c>
      <c r="Q124" s="208"/>
      <c r="R124" s="209">
        <f>R125+R135+R161+R187+R204+R232</f>
        <v>0.77017000000000013</v>
      </c>
      <c r="S124" s="208"/>
      <c r="T124" s="210">
        <f>T125+T135+T161+T187+T204+T232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1" t="s">
        <v>85</v>
      </c>
      <c r="AT124" s="212" t="s">
        <v>74</v>
      </c>
      <c r="AU124" s="212" t="s">
        <v>75</v>
      </c>
      <c r="AY124" s="211" t="s">
        <v>131</v>
      </c>
      <c r="BK124" s="213">
        <f>BK125+BK135+BK161+BK187+BK204+BK232</f>
        <v>0</v>
      </c>
    </row>
    <row r="125" s="12" customFormat="1" ht="22.8" customHeight="1">
      <c r="A125" s="12"/>
      <c r="B125" s="200"/>
      <c r="C125" s="201"/>
      <c r="D125" s="202" t="s">
        <v>74</v>
      </c>
      <c r="E125" s="214" t="s">
        <v>132</v>
      </c>
      <c r="F125" s="214" t="s">
        <v>133</v>
      </c>
      <c r="G125" s="201"/>
      <c r="H125" s="201"/>
      <c r="I125" s="204"/>
      <c r="J125" s="215">
        <f>BK125</f>
        <v>0</v>
      </c>
      <c r="K125" s="201"/>
      <c r="L125" s="206"/>
      <c r="M125" s="207"/>
      <c r="N125" s="208"/>
      <c r="O125" s="208"/>
      <c r="P125" s="209">
        <f>SUM(P126:P134)</f>
        <v>0</v>
      </c>
      <c r="Q125" s="208"/>
      <c r="R125" s="209">
        <f>SUM(R126:R134)</f>
        <v>0.029060000000000002</v>
      </c>
      <c r="S125" s="208"/>
      <c r="T125" s="210">
        <f>SUM(T126:T134)</f>
        <v>0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R125" s="211" t="s">
        <v>85</v>
      </c>
      <c r="AT125" s="212" t="s">
        <v>74</v>
      </c>
      <c r="AU125" s="212" t="s">
        <v>83</v>
      </c>
      <c r="AY125" s="211" t="s">
        <v>131</v>
      </c>
      <c r="BK125" s="213">
        <f>SUM(BK126:BK134)</f>
        <v>0</v>
      </c>
    </row>
    <row r="126" s="2" customFormat="1" ht="49.05" customHeight="1">
      <c r="A126" s="35"/>
      <c r="B126" s="36"/>
      <c r="C126" s="216" t="s">
        <v>83</v>
      </c>
      <c r="D126" s="216" t="s">
        <v>134</v>
      </c>
      <c r="E126" s="217" t="s">
        <v>135</v>
      </c>
      <c r="F126" s="218" t="s">
        <v>136</v>
      </c>
      <c r="G126" s="219" t="s">
        <v>137</v>
      </c>
      <c r="H126" s="220">
        <v>2</v>
      </c>
      <c r="I126" s="221"/>
      <c r="J126" s="222">
        <f>ROUND(I126*H126,2)</f>
        <v>0</v>
      </c>
      <c r="K126" s="223"/>
      <c r="L126" s="41"/>
      <c r="M126" s="224" t="s">
        <v>1</v>
      </c>
      <c r="N126" s="225" t="s">
        <v>40</v>
      </c>
      <c r="O126" s="88"/>
      <c r="P126" s="226">
        <f>O126*H126</f>
        <v>0</v>
      </c>
      <c r="Q126" s="226">
        <v>0.00052999999999999998</v>
      </c>
      <c r="R126" s="226">
        <f>Q126*H126</f>
        <v>0.00106</v>
      </c>
      <c r="S126" s="226">
        <v>0</v>
      </c>
      <c r="T126" s="227">
        <f>S126*H126</f>
        <v>0</v>
      </c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R126" s="228" t="s">
        <v>138</v>
      </c>
      <c r="AT126" s="228" t="s">
        <v>134</v>
      </c>
      <c r="AU126" s="228" t="s">
        <v>85</v>
      </c>
      <c r="AY126" s="14" t="s">
        <v>131</v>
      </c>
      <c r="BE126" s="229">
        <f>IF(N126="základní",J126,0)</f>
        <v>0</v>
      </c>
      <c r="BF126" s="229">
        <f>IF(N126="snížená",J126,0)</f>
        <v>0</v>
      </c>
      <c r="BG126" s="229">
        <f>IF(N126="zákl. přenesená",J126,0)</f>
        <v>0</v>
      </c>
      <c r="BH126" s="229">
        <f>IF(N126="sníž. přenesená",J126,0)</f>
        <v>0</v>
      </c>
      <c r="BI126" s="229">
        <f>IF(N126="nulová",J126,0)</f>
        <v>0</v>
      </c>
      <c r="BJ126" s="14" t="s">
        <v>83</v>
      </c>
      <c r="BK126" s="229">
        <f>ROUND(I126*H126,2)</f>
        <v>0</v>
      </c>
      <c r="BL126" s="14" t="s">
        <v>138</v>
      </c>
      <c r="BM126" s="228" t="s">
        <v>139</v>
      </c>
    </row>
    <row r="127" s="2" customFormat="1" ht="66.75" customHeight="1">
      <c r="A127" s="35"/>
      <c r="B127" s="36"/>
      <c r="C127" s="216" t="s">
        <v>85</v>
      </c>
      <c r="D127" s="216" t="s">
        <v>134</v>
      </c>
      <c r="E127" s="217" t="s">
        <v>140</v>
      </c>
      <c r="F127" s="218" t="s">
        <v>141</v>
      </c>
      <c r="G127" s="219" t="s">
        <v>142</v>
      </c>
      <c r="H127" s="220">
        <v>30</v>
      </c>
      <c r="I127" s="221"/>
      <c r="J127" s="222">
        <f>ROUND(I127*H127,2)</f>
        <v>0</v>
      </c>
      <c r="K127" s="223"/>
      <c r="L127" s="41"/>
      <c r="M127" s="224" t="s">
        <v>1</v>
      </c>
      <c r="N127" s="225" t="s">
        <v>40</v>
      </c>
      <c r="O127" s="88"/>
      <c r="P127" s="226">
        <f>O127*H127</f>
        <v>0</v>
      </c>
      <c r="Q127" s="226">
        <v>0.00019000000000000001</v>
      </c>
      <c r="R127" s="226">
        <f>Q127*H127</f>
        <v>0.0057000000000000002</v>
      </c>
      <c r="S127" s="226">
        <v>0</v>
      </c>
      <c r="T127" s="227">
        <f>S127*H127</f>
        <v>0</v>
      </c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R127" s="228" t="s">
        <v>138</v>
      </c>
      <c r="AT127" s="228" t="s">
        <v>134</v>
      </c>
      <c r="AU127" s="228" t="s">
        <v>85</v>
      </c>
      <c r="AY127" s="14" t="s">
        <v>131</v>
      </c>
      <c r="BE127" s="229">
        <f>IF(N127="základní",J127,0)</f>
        <v>0</v>
      </c>
      <c r="BF127" s="229">
        <f>IF(N127="snížená",J127,0)</f>
        <v>0</v>
      </c>
      <c r="BG127" s="229">
        <f>IF(N127="zákl. přenesená",J127,0)</f>
        <v>0</v>
      </c>
      <c r="BH127" s="229">
        <f>IF(N127="sníž. přenesená",J127,0)</f>
        <v>0</v>
      </c>
      <c r="BI127" s="229">
        <f>IF(N127="nulová",J127,0)</f>
        <v>0</v>
      </c>
      <c r="BJ127" s="14" t="s">
        <v>83</v>
      </c>
      <c r="BK127" s="229">
        <f>ROUND(I127*H127,2)</f>
        <v>0</v>
      </c>
      <c r="BL127" s="14" t="s">
        <v>138</v>
      </c>
      <c r="BM127" s="228" t="s">
        <v>143</v>
      </c>
    </row>
    <row r="128" s="2" customFormat="1" ht="24.15" customHeight="1">
      <c r="A128" s="35"/>
      <c r="B128" s="36"/>
      <c r="C128" s="230" t="s">
        <v>144</v>
      </c>
      <c r="D128" s="230" t="s">
        <v>145</v>
      </c>
      <c r="E128" s="231" t="s">
        <v>146</v>
      </c>
      <c r="F128" s="232" t="s">
        <v>147</v>
      </c>
      <c r="G128" s="233" t="s">
        <v>142</v>
      </c>
      <c r="H128" s="234">
        <v>15</v>
      </c>
      <c r="I128" s="235"/>
      <c r="J128" s="236">
        <f>ROUND(I128*H128,2)</f>
        <v>0</v>
      </c>
      <c r="K128" s="237"/>
      <c r="L128" s="238"/>
      <c r="M128" s="239" t="s">
        <v>1</v>
      </c>
      <c r="N128" s="240" t="s">
        <v>40</v>
      </c>
      <c r="O128" s="88"/>
      <c r="P128" s="226">
        <f>O128*H128</f>
        <v>0</v>
      </c>
      <c r="Q128" s="226">
        <v>0.00032000000000000003</v>
      </c>
      <c r="R128" s="226">
        <f>Q128*H128</f>
        <v>0.0048000000000000004</v>
      </c>
      <c r="S128" s="226">
        <v>0</v>
      </c>
      <c r="T128" s="227">
        <f>S128*H128</f>
        <v>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R128" s="228" t="s">
        <v>148</v>
      </c>
      <c r="AT128" s="228" t="s">
        <v>145</v>
      </c>
      <c r="AU128" s="228" t="s">
        <v>85</v>
      </c>
      <c r="AY128" s="14" t="s">
        <v>131</v>
      </c>
      <c r="BE128" s="229">
        <f>IF(N128="základní",J128,0)</f>
        <v>0</v>
      </c>
      <c r="BF128" s="229">
        <f>IF(N128="snížená",J128,0)</f>
        <v>0</v>
      </c>
      <c r="BG128" s="229">
        <f>IF(N128="zákl. přenesená",J128,0)</f>
        <v>0</v>
      </c>
      <c r="BH128" s="229">
        <f>IF(N128="sníž. přenesená",J128,0)</f>
        <v>0</v>
      </c>
      <c r="BI128" s="229">
        <f>IF(N128="nulová",J128,0)</f>
        <v>0</v>
      </c>
      <c r="BJ128" s="14" t="s">
        <v>83</v>
      </c>
      <c r="BK128" s="229">
        <f>ROUND(I128*H128,2)</f>
        <v>0</v>
      </c>
      <c r="BL128" s="14" t="s">
        <v>138</v>
      </c>
      <c r="BM128" s="228" t="s">
        <v>149</v>
      </c>
    </row>
    <row r="129" s="2" customFormat="1" ht="24.15" customHeight="1">
      <c r="A129" s="35"/>
      <c r="B129" s="36"/>
      <c r="C129" s="230" t="s">
        <v>150</v>
      </c>
      <c r="D129" s="230" t="s">
        <v>145</v>
      </c>
      <c r="E129" s="231" t="s">
        <v>151</v>
      </c>
      <c r="F129" s="232" t="s">
        <v>152</v>
      </c>
      <c r="G129" s="233" t="s">
        <v>142</v>
      </c>
      <c r="H129" s="234">
        <v>5</v>
      </c>
      <c r="I129" s="235"/>
      <c r="J129" s="236">
        <f>ROUND(I129*H129,2)</f>
        <v>0</v>
      </c>
      <c r="K129" s="237"/>
      <c r="L129" s="238"/>
      <c r="M129" s="239" t="s">
        <v>1</v>
      </c>
      <c r="N129" s="240" t="s">
        <v>40</v>
      </c>
      <c r="O129" s="88"/>
      <c r="P129" s="226">
        <f>O129*H129</f>
        <v>0</v>
      </c>
      <c r="Q129" s="226">
        <v>0.00088000000000000003</v>
      </c>
      <c r="R129" s="226">
        <f>Q129*H129</f>
        <v>0.0044000000000000003</v>
      </c>
      <c r="S129" s="226">
        <v>0</v>
      </c>
      <c r="T129" s="227">
        <f>S129*H129</f>
        <v>0</v>
      </c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R129" s="228" t="s">
        <v>148</v>
      </c>
      <c r="AT129" s="228" t="s">
        <v>145</v>
      </c>
      <c r="AU129" s="228" t="s">
        <v>85</v>
      </c>
      <c r="AY129" s="14" t="s">
        <v>131</v>
      </c>
      <c r="BE129" s="229">
        <f>IF(N129="základní",J129,0)</f>
        <v>0</v>
      </c>
      <c r="BF129" s="229">
        <f>IF(N129="snížená",J129,0)</f>
        <v>0</v>
      </c>
      <c r="BG129" s="229">
        <f>IF(N129="zákl. přenesená",J129,0)</f>
        <v>0</v>
      </c>
      <c r="BH129" s="229">
        <f>IF(N129="sníž. přenesená",J129,0)</f>
        <v>0</v>
      </c>
      <c r="BI129" s="229">
        <f>IF(N129="nulová",J129,0)</f>
        <v>0</v>
      </c>
      <c r="BJ129" s="14" t="s">
        <v>83</v>
      </c>
      <c r="BK129" s="229">
        <f>ROUND(I129*H129,2)</f>
        <v>0</v>
      </c>
      <c r="BL129" s="14" t="s">
        <v>138</v>
      </c>
      <c r="BM129" s="228" t="s">
        <v>153</v>
      </c>
    </row>
    <row r="130" s="2" customFormat="1" ht="24.15" customHeight="1">
      <c r="A130" s="35"/>
      <c r="B130" s="36"/>
      <c r="C130" s="230" t="s">
        <v>154</v>
      </c>
      <c r="D130" s="230" t="s">
        <v>145</v>
      </c>
      <c r="E130" s="231" t="s">
        <v>155</v>
      </c>
      <c r="F130" s="232" t="s">
        <v>156</v>
      </c>
      <c r="G130" s="233" t="s">
        <v>142</v>
      </c>
      <c r="H130" s="234">
        <v>10</v>
      </c>
      <c r="I130" s="235"/>
      <c r="J130" s="236">
        <f>ROUND(I130*H130,2)</f>
        <v>0</v>
      </c>
      <c r="K130" s="237"/>
      <c r="L130" s="238"/>
      <c r="M130" s="239" t="s">
        <v>1</v>
      </c>
      <c r="N130" s="240" t="s">
        <v>40</v>
      </c>
      <c r="O130" s="88"/>
      <c r="P130" s="226">
        <f>O130*H130</f>
        <v>0</v>
      </c>
      <c r="Q130" s="226">
        <v>0.0010200000000000001</v>
      </c>
      <c r="R130" s="226">
        <f>Q130*H130</f>
        <v>0.010200000000000001</v>
      </c>
      <c r="S130" s="226">
        <v>0</v>
      </c>
      <c r="T130" s="227">
        <f>S130*H130</f>
        <v>0</v>
      </c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R130" s="228" t="s">
        <v>148</v>
      </c>
      <c r="AT130" s="228" t="s">
        <v>145</v>
      </c>
      <c r="AU130" s="228" t="s">
        <v>85</v>
      </c>
      <c r="AY130" s="14" t="s">
        <v>131</v>
      </c>
      <c r="BE130" s="229">
        <f>IF(N130="základní",J130,0)</f>
        <v>0</v>
      </c>
      <c r="BF130" s="229">
        <f>IF(N130="snížená",J130,0)</f>
        <v>0</v>
      </c>
      <c r="BG130" s="229">
        <f>IF(N130="zákl. přenesená",J130,0)</f>
        <v>0</v>
      </c>
      <c r="BH130" s="229">
        <f>IF(N130="sníž. přenesená",J130,0)</f>
        <v>0</v>
      </c>
      <c r="BI130" s="229">
        <f>IF(N130="nulová",J130,0)</f>
        <v>0</v>
      </c>
      <c r="BJ130" s="14" t="s">
        <v>83</v>
      </c>
      <c r="BK130" s="229">
        <f>ROUND(I130*H130,2)</f>
        <v>0</v>
      </c>
      <c r="BL130" s="14" t="s">
        <v>138</v>
      </c>
      <c r="BM130" s="228" t="s">
        <v>157</v>
      </c>
    </row>
    <row r="131" s="2" customFormat="1" ht="37.8" customHeight="1">
      <c r="A131" s="35"/>
      <c r="B131" s="36"/>
      <c r="C131" s="216" t="s">
        <v>158</v>
      </c>
      <c r="D131" s="216" t="s">
        <v>134</v>
      </c>
      <c r="E131" s="217" t="s">
        <v>159</v>
      </c>
      <c r="F131" s="218" t="s">
        <v>160</v>
      </c>
      <c r="G131" s="219" t="s">
        <v>142</v>
      </c>
      <c r="H131" s="220">
        <v>25</v>
      </c>
      <c r="I131" s="221"/>
      <c r="J131" s="222">
        <f>ROUND(I131*H131,2)</f>
        <v>0</v>
      </c>
      <c r="K131" s="223"/>
      <c r="L131" s="41"/>
      <c r="M131" s="224" t="s">
        <v>1</v>
      </c>
      <c r="N131" s="225" t="s">
        <v>40</v>
      </c>
      <c r="O131" s="88"/>
      <c r="P131" s="226">
        <f>O131*H131</f>
        <v>0</v>
      </c>
      <c r="Q131" s="226">
        <v>0</v>
      </c>
      <c r="R131" s="226">
        <f>Q131*H131</f>
        <v>0</v>
      </c>
      <c r="S131" s="226">
        <v>0</v>
      </c>
      <c r="T131" s="227">
        <f>S131*H131</f>
        <v>0</v>
      </c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R131" s="228" t="s">
        <v>138</v>
      </c>
      <c r="AT131" s="228" t="s">
        <v>134</v>
      </c>
      <c r="AU131" s="228" t="s">
        <v>85</v>
      </c>
      <c r="AY131" s="14" t="s">
        <v>131</v>
      </c>
      <c r="BE131" s="229">
        <f>IF(N131="základní",J131,0)</f>
        <v>0</v>
      </c>
      <c r="BF131" s="229">
        <f>IF(N131="snížená",J131,0)</f>
        <v>0</v>
      </c>
      <c r="BG131" s="229">
        <f>IF(N131="zákl. přenesená",J131,0)</f>
        <v>0</v>
      </c>
      <c r="BH131" s="229">
        <f>IF(N131="sníž. přenesená",J131,0)</f>
        <v>0</v>
      </c>
      <c r="BI131" s="229">
        <f>IF(N131="nulová",J131,0)</f>
        <v>0</v>
      </c>
      <c r="BJ131" s="14" t="s">
        <v>83</v>
      </c>
      <c r="BK131" s="229">
        <f>ROUND(I131*H131,2)</f>
        <v>0</v>
      </c>
      <c r="BL131" s="14" t="s">
        <v>138</v>
      </c>
      <c r="BM131" s="228" t="s">
        <v>161</v>
      </c>
    </row>
    <row r="132" s="2" customFormat="1" ht="16.5" customHeight="1">
      <c r="A132" s="35"/>
      <c r="B132" s="36"/>
      <c r="C132" s="230" t="s">
        <v>162</v>
      </c>
      <c r="D132" s="230" t="s">
        <v>145</v>
      </c>
      <c r="E132" s="231" t="s">
        <v>163</v>
      </c>
      <c r="F132" s="232" t="s">
        <v>164</v>
      </c>
      <c r="G132" s="233" t="s">
        <v>142</v>
      </c>
      <c r="H132" s="234">
        <v>15</v>
      </c>
      <c r="I132" s="235"/>
      <c r="J132" s="236">
        <f>ROUND(I132*H132,2)</f>
        <v>0</v>
      </c>
      <c r="K132" s="237"/>
      <c r="L132" s="238"/>
      <c r="M132" s="239" t="s">
        <v>1</v>
      </c>
      <c r="N132" s="240" t="s">
        <v>40</v>
      </c>
      <c r="O132" s="88"/>
      <c r="P132" s="226">
        <f>O132*H132</f>
        <v>0</v>
      </c>
      <c r="Q132" s="226">
        <v>0.00012</v>
      </c>
      <c r="R132" s="226">
        <f>Q132*H132</f>
        <v>0.0018</v>
      </c>
      <c r="S132" s="226">
        <v>0</v>
      </c>
      <c r="T132" s="227">
        <f>S132*H132</f>
        <v>0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R132" s="228" t="s">
        <v>148</v>
      </c>
      <c r="AT132" s="228" t="s">
        <v>145</v>
      </c>
      <c r="AU132" s="228" t="s">
        <v>85</v>
      </c>
      <c r="AY132" s="14" t="s">
        <v>131</v>
      </c>
      <c r="BE132" s="229">
        <f>IF(N132="základní",J132,0)</f>
        <v>0</v>
      </c>
      <c r="BF132" s="229">
        <f>IF(N132="snížená",J132,0)</f>
        <v>0</v>
      </c>
      <c r="BG132" s="229">
        <f>IF(N132="zákl. přenesená",J132,0)</f>
        <v>0</v>
      </c>
      <c r="BH132" s="229">
        <f>IF(N132="sníž. přenesená",J132,0)</f>
        <v>0</v>
      </c>
      <c r="BI132" s="229">
        <f>IF(N132="nulová",J132,0)</f>
        <v>0</v>
      </c>
      <c r="BJ132" s="14" t="s">
        <v>83</v>
      </c>
      <c r="BK132" s="229">
        <f>ROUND(I132*H132,2)</f>
        <v>0</v>
      </c>
      <c r="BL132" s="14" t="s">
        <v>138</v>
      </c>
      <c r="BM132" s="228" t="s">
        <v>165</v>
      </c>
    </row>
    <row r="133" s="2" customFormat="1" ht="16.5" customHeight="1">
      <c r="A133" s="35"/>
      <c r="B133" s="36"/>
      <c r="C133" s="230" t="s">
        <v>166</v>
      </c>
      <c r="D133" s="230" t="s">
        <v>145</v>
      </c>
      <c r="E133" s="231" t="s">
        <v>167</v>
      </c>
      <c r="F133" s="232" t="s">
        <v>168</v>
      </c>
      <c r="G133" s="233" t="s">
        <v>142</v>
      </c>
      <c r="H133" s="234">
        <v>10</v>
      </c>
      <c r="I133" s="235"/>
      <c r="J133" s="236">
        <f>ROUND(I133*H133,2)</f>
        <v>0</v>
      </c>
      <c r="K133" s="237"/>
      <c r="L133" s="238"/>
      <c r="M133" s="239" t="s">
        <v>1</v>
      </c>
      <c r="N133" s="240" t="s">
        <v>40</v>
      </c>
      <c r="O133" s="88"/>
      <c r="P133" s="226">
        <f>O133*H133</f>
        <v>0</v>
      </c>
      <c r="Q133" s="226">
        <v>0.00011</v>
      </c>
      <c r="R133" s="226">
        <f>Q133*H133</f>
        <v>0.0011000000000000001</v>
      </c>
      <c r="S133" s="226">
        <v>0</v>
      </c>
      <c r="T133" s="227">
        <f>S133*H133</f>
        <v>0</v>
      </c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R133" s="228" t="s">
        <v>148</v>
      </c>
      <c r="AT133" s="228" t="s">
        <v>145</v>
      </c>
      <c r="AU133" s="228" t="s">
        <v>85</v>
      </c>
      <c r="AY133" s="14" t="s">
        <v>131</v>
      </c>
      <c r="BE133" s="229">
        <f>IF(N133="základní",J133,0)</f>
        <v>0</v>
      </c>
      <c r="BF133" s="229">
        <f>IF(N133="snížená",J133,0)</f>
        <v>0</v>
      </c>
      <c r="BG133" s="229">
        <f>IF(N133="zákl. přenesená",J133,0)</f>
        <v>0</v>
      </c>
      <c r="BH133" s="229">
        <f>IF(N133="sníž. přenesená",J133,0)</f>
        <v>0</v>
      </c>
      <c r="BI133" s="229">
        <f>IF(N133="nulová",J133,0)</f>
        <v>0</v>
      </c>
      <c r="BJ133" s="14" t="s">
        <v>83</v>
      </c>
      <c r="BK133" s="229">
        <f>ROUND(I133*H133,2)</f>
        <v>0</v>
      </c>
      <c r="BL133" s="14" t="s">
        <v>138</v>
      </c>
      <c r="BM133" s="228" t="s">
        <v>169</v>
      </c>
    </row>
    <row r="134" s="2" customFormat="1" ht="44.25" customHeight="1">
      <c r="A134" s="35"/>
      <c r="B134" s="36"/>
      <c r="C134" s="216" t="s">
        <v>170</v>
      </c>
      <c r="D134" s="216" t="s">
        <v>134</v>
      </c>
      <c r="E134" s="217" t="s">
        <v>171</v>
      </c>
      <c r="F134" s="218" t="s">
        <v>172</v>
      </c>
      <c r="G134" s="219" t="s">
        <v>173</v>
      </c>
      <c r="H134" s="241"/>
      <c r="I134" s="221"/>
      <c r="J134" s="222">
        <f>ROUND(I134*H134,2)</f>
        <v>0</v>
      </c>
      <c r="K134" s="223"/>
      <c r="L134" s="41"/>
      <c r="M134" s="224" t="s">
        <v>1</v>
      </c>
      <c r="N134" s="225" t="s">
        <v>40</v>
      </c>
      <c r="O134" s="88"/>
      <c r="P134" s="226">
        <f>O134*H134</f>
        <v>0</v>
      </c>
      <c r="Q134" s="226">
        <v>0</v>
      </c>
      <c r="R134" s="226">
        <f>Q134*H134</f>
        <v>0</v>
      </c>
      <c r="S134" s="226">
        <v>0</v>
      </c>
      <c r="T134" s="227">
        <f>S134*H134</f>
        <v>0</v>
      </c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R134" s="228" t="s">
        <v>138</v>
      </c>
      <c r="AT134" s="228" t="s">
        <v>134</v>
      </c>
      <c r="AU134" s="228" t="s">
        <v>85</v>
      </c>
      <c r="AY134" s="14" t="s">
        <v>131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4" t="s">
        <v>83</v>
      </c>
      <c r="BK134" s="229">
        <f>ROUND(I134*H134,2)</f>
        <v>0</v>
      </c>
      <c r="BL134" s="14" t="s">
        <v>138</v>
      </c>
      <c r="BM134" s="228" t="s">
        <v>174</v>
      </c>
    </row>
    <row r="135" s="12" customFormat="1" ht="22.8" customHeight="1">
      <c r="A135" s="12"/>
      <c r="B135" s="200"/>
      <c r="C135" s="201"/>
      <c r="D135" s="202" t="s">
        <v>74</v>
      </c>
      <c r="E135" s="214" t="s">
        <v>175</v>
      </c>
      <c r="F135" s="214" t="s">
        <v>176</v>
      </c>
      <c r="G135" s="201"/>
      <c r="H135" s="201"/>
      <c r="I135" s="204"/>
      <c r="J135" s="215">
        <f>BK135</f>
        <v>0</v>
      </c>
      <c r="K135" s="201"/>
      <c r="L135" s="206"/>
      <c r="M135" s="207"/>
      <c r="N135" s="208"/>
      <c r="O135" s="208"/>
      <c r="P135" s="209">
        <f>SUM(P136:P160)</f>
        <v>0</v>
      </c>
      <c r="Q135" s="208"/>
      <c r="R135" s="209">
        <f>SUM(R136:R160)</f>
        <v>0.10540000000000001</v>
      </c>
      <c r="S135" s="208"/>
      <c r="T135" s="210">
        <f>SUM(T136:T160)</f>
        <v>0</v>
      </c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R135" s="211" t="s">
        <v>85</v>
      </c>
      <c r="AT135" s="212" t="s">
        <v>74</v>
      </c>
      <c r="AU135" s="212" t="s">
        <v>83</v>
      </c>
      <c r="AY135" s="211" t="s">
        <v>131</v>
      </c>
      <c r="BK135" s="213">
        <f>SUM(BK136:BK160)</f>
        <v>0</v>
      </c>
    </row>
    <row r="136" s="2" customFormat="1" ht="24.15" customHeight="1">
      <c r="A136" s="35"/>
      <c r="B136" s="36"/>
      <c r="C136" s="216" t="s">
        <v>177</v>
      </c>
      <c r="D136" s="216" t="s">
        <v>134</v>
      </c>
      <c r="E136" s="217" t="s">
        <v>178</v>
      </c>
      <c r="F136" s="218" t="s">
        <v>179</v>
      </c>
      <c r="G136" s="219" t="s">
        <v>180</v>
      </c>
      <c r="H136" s="220">
        <v>2</v>
      </c>
      <c r="I136" s="221"/>
      <c r="J136" s="222">
        <f>ROUND(I136*H136,2)</f>
        <v>0</v>
      </c>
      <c r="K136" s="223"/>
      <c r="L136" s="41"/>
      <c r="M136" s="224" t="s">
        <v>1</v>
      </c>
      <c r="N136" s="225" t="s">
        <v>40</v>
      </c>
      <c r="O136" s="88"/>
      <c r="P136" s="226">
        <f>O136*H136</f>
        <v>0</v>
      </c>
      <c r="Q136" s="226">
        <v>0.0026099999999999999</v>
      </c>
      <c r="R136" s="226">
        <f>Q136*H136</f>
        <v>0.0052199999999999998</v>
      </c>
      <c r="S136" s="226">
        <v>0</v>
      </c>
      <c r="T136" s="227">
        <f>S136*H136</f>
        <v>0</v>
      </c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R136" s="228" t="s">
        <v>138</v>
      </c>
      <c r="AT136" s="228" t="s">
        <v>134</v>
      </c>
      <c r="AU136" s="228" t="s">
        <v>85</v>
      </c>
      <c r="AY136" s="14" t="s">
        <v>131</v>
      </c>
      <c r="BE136" s="229">
        <f>IF(N136="základní",J136,0)</f>
        <v>0</v>
      </c>
      <c r="BF136" s="229">
        <f>IF(N136="snížená",J136,0)</f>
        <v>0</v>
      </c>
      <c r="BG136" s="229">
        <f>IF(N136="zákl. přenesená",J136,0)</f>
        <v>0</v>
      </c>
      <c r="BH136" s="229">
        <f>IF(N136="sníž. přenesená",J136,0)</f>
        <v>0</v>
      </c>
      <c r="BI136" s="229">
        <f>IF(N136="nulová",J136,0)</f>
        <v>0</v>
      </c>
      <c r="BJ136" s="14" t="s">
        <v>83</v>
      </c>
      <c r="BK136" s="229">
        <f>ROUND(I136*H136,2)</f>
        <v>0</v>
      </c>
      <c r="BL136" s="14" t="s">
        <v>138</v>
      </c>
      <c r="BM136" s="228" t="s">
        <v>181</v>
      </c>
    </row>
    <row r="137" s="2" customFormat="1" ht="90" customHeight="1">
      <c r="A137" s="35"/>
      <c r="B137" s="36"/>
      <c r="C137" s="230" t="s">
        <v>182</v>
      </c>
      <c r="D137" s="230" t="s">
        <v>145</v>
      </c>
      <c r="E137" s="231" t="s">
        <v>183</v>
      </c>
      <c r="F137" s="232" t="s">
        <v>184</v>
      </c>
      <c r="G137" s="233" t="s">
        <v>185</v>
      </c>
      <c r="H137" s="234">
        <v>2</v>
      </c>
      <c r="I137" s="235"/>
      <c r="J137" s="236">
        <f>ROUND(I137*H137,2)</f>
        <v>0</v>
      </c>
      <c r="K137" s="237"/>
      <c r="L137" s="238"/>
      <c r="M137" s="239" t="s">
        <v>1</v>
      </c>
      <c r="N137" s="240" t="s">
        <v>40</v>
      </c>
      <c r="O137" s="88"/>
      <c r="P137" s="226">
        <f>O137*H137</f>
        <v>0</v>
      </c>
      <c r="Q137" s="226">
        <v>0.044999999999999998</v>
      </c>
      <c r="R137" s="226">
        <f>Q137*H137</f>
        <v>0.089999999999999997</v>
      </c>
      <c r="S137" s="226">
        <v>0</v>
      </c>
      <c r="T137" s="227">
        <f>S137*H137</f>
        <v>0</v>
      </c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R137" s="228" t="s">
        <v>148</v>
      </c>
      <c r="AT137" s="228" t="s">
        <v>145</v>
      </c>
      <c r="AU137" s="228" t="s">
        <v>85</v>
      </c>
      <c r="AY137" s="14" t="s">
        <v>131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4" t="s">
        <v>83</v>
      </c>
      <c r="BK137" s="229">
        <f>ROUND(I137*H137,2)</f>
        <v>0</v>
      </c>
      <c r="BL137" s="14" t="s">
        <v>138</v>
      </c>
      <c r="BM137" s="228" t="s">
        <v>186</v>
      </c>
    </row>
    <row r="138" s="2" customFormat="1" ht="24.15" customHeight="1">
      <c r="A138" s="35"/>
      <c r="B138" s="36"/>
      <c r="C138" s="230" t="s">
        <v>8</v>
      </c>
      <c r="D138" s="230" t="s">
        <v>145</v>
      </c>
      <c r="E138" s="231" t="s">
        <v>187</v>
      </c>
      <c r="F138" s="232" t="s">
        <v>188</v>
      </c>
      <c r="G138" s="233" t="s">
        <v>189</v>
      </c>
      <c r="H138" s="234">
        <v>2</v>
      </c>
      <c r="I138" s="235"/>
      <c r="J138" s="236">
        <f>ROUND(I138*H138,2)</f>
        <v>0</v>
      </c>
      <c r="K138" s="237"/>
      <c r="L138" s="238"/>
      <c r="M138" s="239" t="s">
        <v>1</v>
      </c>
      <c r="N138" s="240" t="s">
        <v>40</v>
      </c>
      <c r="O138" s="88"/>
      <c r="P138" s="226">
        <f>O138*H138</f>
        <v>0</v>
      </c>
      <c r="Q138" s="226">
        <v>0</v>
      </c>
      <c r="R138" s="226">
        <f>Q138*H138</f>
        <v>0</v>
      </c>
      <c r="S138" s="226">
        <v>0</v>
      </c>
      <c r="T138" s="227">
        <f>S138*H138</f>
        <v>0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R138" s="228" t="s">
        <v>148</v>
      </c>
      <c r="AT138" s="228" t="s">
        <v>145</v>
      </c>
      <c r="AU138" s="228" t="s">
        <v>85</v>
      </c>
      <c r="AY138" s="14" t="s">
        <v>131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4" t="s">
        <v>83</v>
      </c>
      <c r="BK138" s="229">
        <f>ROUND(I138*H138,2)</f>
        <v>0</v>
      </c>
      <c r="BL138" s="14" t="s">
        <v>138</v>
      </c>
      <c r="BM138" s="228" t="s">
        <v>190</v>
      </c>
    </row>
    <row r="139" s="2" customFormat="1" ht="38.55" customHeight="1">
      <c r="A139" s="35"/>
      <c r="B139" s="36"/>
      <c r="C139" s="230" t="s">
        <v>191</v>
      </c>
      <c r="D139" s="230" t="s">
        <v>145</v>
      </c>
      <c r="E139" s="231" t="s">
        <v>192</v>
      </c>
      <c r="F139" s="232" t="s">
        <v>193</v>
      </c>
      <c r="G139" s="233" t="s">
        <v>189</v>
      </c>
      <c r="H139" s="234">
        <v>1</v>
      </c>
      <c r="I139" s="235"/>
      <c r="J139" s="236">
        <f>ROUND(I139*H139,2)</f>
        <v>0</v>
      </c>
      <c r="K139" s="237"/>
      <c r="L139" s="238"/>
      <c r="M139" s="239" t="s">
        <v>1</v>
      </c>
      <c r="N139" s="240" t="s">
        <v>40</v>
      </c>
      <c r="O139" s="88"/>
      <c r="P139" s="226">
        <f>O139*H139</f>
        <v>0</v>
      </c>
      <c r="Q139" s="226">
        <v>0</v>
      </c>
      <c r="R139" s="226">
        <f>Q139*H139</f>
        <v>0</v>
      </c>
      <c r="S139" s="226">
        <v>0</v>
      </c>
      <c r="T139" s="227">
        <f>S139*H139</f>
        <v>0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R139" s="228" t="s">
        <v>148</v>
      </c>
      <c r="AT139" s="228" t="s">
        <v>145</v>
      </c>
      <c r="AU139" s="228" t="s">
        <v>85</v>
      </c>
      <c r="AY139" s="14" t="s">
        <v>131</v>
      </c>
      <c r="BE139" s="229">
        <f>IF(N139="základní",J139,0)</f>
        <v>0</v>
      </c>
      <c r="BF139" s="229">
        <f>IF(N139="snížená",J139,0)</f>
        <v>0</v>
      </c>
      <c r="BG139" s="229">
        <f>IF(N139="zákl. přenesená",J139,0)</f>
        <v>0</v>
      </c>
      <c r="BH139" s="229">
        <f>IF(N139="sníž. přenesená",J139,0)</f>
        <v>0</v>
      </c>
      <c r="BI139" s="229">
        <f>IF(N139="nulová",J139,0)</f>
        <v>0</v>
      </c>
      <c r="BJ139" s="14" t="s">
        <v>83</v>
      </c>
      <c r="BK139" s="229">
        <f>ROUND(I139*H139,2)</f>
        <v>0</v>
      </c>
      <c r="BL139" s="14" t="s">
        <v>138</v>
      </c>
      <c r="BM139" s="228" t="s">
        <v>194</v>
      </c>
    </row>
    <row r="140" s="2" customFormat="1" ht="49.05" customHeight="1">
      <c r="A140" s="35"/>
      <c r="B140" s="36"/>
      <c r="C140" s="230" t="s">
        <v>195</v>
      </c>
      <c r="D140" s="230" t="s">
        <v>145</v>
      </c>
      <c r="E140" s="231" t="s">
        <v>196</v>
      </c>
      <c r="F140" s="232" t="s">
        <v>197</v>
      </c>
      <c r="G140" s="233" t="s">
        <v>198</v>
      </c>
      <c r="H140" s="234">
        <v>1</v>
      </c>
      <c r="I140" s="235"/>
      <c r="J140" s="236">
        <f>ROUND(I140*H140,2)</f>
        <v>0</v>
      </c>
      <c r="K140" s="237"/>
      <c r="L140" s="238"/>
      <c r="M140" s="239" t="s">
        <v>1</v>
      </c>
      <c r="N140" s="240" t="s">
        <v>40</v>
      </c>
      <c r="O140" s="88"/>
      <c r="P140" s="226">
        <f>O140*H140</f>
        <v>0</v>
      </c>
      <c r="Q140" s="226">
        <v>0</v>
      </c>
      <c r="R140" s="226">
        <f>Q140*H140</f>
        <v>0</v>
      </c>
      <c r="S140" s="226">
        <v>0</v>
      </c>
      <c r="T140" s="227">
        <f>S140*H140</f>
        <v>0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R140" s="228" t="s">
        <v>148</v>
      </c>
      <c r="AT140" s="228" t="s">
        <v>145</v>
      </c>
      <c r="AU140" s="228" t="s">
        <v>85</v>
      </c>
      <c r="AY140" s="14" t="s">
        <v>131</v>
      </c>
      <c r="BE140" s="229">
        <f>IF(N140="základní",J140,0)</f>
        <v>0</v>
      </c>
      <c r="BF140" s="229">
        <f>IF(N140="snížená",J140,0)</f>
        <v>0</v>
      </c>
      <c r="BG140" s="229">
        <f>IF(N140="zákl. přenesená",J140,0)</f>
        <v>0</v>
      </c>
      <c r="BH140" s="229">
        <f>IF(N140="sníž. přenesená",J140,0)</f>
        <v>0</v>
      </c>
      <c r="BI140" s="229">
        <f>IF(N140="nulová",J140,0)</f>
        <v>0</v>
      </c>
      <c r="BJ140" s="14" t="s">
        <v>83</v>
      </c>
      <c r="BK140" s="229">
        <f>ROUND(I140*H140,2)</f>
        <v>0</v>
      </c>
      <c r="BL140" s="14" t="s">
        <v>138</v>
      </c>
      <c r="BM140" s="228" t="s">
        <v>199</v>
      </c>
    </row>
    <row r="141" s="2" customFormat="1" ht="24.15" customHeight="1">
      <c r="A141" s="35"/>
      <c r="B141" s="36"/>
      <c r="C141" s="216" t="s">
        <v>200</v>
      </c>
      <c r="D141" s="216" t="s">
        <v>134</v>
      </c>
      <c r="E141" s="217" t="s">
        <v>201</v>
      </c>
      <c r="F141" s="218" t="s">
        <v>202</v>
      </c>
      <c r="G141" s="219" t="s">
        <v>203</v>
      </c>
      <c r="H141" s="220">
        <v>1</v>
      </c>
      <c r="I141" s="221"/>
      <c r="J141" s="222">
        <f>ROUND(I141*H141,2)</f>
        <v>0</v>
      </c>
      <c r="K141" s="223"/>
      <c r="L141" s="41"/>
      <c r="M141" s="224" t="s">
        <v>1</v>
      </c>
      <c r="N141" s="225" t="s">
        <v>40</v>
      </c>
      <c r="O141" s="88"/>
      <c r="P141" s="226">
        <f>O141*H141</f>
        <v>0</v>
      </c>
      <c r="Q141" s="226">
        <v>0</v>
      </c>
      <c r="R141" s="226">
        <f>Q141*H141</f>
        <v>0</v>
      </c>
      <c r="S141" s="226">
        <v>0</v>
      </c>
      <c r="T141" s="227">
        <f>S141*H141</f>
        <v>0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R141" s="228" t="s">
        <v>138</v>
      </c>
      <c r="AT141" s="228" t="s">
        <v>134</v>
      </c>
      <c r="AU141" s="228" t="s">
        <v>85</v>
      </c>
      <c r="AY141" s="14" t="s">
        <v>131</v>
      </c>
      <c r="BE141" s="229">
        <f>IF(N141="základní",J141,0)</f>
        <v>0</v>
      </c>
      <c r="BF141" s="229">
        <f>IF(N141="snížená",J141,0)</f>
        <v>0</v>
      </c>
      <c r="BG141" s="229">
        <f>IF(N141="zákl. přenesená",J141,0)</f>
        <v>0</v>
      </c>
      <c r="BH141" s="229">
        <f>IF(N141="sníž. přenesená",J141,0)</f>
        <v>0</v>
      </c>
      <c r="BI141" s="229">
        <f>IF(N141="nulová",J141,0)</f>
        <v>0</v>
      </c>
      <c r="BJ141" s="14" t="s">
        <v>83</v>
      </c>
      <c r="BK141" s="229">
        <f>ROUND(I141*H141,2)</f>
        <v>0</v>
      </c>
      <c r="BL141" s="14" t="s">
        <v>138</v>
      </c>
      <c r="BM141" s="228" t="s">
        <v>204</v>
      </c>
    </row>
    <row r="142" s="2" customFormat="1" ht="33.75" customHeight="1">
      <c r="A142" s="35"/>
      <c r="B142" s="36"/>
      <c r="C142" s="216" t="s">
        <v>205</v>
      </c>
      <c r="D142" s="216" t="s">
        <v>134</v>
      </c>
      <c r="E142" s="217" t="s">
        <v>206</v>
      </c>
      <c r="F142" s="218" t="s">
        <v>207</v>
      </c>
      <c r="G142" s="219" t="s">
        <v>203</v>
      </c>
      <c r="H142" s="220">
        <v>1</v>
      </c>
      <c r="I142" s="221"/>
      <c r="J142" s="222">
        <f>ROUND(I142*H142,2)</f>
        <v>0</v>
      </c>
      <c r="K142" s="223"/>
      <c r="L142" s="41"/>
      <c r="M142" s="224" t="s">
        <v>1</v>
      </c>
      <c r="N142" s="225" t="s">
        <v>40</v>
      </c>
      <c r="O142" s="88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R142" s="228" t="s">
        <v>138</v>
      </c>
      <c r="AT142" s="228" t="s">
        <v>134</v>
      </c>
      <c r="AU142" s="228" t="s">
        <v>85</v>
      </c>
      <c r="AY142" s="14" t="s">
        <v>131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4" t="s">
        <v>83</v>
      </c>
      <c r="BK142" s="229">
        <f>ROUND(I142*H142,2)</f>
        <v>0</v>
      </c>
      <c r="BL142" s="14" t="s">
        <v>138</v>
      </c>
      <c r="BM142" s="228" t="s">
        <v>208</v>
      </c>
    </row>
    <row r="143" s="2" customFormat="1" ht="24.15" customHeight="1">
      <c r="A143" s="35"/>
      <c r="B143" s="36"/>
      <c r="C143" s="216" t="s">
        <v>148</v>
      </c>
      <c r="D143" s="216" t="s">
        <v>134</v>
      </c>
      <c r="E143" s="217" t="s">
        <v>209</v>
      </c>
      <c r="F143" s="218" t="s">
        <v>210</v>
      </c>
      <c r="G143" s="219" t="s">
        <v>203</v>
      </c>
      <c r="H143" s="220">
        <v>1</v>
      </c>
      <c r="I143" s="221"/>
      <c r="J143" s="222">
        <f>ROUND(I143*H143,2)</f>
        <v>0</v>
      </c>
      <c r="K143" s="223"/>
      <c r="L143" s="41"/>
      <c r="M143" s="224" t="s">
        <v>1</v>
      </c>
      <c r="N143" s="225" t="s">
        <v>40</v>
      </c>
      <c r="O143" s="88"/>
      <c r="P143" s="226">
        <f>O143*H143</f>
        <v>0</v>
      </c>
      <c r="Q143" s="226">
        <v>0</v>
      </c>
      <c r="R143" s="226">
        <f>Q143*H143</f>
        <v>0</v>
      </c>
      <c r="S143" s="226">
        <v>0</v>
      </c>
      <c r="T143" s="227">
        <f>S143*H143</f>
        <v>0</v>
      </c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R143" s="228" t="s">
        <v>138</v>
      </c>
      <c r="AT143" s="228" t="s">
        <v>134</v>
      </c>
      <c r="AU143" s="228" t="s">
        <v>85</v>
      </c>
      <c r="AY143" s="14" t="s">
        <v>131</v>
      </c>
      <c r="BE143" s="229">
        <f>IF(N143="základní",J143,0)</f>
        <v>0</v>
      </c>
      <c r="BF143" s="229">
        <f>IF(N143="snížená",J143,0)</f>
        <v>0</v>
      </c>
      <c r="BG143" s="229">
        <f>IF(N143="zákl. přenesená",J143,0)</f>
        <v>0</v>
      </c>
      <c r="BH143" s="229">
        <f>IF(N143="sníž. přenesená",J143,0)</f>
        <v>0</v>
      </c>
      <c r="BI143" s="229">
        <f>IF(N143="nulová",J143,0)</f>
        <v>0</v>
      </c>
      <c r="BJ143" s="14" t="s">
        <v>83</v>
      </c>
      <c r="BK143" s="229">
        <f>ROUND(I143*H143,2)</f>
        <v>0</v>
      </c>
      <c r="BL143" s="14" t="s">
        <v>138</v>
      </c>
      <c r="BM143" s="228" t="s">
        <v>211</v>
      </c>
    </row>
    <row r="144" s="2" customFormat="1" ht="21.75" customHeight="1">
      <c r="A144" s="35"/>
      <c r="B144" s="36"/>
      <c r="C144" s="216" t="s">
        <v>212</v>
      </c>
      <c r="D144" s="216" t="s">
        <v>134</v>
      </c>
      <c r="E144" s="217" t="s">
        <v>213</v>
      </c>
      <c r="F144" s="218" t="s">
        <v>214</v>
      </c>
      <c r="G144" s="219" t="s">
        <v>203</v>
      </c>
      <c r="H144" s="220">
        <v>1</v>
      </c>
      <c r="I144" s="221"/>
      <c r="J144" s="222">
        <f>ROUND(I144*H144,2)</f>
        <v>0</v>
      </c>
      <c r="K144" s="223"/>
      <c r="L144" s="41"/>
      <c r="M144" s="224" t="s">
        <v>1</v>
      </c>
      <c r="N144" s="225" t="s">
        <v>40</v>
      </c>
      <c r="O144" s="88"/>
      <c r="P144" s="226">
        <f>O144*H144</f>
        <v>0</v>
      </c>
      <c r="Q144" s="226">
        <v>0</v>
      </c>
      <c r="R144" s="226">
        <f>Q144*H144</f>
        <v>0</v>
      </c>
      <c r="S144" s="226">
        <v>0</v>
      </c>
      <c r="T144" s="227">
        <f>S144*H144</f>
        <v>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R144" s="228" t="s">
        <v>138</v>
      </c>
      <c r="AT144" s="228" t="s">
        <v>134</v>
      </c>
      <c r="AU144" s="228" t="s">
        <v>85</v>
      </c>
      <c r="AY144" s="14" t="s">
        <v>131</v>
      </c>
      <c r="BE144" s="229">
        <f>IF(N144="základní",J144,0)</f>
        <v>0</v>
      </c>
      <c r="BF144" s="229">
        <f>IF(N144="snížená",J144,0)</f>
        <v>0</v>
      </c>
      <c r="BG144" s="229">
        <f>IF(N144="zákl. přenesená",J144,0)</f>
        <v>0</v>
      </c>
      <c r="BH144" s="229">
        <f>IF(N144="sníž. přenesená",J144,0)</f>
        <v>0</v>
      </c>
      <c r="BI144" s="229">
        <f>IF(N144="nulová",J144,0)</f>
        <v>0</v>
      </c>
      <c r="BJ144" s="14" t="s">
        <v>83</v>
      </c>
      <c r="BK144" s="229">
        <f>ROUND(I144*H144,2)</f>
        <v>0</v>
      </c>
      <c r="BL144" s="14" t="s">
        <v>138</v>
      </c>
      <c r="BM144" s="228" t="s">
        <v>215</v>
      </c>
    </row>
    <row r="145" s="2" customFormat="1" ht="90" customHeight="1">
      <c r="A145" s="35"/>
      <c r="B145" s="36"/>
      <c r="C145" s="230" t="s">
        <v>216</v>
      </c>
      <c r="D145" s="230" t="s">
        <v>145</v>
      </c>
      <c r="E145" s="231" t="s">
        <v>217</v>
      </c>
      <c r="F145" s="232" t="s">
        <v>218</v>
      </c>
      <c r="G145" s="233" t="s">
        <v>185</v>
      </c>
      <c r="H145" s="234">
        <v>2</v>
      </c>
      <c r="I145" s="235"/>
      <c r="J145" s="236">
        <f>ROUND(I145*H145,2)</f>
        <v>0</v>
      </c>
      <c r="K145" s="237"/>
      <c r="L145" s="238"/>
      <c r="M145" s="239" t="s">
        <v>1</v>
      </c>
      <c r="N145" s="240" t="s">
        <v>40</v>
      </c>
      <c r="O145" s="88"/>
      <c r="P145" s="226">
        <f>O145*H145</f>
        <v>0</v>
      </c>
      <c r="Q145" s="226">
        <v>0.00058</v>
      </c>
      <c r="R145" s="226">
        <f>Q145*H145</f>
        <v>0.00116</v>
      </c>
      <c r="S145" s="226">
        <v>0</v>
      </c>
      <c r="T145" s="227">
        <f>S145*H145</f>
        <v>0</v>
      </c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R145" s="228" t="s">
        <v>148</v>
      </c>
      <c r="AT145" s="228" t="s">
        <v>145</v>
      </c>
      <c r="AU145" s="228" t="s">
        <v>85</v>
      </c>
      <c r="AY145" s="14" t="s">
        <v>131</v>
      </c>
      <c r="BE145" s="229">
        <f>IF(N145="základní",J145,0)</f>
        <v>0</v>
      </c>
      <c r="BF145" s="229">
        <f>IF(N145="snížená",J145,0)</f>
        <v>0</v>
      </c>
      <c r="BG145" s="229">
        <f>IF(N145="zákl. přenesená",J145,0)</f>
        <v>0</v>
      </c>
      <c r="BH145" s="229">
        <f>IF(N145="sníž. přenesená",J145,0)</f>
        <v>0</v>
      </c>
      <c r="BI145" s="229">
        <f>IF(N145="nulová",J145,0)</f>
        <v>0</v>
      </c>
      <c r="BJ145" s="14" t="s">
        <v>83</v>
      </c>
      <c r="BK145" s="229">
        <f>ROUND(I145*H145,2)</f>
        <v>0</v>
      </c>
      <c r="BL145" s="14" t="s">
        <v>138</v>
      </c>
      <c r="BM145" s="228" t="s">
        <v>219</v>
      </c>
    </row>
    <row r="146" s="2" customFormat="1" ht="24.15" customHeight="1">
      <c r="A146" s="35"/>
      <c r="B146" s="36"/>
      <c r="C146" s="230" t="s">
        <v>220</v>
      </c>
      <c r="D146" s="230" t="s">
        <v>145</v>
      </c>
      <c r="E146" s="231" t="s">
        <v>221</v>
      </c>
      <c r="F146" s="232" t="s">
        <v>222</v>
      </c>
      <c r="G146" s="233" t="s">
        <v>185</v>
      </c>
      <c r="H146" s="234">
        <v>1</v>
      </c>
      <c r="I146" s="235"/>
      <c r="J146" s="236">
        <f>ROUND(I146*H146,2)</f>
        <v>0</v>
      </c>
      <c r="K146" s="237"/>
      <c r="L146" s="238"/>
      <c r="M146" s="239" t="s">
        <v>1</v>
      </c>
      <c r="N146" s="240" t="s">
        <v>40</v>
      </c>
      <c r="O146" s="88"/>
      <c r="P146" s="226">
        <f>O146*H146</f>
        <v>0</v>
      </c>
      <c r="Q146" s="226">
        <v>0.00058</v>
      </c>
      <c r="R146" s="226">
        <f>Q146*H146</f>
        <v>0.00058</v>
      </c>
      <c r="S146" s="226">
        <v>0</v>
      </c>
      <c r="T146" s="227">
        <f>S146*H146</f>
        <v>0</v>
      </c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R146" s="228" t="s">
        <v>148</v>
      </c>
      <c r="AT146" s="228" t="s">
        <v>145</v>
      </c>
      <c r="AU146" s="228" t="s">
        <v>85</v>
      </c>
      <c r="AY146" s="14" t="s">
        <v>131</v>
      </c>
      <c r="BE146" s="229">
        <f>IF(N146="základní",J146,0)</f>
        <v>0</v>
      </c>
      <c r="BF146" s="229">
        <f>IF(N146="snížená",J146,0)</f>
        <v>0</v>
      </c>
      <c r="BG146" s="229">
        <f>IF(N146="zákl. přenesená",J146,0)</f>
        <v>0</v>
      </c>
      <c r="BH146" s="229">
        <f>IF(N146="sníž. přenesená",J146,0)</f>
        <v>0</v>
      </c>
      <c r="BI146" s="229">
        <f>IF(N146="nulová",J146,0)</f>
        <v>0</v>
      </c>
      <c r="BJ146" s="14" t="s">
        <v>83</v>
      </c>
      <c r="BK146" s="229">
        <f>ROUND(I146*H146,2)</f>
        <v>0</v>
      </c>
      <c r="BL146" s="14" t="s">
        <v>138</v>
      </c>
      <c r="BM146" s="228" t="s">
        <v>223</v>
      </c>
    </row>
    <row r="147" s="2" customFormat="1" ht="24.15" customHeight="1">
      <c r="A147" s="35"/>
      <c r="B147" s="36"/>
      <c r="C147" s="230" t="s">
        <v>224</v>
      </c>
      <c r="D147" s="230" t="s">
        <v>145</v>
      </c>
      <c r="E147" s="231" t="s">
        <v>225</v>
      </c>
      <c r="F147" s="232" t="s">
        <v>222</v>
      </c>
      <c r="G147" s="233" t="s">
        <v>185</v>
      </c>
      <c r="H147" s="234">
        <v>3</v>
      </c>
      <c r="I147" s="235"/>
      <c r="J147" s="236">
        <f>ROUND(I147*H147,2)</f>
        <v>0</v>
      </c>
      <c r="K147" s="237"/>
      <c r="L147" s="238"/>
      <c r="M147" s="239" t="s">
        <v>1</v>
      </c>
      <c r="N147" s="240" t="s">
        <v>40</v>
      </c>
      <c r="O147" s="88"/>
      <c r="P147" s="226">
        <f>O147*H147</f>
        <v>0</v>
      </c>
      <c r="Q147" s="226">
        <v>0.00058</v>
      </c>
      <c r="R147" s="226">
        <f>Q147*H147</f>
        <v>0.00174</v>
      </c>
      <c r="S147" s="226">
        <v>0</v>
      </c>
      <c r="T147" s="227">
        <f>S147*H147</f>
        <v>0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R147" s="228" t="s">
        <v>148</v>
      </c>
      <c r="AT147" s="228" t="s">
        <v>145</v>
      </c>
      <c r="AU147" s="228" t="s">
        <v>85</v>
      </c>
      <c r="AY147" s="14" t="s">
        <v>131</v>
      </c>
      <c r="BE147" s="229">
        <f>IF(N147="základní",J147,0)</f>
        <v>0</v>
      </c>
      <c r="BF147" s="229">
        <f>IF(N147="snížená",J147,0)</f>
        <v>0</v>
      </c>
      <c r="BG147" s="229">
        <f>IF(N147="zákl. přenesená",J147,0)</f>
        <v>0</v>
      </c>
      <c r="BH147" s="229">
        <f>IF(N147="sníž. přenesená",J147,0)</f>
        <v>0</v>
      </c>
      <c r="BI147" s="229">
        <f>IF(N147="nulová",J147,0)</f>
        <v>0</v>
      </c>
      <c r="BJ147" s="14" t="s">
        <v>83</v>
      </c>
      <c r="BK147" s="229">
        <f>ROUND(I147*H147,2)</f>
        <v>0</v>
      </c>
      <c r="BL147" s="14" t="s">
        <v>138</v>
      </c>
      <c r="BM147" s="228" t="s">
        <v>226</v>
      </c>
    </row>
    <row r="148" s="2" customFormat="1" ht="24.15" customHeight="1">
      <c r="A148" s="35"/>
      <c r="B148" s="36"/>
      <c r="C148" s="230" t="s">
        <v>227</v>
      </c>
      <c r="D148" s="230" t="s">
        <v>145</v>
      </c>
      <c r="E148" s="231" t="s">
        <v>228</v>
      </c>
      <c r="F148" s="232" t="s">
        <v>222</v>
      </c>
      <c r="G148" s="233" t="s">
        <v>185</v>
      </c>
      <c r="H148" s="234">
        <v>1</v>
      </c>
      <c r="I148" s="235"/>
      <c r="J148" s="236">
        <f>ROUND(I148*H148,2)</f>
        <v>0</v>
      </c>
      <c r="K148" s="237"/>
      <c r="L148" s="238"/>
      <c r="M148" s="239" t="s">
        <v>1</v>
      </c>
      <c r="N148" s="240" t="s">
        <v>40</v>
      </c>
      <c r="O148" s="88"/>
      <c r="P148" s="226">
        <f>O148*H148</f>
        <v>0</v>
      </c>
      <c r="Q148" s="226">
        <v>0.00058</v>
      </c>
      <c r="R148" s="226">
        <f>Q148*H148</f>
        <v>0.00058</v>
      </c>
      <c r="S148" s="226">
        <v>0</v>
      </c>
      <c r="T148" s="227">
        <f>S148*H148</f>
        <v>0</v>
      </c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R148" s="228" t="s">
        <v>148</v>
      </c>
      <c r="AT148" s="228" t="s">
        <v>145</v>
      </c>
      <c r="AU148" s="228" t="s">
        <v>85</v>
      </c>
      <c r="AY148" s="14" t="s">
        <v>131</v>
      </c>
      <c r="BE148" s="229">
        <f>IF(N148="základní",J148,0)</f>
        <v>0</v>
      </c>
      <c r="BF148" s="229">
        <f>IF(N148="snížená",J148,0)</f>
        <v>0</v>
      </c>
      <c r="BG148" s="229">
        <f>IF(N148="zákl. přenesená",J148,0)</f>
        <v>0</v>
      </c>
      <c r="BH148" s="229">
        <f>IF(N148="sníž. přenesená",J148,0)</f>
        <v>0</v>
      </c>
      <c r="BI148" s="229">
        <f>IF(N148="nulová",J148,0)</f>
        <v>0</v>
      </c>
      <c r="BJ148" s="14" t="s">
        <v>83</v>
      </c>
      <c r="BK148" s="229">
        <f>ROUND(I148*H148,2)</f>
        <v>0</v>
      </c>
      <c r="BL148" s="14" t="s">
        <v>138</v>
      </c>
      <c r="BM148" s="228" t="s">
        <v>229</v>
      </c>
    </row>
    <row r="149" s="2" customFormat="1" ht="24.15" customHeight="1">
      <c r="A149" s="35"/>
      <c r="B149" s="36"/>
      <c r="C149" s="230" t="s">
        <v>230</v>
      </c>
      <c r="D149" s="230" t="s">
        <v>145</v>
      </c>
      <c r="E149" s="231" t="s">
        <v>231</v>
      </c>
      <c r="F149" s="232" t="s">
        <v>222</v>
      </c>
      <c r="G149" s="233" t="s">
        <v>232</v>
      </c>
      <c r="H149" s="234">
        <v>1</v>
      </c>
      <c r="I149" s="235"/>
      <c r="J149" s="236">
        <f>ROUND(I149*H149,2)</f>
        <v>0</v>
      </c>
      <c r="K149" s="237"/>
      <c r="L149" s="238"/>
      <c r="M149" s="239" t="s">
        <v>1</v>
      </c>
      <c r="N149" s="240" t="s">
        <v>40</v>
      </c>
      <c r="O149" s="88"/>
      <c r="P149" s="226">
        <f>O149*H149</f>
        <v>0</v>
      </c>
      <c r="Q149" s="226">
        <v>0.00058</v>
      </c>
      <c r="R149" s="226">
        <f>Q149*H149</f>
        <v>0.00058</v>
      </c>
      <c r="S149" s="226">
        <v>0</v>
      </c>
      <c r="T149" s="227">
        <f>S149*H149</f>
        <v>0</v>
      </c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R149" s="228" t="s">
        <v>148</v>
      </c>
      <c r="AT149" s="228" t="s">
        <v>145</v>
      </c>
      <c r="AU149" s="228" t="s">
        <v>85</v>
      </c>
      <c r="AY149" s="14" t="s">
        <v>131</v>
      </c>
      <c r="BE149" s="229">
        <f>IF(N149="základní",J149,0)</f>
        <v>0</v>
      </c>
      <c r="BF149" s="229">
        <f>IF(N149="snížená",J149,0)</f>
        <v>0</v>
      </c>
      <c r="BG149" s="229">
        <f>IF(N149="zákl. přenesená",J149,0)</f>
        <v>0</v>
      </c>
      <c r="BH149" s="229">
        <f>IF(N149="sníž. přenesená",J149,0)</f>
        <v>0</v>
      </c>
      <c r="BI149" s="229">
        <f>IF(N149="nulová",J149,0)</f>
        <v>0</v>
      </c>
      <c r="BJ149" s="14" t="s">
        <v>83</v>
      </c>
      <c r="BK149" s="229">
        <f>ROUND(I149*H149,2)</f>
        <v>0</v>
      </c>
      <c r="BL149" s="14" t="s">
        <v>138</v>
      </c>
      <c r="BM149" s="228" t="s">
        <v>233</v>
      </c>
    </row>
    <row r="150" s="2" customFormat="1" ht="24.15" customHeight="1">
      <c r="A150" s="35"/>
      <c r="B150" s="36"/>
      <c r="C150" s="230" t="s">
        <v>234</v>
      </c>
      <c r="D150" s="230" t="s">
        <v>145</v>
      </c>
      <c r="E150" s="231" t="s">
        <v>235</v>
      </c>
      <c r="F150" s="232" t="s">
        <v>222</v>
      </c>
      <c r="G150" s="233" t="s">
        <v>185</v>
      </c>
      <c r="H150" s="234">
        <v>1</v>
      </c>
      <c r="I150" s="235"/>
      <c r="J150" s="236">
        <f>ROUND(I150*H150,2)</f>
        <v>0</v>
      </c>
      <c r="K150" s="237"/>
      <c r="L150" s="238"/>
      <c r="M150" s="239" t="s">
        <v>1</v>
      </c>
      <c r="N150" s="240" t="s">
        <v>40</v>
      </c>
      <c r="O150" s="88"/>
      <c r="P150" s="226">
        <f>O150*H150</f>
        <v>0</v>
      </c>
      <c r="Q150" s="226">
        <v>0.00058</v>
      </c>
      <c r="R150" s="226">
        <f>Q150*H150</f>
        <v>0.00058</v>
      </c>
      <c r="S150" s="226">
        <v>0</v>
      </c>
      <c r="T150" s="227">
        <f>S150*H150</f>
        <v>0</v>
      </c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R150" s="228" t="s">
        <v>148</v>
      </c>
      <c r="AT150" s="228" t="s">
        <v>145</v>
      </c>
      <c r="AU150" s="228" t="s">
        <v>85</v>
      </c>
      <c r="AY150" s="14" t="s">
        <v>131</v>
      </c>
      <c r="BE150" s="229">
        <f>IF(N150="základní",J150,0)</f>
        <v>0</v>
      </c>
      <c r="BF150" s="229">
        <f>IF(N150="snížená",J150,0)</f>
        <v>0</v>
      </c>
      <c r="BG150" s="229">
        <f>IF(N150="zákl. přenesená",J150,0)</f>
        <v>0</v>
      </c>
      <c r="BH150" s="229">
        <f>IF(N150="sníž. přenesená",J150,0)</f>
        <v>0</v>
      </c>
      <c r="BI150" s="229">
        <f>IF(N150="nulová",J150,0)</f>
        <v>0</v>
      </c>
      <c r="BJ150" s="14" t="s">
        <v>83</v>
      </c>
      <c r="BK150" s="229">
        <f>ROUND(I150*H150,2)</f>
        <v>0</v>
      </c>
      <c r="BL150" s="14" t="s">
        <v>138</v>
      </c>
      <c r="BM150" s="228" t="s">
        <v>236</v>
      </c>
    </row>
    <row r="151" s="2" customFormat="1" ht="24.15" customHeight="1">
      <c r="A151" s="35"/>
      <c r="B151" s="36"/>
      <c r="C151" s="230" t="s">
        <v>237</v>
      </c>
      <c r="D151" s="230" t="s">
        <v>145</v>
      </c>
      <c r="E151" s="231" t="s">
        <v>238</v>
      </c>
      <c r="F151" s="232" t="s">
        <v>222</v>
      </c>
      <c r="G151" s="233" t="s">
        <v>185</v>
      </c>
      <c r="H151" s="234">
        <v>2</v>
      </c>
      <c r="I151" s="235"/>
      <c r="J151" s="236">
        <f>ROUND(I151*H151,2)</f>
        <v>0</v>
      </c>
      <c r="K151" s="237"/>
      <c r="L151" s="238"/>
      <c r="M151" s="239" t="s">
        <v>1</v>
      </c>
      <c r="N151" s="240" t="s">
        <v>40</v>
      </c>
      <c r="O151" s="88"/>
      <c r="P151" s="226">
        <f>O151*H151</f>
        <v>0</v>
      </c>
      <c r="Q151" s="226">
        <v>0.00058</v>
      </c>
      <c r="R151" s="226">
        <f>Q151*H151</f>
        <v>0.00116</v>
      </c>
      <c r="S151" s="226">
        <v>0</v>
      </c>
      <c r="T151" s="227">
        <f>S151*H151</f>
        <v>0</v>
      </c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R151" s="228" t="s">
        <v>148</v>
      </c>
      <c r="AT151" s="228" t="s">
        <v>145</v>
      </c>
      <c r="AU151" s="228" t="s">
        <v>85</v>
      </c>
      <c r="AY151" s="14" t="s">
        <v>131</v>
      </c>
      <c r="BE151" s="229">
        <f>IF(N151="základní",J151,0)</f>
        <v>0</v>
      </c>
      <c r="BF151" s="229">
        <f>IF(N151="snížená",J151,0)</f>
        <v>0</v>
      </c>
      <c r="BG151" s="229">
        <f>IF(N151="zákl. přenesená",J151,0)</f>
        <v>0</v>
      </c>
      <c r="BH151" s="229">
        <f>IF(N151="sníž. přenesená",J151,0)</f>
        <v>0</v>
      </c>
      <c r="BI151" s="229">
        <f>IF(N151="nulová",J151,0)</f>
        <v>0</v>
      </c>
      <c r="BJ151" s="14" t="s">
        <v>83</v>
      </c>
      <c r="BK151" s="229">
        <f>ROUND(I151*H151,2)</f>
        <v>0</v>
      </c>
      <c r="BL151" s="14" t="s">
        <v>138</v>
      </c>
      <c r="BM151" s="228" t="s">
        <v>239</v>
      </c>
    </row>
    <row r="152" s="2" customFormat="1" ht="24.15" customHeight="1">
      <c r="A152" s="35"/>
      <c r="B152" s="36"/>
      <c r="C152" s="230" t="s">
        <v>240</v>
      </c>
      <c r="D152" s="230" t="s">
        <v>145</v>
      </c>
      <c r="E152" s="231" t="s">
        <v>241</v>
      </c>
      <c r="F152" s="232" t="s">
        <v>222</v>
      </c>
      <c r="G152" s="233" t="s">
        <v>185</v>
      </c>
      <c r="H152" s="234">
        <v>2</v>
      </c>
      <c r="I152" s="235"/>
      <c r="J152" s="236">
        <f>ROUND(I152*H152,2)</f>
        <v>0</v>
      </c>
      <c r="K152" s="237"/>
      <c r="L152" s="238"/>
      <c r="M152" s="239" t="s">
        <v>1</v>
      </c>
      <c r="N152" s="240" t="s">
        <v>40</v>
      </c>
      <c r="O152" s="88"/>
      <c r="P152" s="226">
        <f>O152*H152</f>
        <v>0</v>
      </c>
      <c r="Q152" s="226">
        <v>0.00058</v>
      </c>
      <c r="R152" s="226">
        <f>Q152*H152</f>
        <v>0.00116</v>
      </c>
      <c r="S152" s="226">
        <v>0</v>
      </c>
      <c r="T152" s="227">
        <f>S152*H152</f>
        <v>0</v>
      </c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R152" s="228" t="s">
        <v>148</v>
      </c>
      <c r="AT152" s="228" t="s">
        <v>145</v>
      </c>
      <c r="AU152" s="228" t="s">
        <v>85</v>
      </c>
      <c r="AY152" s="14" t="s">
        <v>131</v>
      </c>
      <c r="BE152" s="229">
        <f>IF(N152="základní",J152,0)</f>
        <v>0</v>
      </c>
      <c r="BF152" s="229">
        <f>IF(N152="snížená",J152,0)</f>
        <v>0</v>
      </c>
      <c r="BG152" s="229">
        <f>IF(N152="zákl. přenesená",J152,0)</f>
        <v>0</v>
      </c>
      <c r="BH152" s="229">
        <f>IF(N152="sníž. přenesená",J152,0)</f>
        <v>0</v>
      </c>
      <c r="BI152" s="229">
        <f>IF(N152="nulová",J152,0)</f>
        <v>0</v>
      </c>
      <c r="BJ152" s="14" t="s">
        <v>83</v>
      </c>
      <c r="BK152" s="229">
        <f>ROUND(I152*H152,2)</f>
        <v>0</v>
      </c>
      <c r="BL152" s="14" t="s">
        <v>138</v>
      </c>
      <c r="BM152" s="228" t="s">
        <v>242</v>
      </c>
    </row>
    <row r="153" s="2" customFormat="1" ht="24.15" customHeight="1">
      <c r="A153" s="35"/>
      <c r="B153" s="36"/>
      <c r="C153" s="230" t="s">
        <v>243</v>
      </c>
      <c r="D153" s="230" t="s">
        <v>145</v>
      </c>
      <c r="E153" s="231" t="s">
        <v>244</v>
      </c>
      <c r="F153" s="232" t="s">
        <v>222</v>
      </c>
      <c r="G153" s="233" t="s">
        <v>185</v>
      </c>
      <c r="H153" s="234">
        <v>1</v>
      </c>
      <c r="I153" s="235"/>
      <c r="J153" s="236">
        <f>ROUND(I153*H153,2)</f>
        <v>0</v>
      </c>
      <c r="K153" s="237"/>
      <c r="L153" s="238"/>
      <c r="M153" s="239" t="s">
        <v>1</v>
      </c>
      <c r="N153" s="240" t="s">
        <v>40</v>
      </c>
      <c r="O153" s="88"/>
      <c r="P153" s="226">
        <f>O153*H153</f>
        <v>0</v>
      </c>
      <c r="Q153" s="226">
        <v>0.00058</v>
      </c>
      <c r="R153" s="226">
        <f>Q153*H153</f>
        <v>0.00058</v>
      </c>
      <c r="S153" s="226">
        <v>0</v>
      </c>
      <c r="T153" s="227">
        <f>S153*H153</f>
        <v>0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R153" s="228" t="s">
        <v>148</v>
      </c>
      <c r="AT153" s="228" t="s">
        <v>145</v>
      </c>
      <c r="AU153" s="228" t="s">
        <v>85</v>
      </c>
      <c r="AY153" s="14" t="s">
        <v>131</v>
      </c>
      <c r="BE153" s="229">
        <f>IF(N153="základní",J153,0)</f>
        <v>0</v>
      </c>
      <c r="BF153" s="229">
        <f>IF(N153="snížená",J153,0)</f>
        <v>0</v>
      </c>
      <c r="BG153" s="229">
        <f>IF(N153="zákl. přenesená",J153,0)</f>
        <v>0</v>
      </c>
      <c r="BH153" s="229">
        <f>IF(N153="sníž. přenesená",J153,0)</f>
        <v>0</v>
      </c>
      <c r="BI153" s="229">
        <f>IF(N153="nulová",J153,0)</f>
        <v>0</v>
      </c>
      <c r="BJ153" s="14" t="s">
        <v>83</v>
      </c>
      <c r="BK153" s="229">
        <f>ROUND(I153*H153,2)</f>
        <v>0</v>
      </c>
      <c r="BL153" s="14" t="s">
        <v>138</v>
      </c>
      <c r="BM153" s="228" t="s">
        <v>245</v>
      </c>
    </row>
    <row r="154" s="2" customFormat="1" ht="24.15" customHeight="1">
      <c r="A154" s="35"/>
      <c r="B154" s="36"/>
      <c r="C154" s="230" t="s">
        <v>246</v>
      </c>
      <c r="D154" s="230" t="s">
        <v>145</v>
      </c>
      <c r="E154" s="231" t="s">
        <v>247</v>
      </c>
      <c r="F154" s="232" t="s">
        <v>222</v>
      </c>
      <c r="G154" s="233" t="s">
        <v>232</v>
      </c>
      <c r="H154" s="234">
        <v>1</v>
      </c>
      <c r="I154" s="235"/>
      <c r="J154" s="236">
        <f>ROUND(I154*H154,2)</f>
        <v>0</v>
      </c>
      <c r="K154" s="237"/>
      <c r="L154" s="238"/>
      <c r="M154" s="239" t="s">
        <v>1</v>
      </c>
      <c r="N154" s="240" t="s">
        <v>40</v>
      </c>
      <c r="O154" s="88"/>
      <c r="P154" s="226">
        <f>O154*H154</f>
        <v>0</v>
      </c>
      <c r="Q154" s="226">
        <v>0.00058</v>
      </c>
      <c r="R154" s="226">
        <f>Q154*H154</f>
        <v>0.00058</v>
      </c>
      <c r="S154" s="226">
        <v>0</v>
      </c>
      <c r="T154" s="227">
        <f>S154*H154</f>
        <v>0</v>
      </c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R154" s="228" t="s">
        <v>148</v>
      </c>
      <c r="AT154" s="228" t="s">
        <v>145</v>
      </c>
      <c r="AU154" s="228" t="s">
        <v>85</v>
      </c>
      <c r="AY154" s="14" t="s">
        <v>131</v>
      </c>
      <c r="BE154" s="229">
        <f>IF(N154="základní",J154,0)</f>
        <v>0</v>
      </c>
      <c r="BF154" s="229">
        <f>IF(N154="snížená",J154,0)</f>
        <v>0</v>
      </c>
      <c r="BG154" s="229">
        <f>IF(N154="zákl. přenesená",J154,0)</f>
        <v>0</v>
      </c>
      <c r="BH154" s="229">
        <f>IF(N154="sníž. přenesená",J154,0)</f>
        <v>0</v>
      </c>
      <c r="BI154" s="229">
        <f>IF(N154="nulová",J154,0)</f>
        <v>0</v>
      </c>
      <c r="BJ154" s="14" t="s">
        <v>83</v>
      </c>
      <c r="BK154" s="229">
        <f>ROUND(I154*H154,2)</f>
        <v>0</v>
      </c>
      <c r="BL154" s="14" t="s">
        <v>138</v>
      </c>
      <c r="BM154" s="228" t="s">
        <v>248</v>
      </c>
    </row>
    <row r="155" s="2" customFormat="1" ht="24.15" customHeight="1">
      <c r="A155" s="35"/>
      <c r="B155" s="36"/>
      <c r="C155" s="230" t="s">
        <v>249</v>
      </c>
      <c r="D155" s="230" t="s">
        <v>145</v>
      </c>
      <c r="E155" s="231" t="s">
        <v>250</v>
      </c>
      <c r="F155" s="232" t="s">
        <v>222</v>
      </c>
      <c r="G155" s="233" t="s">
        <v>185</v>
      </c>
      <c r="H155" s="234">
        <v>1</v>
      </c>
      <c r="I155" s="235"/>
      <c r="J155" s="236">
        <f>ROUND(I155*H155,2)</f>
        <v>0</v>
      </c>
      <c r="K155" s="237"/>
      <c r="L155" s="238"/>
      <c r="M155" s="239" t="s">
        <v>1</v>
      </c>
      <c r="N155" s="240" t="s">
        <v>40</v>
      </c>
      <c r="O155" s="88"/>
      <c r="P155" s="226">
        <f>O155*H155</f>
        <v>0</v>
      </c>
      <c r="Q155" s="226">
        <v>0.00058</v>
      </c>
      <c r="R155" s="226">
        <f>Q155*H155</f>
        <v>0.00058</v>
      </c>
      <c r="S155" s="226">
        <v>0</v>
      </c>
      <c r="T155" s="227">
        <f>S155*H155</f>
        <v>0</v>
      </c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R155" s="228" t="s">
        <v>148</v>
      </c>
      <c r="AT155" s="228" t="s">
        <v>145</v>
      </c>
      <c r="AU155" s="228" t="s">
        <v>85</v>
      </c>
      <c r="AY155" s="14" t="s">
        <v>131</v>
      </c>
      <c r="BE155" s="229">
        <f>IF(N155="základní",J155,0)</f>
        <v>0</v>
      </c>
      <c r="BF155" s="229">
        <f>IF(N155="snížená",J155,0)</f>
        <v>0</v>
      </c>
      <c r="BG155" s="229">
        <f>IF(N155="zákl. přenesená",J155,0)</f>
        <v>0</v>
      </c>
      <c r="BH155" s="229">
        <f>IF(N155="sníž. přenesená",J155,0)</f>
        <v>0</v>
      </c>
      <c r="BI155" s="229">
        <f>IF(N155="nulová",J155,0)</f>
        <v>0</v>
      </c>
      <c r="BJ155" s="14" t="s">
        <v>83</v>
      </c>
      <c r="BK155" s="229">
        <f>ROUND(I155*H155,2)</f>
        <v>0</v>
      </c>
      <c r="BL155" s="14" t="s">
        <v>138</v>
      </c>
      <c r="BM155" s="228" t="s">
        <v>251</v>
      </c>
    </row>
    <row r="156" s="2" customFormat="1" ht="44.25" customHeight="1">
      <c r="A156" s="35"/>
      <c r="B156" s="36"/>
      <c r="C156" s="216" t="s">
        <v>252</v>
      </c>
      <c r="D156" s="216" t="s">
        <v>134</v>
      </c>
      <c r="E156" s="217" t="s">
        <v>253</v>
      </c>
      <c r="F156" s="218" t="s">
        <v>254</v>
      </c>
      <c r="G156" s="219" t="s">
        <v>180</v>
      </c>
      <c r="H156" s="220">
        <v>1</v>
      </c>
      <c r="I156" s="221"/>
      <c r="J156" s="222">
        <f>ROUND(I156*H156,2)</f>
        <v>0</v>
      </c>
      <c r="K156" s="223"/>
      <c r="L156" s="41"/>
      <c r="M156" s="224" t="s">
        <v>1</v>
      </c>
      <c r="N156" s="225" t="s">
        <v>40</v>
      </c>
      <c r="O156" s="88"/>
      <c r="P156" s="226">
        <f>O156*H156</f>
        <v>0</v>
      </c>
      <c r="Q156" s="226">
        <v>0.00089999999999999998</v>
      </c>
      <c r="R156" s="226">
        <f>Q156*H156</f>
        <v>0.00089999999999999998</v>
      </c>
      <c r="S156" s="226">
        <v>0</v>
      </c>
      <c r="T156" s="227">
        <f>S156*H156</f>
        <v>0</v>
      </c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R156" s="228" t="s">
        <v>138</v>
      </c>
      <c r="AT156" s="228" t="s">
        <v>134</v>
      </c>
      <c r="AU156" s="228" t="s">
        <v>85</v>
      </c>
      <c r="AY156" s="14" t="s">
        <v>131</v>
      </c>
      <c r="BE156" s="229">
        <f>IF(N156="základní",J156,0)</f>
        <v>0</v>
      </c>
      <c r="BF156" s="229">
        <f>IF(N156="snížená",J156,0)</f>
        <v>0</v>
      </c>
      <c r="BG156" s="229">
        <f>IF(N156="zákl. přenesená",J156,0)</f>
        <v>0</v>
      </c>
      <c r="BH156" s="229">
        <f>IF(N156="sníž. přenesená",J156,0)</f>
        <v>0</v>
      </c>
      <c r="BI156" s="229">
        <f>IF(N156="nulová",J156,0)</f>
        <v>0</v>
      </c>
      <c r="BJ156" s="14" t="s">
        <v>83</v>
      </c>
      <c r="BK156" s="229">
        <f>ROUND(I156*H156,2)</f>
        <v>0</v>
      </c>
      <c r="BL156" s="14" t="s">
        <v>138</v>
      </c>
      <c r="BM156" s="228" t="s">
        <v>255</v>
      </c>
    </row>
    <row r="157" s="2" customFormat="1" ht="24.15" customHeight="1">
      <c r="A157" s="35"/>
      <c r="B157" s="36"/>
      <c r="C157" s="230" t="s">
        <v>138</v>
      </c>
      <c r="D157" s="230" t="s">
        <v>145</v>
      </c>
      <c r="E157" s="231" t="s">
        <v>256</v>
      </c>
      <c r="F157" s="232" t="s">
        <v>257</v>
      </c>
      <c r="G157" s="233" t="s">
        <v>189</v>
      </c>
      <c r="H157" s="234">
        <v>1</v>
      </c>
      <c r="I157" s="235"/>
      <c r="J157" s="236">
        <f>ROUND(I157*H157,2)</f>
        <v>0</v>
      </c>
      <c r="K157" s="237"/>
      <c r="L157" s="238"/>
      <c r="M157" s="239" t="s">
        <v>1</v>
      </c>
      <c r="N157" s="240" t="s">
        <v>40</v>
      </c>
      <c r="O157" s="88"/>
      <c r="P157" s="226">
        <f>O157*H157</f>
        <v>0</v>
      </c>
      <c r="Q157" s="226">
        <v>0</v>
      </c>
      <c r="R157" s="226">
        <f>Q157*H157</f>
        <v>0</v>
      </c>
      <c r="S157" s="226">
        <v>0</v>
      </c>
      <c r="T157" s="227">
        <f>S157*H157</f>
        <v>0</v>
      </c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R157" s="228" t="s">
        <v>148</v>
      </c>
      <c r="AT157" s="228" t="s">
        <v>145</v>
      </c>
      <c r="AU157" s="228" t="s">
        <v>85</v>
      </c>
      <c r="AY157" s="14" t="s">
        <v>131</v>
      </c>
      <c r="BE157" s="229">
        <f>IF(N157="základní",J157,0)</f>
        <v>0</v>
      </c>
      <c r="BF157" s="229">
        <f>IF(N157="snížená",J157,0)</f>
        <v>0</v>
      </c>
      <c r="BG157" s="229">
        <f>IF(N157="zákl. přenesená",J157,0)</f>
        <v>0</v>
      </c>
      <c r="BH157" s="229">
        <f>IF(N157="sníž. přenesená",J157,0)</f>
        <v>0</v>
      </c>
      <c r="BI157" s="229">
        <f>IF(N157="nulová",J157,0)</f>
        <v>0</v>
      </c>
      <c r="BJ157" s="14" t="s">
        <v>83</v>
      </c>
      <c r="BK157" s="229">
        <f>ROUND(I157*H157,2)</f>
        <v>0</v>
      </c>
      <c r="BL157" s="14" t="s">
        <v>138</v>
      </c>
      <c r="BM157" s="228" t="s">
        <v>258</v>
      </c>
    </row>
    <row r="158" s="2" customFormat="1" ht="24.15" customHeight="1">
      <c r="A158" s="35"/>
      <c r="B158" s="36"/>
      <c r="C158" s="230" t="s">
        <v>259</v>
      </c>
      <c r="D158" s="230" t="s">
        <v>145</v>
      </c>
      <c r="E158" s="231" t="s">
        <v>260</v>
      </c>
      <c r="F158" s="232" t="s">
        <v>257</v>
      </c>
      <c r="G158" s="233" t="s">
        <v>232</v>
      </c>
      <c r="H158" s="234">
        <v>1</v>
      </c>
      <c r="I158" s="235"/>
      <c r="J158" s="236">
        <f>ROUND(I158*H158,2)</f>
        <v>0</v>
      </c>
      <c r="K158" s="237"/>
      <c r="L158" s="238"/>
      <c r="M158" s="239" t="s">
        <v>1</v>
      </c>
      <c r="N158" s="240" t="s">
        <v>40</v>
      </c>
      <c r="O158" s="88"/>
      <c r="P158" s="226">
        <f>O158*H158</f>
        <v>0</v>
      </c>
      <c r="Q158" s="226">
        <v>0</v>
      </c>
      <c r="R158" s="226">
        <f>Q158*H158</f>
        <v>0</v>
      </c>
      <c r="S158" s="226">
        <v>0</v>
      </c>
      <c r="T158" s="227">
        <f>S158*H158</f>
        <v>0</v>
      </c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R158" s="228" t="s">
        <v>148</v>
      </c>
      <c r="AT158" s="228" t="s">
        <v>145</v>
      </c>
      <c r="AU158" s="228" t="s">
        <v>85</v>
      </c>
      <c r="AY158" s="14" t="s">
        <v>131</v>
      </c>
      <c r="BE158" s="229">
        <f>IF(N158="základní",J158,0)</f>
        <v>0</v>
      </c>
      <c r="BF158" s="229">
        <f>IF(N158="snížená",J158,0)</f>
        <v>0</v>
      </c>
      <c r="BG158" s="229">
        <f>IF(N158="zákl. přenesená",J158,0)</f>
        <v>0</v>
      </c>
      <c r="BH158" s="229">
        <f>IF(N158="sníž. přenesená",J158,0)</f>
        <v>0</v>
      </c>
      <c r="BI158" s="229">
        <f>IF(N158="nulová",J158,0)</f>
        <v>0</v>
      </c>
      <c r="BJ158" s="14" t="s">
        <v>83</v>
      </c>
      <c r="BK158" s="229">
        <f>ROUND(I158*H158,2)</f>
        <v>0</v>
      </c>
      <c r="BL158" s="14" t="s">
        <v>138</v>
      </c>
      <c r="BM158" s="228" t="s">
        <v>261</v>
      </c>
    </row>
    <row r="159" s="2" customFormat="1" ht="24.15" customHeight="1">
      <c r="A159" s="35"/>
      <c r="B159" s="36"/>
      <c r="C159" s="230" t="s">
        <v>262</v>
      </c>
      <c r="D159" s="230" t="s">
        <v>145</v>
      </c>
      <c r="E159" s="231" t="s">
        <v>263</v>
      </c>
      <c r="F159" s="232" t="s">
        <v>257</v>
      </c>
      <c r="G159" s="233" t="s">
        <v>189</v>
      </c>
      <c r="H159" s="234">
        <v>12</v>
      </c>
      <c r="I159" s="235"/>
      <c r="J159" s="236">
        <f>ROUND(I159*H159,2)</f>
        <v>0</v>
      </c>
      <c r="K159" s="237"/>
      <c r="L159" s="238"/>
      <c r="M159" s="239" t="s">
        <v>1</v>
      </c>
      <c r="N159" s="240" t="s">
        <v>40</v>
      </c>
      <c r="O159" s="88"/>
      <c r="P159" s="226">
        <f>O159*H159</f>
        <v>0</v>
      </c>
      <c r="Q159" s="226">
        <v>0</v>
      </c>
      <c r="R159" s="226">
        <f>Q159*H159</f>
        <v>0</v>
      </c>
      <c r="S159" s="226">
        <v>0</v>
      </c>
      <c r="T159" s="227">
        <f>S159*H159</f>
        <v>0</v>
      </c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R159" s="228" t="s">
        <v>148</v>
      </c>
      <c r="AT159" s="228" t="s">
        <v>145</v>
      </c>
      <c r="AU159" s="228" t="s">
        <v>85</v>
      </c>
      <c r="AY159" s="14" t="s">
        <v>131</v>
      </c>
      <c r="BE159" s="229">
        <f>IF(N159="základní",J159,0)</f>
        <v>0</v>
      </c>
      <c r="BF159" s="229">
        <f>IF(N159="snížená",J159,0)</f>
        <v>0</v>
      </c>
      <c r="BG159" s="229">
        <f>IF(N159="zákl. přenesená",J159,0)</f>
        <v>0</v>
      </c>
      <c r="BH159" s="229">
        <f>IF(N159="sníž. přenesená",J159,0)</f>
        <v>0</v>
      </c>
      <c r="BI159" s="229">
        <f>IF(N159="nulová",J159,0)</f>
        <v>0</v>
      </c>
      <c r="BJ159" s="14" t="s">
        <v>83</v>
      </c>
      <c r="BK159" s="229">
        <f>ROUND(I159*H159,2)</f>
        <v>0</v>
      </c>
      <c r="BL159" s="14" t="s">
        <v>138</v>
      </c>
      <c r="BM159" s="228" t="s">
        <v>264</v>
      </c>
    </row>
    <row r="160" s="2" customFormat="1" ht="37.8" customHeight="1">
      <c r="A160" s="35"/>
      <c r="B160" s="36"/>
      <c r="C160" s="216" t="s">
        <v>265</v>
      </c>
      <c r="D160" s="216" t="s">
        <v>134</v>
      </c>
      <c r="E160" s="217" t="s">
        <v>266</v>
      </c>
      <c r="F160" s="218" t="s">
        <v>267</v>
      </c>
      <c r="G160" s="219" t="s">
        <v>173</v>
      </c>
      <c r="H160" s="241"/>
      <c r="I160" s="221"/>
      <c r="J160" s="222">
        <f>ROUND(I160*H160,2)</f>
        <v>0</v>
      </c>
      <c r="K160" s="223"/>
      <c r="L160" s="41"/>
      <c r="M160" s="224" t="s">
        <v>1</v>
      </c>
      <c r="N160" s="225" t="s">
        <v>40</v>
      </c>
      <c r="O160" s="88"/>
      <c r="P160" s="226">
        <f>O160*H160</f>
        <v>0</v>
      </c>
      <c r="Q160" s="226">
        <v>0</v>
      </c>
      <c r="R160" s="226">
        <f>Q160*H160</f>
        <v>0</v>
      </c>
      <c r="S160" s="226">
        <v>0</v>
      </c>
      <c r="T160" s="227">
        <f>S160*H160</f>
        <v>0</v>
      </c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R160" s="228" t="s">
        <v>138</v>
      </c>
      <c r="AT160" s="228" t="s">
        <v>134</v>
      </c>
      <c r="AU160" s="228" t="s">
        <v>85</v>
      </c>
      <c r="AY160" s="14" t="s">
        <v>131</v>
      </c>
      <c r="BE160" s="229">
        <f>IF(N160="základní",J160,0)</f>
        <v>0</v>
      </c>
      <c r="BF160" s="229">
        <f>IF(N160="snížená",J160,0)</f>
        <v>0</v>
      </c>
      <c r="BG160" s="229">
        <f>IF(N160="zákl. přenesená",J160,0)</f>
        <v>0</v>
      </c>
      <c r="BH160" s="229">
        <f>IF(N160="sníž. přenesená",J160,0)</f>
        <v>0</v>
      </c>
      <c r="BI160" s="229">
        <f>IF(N160="nulová",J160,0)</f>
        <v>0</v>
      </c>
      <c r="BJ160" s="14" t="s">
        <v>83</v>
      </c>
      <c r="BK160" s="229">
        <f>ROUND(I160*H160,2)</f>
        <v>0</v>
      </c>
      <c r="BL160" s="14" t="s">
        <v>138</v>
      </c>
      <c r="BM160" s="228" t="s">
        <v>268</v>
      </c>
    </row>
    <row r="161" s="12" customFormat="1" ht="22.8" customHeight="1">
      <c r="A161" s="12"/>
      <c r="B161" s="200"/>
      <c r="C161" s="201"/>
      <c r="D161" s="202" t="s">
        <v>74</v>
      </c>
      <c r="E161" s="214" t="s">
        <v>269</v>
      </c>
      <c r="F161" s="214" t="s">
        <v>270</v>
      </c>
      <c r="G161" s="201"/>
      <c r="H161" s="201"/>
      <c r="I161" s="204"/>
      <c r="J161" s="215">
        <f>BK161</f>
        <v>0</v>
      </c>
      <c r="K161" s="201"/>
      <c r="L161" s="206"/>
      <c r="M161" s="207"/>
      <c r="N161" s="208"/>
      <c r="O161" s="208"/>
      <c r="P161" s="209">
        <f>SUM(P162:P186)</f>
        <v>0</v>
      </c>
      <c r="Q161" s="208"/>
      <c r="R161" s="209">
        <f>SUM(R162:R186)</f>
        <v>0.44606000000000007</v>
      </c>
      <c r="S161" s="208"/>
      <c r="T161" s="210">
        <f>SUM(T162:T186)</f>
        <v>0</v>
      </c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R161" s="211" t="s">
        <v>85</v>
      </c>
      <c r="AT161" s="212" t="s">
        <v>74</v>
      </c>
      <c r="AU161" s="212" t="s">
        <v>83</v>
      </c>
      <c r="AY161" s="211" t="s">
        <v>131</v>
      </c>
      <c r="BK161" s="213">
        <f>SUM(BK162:BK186)</f>
        <v>0</v>
      </c>
    </row>
    <row r="162" s="2" customFormat="1" ht="37.8" customHeight="1">
      <c r="A162" s="35"/>
      <c r="B162" s="36"/>
      <c r="C162" s="216" t="s">
        <v>271</v>
      </c>
      <c r="D162" s="216" t="s">
        <v>134</v>
      </c>
      <c r="E162" s="217" t="s">
        <v>272</v>
      </c>
      <c r="F162" s="218" t="s">
        <v>273</v>
      </c>
      <c r="G162" s="219" t="s">
        <v>185</v>
      </c>
      <c r="H162" s="220">
        <v>1</v>
      </c>
      <c r="I162" s="221"/>
      <c r="J162" s="222">
        <f>ROUND(I162*H162,2)</f>
        <v>0</v>
      </c>
      <c r="K162" s="223"/>
      <c r="L162" s="41"/>
      <c r="M162" s="224" t="s">
        <v>1</v>
      </c>
      <c r="N162" s="225" t="s">
        <v>40</v>
      </c>
      <c r="O162" s="88"/>
      <c r="P162" s="226">
        <f>O162*H162</f>
        <v>0</v>
      </c>
      <c r="Q162" s="226">
        <v>0.00068000000000000005</v>
      </c>
      <c r="R162" s="226">
        <f>Q162*H162</f>
        <v>0.00068000000000000005</v>
      </c>
      <c r="S162" s="226">
        <v>0</v>
      </c>
      <c r="T162" s="227">
        <f>S162*H162</f>
        <v>0</v>
      </c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R162" s="228" t="s">
        <v>138</v>
      </c>
      <c r="AT162" s="228" t="s">
        <v>134</v>
      </c>
      <c r="AU162" s="228" t="s">
        <v>85</v>
      </c>
      <c r="AY162" s="14" t="s">
        <v>131</v>
      </c>
      <c r="BE162" s="229">
        <f>IF(N162="základní",J162,0)</f>
        <v>0</v>
      </c>
      <c r="BF162" s="229">
        <f>IF(N162="snížená",J162,0)</f>
        <v>0</v>
      </c>
      <c r="BG162" s="229">
        <f>IF(N162="zákl. přenesená",J162,0)</f>
        <v>0</v>
      </c>
      <c r="BH162" s="229">
        <f>IF(N162="sníž. přenesená",J162,0)</f>
        <v>0</v>
      </c>
      <c r="BI162" s="229">
        <f>IF(N162="nulová",J162,0)</f>
        <v>0</v>
      </c>
      <c r="BJ162" s="14" t="s">
        <v>83</v>
      </c>
      <c r="BK162" s="229">
        <f>ROUND(I162*H162,2)</f>
        <v>0</v>
      </c>
      <c r="BL162" s="14" t="s">
        <v>138</v>
      </c>
      <c r="BM162" s="228" t="s">
        <v>274</v>
      </c>
    </row>
    <row r="163" s="2" customFormat="1" ht="49.05" customHeight="1">
      <c r="A163" s="35"/>
      <c r="B163" s="36"/>
      <c r="C163" s="216" t="s">
        <v>275</v>
      </c>
      <c r="D163" s="216" t="s">
        <v>134</v>
      </c>
      <c r="E163" s="217" t="s">
        <v>276</v>
      </c>
      <c r="F163" s="218" t="s">
        <v>277</v>
      </c>
      <c r="G163" s="219" t="s">
        <v>185</v>
      </c>
      <c r="H163" s="220">
        <v>1</v>
      </c>
      <c r="I163" s="221"/>
      <c r="J163" s="222">
        <f>ROUND(I163*H163,2)</f>
        <v>0</v>
      </c>
      <c r="K163" s="223"/>
      <c r="L163" s="41"/>
      <c r="M163" s="224" t="s">
        <v>1</v>
      </c>
      <c r="N163" s="225" t="s">
        <v>40</v>
      </c>
      <c r="O163" s="88"/>
      <c r="P163" s="226">
        <f>O163*H163</f>
        <v>0</v>
      </c>
      <c r="Q163" s="226">
        <v>0.00068000000000000005</v>
      </c>
      <c r="R163" s="226">
        <f>Q163*H163</f>
        <v>0.00068000000000000005</v>
      </c>
      <c r="S163" s="226">
        <v>0</v>
      </c>
      <c r="T163" s="227">
        <f>S163*H163</f>
        <v>0</v>
      </c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R163" s="228" t="s">
        <v>138</v>
      </c>
      <c r="AT163" s="228" t="s">
        <v>134</v>
      </c>
      <c r="AU163" s="228" t="s">
        <v>85</v>
      </c>
      <c r="AY163" s="14" t="s">
        <v>131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4" t="s">
        <v>83</v>
      </c>
      <c r="BK163" s="229">
        <f>ROUND(I163*H163,2)</f>
        <v>0</v>
      </c>
      <c r="BL163" s="14" t="s">
        <v>138</v>
      </c>
      <c r="BM163" s="228" t="s">
        <v>278</v>
      </c>
    </row>
    <row r="164" s="2" customFormat="1" ht="55.5" customHeight="1">
      <c r="A164" s="35"/>
      <c r="B164" s="36"/>
      <c r="C164" s="216" t="s">
        <v>279</v>
      </c>
      <c r="D164" s="216" t="s">
        <v>134</v>
      </c>
      <c r="E164" s="217" t="s">
        <v>280</v>
      </c>
      <c r="F164" s="218" t="s">
        <v>281</v>
      </c>
      <c r="G164" s="219" t="s">
        <v>185</v>
      </c>
      <c r="H164" s="220">
        <v>1</v>
      </c>
      <c r="I164" s="221"/>
      <c r="J164" s="222">
        <f>ROUND(I164*H164,2)</f>
        <v>0</v>
      </c>
      <c r="K164" s="223"/>
      <c r="L164" s="41"/>
      <c r="M164" s="224" t="s">
        <v>1</v>
      </c>
      <c r="N164" s="225" t="s">
        <v>40</v>
      </c>
      <c r="O164" s="88"/>
      <c r="P164" s="226">
        <f>O164*H164</f>
        <v>0</v>
      </c>
      <c r="Q164" s="226">
        <v>0.00068000000000000005</v>
      </c>
      <c r="R164" s="226">
        <f>Q164*H164</f>
        <v>0.00068000000000000005</v>
      </c>
      <c r="S164" s="226">
        <v>0</v>
      </c>
      <c r="T164" s="227">
        <f>S164*H164</f>
        <v>0</v>
      </c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R164" s="228" t="s">
        <v>138</v>
      </c>
      <c r="AT164" s="228" t="s">
        <v>134</v>
      </c>
      <c r="AU164" s="228" t="s">
        <v>85</v>
      </c>
      <c r="AY164" s="14" t="s">
        <v>131</v>
      </c>
      <c r="BE164" s="229">
        <f>IF(N164="základní",J164,0)</f>
        <v>0</v>
      </c>
      <c r="BF164" s="229">
        <f>IF(N164="snížená",J164,0)</f>
        <v>0</v>
      </c>
      <c r="BG164" s="229">
        <f>IF(N164="zákl. přenesená",J164,0)</f>
        <v>0</v>
      </c>
      <c r="BH164" s="229">
        <f>IF(N164="sníž. přenesená",J164,0)</f>
        <v>0</v>
      </c>
      <c r="BI164" s="229">
        <f>IF(N164="nulová",J164,0)</f>
        <v>0</v>
      </c>
      <c r="BJ164" s="14" t="s">
        <v>83</v>
      </c>
      <c r="BK164" s="229">
        <f>ROUND(I164*H164,2)</f>
        <v>0</v>
      </c>
      <c r="BL164" s="14" t="s">
        <v>138</v>
      </c>
      <c r="BM164" s="228" t="s">
        <v>282</v>
      </c>
    </row>
    <row r="165" s="2" customFormat="1" ht="55.5" customHeight="1">
      <c r="A165" s="35"/>
      <c r="B165" s="36"/>
      <c r="C165" s="216" t="s">
        <v>283</v>
      </c>
      <c r="D165" s="216" t="s">
        <v>134</v>
      </c>
      <c r="E165" s="217" t="s">
        <v>284</v>
      </c>
      <c r="F165" s="218" t="s">
        <v>285</v>
      </c>
      <c r="G165" s="219" t="s">
        <v>232</v>
      </c>
      <c r="H165" s="220">
        <v>1</v>
      </c>
      <c r="I165" s="221"/>
      <c r="J165" s="222">
        <f>ROUND(I165*H165,2)</f>
        <v>0</v>
      </c>
      <c r="K165" s="223"/>
      <c r="L165" s="41"/>
      <c r="M165" s="224" t="s">
        <v>1</v>
      </c>
      <c r="N165" s="225" t="s">
        <v>40</v>
      </c>
      <c r="O165" s="88"/>
      <c r="P165" s="226">
        <f>O165*H165</f>
        <v>0</v>
      </c>
      <c r="Q165" s="226">
        <v>0.00068000000000000005</v>
      </c>
      <c r="R165" s="226">
        <f>Q165*H165</f>
        <v>0.00068000000000000005</v>
      </c>
      <c r="S165" s="226">
        <v>0</v>
      </c>
      <c r="T165" s="227">
        <f>S165*H165</f>
        <v>0</v>
      </c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R165" s="228" t="s">
        <v>138</v>
      </c>
      <c r="AT165" s="228" t="s">
        <v>134</v>
      </c>
      <c r="AU165" s="228" t="s">
        <v>85</v>
      </c>
      <c r="AY165" s="14" t="s">
        <v>131</v>
      </c>
      <c r="BE165" s="229">
        <f>IF(N165="základní",J165,0)</f>
        <v>0</v>
      </c>
      <c r="BF165" s="229">
        <f>IF(N165="snížená",J165,0)</f>
        <v>0</v>
      </c>
      <c r="BG165" s="229">
        <f>IF(N165="zákl. přenesená",J165,0)</f>
        <v>0</v>
      </c>
      <c r="BH165" s="229">
        <f>IF(N165="sníž. přenesená",J165,0)</f>
        <v>0</v>
      </c>
      <c r="BI165" s="229">
        <f>IF(N165="nulová",J165,0)</f>
        <v>0</v>
      </c>
      <c r="BJ165" s="14" t="s">
        <v>83</v>
      </c>
      <c r="BK165" s="229">
        <f>ROUND(I165*H165,2)</f>
        <v>0</v>
      </c>
      <c r="BL165" s="14" t="s">
        <v>138</v>
      </c>
      <c r="BM165" s="228" t="s">
        <v>286</v>
      </c>
    </row>
    <row r="166" s="2" customFormat="1" ht="49.05" customHeight="1">
      <c r="A166" s="35"/>
      <c r="B166" s="36"/>
      <c r="C166" s="216" t="s">
        <v>287</v>
      </c>
      <c r="D166" s="216" t="s">
        <v>134</v>
      </c>
      <c r="E166" s="217" t="s">
        <v>288</v>
      </c>
      <c r="F166" s="218" t="s">
        <v>289</v>
      </c>
      <c r="G166" s="219" t="s">
        <v>232</v>
      </c>
      <c r="H166" s="220">
        <v>1</v>
      </c>
      <c r="I166" s="221"/>
      <c r="J166" s="222">
        <f>ROUND(I166*H166,2)</f>
        <v>0</v>
      </c>
      <c r="K166" s="223"/>
      <c r="L166" s="41"/>
      <c r="M166" s="224" t="s">
        <v>1</v>
      </c>
      <c r="N166" s="225" t="s">
        <v>40</v>
      </c>
      <c r="O166" s="88"/>
      <c r="P166" s="226">
        <f>O166*H166</f>
        <v>0</v>
      </c>
      <c r="Q166" s="226">
        <v>0.00068000000000000005</v>
      </c>
      <c r="R166" s="226">
        <f>Q166*H166</f>
        <v>0.00068000000000000005</v>
      </c>
      <c r="S166" s="226">
        <v>0</v>
      </c>
      <c r="T166" s="227">
        <f>S166*H166</f>
        <v>0</v>
      </c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R166" s="228" t="s">
        <v>138</v>
      </c>
      <c r="AT166" s="228" t="s">
        <v>134</v>
      </c>
      <c r="AU166" s="228" t="s">
        <v>85</v>
      </c>
      <c r="AY166" s="14" t="s">
        <v>131</v>
      </c>
      <c r="BE166" s="229">
        <f>IF(N166="základní",J166,0)</f>
        <v>0</v>
      </c>
      <c r="BF166" s="229">
        <f>IF(N166="snížená",J166,0)</f>
        <v>0</v>
      </c>
      <c r="BG166" s="229">
        <f>IF(N166="zákl. přenesená",J166,0)</f>
        <v>0</v>
      </c>
      <c r="BH166" s="229">
        <f>IF(N166="sníž. přenesená",J166,0)</f>
        <v>0</v>
      </c>
      <c r="BI166" s="229">
        <f>IF(N166="nulová",J166,0)</f>
        <v>0</v>
      </c>
      <c r="BJ166" s="14" t="s">
        <v>83</v>
      </c>
      <c r="BK166" s="229">
        <f>ROUND(I166*H166,2)</f>
        <v>0</v>
      </c>
      <c r="BL166" s="14" t="s">
        <v>138</v>
      </c>
      <c r="BM166" s="228" t="s">
        <v>290</v>
      </c>
    </row>
    <row r="167" s="2" customFormat="1" ht="24.15" customHeight="1">
      <c r="A167" s="35"/>
      <c r="B167" s="36"/>
      <c r="C167" s="216" t="s">
        <v>291</v>
      </c>
      <c r="D167" s="216" t="s">
        <v>134</v>
      </c>
      <c r="E167" s="217" t="s">
        <v>292</v>
      </c>
      <c r="F167" s="218" t="s">
        <v>293</v>
      </c>
      <c r="G167" s="219" t="s">
        <v>185</v>
      </c>
      <c r="H167" s="220">
        <v>2</v>
      </c>
      <c r="I167" s="221"/>
      <c r="J167" s="222">
        <f>ROUND(I167*H167,2)</f>
        <v>0</v>
      </c>
      <c r="K167" s="223"/>
      <c r="L167" s="41"/>
      <c r="M167" s="224" t="s">
        <v>1</v>
      </c>
      <c r="N167" s="225" t="s">
        <v>40</v>
      </c>
      <c r="O167" s="88"/>
      <c r="P167" s="226">
        <f>O167*H167</f>
        <v>0</v>
      </c>
      <c r="Q167" s="226">
        <v>0.027650000000000001</v>
      </c>
      <c r="R167" s="226">
        <f>Q167*H167</f>
        <v>0.055300000000000002</v>
      </c>
      <c r="S167" s="226">
        <v>0</v>
      </c>
      <c r="T167" s="227">
        <f>S167*H167</f>
        <v>0</v>
      </c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R167" s="228" t="s">
        <v>138</v>
      </c>
      <c r="AT167" s="228" t="s">
        <v>134</v>
      </c>
      <c r="AU167" s="228" t="s">
        <v>85</v>
      </c>
      <c r="AY167" s="14" t="s">
        <v>131</v>
      </c>
      <c r="BE167" s="229">
        <f>IF(N167="základní",J167,0)</f>
        <v>0</v>
      </c>
      <c r="BF167" s="229">
        <f>IF(N167="snížená",J167,0)</f>
        <v>0</v>
      </c>
      <c r="BG167" s="229">
        <f>IF(N167="zákl. přenesená",J167,0)</f>
        <v>0</v>
      </c>
      <c r="BH167" s="229">
        <f>IF(N167="sníž. přenesená",J167,0)</f>
        <v>0</v>
      </c>
      <c r="BI167" s="229">
        <f>IF(N167="nulová",J167,0)</f>
        <v>0</v>
      </c>
      <c r="BJ167" s="14" t="s">
        <v>83</v>
      </c>
      <c r="BK167" s="229">
        <f>ROUND(I167*H167,2)</f>
        <v>0</v>
      </c>
      <c r="BL167" s="14" t="s">
        <v>138</v>
      </c>
      <c r="BM167" s="228" t="s">
        <v>294</v>
      </c>
    </row>
    <row r="168" s="2" customFormat="1" ht="44.25" customHeight="1">
      <c r="A168" s="35"/>
      <c r="B168" s="36"/>
      <c r="C168" s="216" t="s">
        <v>295</v>
      </c>
      <c r="D168" s="216" t="s">
        <v>134</v>
      </c>
      <c r="E168" s="217" t="s">
        <v>296</v>
      </c>
      <c r="F168" s="218" t="s">
        <v>297</v>
      </c>
      <c r="G168" s="219" t="s">
        <v>185</v>
      </c>
      <c r="H168" s="220">
        <v>6</v>
      </c>
      <c r="I168" s="221"/>
      <c r="J168" s="222">
        <f>ROUND(I168*H168,2)</f>
        <v>0</v>
      </c>
      <c r="K168" s="223"/>
      <c r="L168" s="41"/>
      <c r="M168" s="224" t="s">
        <v>1</v>
      </c>
      <c r="N168" s="225" t="s">
        <v>40</v>
      </c>
      <c r="O168" s="88"/>
      <c r="P168" s="226">
        <f>O168*H168</f>
        <v>0</v>
      </c>
      <c r="Q168" s="226">
        <v>0.0063299999999999997</v>
      </c>
      <c r="R168" s="226">
        <f>Q168*H168</f>
        <v>0.03798</v>
      </c>
      <c r="S168" s="226">
        <v>0</v>
      </c>
      <c r="T168" s="227">
        <f>S168*H168</f>
        <v>0</v>
      </c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R168" s="228" t="s">
        <v>138</v>
      </c>
      <c r="AT168" s="228" t="s">
        <v>134</v>
      </c>
      <c r="AU168" s="228" t="s">
        <v>85</v>
      </c>
      <c r="AY168" s="14" t="s">
        <v>131</v>
      </c>
      <c r="BE168" s="229">
        <f>IF(N168="základní",J168,0)</f>
        <v>0</v>
      </c>
      <c r="BF168" s="229">
        <f>IF(N168="snížená",J168,0)</f>
        <v>0</v>
      </c>
      <c r="BG168" s="229">
        <f>IF(N168="zákl. přenesená",J168,0)</f>
        <v>0</v>
      </c>
      <c r="BH168" s="229">
        <f>IF(N168="sníž. přenesená",J168,0)</f>
        <v>0</v>
      </c>
      <c r="BI168" s="229">
        <f>IF(N168="nulová",J168,0)</f>
        <v>0</v>
      </c>
      <c r="BJ168" s="14" t="s">
        <v>83</v>
      </c>
      <c r="BK168" s="229">
        <f>ROUND(I168*H168,2)</f>
        <v>0</v>
      </c>
      <c r="BL168" s="14" t="s">
        <v>138</v>
      </c>
      <c r="BM168" s="228" t="s">
        <v>298</v>
      </c>
    </row>
    <row r="169" s="2" customFormat="1" ht="24.15" customHeight="1">
      <c r="A169" s="35"/>
      <c r="B169" s="36"/>
      <c r="C169" s="216" t="s">
        <v>299</v>
      </c>
      <c r="D169" s="216" t="s">
        <v>134</v>
      </c>
      <c r="E169" s="217" t="s">
        <v>300</v>
      </c>
      <c r="F169" s="218" t="s">
        <v>301</v>
      </c>
      <c r="G169" s="219" t="s">
        <v>185</v>
      </c>
      <c r="H169" s="220">
        <v>4</v>
      </c>
      <c r="I169" s="221"/>
      <c r="J169" s="222">
        <f>ROUND(I169*H169,2)</f>
        <v>0</v>
      </c>
      <c r="K169" s="223"/>
      <c r="L169" s="41"/>
      <c r="M169" s="224" t="s">
        <v>1</v>
      </c>
      <c r="N169" s="225" t="s">
        <v>40</v>
      </c>
      <c r="O169" s="88"/>
      <c r="P169" s="226">
        <f>O169*H169</f>
        <v>0</v>
      </c>
      <c r="Q169" s="226">
        <v>0.00067000000000000002</v>
      </c>
      <c r="R169" s="226">
        <f>Q169*H169</f>
        <v>0.0026800000000000001</v>
      </c>
      <c r="S169" s="226">
        <v>0</v>
      </c>
      <c r="T169" s="227">
        <f>S169*H169</f>
        <v>0</v>
      </c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R169" s="228" t="s">
        <v>138</v>
      </c>
      <c r="AT169" s="228" t="s">
        <v>134</v>
      </c>
      <c r="AU169" s="228" t="s">
        <v>85</v>
      </c>
      <c r="AY169" s="14" t="s">
        <v>131</v>
      </c>
      <c r="BE169" s="229">
        <f>IF(N169="základní",J169,0)</f>
        <v>0</v>
      </c>
      <c r="BF169" s="229">
        <f>IF(N169="snížená",J169,0)</f>
        <v>0</v>
      </c>
      <c r="BG169" s="229">
        <f>IF(N169="zákl. přenesená",J169,0)</f>
        <v>0</v>
      </c>
      <c r="BH169" s="229">
        <f>IF(N169="sníž. přenesená",J169,0)</f>
        <v>0</v>
      </c>
      <c r="BI169" s="229">
        <f>IF(N169="nulová",J169,0)</f>
        <v>0</v>
      </c>
      <c r="BJ169" s="14" t="s">
        <v>83</v>
      </c>
      <c r="BK169" s="229">
        <f>ROUND(I169*H169,2)</f>
        <v>0</v>
      </c>
      <c r="BL169" s="14" t="s">
        <v>138</v>
      </c>
      <c r="BM169" s="228" t="s">
        <v>302</v>
      </c>
    </row>
    <row r="170" s="2" customFormat="1" ht="24.15" customHeight="1">
      <c r="A170" s="35"/>
      <c r="B170" s="36"/>
      <c r="C170" s="216" t="s">
        <v>303</v>
      </c>
      <c r="D170" s="216" t="s">
        <v>134</v>
      </c>
      <c r="E170" s="217" t="s">
        <v>304</v>
      </c>
      <c r="F170" s="218" t="s">
        <v>305</v>
      </c>
      <c r="G170" s="219" t="s">
        <v>185</v>
      </c>
      <c r="H170" s="220">
        <v>2</v>
      </c>
      <c r="I170" s="221"/>
      <c r="J170" s="222">
        <f>ROUND(I170*H170,2)</f>
        <v>0</v>
      </c>
      <c r="K170" s="223"/>
      <c r="L170" s="41"/>
      <c r="M170" s="224" t="s">
        <v>1</v>
      </c>
      <c r="N170" s="225" t="s">
        <v>40</v>
      </c>
      <c r="O170" s="88"/>
      <c r="P170" s="226">
        <f>O170*H170</f>
        <v>0</v>
      </c>
      <c r="Q170" s="226">
        <v>0.00077999999999999999</v>
      </c>
      <c r="R170" s="226">
        <f>Q170*H170</f>
        <v>0.00156</v>
      </c>
      <c r="S170" s="226">
        <v>0</v>
      </c>
      <c r="T170" s="227">
        <f>S170*H170</f>
        <v>0</v>
      </c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R170" s="228" t="s">
        <v>138</v>
      </c>
      <c r="AT170" s="228" t="s">
        <v>134</v>
      </c>
      <c r="AU170" s="228" t="s">
        <v>85</v>
      </c>
      <c r="AY170" s="14" t="s">
        <v>131</v>
      </c>
      <c r="BE170" s="229">
        <f>IF(N170="základní",J170,0)</f>
        <v>0</v>
      </c>
      <c r="BF170" s="229">
        <f>IF(N170="snížená",J170,0)</f>
        <v>0</v>
      </c>
      <c r="BG170" s="229">
        <f>IF(N170="zákl. přenesená",J170,0)</f>
        <v>0</v>
      </c>
      <c r="BH170" s="229">
        <f>IF(N170="sníž. přenesená",J170,0)</f>
        <v>0</v>
      </c>
      <c r="BI170" s="229">
        <f>IF(N170="nulová",J170,0)</f>
        <v>0</v>
      </c>
      <c r="BJ170" s="14" t="s">
        <v>83</v>
      </c>
      <c r="BK170" s="229">
        <f>ROUND(I170*H170,2)</f>
        <v>0</v>
      </c>
      <c r="BL170" s="14" t="s">
        <v>138</v>
      </c>
      <c r="BM170" s="228" t="s">
        <v>306</v>
      </c>
    </row>
    <row r="171" s="2" customFormat="1" ht="24.15" customHeight="1">
      <c r="A171" s="35"/>
      <c r="B171" s="36"/>
      <c r="C171" s="216" t="s">
        <v>307</v>
      </c>
      <c r="D171" s="216" t="s">
        <v>134</v>
      </c>
      <c r="E171" s="217" t="s">
        <v>308</v>
      </c>
      <c r="F171" s="218" t="s">
        <v>309</v>
      </c>
      <c r="G171" s="219" t="s">
        <v>185</v>
      </c>
      <c r="H171" s="220">
        <v>2</v>
      </c>
      <c r="I171" s="221"/>
      <c r="J171" s="222">
        <f>ROUND(I171*H171,2)</f>
        <v>0</v>
      </c>
      <c r="K171" s="223"/>
      <c r="L171" s="41"/>
      <c r="M171" s="224" t="s">
        <v>1</v>
      </c>
      <c r="N171" s="225" t="s">
        <v>40</v>
      </c>
      <c r="O171" s="88"/>
      <c r="P171" s="226">
        <f>O171*H171</f>
        <v>0</v>
      </c>
      <c r="Q171" s="226">
        <v>0.0013799999999999999</v>
      </c>
      <c r="R171" s="226">
        <f>Q171*H171</f>
        <v>0.0027599999999999999</v>
      </c>
      <c r="S171" s="226">
        <v>0</v>
      </c>
      <c r="T171" s="227">
        <f>S171*H171</f>
        <v>0</v>
      </c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R171" s="228" t="s">
        <v>138</v>
      </c>
      <c r="AT171" s="228" t="s">
        <v>134</v>
      </c>
      <c r="AU171" s="228" t="s">
        <v>85</v>
      </c>
      <c r="AY171" s="14" t="s">
        <v>131</v>
      </c>
      <c r="BE171" s="229">
        <f>IF(N171="základní",J171,0)</f>
        <v>0</v>
      </c>
      <c r="BF171" s="229">
        <f>IF(N171="snížená",J171,0)</f>
        <v>0</v>
      </c>
      <c r="BG171" s="229">
        <f>IF(N171="zákl. přenesená",J171,0)</f>
        <v>0</v>
      </c>
      <c r="BH171" s="229">
        <f>IF(N171="sníž. přenesená",J171,0)</f>
        <v>0</v>
      </c>
      <c r="BI171" s="229">
        <f>IF(N171="nulová",J171,0)</f>
        <v>0</v>
      </c>
      <c r="BJ171" s="14" t="s">
        <v>83</v>
      </c>
      <c r="BK171" s="229">
        <f>ROUND(I171*H171,2)</f>
        <v>0</v>
      </c>
      <c r="BL171" s="14" t="s">
        <v>138</v>
      </c>
      <c r="BM171" s="228" t="s">
        <v>310</v>
      </c>
    </row>
    <row r="172" s="2" customFormat="1" ht="24.15" customHeight="1">
      <c r="A172" s="35"/>
      <c r="B172" s="36"/>
      <c r="C172" s="230" t="s">
        <v>311</v>
      </c>
      <c r="D172" s="230" t="s">
        <v>145</v>
      </c>
      <c r="E172" s="231" t="s">
        <v>312</v>
      </c>
      <c r="F172" s="232" t="s">
        <v>313</v>
      </c>
      <c r="G172" s="233" t="s">
        <v>189</v>
      </c>
      <c r="H172" s="234">
        <v>4</v>
      </c>
      <c r="I172" s="235"/>
      <c r="J172" s="236">
        <f>ROUND(I172*H172,2)</f>
        <v>0</v>
      </c>
      <c r="K172" s="237"/>
      <c r="L172" s="238"/>
      <c r="M172" s="239" t="s">
        <v>1</v>
      </c>
      <c r="N172" s="240" t="s">
        <v>40</v>
      </c>
      <c r="O172" s="88"/>
      <c r="P172" s="226">
        <f>O172*H172</f>
        <v>0</v>
      </c>
      <c r="Q172" s="226">
        <v>0.02</v>
      </c>
      <c r="R172" s="226">
        <f>Q172*H172</f>
        <v>0.080000000000000002</v>
      </c>
      <c r="S172" s="226">
        <v>0</v>
      </c>
      <c r="T172" s="227">
        <f>S172*H172</f>
        <v>0</v>
      </c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R172" s="228" t="s">
        <v>148</v>
      </c>
      <c r="AT172" s="228" t="s">
        <v>145</v>
      </c>
      <c r="AU172" s="228" t="s">
        <v>85</v>
      </c>
      <c r="AY172" s="14" t="s">
        <v>131</v>
      </c>
      <c r="BE172" s="229">
        <f>IF(N172="základní",J172,0)</f>
        <v>0</v>
      </c>
      <c r="BF172" s="229">
        <f>IF(N172="snížená",J172,0)</f>
        <v>0</v>
      </c>
      <c r="BG172" s="229">
        <f>IF(N172="zákl. přenesená",J172,0)</f>
        <v>0</v>
      </c>
      <c r="BH172" s="229">
        <f>IF(N172="sníž. přenesená",J172,0)</f>
        <v>0</v>
      </c>
      <c r="BI172" s="229">
        <f>IF(N172="nulová",J172,0)</f>
        <v>0</v>
      </c>
      <c r="BJ172" s="14" t="s">
        <v>83</v>
      </c>
      <c r="BK172" s="229">
        <f>ROUND(I172*H172,2)</f>
        <v>0</v>
      </c>
      <c r="BL172" s="14" t="s">
        <v>138</v>
      </c>
      <c r="BM172" s="228" t="s">
        <v>314</v>
      </c>
    </row>
    <row r="173" s="2" customFormat="1" ht="24.15" customHeight="1">
      <c r="A173" s="35"/>
      <c r="B173" s="36"/>
      <c r="C173" s="216" t="s">
        <v>315</v>
      </c>
      <c r="D173" s="216" t="s">
        <v>134</v>
      </c>
      <c r="E173" s="217" t="s">
        <v>316</v>
      </c>
      <c r="F173" s="218" t="s">
        <v>317</v>
      </c>
      <c r="G173" s="219" t="s">
        <v>185</v>
      </c>
      <c r="H173" s="220">
        <v>1</v>
      </c>
      <c r="I173" s="221"/>
      <c r="J173" s="222">
        <f>ROUND(I173*H173,2)</f>
        <v>0</v>
      </c>
      <c r="K173" s="223"/>
      <c r="L173" s="41"/>
      <c r="M173" s="224" t="s">
        <v>1</v>
      </c>
      <c r="N173" s="225" t="s">
        <v>40</v>
      </c>
      <c r="O173" s="88"/>
      <c r="P173" s="226">
        <f>O173*H173</f>
        <v>0</v>
      </c>
      <c r="Q173" s="226">
        <v>0.022200000000000001</v>
      </c>
      <c r="R173" s="226">
        <f>Q173*H173</f>
        <v>0.022200000000000001</v>
      </c>
      <c r="S173" s="226">
        <v>0</v>
      </c>
      <c r="T173" s="227">
        <f>S173*H173</f>
        <v>0</v>
      </c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R173" s="228" t="s">
        <v>138</v>
      </c>
      <c r="AT173" s="228" t="s">
        <v>134</v>
      </c>
      <c r="AU173" s="228" t="s">
        <v>85</v>
      </c>
      <c r="AY173" s="14" t="s">
        <v>131</v>
      </c>
      <c r="BE173" s="229">
        <f>IF(N173="základní",J173,0)</f>
        <v>0</v>
      </c>
      <c r="BF173" s="229">
        <f>IF(N173="snížená",J173,0)</f>
        <v>0</v>
      </c>
      <c r="BG173" s="229">
        <f>IF(N173="zákl. přenesená",J173,0)</f>
        <v>0</v>
      </c>
      <c r="BH173" s="229">
        <f>IF(N173="sníž. přenesená",J173,0)</f>
        <v>0</v>
      </c>
      <c r="BI173" s="229">
        <f>IF(N173="nulová",J173,0)</f>
        <v>0</v>
      </c>
      <c r="BJ173" s="14" t="s">
        <v>83</v>
      </c>
      <c r="BK173" s="229">
        <f>ROUND(I173*H173,2)</f>
        <v>0</v>
      </c>
      <c r="BL173" s="14" t="s">
        <v>138</v>
      </c>
      <c r="BM173" s="228" t="s">
        <v>318</v>
      </c>
    </row>
    <row r="174" s="2" customFormat="1" ht="33" customHeight="1">
      <c r="A174" s="35"/>
      <c r="B174" s="36"/>
      <c r="C174" s="230" t="s">
        <v>319</v>
      </c>
      <c r="D174" s="230" t="s">
        <v>145</v>
      </c>
      <c r="E174" s="231" t="s">
        <v>320</v>
      </c>
      <c r="F174" s="232" t="s">
        <v>321</v>
      </c>
      <c r="G174" s="233" t="s">
        <v>185</v>
      </c>
      <c r="H174" s="234">
        <v>1</v>
      </c>
      <c r="I174" s="235"/>
      <c r="J174" s="236">
        <f>ROUND(I174*H174,2)</f>
        <v>0</v>
      </c>
      <c r="K174" s="237"/>
      <c r="L174" s="238"/>
      <c r="M174" s="239" t="s">
        <v>1</v>
      </c>
      <c r="N174" s="240" t="s">
        <v>40</v>
      </c>
      <c r="O174" s="88"/>
      <c r="P174" s="226">
        <f>O174*H174</f>
        <v>0</v>
      </c>
      <c r="Q174" s="226">
        <v>0.063</v>
      </c>
      <c r="R174" s="226">
        <f>Q174*H174</f>
        <v>0.063</v>
      </c>
      <c r="S174" s="226">
        <v>0</v>
      </c>
      <c r="T174" s="227">
        <f>S174*H174</f>
        <v>0</v>
      </c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R174" s="228" t="s">
        <v>148</v>
      </c>
      <c r="AT174" s="228" t="s">
        <v>145</v>
      </c>
      <c r="AU174" s="228" t="s">
        <v>85</v>
      </c>
      <c r="AY174" s="14" t="s">
        <v>131</v>
      </c>
      <c r="BE174" s="229">
        <f>IF(N174="základní",J174,0)</f>
        <v>0</v>
      </c>
      <c r="BF174" s="229">
        <f>IF(N174="snížená",J174,0)</f>
        <v>0</v>
      </c>
      <c r="BG174" s="229">
        <f>IF(N174="zákl. přenesená",J174,0)</f>
        <v>0</v>
      </c>
      <c r="BH174" s="229">
        <f>IF(N174="sníž. přenesená",J174,0)</f>
        <v>0</v>
      </c>
      <c r="BI174" s="229">
        <f>IF(N174="nulová",J174,0)</f>
        <v>0</v>
      </c>
      <c r="BJ174" s="14" t="s">
        <v>83</v>
      </c>
      <c r="BK174" s="229">
        <f>ROUND(I174*H174,2)</f>
        <v>0</v>
      </c>
      <c r="BL174" s="14" t="s">
        <v>138</v>
      </c>
      <c r="BM174" s="228" t="s">
        <v>322</v>
      </c>
    </row>
    <row r="175" s="2" customFormat="1" ht="21.75" customHeight="1">
      <c r="A175" s="35"/>
      <c r="B175" s="36"/>
      <c r="C175" s="216" t="s">
        <v>323</v>
      </c>
      <c r="D175" s="216" t="s">
        <v>134</v>
      </c>
      <c r="E175" s="217" t="s">
        <v>324</v>
      </c>
      <c r="F175" s="218" t="s">
        <v>325</v>
      </c>
      <c r="G175" s="219" t="s">
        <v>180</v>
      </c>
      <c r="H175" s="220">
        <v>6</v>
      </c>
      <c r="I175" s="221"/>
      <c r="J175" s="222">
        <f>ROUND(I175*H175,2)</f>
        <v>0</v>
      </c>
      <c r="K175" s="223"/>
      <c r="L175" s="41"/>
      <c r="M175" s="224" t="s">
        <v>1</v>
      </c>
      <c r="N175" s="225" t="s">
        <v>40</v>
      </c>
      <c r="O175" s="88"/>
      <c r="P175" s="226">
        <f>O175*H175</f>
        <v>0</v>
      </c>
      <c r="Q175" s="226">
        <v>0.0011199999999999999</v>
      </c>
      <c r="R175" s="226">
        <f>Q175*H175</f>
        <v>0.0067199999999999994</v>
      </c>
      <c r="S175" s="226">
        <v>0</v>
      </c>
      <c r="T175" s="227">
        <f>S175*H175</f>
        <v>0</v>
      </c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R175" s="228" t="s">
        <v>138</v>
      </c>
      <c r="AT175" s="228" t="s">
        <v>134</v>
      </c>
      <c r="AU175" s="228" t="s">
        <v>85</v>
      </c>
      <c r="AY175" s="14" t="s">
        <v>131</v>
      </c>
      <c r="BE175" s="229">
        <f>IF(N175="základní",J175,0)</f>
        <v>0</v>
      </c>
      <c r="BF175" s="229">
        <f>IF(N175="snížená",J175,0)</f>
        <v>0</v>
      </c>
      <c r="BG175" s="229">
        <f>IF(N175="zákl. přenesená",J175,0)</f>
        <v>0</v>
      </c>
      <c r="BH175" s="229">
        <f>IF(N175="sníž. přenesená",J175,0)</f>
        <v>0</v>
      </c>
      <c r="BI175" s="229">
        <f>IF(N175="nulová",J175,0)</f>
        <v>0</v>
      </c>
      <c r="BJ175" s="14" t="s">
        <v>83</v>
      </c>
      <c r="BK175" s="229">
        <f>ROUND(I175*H175,2)</f>
        <v>0</v>
      </c>
      <c r="BL175" s="14" t="s">
        <v>138</v>
      </c>
      <c r="BM175" s="228" t="s">
        <v>326</v>
      </c>
    </row>
    <row r="176" s="2" customFormat="1" ht="16.5" customHeight="1">
      <c r="A176" s="35"/>
      <c r="B176" s="36"/>
      <c r="C176" s="216" t="s">
        <v>327</v>
      </c>
      <c r="D176" s="216" t="s">
        <v>134</v>
      </c>
      <c r="E176" s="217" t="s">
        <v>328</v>
      </c>
      <c r="F176" s="218" t="s">
        <v>329</v>
      </c>
      <c r="G176" s="219" t="s">
        <v>180</v>
      </c>
      <c r="H176" s="220">
        <v>19</v>
      </c>
      <c r="I176" s="221"/>
      <c r="J176" s="222">
        <f>ROUND(I176*H176,2)</f>
        <v>0</v>
      </c>
      <c r="K176" s="223"/>
      <c r="L176" s="41"/>
      <c r="M176" s="224" t="s">
        <v>1</v>
      </c>
      <c r="N176" s="225" t="s">
        <v>40</v>
      </c>
      <c r="O176" s="88"/>
      <c r="P176" s="226">
        <f>O176*H176</f>
        <v>0</v>
      </c>
      <c r="Q176" s="226">
        <v>0.0011299999999999999</v>
      </c>
      <c r="R176" s="226">
        <f>Q176*H176</f>
        <v>0.02147</v>
      </c>
      <c r="S176" s="226">
        <v>0</v>
      </c>
      <c r="T176" s="227">
        <f>S176*H176</f>
        <v>0</v>
      </c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R176" s="228" t="s">
        <v>138</v>
      </c>
      <c r="AT176" s="228" t="s">
        <v>134</v>
      </c>
      <c r="AU176" s="228" t="s">
        <v>85</v>
      </c>
      <c r="AY176" s="14" t="s">
        <v>131</v>
      </c>
      <c r="BE176" s="229">
        <f>IF(N176="základní",J176,0)</f>
        <v>0</v>
      </c>
      <c r="BF176" s="229">
        <f>IF(N176="snížená",J176,0)</f>
        <v>0</v>
      </c>
      <c r="BG176" s="229">
        <f>IF(N176="zákl. přenesená",J176,0)</f>
        <v>0</v>
      </c>
      <c r="BH176" s="229">
        <f>IF(N176="sníž. přenesená",J176,0)</f>
        <v>0</v>
      </c>
      <c r="BI176" s="229">
        <f>IF(N176="nulová",J176,0)</f>
        <v>0</v>
      </c>
      <c r="BJ176" s="14" t="s">
        <v>83</v>
      </c>
      <c r="BK176" s="229">
        <f>ROUND(I176*H176,2)</f>
        <v>0</v>
      </c>
      <c r="BL176" s="14" t="s">
        <v>138</v>
      </c>
      <c r="BM176" s="228" t="s">
        <v>330</v>
      </c>
    </row>
    <row r="177" s="2" customFormat="1" ht="24.15" customHeight="1">
      <c r="A177" s="35"/>
      <c r="B177" s="36"/>
      <c r="C177" s="216" t="s">
        <v>331</v>
      </c>
      <c r="D177" s="216" t="s">
        <v>134</v>
      </c>
      <c r="E177" s="217" t="s">
        <v>332</v>
      </c>
      <c r="F177" s="218" t="s">
        <v>333</v>
      </c>
      <c r="G177" s="219" t="s">
        <v>180</v>
      </c>
      <c r="H177" s="220">
        <v>2</v>
      </c>
      <c r="I177" s="221"/>
      <c r="J177" s="222">
        <f>ROUND(I177*H177,2)</f>
        <v>0</v>
      </c>
      <c r="K177" s="223"/>
      <c r="L177" s="41"/>
      <c r="M177" s="224" t="s">
        <v>1</v>
      </c>
      <c r="N177" s="225" t="s">
        <v>40</v>
      </c>
      <c r="O177" s="88"/>
      <c r="P177" s="226">
        <f>O177*H177</f>
        <v>0</v>
      </c>
      <c r="Q177" s="226">
        <v>0.0096200000000000001</v>
      </c>
      <c r="R177" s="226">
        <f>Q177*H177</f>
        <v>0.01924</v>
      </c>
      <c r="S177" s="226">
        <v>0</v>
      </c>
      <c r="T177" s="227">
        <f>S177*H177</f>
        <v>0</v>
      </c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R177" s="228" t="s">
        <v>138</v>
      </c>
      <c r="AT177" s="228" t="s">
        <v>134</v>
      </c>
      <c r="AU177" s="228" t="s">
        <v>85</v>
      </c>
      <c r="AY177" s="14" t="s">
        <v>131</v>
      </c>
      <c r="BE177" s="229">
        <f>IF(N177="základní",J177,0)</f>
        <v>0</v>
      </c>
      <c r="BF177" s="229">
        <f>IF(N177="snížená",J177,0)</f>
        <v>0</v>
      </c>
      <c r="BG177" s="229">
        <f>IF(N177="zákl. přenesená",J177,0)</f>
        <v>0</v>
      </c>
      <c r="BH177" s="229">
        <f>IF(N177="sníž. přenesená",J177,0)</f>
        <v>0</v>
      </c>
      <c r="BI177" s="229">
        <f>IF(N177="nulová",J177,0)</f>
        <v>0</v>
      </c>
      <c r="BJ177" s="14" t="s">
        <v>83</v>
      </c>
      <c r="BK177" s="229">
        <f>ROUND(I177*H177,2)</f>
        <v>0</v>
      </c>
      <c r="BL177" s="14" t="s">
        <v>138</v>
      </c>
      <c r="BM177" s="228" t="s">
        <v>334</v>
      </c>
    </row>
    <row r="178" s="2" customFormat="1" ht="24.15" customHeight="1">
      <c r="A178" s="35"/>
      <c r="B178" s="36"/>
      <c r="C178" s="230" t="s">
        <v>335</v>
      </c>
      <c r="D178" s="230" t="s">
        <v>145</v>
      </c>
      <c r="E178" s="231" t="s">
        <v>336</v>
      </c>
      <c r="F178" s="232" t="s">
        <v>337</v>
      </c>
      <c r="G178" s="233" t="s">
        <v>185</v>
      </c>
      <c r="H178" s="234">
        <v>1</v>
      </c>
      <c r="I178" s="235"/>
      <c r="J178" s="236">
        <f>ROUND(I178*H178,2)</f>
        <v>0</v>
      </c>
      <c r="K178" s="237"/>
      <c r="L178" s="238"/>
      <c r="M178" s="239" t="s">
        <v>1</v>
      </c>
      <c r="N178" s="240" t="s">
        <v>40</v>
      </c>
      <c r="O178" s="88"/>
      <c r="P178" s="226">
        <f>O178*H178</f>
        <v>0</v>
      </c>
      <c r="Q178" s="226">
        <v>0.071999999999999995</v>
      </c>
      <c r="R178" s="226">
        <f>Q178*H178</f>
        <v>0.071999999999999995</v>
      </c>
      <c r="S178" s="226">
        <v>0</v>
      </c>
      <c r="T178" s="227">
        <f>S178*H178</f>
        <v>0</v>
      </c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R178" s="228" t="s">
        <v>148</v>
      </c>
      <c r="AT178" s="228" t="s">
        <v>145</v>
      </c>
      <c r="AU178" s="228" t="s">
        <v>85</v>
      </c>
      <c r="AY178" s="14" t="s">
        <v>131</v>
      </c>
      <c r="BE178" s="229">
        <f>IF(N178="základní",J178,0)</f>
        <v>0</v>
      </c>
      <c r="BF178" s="229">
        <f>IF(N178="snížená",J178,0)</f>
        <v>0</v>
      </c>
      <c r="BG178" s="229">
        <f>IF(N178="zákl. přenesená",J178,0)</f>
        <v>0</v>
      </c>
      <c r="BH178" s="229">
        <f>IF(N178="sníž. přenesená",J178,0)</f>
        <v>0</v>
      </c>
      <c r="BI178" s="229">
        <f>IF(N178="nulová",J178,0)</f>
        <v>0</v>
      </c>
      <c r="BJ178" s="14" t="s">
        <v>83</v>
      </c>
      <c r="BK178" s="229">
        <f>ROUND(I178*H178,2)</f>
        <v>0</v>
      </c>
      <c r="BL178" s="14" t="s">
        <v>138</v>
      </c>
      <c r="BM178" s="228" t="s">
        <v>338</v>
      </c>
    </row>
    <row r="179" s="2" customFormat="1" ht="24.15" customHeight="1">
      <c r="A179" s="35"/>
      <c r="B179" s="36"/>
      <c r="C179" s="216" t="s">
        <v>339</v>
      </c>
      <c r="D179" s="216" t="s">
        <v>134</v>
      </c>
      <c r="E179" s="217" t="s">
        <v>340</v>
      </c>
      <c r="F179" s="218" t="s">
        <v>341</v>
      </c>
      <c r="G179" s="219" t="s">
        <v>180</v>
      </c>
      <c r="H179" s="220">
        <v>1</v>
      </c>
      <c r="I179" s="221"/>
      <c r="J179" s="222">
        <f>ROUND(I179*H179,2)</f>
        <v>0</v>
      </c>
      <c r="K179" s="223"/>
      <c r="L179" s="41"/>
      <c r="M179" s="224" t="s">
        <v>1</v>
      </c>
      <c r="N179" s="225" t="s">
        <v>40</v>
      </c>
      <c r="O179" s="88"/>
      <c r="P179" s="226">
        <f>O179*H179</f>
        <v>0</v>
      </c>
      <c r="Q179" s="226">
        <v>0.02257</v>
      </c>
      <c r="R179" s="226">
        <f>Q179*H179</f>
        <v>0.02257</v>
      </c>
      <c r="S179" s="226">
        <v>0</v>
      </c>
      <c r="T179" s="227">
        <f>S179*H179</f>
        <v>0</v>
      </c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R179" s="228" t="s">
        <v>138</v>
      </c>
      <c r="AT179" s="228" t="s">
        <v>134</v>
      </c>
      <c r="AU179" s="228" t="s">
        <v>85</v>
      </c>
      <c r="AY179" s="14" t="s">
        <v>131</v>
      </c>
      <c r="BE179" s="229">
        <f>IF(N179="základní",J179,0)</f>
        <v>0</v>
      </c>
      <c r="BF179" s="229">
        <f>IF(N179="snížená",J179,0)</f>
        <v>0</v>
      </c>
      <c r="BG179" s="229">
        <f>IF(N179="zákl. přenesená",J179,0)</f>
        <v>0</v>
      </c>
      <c r="BH179" s="229">
        <f>IF(N179="sníž. přenesená",J179,0)</f>
        <v>0</v>
      </c>
      <c r="BI179" s="229">
        <f>IF(N179="nulová",J179,0)</f>
        <v>0</v>
      </c>
      <c r="BJ179" s="14" t="s">
        <v>83</v>
      </c>
      <c r="BK179" s="229">
        <f>ROUND(I179*H179,2)</f>
        <v>0</v>
      </c>
      <c r="BL179" s="14" t="s">
        <v>138</v>
      </c>
      <c r="BM179" s="228" t="s">
        <v>342</v>
      </c>
    </row>
    <row r="180" s="2" customFormat="1" ht="33" customHeight="1">
      <c r="A180" s="35"/>
      <c r="B180" s="36"/>
      <c r="C180" s="216" t="s">
        <v>343</v>
      </c>
      <c r="D180" s="216" t="s">
        <v>134</v>
      </c>
      <c r="E180" s="217" t="s">
        <v>344</v>
      </c>
      <c r="F180" s="218" t="s">
        <v>345</v>
      </c>
      <c r="G180" s="219" t="s">
        <v>185</v>
      </c>
      <c r="H180" s="220">
        <v>1</v>
      </c>
      <c r="I180" s="221"/>
      <c r="J180" s="222">
        <f>ROUND(I180*H180,2)</f>
        <v>0</v>
      </c>
      <c r="K180" s="223"/>
      <c r="L180" s="41"/>
      <c r="M180" s="224" t="s">
        <v>1</v>
      </c>
      <c r="N180" s="225" t="s">
        <v>40</v>
      </c>
      <c r="O180" s="88"/>
      <c r="P180" s="226">
        <f>O180*H180</f>
        <v>0</v>
      </c>
      <c r="Q180" s="226">
        <v>0.00076000000000000004</v>
      </c>
      <c r="R180" s="226">
        <f>Q180*H180</f>
        <v>0.00076000000000000004</v>
      </c>
      <c r="S180" s="226">
        <v>0</v>
      </c>
      <c r="T180" s="227">
        <f>S180*H180</f>
        <v>0</v>
      </c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R180" s="228" t="s">
        <v>138</v>
      </c>
      <c r="AT180" s="228" t="s">
        <v>134</v>
      </c>
      <c r="AU180" s="228" t="s">
        <v>85</v>
      </c>
      <c r="AY180" s="14" t="s">
        <v>131</v>
      </c>
      <c r="BE180" s="229">
        <f>IF(N180="základní",J180,0)</f>
        <v>0</v>
      </c>
      <c r="BF180" s="229">
        <f>IF(N180="snížená",J180,0)</f>
        <v>0</v>
      </c>
      <c r="BG180" s="229">
        <f>IF(N180="zákl. přenesená",J180,0)</f>
        <v>0</v>
      </c>
      <c r="BH180" s="229">
        <f>IF(N180="sníž. přenesená",J180,0)</f>
        <v>0</v>
      </c>
      <c r="BI180" s="229">
        <f>IF(N180="nulová",J180,0)</f>
        <v>0</v>
      </c>
      <c r="BJ180" s="14" t="s">
        <v>83</v>
      </c>
      <c r="BK180" s="229">
        <f>ROUND(I180*H180,2)</f>
        <v>0</v>
      </c>
      <c r="BL180" s="14" t="s">
        <v>138</v>
      </c>
      <c r="BM180" s="228" t="s">
        <v>346</v>
      </c>
    </row>
    <row r="181" s="2" customFormat="1" ht="49.05" customHeight="1">
      <c r="A181" s="35"/>
      <c r="B181" s="36"/>
      <c r="C181" s="216" t="s">
        <v>347</v>
      </c>
      <c r="D181" s="216" t="s">
        <v>134</v>
      </c>
      <c r="E181" s="217" t="s">
        <v>348</v>
      </c>
      <c r="F181" s="218" t="s">
        <v>349</v>
      </c>
      <c r="G181" s="219" t="s">
        <v>232</v>
      </c>
      <c r="H181" s="220">
        <v>1</v>
      </c>
      <c r="I181" s="221"/>
      <c r="J181" s="222">
        <f>ROUND(I181*H181,2)</f>
        <v>0</v>
      </c>
      <c r="K181" s="223"/>
      <c r="L181" s="41"/>
      <c r="M181" s="224" t="s">
        <v>1</v>
      </c>
      <c r="N181" s="225" t="s">
        <v>40</v>
      </c>
      <c r="O181" s="88"/>
      <c r="P181" s="226">
        <f>O181*H181</f>
        <v>0</v>
      </c>
      <c r="Q181" s="226">
        <v>0.00068000000000000005</v>
      </c>
      <c r="R181" s="226">
        <f>Q181*H181</f>
        <v>0.00068000000000000005</v>
      </c>
      <c r="S181" s="226">
        <v>0</v>
      </c>
      <c r="T181" s="227">
        <f>S181*H181</f>
        <v>0</v>
      </c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R181" s="228" t="s">
        <v>138</v>
      </c>
      <c r="AT181" s="228" t="s">
        <v>134</v>
      </c>
      <c r="AU181" s="228" t="s">
        <v>85</v>
      </c>
      <c r="AY181" s="14" t="s">
        <v>131</v>
      </c>
      <c r="BE181" s="229">
        <f>IF(N181="základní",J181,0)</f>
        <v>0</v>
      </c>
      <c r="BF181" s="229">
        <f>IF(N181="snížená",J181,0)</f>
        <v>0</v>
      </c>
      <c r="BG181" s="229">
        <f>IF(N181="zákl. přenesená",J181,0)</f>
        <v>0</v>
      </c>
      <c r="BH181" s="229">
        <f>IF(N181="sníž. přenesená",J181,0)</f>
        <v>0</v>
      </c>
      <c r="BI181" s="229">
        <f>IF(N181="nulová",J181,0)</f>
        <v>0</v>
      </c>
      <c r="BJ181" s="14" t="s">
        <v>83</v>
      </c>
      <c r="BK181" s="229">
        <f>ROUND(I181*H181,2)</f>
        <v>0</v>
      </c>
      <c r="BL181" s="14" t="s">
        <v>138</v>
      </c>
      <c r="BM181" s="228" t="s">
        <v>350</v>
      </c>
    </row>
    <row r="182" s="2" customFormat="1" ht="24.15" customHeight="1">
      <c r="A182" s="35"/>
      <c r="B182" s="36"/>
      <c r="C182" s="216" t="s">
        <v>351</v>
      </c>
      <c r="D182" s="216" t="s">
        <v>134</v>
      </c>
      <c r="E182" s="217" t="s">
        <v>352</v>
      </c>
      <c r="F182" s="218" t="s">
        <v>353</v>
      </c>
      <c r="G182" s="219" t="s">
        <v>185</v>
      </c>
      <c r="H182" s="220">
        <v>1</v>
      </c>
      <c r="I182" s="221"/>
      <c r="J182" s="222">
        <f>ROUND(I182*H182,2)</f>
        <v>0</v>
      </c>
      <c r="K182" s="223"/>
      <c r="L182" s="41"/>
      <c r="M182" s="224" t="s">
        <v>1</v>
      </c>
      <c r="N182" s="225" t="s">
        <v>40</v>
      </c>
      <c r="O182" s="88"/>
      <c r="P182" s="226">
        <f>O182*H182</f>
        <v>0</v>
      </c>
      <c r="Q182" s="226">
        <v>0.00068000000000000005</v>
      </c>
      <c r="R182" s="226">
        <f>Q182*H182</f>
        <v>0.00068000000000000005</v>
      </c>
      <c r="S182" s="226">
        <v>0</v>
      </c>
      <c r="T182" s="227">
        <f>S182*H182</f>
        <v>0</v>
      </c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R182" s="228" t="s">
        <v>138</v>
      </c>
      <c r="AT182" s="228" t="s">
        <v>134</v>
      </c>
      <c r="AU182" s="228" t="s">
        <v>85</v>
      </c>
      <c r="AY182" s="14" t="s">
        <v>131</v>
      </c>
      <c r="BE182" s="229">
        <f>IF(N182="základní",J182,0)</f>
        <v>0</v>
      </c>
      <c r="BF182" s="229">
        <f>IF(N182="snížená",J182,0)</f>
        <v>0</v>
      </c>
      <c r="BG182" s="229">
        <f>IF(N182="zákl. přenesená",J182,0)</f>
        <v>0</v>
      </c>
      <c r="BH182" s="229">
        <f>IF(N182="sníž. přenesená",J182,0)</f>
        <v>0</v>
      </c>
      <c r="BI182" s="229">
        <f>IF(N182="nulová",J182,0)</f>
        <v>0</v>
      </c>
      <c r="BJ182" s="14" t="s">
        <v>83</v>
      </c>
      <c r="BK182" s="229">
        <f>ROUND(I182*H182,2)</f>
        <v>0</v>
      </c>
      <c r="BL182" s="14" t="s">
        <v>138</v>
      </c>
      <c r="BM182" s="228" t="s">
        <v>354</v>
      </c>
    </row>
    <row r="183" s="2" customFormat="1" ht="56.25" customHeight="1">
      <c r="A183" s="35"/>
      <c r="B183" s="36"/>
      <c r="C183" s="230" t="s">
        <v>355</v>
      </c>
      <c r="D183" s="230" t="s">
        <v>145</v>
      </c>
      <c r="E183" s="231" t="s">
        <v>356</v>
      </c>
      <c r="F183" s="232" t="s">
        <v>357</v>
      </c>
      <c r="G183" s="233" t="s">
        <v>185</v>
      </c>
      <c r="H183" s="234">
        <v>1</v>
      </c>
      <c r="I183" s="235"/>
      <c r="J183" s="236">
        <f>ROUND(I183*H183,2)</f>
        <v>0</v>
      </c>
      <c r="K183" s="237"/>
      <c r="L183" s="238"/>
      <c r="M183" s="239" t="s">
        <v>1</v>
      </c>
      <c r="N183" s="240" t="s">
        <v>40</v>
      </c>
      <c r="O183" s="88"/>
      <c r="P183" s="226">
        <f>O183*H183</f>
        <v>0</v>
      </c>
      <c r="Q183" s="226">
        <v>0.00040000000000000002</v>
      </c>
      <c r="R183" s="226">
        <f>Q183*H183</f>
        <v>0.00040000000000000002</v>
      </c>
      <c r="S183" s="226">
        <v>0</v>
      </c>
      <c r="T183" s="227">
        <f>S183*H183</f>
        <v>0</v>
      </c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R183" s="228" t="s">
        <v>148</v>
      </c>
      <c r="AT183" s="228" t="s">
        <v>145</v>
      </c>
      <c r="AU183" s="228" t="s">
        <v>85</v>
      </c>
      <c r="AY183" s="14" t="s">
        <v>131</v>
      </c>
      <c r="BE183" s="229">
        <f>IF(N183="základní",J183,0)</f>
        <v>0</v>
      </c>
      <c r="BF183" s="229">
        <f>IF(N183="snížená",J183,0)</f>
        <v>0</v>
      </c>
      <c r="BG183" s="229">
        <f>IF(N183="zákl. přenesená",J183,0)</f>
        <v>0</v>
      </c>
      <c r="BH183" s="229">
        <f>IF(N183="sníž. přenesená",J183,0)</f>
        <v>0</v>
      </c>
      <c r="BI183" s="229">
        <f>IF(N183="nulová",J183,0)</f>
        <v>0</v>
      </c>
      <c r="BJ183" s="14" t="s">
        <v>83</v>
      </c>
      <c r="BK183" s="229">
        <f>ROUND(I183*H183,2)</f>
        <v>0</v>
      </c>
      <c r="BL183" s="14" t="s">
        <v>138</v>
      </c>
      <c r="BM183" s="228" t="s">
        <v>358</v>
      </c>
    </row>
    <row r="184" s="2" customFormat="1" ht="37.8" customHeight="1">
      <c r="A184" s="35"/>
      <c r="B184" s="36"/>
      <c r="C184" s="216" t="s">
        <v>359</v>
      </c>
      <c r="D184" s="216" t="s">
        <v>134</v>
      </c>
      <c r="E184" s="217" t="s">
        <v>360</v>
      </c>
      <c r="F184" s="218" t="s">
        <v>361</v>
      </c>
      <c r="G184" s="219" t="s">
        <v>180</v>
      </c>
      <c r="H184" s="220">
        <v>1</v>
      </c>
      <c r="I184" s="221"/>
      <c r="J184" s="222">
        <f>ROUND(I184*H184,2)</f>
        <v>0</v>
      </c>
      <c r="K184" s="223"/>
      <c r="L184" s="41"/>
      <c r="M184" s="224" t="s">
        <v>1</v>
      </c>
      <c r="N184" s="225" t="s">
        <v>40</v>
      </c>
      <c r="O184" s="88"/>
      <c r="P184" s="226">
        <f>O184*H184</f>
        <v>0</v>
      </c>
      <c r="Q184" s="226">
        <v>0.0078799999999999999</v>
      </c>
      <c r="R184" s="226">
        <f>Q184*H184</f>
        <v>0.0078799999999999999</v>
      </c>
      <c r="S184" s="226">
        <v>0</v>
      </c>
      <c r="T184" s="227">
        <f>S184*H184</f>
        <v>0</v>
      </c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R184" s="228" t="s">
        <v>138</v>
      </c>
      <c r="AT184" s="228" t="s">
        <v>134</v>
      </c>
      <c r="AU184" s="228" t="s">
        <v>85</v>
      </c>
      <c r="AY184" s="14" t="s">
        <v>131</v>
      </c>
      <c r="BE184" s="229">
        <f>IF(N184="základní",J184,0)</f>
        <v>0</v>
      </c>
      <c r="BF184" s="229">
        <f>IF(N184="snížená",J184,0)</f>
        <v>0</v>
      </c>
      <c r="BG184" s="229">
        <f>IF(N184="zákl. přenesená",J184,0)</f>
        <v>0</v>
      </c>
      <c r="BH184" s="229">
        <f>IF(N184="sníž. přenesená",J184,0)</f>
        <v>0</v>
      </c>
      <c r="BI184" s="229">
        <f>IF(N184="nulová",J184,0)</f>
        <v>0</v>
      </c>
      <c r="BJ184" s="14" t="s">
        <v>83</v>
      </c>
      <c r="BK184" s="229">
        <f>ROUND(I184*H184,2)</f>
        <v>0</v>
      </c>
      <c r="BL184" s="14" t="s">
        <v>138</v>
      </c>
      <c r="BM184" s="228" t="s">
        <v>362</v>
      </c>
    </row>
    <row r="185" s="2" customFormat="1" ht="37.8" customHeight="1">
      <c r="A185" s="35"/>
      <c r="B185" s="36"/>
      <c r="C185" s="216" t="s">
        <v>363</v>
      </c>
      <c r="D185" s="216" t="s">
        <v>134</v>
      </c>
      <c r="E185" s="217" t="s">
        <v>364</v>
      </c>
      <c r="F185" s="218" t="s">
        <v>365</v>
      </c>
      <c r="G185" s="219" t="s">
        <v>180</v>
      </c>
      <c r="H185" s="220">
        <v>1</v>
      </c>
      <c r="I185" s="221"/>
      <c r="J185" s="222">
        <f>ROUND(I185*H185,2)</f>
        <v>0</v>
      </c>
      <c r="K185" s="223"/>
      <c r="L185" s="41"/>
      <c r="M185" s="224" t="s">
        <v>1</v>
      </c>
      <c r="N185" s="225" t="s">
        <v>40</v>
      </c>
      <c r="O185" s="88"/>
      <c r="P185" s="226">
        <f>O185*H185</f>
        <v>0</v>
      </c>
      <c r="Q185" s="226">
        <v>0.0025400000000000002</v>
      </c>
      <c r="R185" s="226">
        <f>Q185*H185</f>
        <v>0.0025400000000000002</v>
      </c>
      <c r="S185" s="226">
        <v>0</v>
      </c>
      <c r="T185" s="227">
        <f>S185*H185</f>
        <v>0</v>
      </c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R185" s="228" t="s">
        <v>138</v>
      </c>
      <c r="AT185" s="228" t="s">
        <v>134</v>
      </c>
      <c r="AU185" s="228" t="s">
        <v>85</v>
      </c>
      <c r="AY185" s="14" t="s">
        <v>131</v>
      </c>
      <c r="BE185" s="229">
        <f>IF(N185="základní",J185,0)</f>
        <v>0</v>
      </c>
      <c r="BF185" s="229">
        <f>IF(N185="snížená",J185,0)</f>
        <v>0</v>
      </c>
      <c r="BG185" s="229">
        <f>IF(N185="zákl. přenesená",J185,0)</f>
        <v>0</v>
      </c>
      <c r="BH185" s="229">
        <f>IF(N185="sníž. přenesená",J185,0)</f>
        <v>0</v>
      </c>
      <c r="BI185" s="229">
        <f>IF(N185="nulová",J185,0)</f>
        <v>0</v>
      </c>
      <c r="BJ185" s="14" t="s">
        <v>83</v>
      </c>
      <c r="BK185" s="229">
        <f>ROUND(I185*H185,2)</f>
        <v>0</v>
      </c>
      <c r="BL185" s="14" t="s">
        <v>138</v>
      </c>
      <c r="BM185" s="228" t="s">
        <v>366</v>
      </c>
    </row>
    <row r="186" s="2" customFormat="1" ht="37.8" customHeight="1">
      <c r="A186" s="35"/>
      <c r="B186" s="36"/>
      <c r="C186" s="216" t="s">
        <v>367</v>
      </c>
      <c r="D186" s="216" t="s">
        <v>134</v>
      </c>
      <c r="E186" s="217" t="s">
        <v>368</v>
      </c>
      <c r="F186" s="218" t="s">
        <v>369</v>
      </c>
      <c r="G186" s="219" t="s">
        <v>180</v>
      </c>
      <c r="H186" s="220">
        <v>1</v>
      </c>
      <c r="I186" s="221"/>
      <c r="J186" s="222">
        <f>ROUND(I186*H186,2)</f>
        <v>0</v>
      </c>
      <c r="K186" s="223"/>
      <c r="L186" s="41"/>
      <c r="M186" s="224" t="s">
        <v>1</v>
      </c>
      <c r="N186" s="225" t="s">
        <v>40</v>
      </c>
      <c r="O186" s="88"/>
      <c r="P186" s="226">
        <f>O186*H186</f>
        <v>0</v>
      </c>
      <c r="Q186" s="226">
        <v>0.022239999999999999</v>
      </c>
      <c r="R186" s="226">
        <f>Q186*H186</f>
        <v>0.022239999999999999</v>
      </c>
      <c r="S186" s="226">
        <v>0</v>
      </c>
      <c r="T186" s="227">
        <f>S186*H186</f>
        <v>0</v>
      </c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R186" s="228" t="s">
        <v>138</v>
      </c>
      <c r="AT186" s="228" t="s">
        <v>134</v>
      </c>
      <c r="AU186" s="228" t="s">
        <v>85</v>
      </c>
      <c r="AY186" s="14" t="s">
        <v>131</v>
      </c>
      <c r="BE186" s="229">
        <f>IF(N186="základní",J186,0)</f>
        <v>0</v>
      </c>
      <c r="BF186" s="229">
        <f>IF(N186="snížená",J186,0)</f>
        <v>0</v>
      </c>
      <c r="BG186" s="229">
        <f>IF(N186="zákl. přenesená",J186,0)</f>
        <v>0</v>
      </c>
      <c r="BH186" s="229">
        <f>IF(N186="sníž. přenesená",J186,0)</f>
        <v>0</v>
      </c>
      <c r="BI186" s="229">
        <f>IF(N186="nulová",J186,0)</f>
        <v>0</v>
      </c>
      <c r="BJ186" s="14" t="s">
        <v>83</v>
      </c>
      <c r="BK186" s="229">
        <f>ROUND(I186*H186,2)</f>
        <v>0</v>
      </c>
      <c r="BL186" s="14" t="s">
        <v>138</v>
      </c>
      <c r="BM186" s="228" t="s">
        <v>370</v>
      </c>
    </row>
    <row r="187" s="12" customFormat="1" ht="22.8" customHeight="1">
      <c r="A187" s="12"/>
      <c r="B187" s="200"/>
      <c r="C187" s="201"/>
      <c r="D187" s="202" t="s">
        <v>74</v>
      </c>
      <c r="E187" s="214" t="s">
        <v>371</v>
      </c>
      <c r="F187" s="214" t="s">
        <v>372</v>
      </c>
      <c r="G187" s="201"/>
      <c r="H187" s="201"/>
      <c r="I187" s="204"/>
      <c r="J187" s="215">
        <f>BK187</f>
        <v>0</v>
      </c>
      <c r="K187" s="201"/>
      <c r="L187" s="206"/>
      <c r="M187" s="207"/>
      <c r="N187" s="208"/>
      <c r="O187" s="208"/>
      <c r="P187" s="209">
        <f>SUM(P188:P203)</f>
        <v>0</v>
      </c>
      <c r="Q187" s="208"/>
      <c r="R187" s="209">
        <f>SUM(R188:R203)</f>
        <v>0.14748</v>
      </c>
      <c r="S187" s="208"/>
      <c r="T187" s="210">
        <f>SUM(T188:T203)</f>
        <v>0</v>
      </c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R187" s="211" t="s">
        <v>85</v>
      </c>
      <c r="AT187" s="212" t="s">
        <v>74</v>
      </c>
      <c r="AU187" s="212" t="s">
        <v>83</v>
      </c>
      <c r="AY187" s="211" t="s">
        <v>131</v>
      </c>
      <c r="BK187" s="213">
        <f>SUM(BK188:BK203)</f>
        <v>0</v>
      </c>
    </row>
    <row r="188" s="2" customFormat="1" ht="49.05" customHeight="1">
      <c r="A188" s="35"/>
      <c r="B188" s="36"/>
      <c r="C188" s="216" t="s">
        <v>373</v>
      </c>
      <c r="D188" s="216" t="s">
        <v>134</v>
      </c>
      <c r="E188" s="217" t="s">
        <v>374</v>
      </c>
      <c r="F188" s="218" t="s">
        <v>375</v>
      </c>
      <c r="G188" s="219" t="s">
        <v>142</v>
      </c>
      <c r="H188" s="220">
        <v>5</v>
      </c>
      <c r="I188" s="221"/>
      <c r="J188" s="222">
        <f>ROUND(I188*H188,2)</f>
        <v>0</v>
      </c>
      <c r="K188" s="223"/>
      <c r="L188" s="41"/>
      <c r="M188" s="224" t="s">
        <v>1</v>
      </c>
      <c r="N188" s="225" t="s">
        <v>40</v>
      </c>
      <c r="O188" s="88"/>
      <c r="P188" s="226">
        <f>O188*H188</f>
        <v>0</v>
      </c>
      <c r="Q188" s="226">
        <v>0.0062899999999999996</v>
      </c>
      <c r="R188" s="226">
        <f>Q188*H188</f>
        <v>0.031449999999999999</v>
      </c>
      <c r="S188" s="226">
        <v>0</v>
      </c>
      <c r="T188" s="227">
        <f>S188*H188</f>
        <v>0</v>
      </c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R188" s="228" t="s">
        <v>138</v>
      </c>
      <c r="AT188" s="228" t="s">
        <v>134</v>
      </c>
      <c r="AU188" s="228" t="s">
        <v>85</v>
      </c>
      <c r="AY188" s="14" t="s">
        <v>131</v>
      </c>
      <c r="BE188" s="229">
        <f>IF(N188="základní",J188,0)</f>
        <v>0</v>
      </c>
      <c r="BF188" s="229">
        <f>IF(N188="snížená",J188,0)</f>
        <v>0</v>
      </c>
      <c r="BG188" s="229">
        <f>IF(N188="zákl. přenesená",J188,0)</f>
        <v>0</v>
      </c>
      <c r="BH188" s="229">
        <f>IF(N188="sníž. přenesená",J188,0)</f>
        <v>0</v>
      </c>
      <c r="BI188" s="229">
        <f>IF(N188="nulová",J188,0)</f>
        <v>0</v>
      </c>
      <c r="BJ188" s="14" t="s">
        <v>83</v>
      </c>
      <c r="BK188" s="229">
        <f>ROUND(I188*H188,2)</f>
        <v>0</v>
      </c>
      <c r="BL188" s="14" t="s">
        <v>138</v>
      </c>
      <c r="BM188" s="228" t="s">
        <v>376</v>
      </c>
    </row>
    <row r="189" s="2" customFormat="1" ht="37.8" customHeight="1">
      <c r="A189" s="35"/>
      <c r="B189" s="36"/>
      <c r="C189" s="216" t="s">
        <v>377</v>
      </c>
      <c r="D189" s="216" t="s">
        <v>134</v>
      </c>
      <c r="E189" s="217" t="s">
        <v>378</v>
      </c>
      <c r="F189" s="218" t="s">
        <v>379</v>
      </c>
      <c r="G189" s="219" t="s">
        <v>185</v>
      </c>
      <c r="H189" s="220">
        <v>6</v>
      </c>
      <c r="I189" s="221"/>
      <c r="J189" s="222">
        <f>ROUND(I189*H189,2)</f>
        <v>0</v>
      </c>
      <c r="K189" s="223"/>
      <c r="L189" s="41"/>
      <c r="M189" s="224" t="s">
        <v>1</v>
      </c>
      <c r="N189" s="225" t="s">
        <v>40</v>
      </c>
      <c r="O189" s="88"/>
      <c r="P189" s="226">
        <f>O189*H189</f>
        <v>0</v>
      </c>
      <c r="Q189" s="226">
        <v>0</v>
      </c>
      <c r="R189" s="226">
        <f>Q189*H189</f>
        <v>0</v>
      </c>
      <c r="S189" s="226">
        <v>0</v>
      </c>
      <c r="T189" s="227">
        <f>S189*H189</f>
        <v>0</v>
      </c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R189" s="228" t="s">
        <v>138</v>
      </c>
      <c r="AT189" s="228" t="s">
        <v>134</v>
      </c>
      <c r="AU189" s="228" t="s">
        <v>85</v>
      </c>
      <c r="AY189" s="14" t="s">
        <v>131</v>
      </c>
      <c r="BE189" s="229">
        <f>IF(N189="základní",J189,0)</f>
        <v>0</v>
      </c>
      <c r="BF189" s="229">
        <f>IF(N189="snížená",J189,0)</f>
        <v>0</v>
      </c>
      <c r="BG189" s="229">
        <f>IF(N189="zákl. přenesená",J189,0)</f>
        <v>0</v>
      </c>
      <c r="BH189" s="229">
        <f>IF(N189="sníž. přenesená",J189,0)</f>
        <v>0</v>
      </c>
      <c r="BI189" s="229">
        <f>IF(N189="nulová",J189,0)</f>
        <v>0</v>
      </c>
      <c r="BJ189" s="14" t="s">
        <v>83</v>
      </c>
      <c r="BK189" s="229">
        <f>ROUND(I189*H189,2)</f>
        <v>0</v>
      </c>
      <c r="BL189" s="14" t="s">
        <v>138</v>
      </c>
      <c r="BM189" s="228" t="s">
        <v>380</v>
      </c>
    </row>
    <row r="190" s="2" customFormat="1" ht="37.8" customHeight="1">
      <c r="A190" s="35"/>
      <c r="B190" s="36"/>
      <c r="C190" s="216" t="s">
        <v>381</v>
      </c>
      <c r="D190" s="216" t="s">
        <v>134</v>
      </c>
      <c r="E190" s="217" t="s">
        <v>382</v>
      </c>
      <c r="F190" s="218" t="s">
        <v>383</v>
      </c>
      <c r="G190" s="219" t="s">
        <v>142</v>
      </c>
      <c r="H190" s="220">
        <v>8</v>
      </c>
      <c r="I190" s="221"/>
      <c r="J190" s="222">
        <f>ROUND(I190*H190,2)</f>
        <v>0</v>
      </c>
      <c r="K190" s="223"/>
      <c r="L190" s="41"/>
      <c r="M190" s="224" t="s">
        <v>1</v>
      </c>
      <c r="N190" s="225" t="s">
        <v>40</v>
      </c>
      <c r="O190" s="88"/>
      <c r="P190" s="226">
        <f>O190*H190</f>
        <v>0</v>
      </c>
      <c r="Q190" s="226">
        <v>0.00792</v>
      </c>
      <c r="R190" s="226">
        <f>Q190*H190</f>
        <v>0.06336</v>
      </c>
      <c r="S190" s="226">
        <v>0</v>
      </c>
      <c r="T190" s="227">
        <f>S190*H190</f>
        <v>0</v>
      </c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R190" s="228" t="s">
        <v>138</v>
      </c>
      <c r="AT190" s="228" t="s">
        <v>134</v>
      </c>
      <c r="AU190" s="228" t="s">
        <v>85</v>
      </c>
      <c r="AY190" s="14" t="s">
        <v>131</v>
      </c>
      <c r="BE190" s="229">
        <f>IF(N190="základní",J190,0)</f>
        <v>0</v>
      </c>
      <c r="BF190" s="229">
        <f>IF(N190="snížená",J190,0)</f>
        <v>0</v>
      </c>
      <c r="BG190" s="229">
        <f>IF(N190="zákl. přenesená",J190,0)</f>
        <v>0</v>
      </c>
      <c r="BH190" s="229">
        <f>IF(N190="sníž. přenesená",J190,0)</f>
        <v>0</v>
      </c>
      <c r="BI190" s="229">
        <f>IF(N190="nulová",J190,0)</f>
        <v>0</v>
      </c>
      <c r="BJ190" s="14" t="s">
        <v>83</v>
      </c>
      <c r="BK190" s="229">
        <f>ROUND(I190*H190,2)</f>
        <v>0</v>
      </c>
      <c r="BL190" s="14" t="s">
        <v>138</v>
      </c>
      <c r="BM190" s="228" t="s">
        <v>384</v>
      </c>
    </row>
    <row r="191" s="2" customFormat="1" ht="44.25" customHeight="1">
      <c r="A191" s="35"/>
      <c r="B191" s="36"/>
      <c r="C191" s="216" t="s">
        <v>385</v>
      </c>
      <c r="D191" s="216" t="s">
        <v>134</v>
      </c>
      <c r="E191" s="217" t="s">
        <v>386</v>
      </c>
      <c r="F191" s="218" t="s">
        <v>387</v>
      </c>
      <c r="G191" s="219" t="s">
        <v>142</v>
      </c>
      <c r="H191" s="220">
        <v>6</v>
      </c>
      <c r="I191" s="221"/>
      <c r="J191" s="222">
        <f>ROUND(I191*H191,2)</f>
        <v>0</v>
      </c>
      <c r="K191" s="223"/>
      <c r="L191" s="41"/>
      <c r="M191" s="224" t="s">
        <v>1</v>
      </c>
      <c r="N191" s="225" t="s">
        <v>40</v>
      </c>
      <c r="O191" s="88"/>
      <c r="P191" s="226">
        <f>O191*H191</f>
        <v>0</v>
      </c>
      <c r="Q191" s="226">
        <v>0</v>
      </c>
      <c r="R191" s="226">
        <f>Q191*H191</f>
        <v>0</v>
      </c>
      <c r="S191" s="226">
        <v>0</v>
      </c>
      <c r="T191" s="227">
        <f>S191*H191</f>
        <v>0</v>
      </c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R191" s="228" t="s">
        <v>138</v>
      </c>
      <c r="AT191" s="228" t="s">
        <v>134</v>
      </c>
      <c r="AU191" s="228" t="s">
        <v>85</v>
      </c>
      <c r="AY191" s="14" t="s">
        <v>131</v>
      </c>
      <c r="BE191" s="229">
        <f>IF(N191="základní",J191,0)</f>
        <v>0</v>
      </c>
      <c r="BF191" s="229">
        <f>IF(N191="snížená",J191,0)</f>
        <v>0</v>
      </c>
      <c r="BG191" s="229">
        <f>IF(N191="zákl. přenesená",J191,0)</f>
        <v>0</v>
      </c>
      <c r="BH191" s="229">
        <f>IF(N191="sníž. přenesená",J191,0)</f>
        <v>0</v>
      </c>
      <c r="BI191" s="229">
        <f>IF(N191="nulová",J191,0)</f>
        <v>0</v>
      </c>
      <c r="BJ191" s="14" t="s">
        <v>83</v>
      </c>
      <c r="BK191" s="229">
        <f>ROUND(I191*H191,2)</f>
        <v>0</v>
      </c>
      <c r="BL191" s="14" t="s">
        <v>138</v>
      </c>
      <c r="BM191" s="228" t="s">
        <v>388</v>
      </c>
    </row>
    <row r="192" s="2" customFormat="1" ht="44.25" customHeight="1">
      <c r="A192" s="35"/>
      <c r="B192" s="36"/>
      <c r="C192" s="216" t="s">
        <v>389</v>
      </c>
      <c r="D192" s="216" t="s">
        <v>134</v>
      </c>
      <c r="E192" s="217" t="s">
        <v>390</v>
      </c>
      <c r="F192" s="218" t="s">
        <v>391</v>
      </c>
      <c r="G192" s="219" t="s">
        <v>142</v>
      </c>
      <c r="H192" s="220">
        <v>8</v>
      </c>
      <c r="I192" s="221"/>
      <c r="J192" s="222">
        <f>ROUND(I192*H192,2)</f>
        <v>0</v>
      </c>
      <c r="K192" s="223"/>
      <c r="L192" s="41"/>
      <c r="M192" s="224" t="s">
        <v>1</v>
      </c>
      <c r="N192" s="225" t="s">
        <v>40</v>
      </c>
      <c r="O192" s="88"/>
      <c r="P192" s="226">
        <f>O192*H192</f>
        <v>0</v>
      </c>
      <c r="Q192" s="226">
        <v>0</v>
      </c>
      <c r="R192" s="226">
        <f>Q192*H192</f>
        <v>0</v>
      </c>
      <c r="S192" s="226">
        <v>0</v>
      </c>
      <c r="T192" s="227">
        <f>S192*H192</f>
        <v>0</v>
      </c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R192" s="228" t="s">
        <v>138</v>
      </c>
      <c r="AT192" s="228" t="s">
        <v>134</v>
      </c>
      <c r="AU192" s="228" t="s">
        <v>85</v>
      </c>
      <c r="AY192" s="14" t="s">
        <v>131</v>
      </c>
      <c r="BE192" s="229">
        <f>IF(N192="základní",J192,0)</f>
        <v>0</v>
      </c>
      <c r="BF192" s="229">
        <f>IF(N192="snížená",J192,0)</f>
        <v>0</v>
      </c>
      <c r="BG192" s="229">
        <f>IF(N192="zákl. přenesená",J192,0)</f>
        <v>0</v>
      </c>
      <c r="BH192" s="229">
        <f>IF(N192="sníž. přenesená",J192,0)</f>
        <v>0</v>
      </c>
      <c r="BI192" s="229">
        <f>IF(N192="nulová",J192,0)</f>
        <v>0</v>
      </c>
      <c r="BJ192" s="14" t="s">
        <v>83</v>
      </c>
      <c r="BK192" s="229">
        <f>ROUND(I192*H192,2)</f>
        <v>0</v>
      </c>
      <c r="BL192" s="14" t="s">
        <v>138</v>
      </c>
      <c r="BM192" s="228" t="s">
        <v>392</v>
      </c>
    </row>
    <row r="193" s="2" customFormat="1" ht="33" customHeight="1">
      <c r="A193" s="35"/>
      <c r="B193" s="36"/>
      <c r="C193" s="216" t="s">
        <v>393</v>
      </c>
      <c r="D193" s="216" t="s">
        <v>134</v>
      </c>
      <c r="E193" s="217" t="s">
        <v>394</v>
      </c>
      <c r="F193" s="218" t="s">
        <v>395</v>
      </c>
      <c r="G193" s="219" t="s">
        <v>142</v>
      </c>
      <c r="H193" s="220">
        <v>10</v>
      </c>
      <c r="I193" s="221"/>
      <c r="J193" s="222">
        <f>ROUND(I193*H193,2)</f>
        <v>0</v>
      </c>
      <c r="K193" s="223"/>
      <c r="L193" s="41"/>
      <c r="M193" s="224" t="s">
        <v>1</v>
      </c>
      <c r="N193" s="225" t="s">
        <v>40</v>
      </c>
      <c r="O193" s="88"/>
      <c r="P193" s="226">
        <f>O193*H193</f>
        <v>0</v>
      </c>
      <c r="Q193" s="226">
        <v>0.00069999999999999999</v>
      </c>
      <c r="R193" s="226">
        <f>Q193*H193</f>
        <v>0.0070000000000000001</v>
      </c>
      <c r="S193" s="226">
        <v>0</v>
      </c>
      <c r="T193" s="227">
        <f>S193*H193</f>
        <v>0</v>
      </c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R193" s="228" t="s">
        <v>138</v>
      </c>
      <c r="AT193" s="228" t="s">
        <v>134</v>
      </c>
      <c r="AU193" s="228" t="s">
        <v>85</v>
      </c>
      <c r="AY193" s="14" t="s">
        <v>131</v>
      </c>
      <c r="BE193" s="229">
        <f>IF(N193="základní",J193,0)</f>
        <v>0</v>
      </c>
      <c r="BF193" s="229">
        <f>IF(N193="snížená",J193,0)</f>
        <v>0</v>
      </c>
      <c r="BG193" s="229">
        <f>IF(N193="zákl. přenesená",J193,0)</f>
        <v>0</v>
      </c>
      <c r="BH193" s="229">
        <f>IF(N193="sníž. přenesená",J193,0)</f>
        <v>0</v>
      </c>
      <c r="BI193" s="229">
        <f>IF(N193="nulová",J193,0)</f>
        <v>0</v>
      </c>
      <c r="BJ193" s="14" t="s">
        <v>83</v>
      </c>
      <c r="BK193" s="229">
        <f>ROUND(I193*H193,2)</f>
        <v>0</v>
      </c>
      <c r="BL193" s="14" t="s">
        <v>138</v>
      </c>
      <c r="BM193" s="228" t="s">
        <v>396</v>
      </c>
    </row>
    <row r="194" s="2" customFormat="1" ht="24.15" customHeight="1">
      <c r="A194" s="35"/>
      <c r="B194" s="36"/>
      <c r="C194" s="216" t="s">
        <v>397</v>
      </c>
      <c r="D194" s="216" t="s">
        <v>134</v>
      </c>
      <c r="E194" s="217" t="s">
        <v>398</v>
      </c>
      <c r="F194" s="218" t="s">
        <v>399</v>
      </c>
      <c r="G194" s="219" t="s">
        <v>142</v>
      </c>
      <c r="H194" s="220">
        <v>15</v>
      </c>
      <c r="I194" s="221"/>
      <c r="J194" s="222">
        <f>ROUND(I194*H194,2)</f>
        <v>0</v>
      </c>
      <c r="K194" s="223"/>
      <c r="L194" s="41"/>
      <c r="M194" s="224" t="s">
        <v>1</v>
      </c>
      <c r="N194" s="225" t="s">
        <v>40</v>
      </c>
      <c r="O194" s="88"/>
      <c r="P194" s="226">
        <f>O194*H194</f>
        <v>0</v>
      </c>
      <c r="Q194" s="226">
        <v>0.00124</v>
      </c>
      <c r="R194" s="226">
        <f>Q194*H194</f>
        <v>0.018599999999999998</v>
      </c>
      <c r="S194" s="226">
        <v>0</v>
      </c>
      <c r="T194" s="227">
        <f>S194*H194</f>
        <v>0</v>
      </c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R194" s="228" t="s">
        <v>138</v>
      </c>
      <c r="AT194" s="228" t="s">
        <v>134</v>
      </c>
      <c r="AU194" s="228" t="s">
        <v>85</v>
      </c>
      <c r="AY194" s="14" t="s">
        <v>131</v>
      </c>
      <c r="BE194" s="229">
        <f>IF(N194="základní",J194,0)</f>
        <v>0</v>
      </c>
      <c r="BF194" s="229">
        <f>IF(N194="snížená",J194,0)</f>
        <v>0</v>
      </c>
      <c r="BG194" s="229">
        <f>IF(N194="zákl. přenesená",J194,0)</f>
        <v>0</v>
      </c>
      <c r="BH194" s="229">
        <f>IF(N194="sníž. přenesená",J194,0)</f>
        <v>0</v>
      </c>
      <c r="BI194" s="229">
        <f>IF(N194="nulová",J194,0)</f>
        <v>0</v>
      </c>
      <c r="BJ194" s="14" t="s">
        <v>83</v>
      </c>
      <c r="BK194" s="229">
        <f>ROUND(I194*H194,2)</f>
        <v>0</v>
      </c>
      <c r="BL194" s="14" t="s">
        <v>138</v>
      </c>
      <c r="BM194" s="228" t="s">
        <v>400</v>
      </c>
    </row>
    <row r="195" s="2" customFormat="1" ht="24.15" customHeight="1">
      <c r="A195" s="35"/>
      <c r="B195" s="36"/>
      <c r="C195" s="216" t="s">
        <v>401</v>
      </c>
      <c r="D195" s="216" t="s">
        <v>134</v>
      </c>
      <c r="E195" s="217" t="s">
        <v>402</v>
      </c>
      <c r="F195" s="218" t="s">
        <v>403</v>
      </c>
      <c r="G195" s="219" t="s">
        <v>142</v>
      </c>
      <c r="H195" s="220">
        <v>15</v>
      </c>
      <c r="I195" s="221"/>
      <c r="J195" s="222">
        <f>ROUND(I195*H195,2)</f>
        <v>0</v>
      </c>
      <c r="K195" s="223"/>
      <c r="L195" s="41"/>
      <c r="M195" s="224" t="s">
        <v>1</v>
      </c>
      <c r="N195" s="225" t="s">
        <v>40</v>
      </c>
      <c r="O195" s="88"/>
      <c r="P195" s="226">
        <f>O195*H195</f>
        <v>0</v>
      </c>
      <c r="Q195" s="226">
        <v>0.0016199999999999999</v>
      </c>
      <c r="R195" s="226">
        <f>Q195*H195</f>
        <v>0.024299999999999999</v>
      </c>
      <c r="S195" s="226">
        <v>0</v>
      </c>
      <c r="T195" s="227">
        <f>S195*H195</f>
        <v>0</v>
      </c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R195" s="228" t="s">
        <v>138</v>
      </c>
      <c r="AT195" s="228" t="s">
        <v>134</v>
      </c>
      <c r="AU195" s="228" t="s">
        <v>85</v>
      </c>
      <c r="AY195" s="14" t="s">
        <v>131</v>
      </c>
      <c r="BE195" s="229">
        <f>IF(N195="základní",J195,0)</f>
        <v>0</v>
      </c>
      <c r="BF195" s="229">
        <f>IF(N195="snížená",J195,0)</f>
        <v>0</v>
      </c>
      <c r="BG195" s="229">
        <f>IF(N195="zákl. přenesená",J195,0)</f>
        <v>0</v>
      </c>
      <c r="BH195" s="229">
        <f>IF(N195="sníž. přenesená",J195,0)</f>
        <v>0</v>
      </c>
      <c r="BI195" s="229">
        <f>IF(N195="nulová",J195,0)</f>
        <v>0</v>
      </c>
      <c r="BJ195" s="14" t="s">
        <v>83</v>
      </c>
      <c r="BK195" s="229">
        <f>ROUND(I195*H195,2)</f>
        <v>0</v>
      </c>
      <c r="BL195" s="14" t="s">
        <v>138</v>
      </c>
      <c r="BM195" s="228" t="s">
        <v>404</v>
      </c>
    </row>
    <row r="196" s="2" customFormat="1" ht="33" customHeight="1">
      <c r="A196" s="35"/>
      <c r="B196" s="36"/>
      <c r="C196" s="216" t="s">
        <v>405</v>
      </c>
      <c r="D196" s="216" t="s">
        <v>134</v>
      </c>
      <c r="E196" s="217" t="s">
        <v>406</v>
      </c>
      <c r="F196" s="218" t="s">
        <v>407</v>
      </c>
      <c r="G196" s="219" t="s">
        <v>142</v>
      </c>
      <c r="H196" s="220">
        <v>10</v>
      </c>
      <c r="I196" s="221"/>
      <c r="J196" s="222">
        <f>ROUND(I196*H196,2)</f>
        <v>0</v>
      </c>
      <c r="K196" s="223"/>
      <c r="L196" s="41"/>
      <c r="M196" s="224" t="s">
        <v>1</v>
      </c>
      <c r="N196" s="225" t="s">
        <v>40</v>
      </c>
      <c r="O196" s="88"/>
      <c r="P196" s="226">
        <f>O196*H196</f>
        <v>0</v>
      </c>
      <c r="Q196" s="226">
        <v>3.0000000000000001E-05</v>
      </c>
      <c r="R196" s="226">
        <f>Q196*H196</f>
        <v>0.00030000000000000003</v>
      </c>
      <c r="S196" s="226">
        <v>0</v>
      </c>
      <c r="T196" s="227">
        <f>S196*H196</f>
        <v>0</v>
      </c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R196" s="228" t="s">
        <v>138</v>
      </c>
      <c r="AT196" s="228" t="s">
        <v>134</v>
      </c>
      <c r="AU196" s="228" t="s">
        <v>85</v>
      </c>
      <c r="AY196" s="14" t="s">
        <v>131</v>
      </c>
      <c r="BE196" s="229">
        <f>IF(N196="základní",J196,0)</f>
        <v>0</v>
      </c>
      <c r="BF196" s="229">
        <f>IF(N196="snížená",J196,0)</f>
        <v>0</v>
      </c>
      <c r="BG196" s="229">
        <f>IF(N196="zákl. přenesená",J196,0)</f>
        <v>0</v>
      </c>
      <c r="BH196" s="229">
        <f>IF(N196="sníž. přenesená",J196,0)</f>
        <v>0</v>
      </c>
      <c r="BI196" s="229">
        <f>IF(N196="nulová",J196,0)</f>
        <v>0</v>
      </c>
      <c r="BJ196" s="14" t="s">
        <v>83</v>
      </c>
      <c r="BK196" s="229">
        <f>ROUND(I196*H196,2)</f>
        <v>0</v>
      </c>
      <c r="BL196" s="14" t="s">
        <v>138</v>
      </c>
      <c r="BM196" s="228" t="s">
        <v>408</v>
      </c>
    </row>
    <row r="197" s="2" customFormat="1" ht="33" customHeight="1">
      <c r="A197" s="35"/>
      <c r="B197" s="36"/>
      <c r="C197" s="216" t="s">
        <v>409</v>
      </c>
      <c r="D197" s="216" t="s">
        <v>134</v>
      </c>
      <c r="E197" s="217" t="s">
        <v>410</v>
      </c>
      <c r="F197" s="218" t="s">
        <v>411</v>
      </c>
      <c r="G197" s="219" t="s">
        <v>142</v>
      </c>
      <c r="H197" s="220">
        <v>15</v>
      </c>
      <c r="I197" s="221"/>
      <c r="J197" s="222">
        <f>ROUND(I197*H197,2)</f>
        <v>0</v>
      </c>
      <c r="K197" s="223"/>
      <c r="L197" s="41"/>
      <c r="M197" s="224" t="s">
        <v>1</v>
      </c>
      <c r="N197" s="225" t="s">
        <v>40</v>
      </c>
      <c r="O197" s="88"/>
      <c r="P197" s="226">
        <f>O197*H197</f>
        <v>0</v>
      </c>
      <c r="Q197" s="226">
        <v>5.0000000000000002E-05</v>
      </c>
      <c r="R197" s="226">
        <f>Q197*H197</f>
        <v>0.00075000000000000002</v>
      </c>
      <c r="S197" s="226">
        <v>0</v>
      </c>
      <c r="T197" s="227">
        <f>S197*H197</f>
        <v>0</v>
      </c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R197" s="228" t="s">
        <v>138</v>
      </c>
      <c r="AT197" s="228" t="s">
        <v>134</v>
      </c>
      <c r="AU197" s="228" t="s">
        <v>85</v>
      </c>
      <c r="AY197" s="14" t="s">
        <v>131</v>
      </c>
      <c r="BE197" s="229">
        <f>IF(N197="základní",J197,0)</f>
        <v>0</v>
      </c>
      <c r="BF197" s="229">
        <f>IF(N197="snížená",J197,0)</f>
        <v>0</v>
      </c>
      <c r="BG197" s="229">
        <f>IF(N197="zákl. přenesená",J197,0)</f>
        <v>0</v>
      </c>
      <c r="BH197" s="229">
        <f>IF(N197="sníž. přenesená",J197,0)</f>
        <v>0</v>
      </c>
      <c r="BI197" s="229">
        <f>IF(N197="nulová",J197,0)</f>
        <v>0</v>
      </c>
      <c r="BJ197" s="14" t="s">
        <v>83</v>
      </c>
      <c r="BK197" s="229">
        <f>ROUND(I197*H197,2)</f>
        <v>0</v>
      </c>
      <c r="BL197" s="14" t="s">
        <v>138</v>
      </c>
      <c r="BM197" s="228" t="s">
        <v>412</v>
      </c>
    </row>
    <row r="198" s="2" customFormat="1" ht="33" customHeight="1">
      <c r="A198" s="35"/>
      <c r="B198" s="36"/>
      <c r="C198" s="216" t="s">
        <v>413</v>
      </c>
      <c r="D198" s="216" t="s">
        <v>134</v>
      </c>
      <c r="E198" s="217" t="s">
        <v>414</v>
      </c>
      <c r="F198" s="218" t="s">
        <v>415</v>
      </c>
      <c r="G198" s="219" t="s">
        <v>142</v>
      </c>
      <c r="H198" s="220">
        <v>15</v>
      </c>
      <c r="I198" s="221"/>
      <c r="J198" s="222">
        <f>ROUND(I198*H198,2)</f>
        <v>0</v>
      </c>
      <c r="K198" s="223"/>
      <c r="L198" s="41"/>
      <c r="M198" s="224" t="s">
        <v>1</v>
      </c>
      <c r="N198" s="225" t="s">
        <v>40</v>
      </c>
      <c r="O198" s="88"/>
      <c r="P198" s="226">
        <f>O198*H198</f>
        <v>0</v>
      </c>
      <c r="Q198" s="226">
        <v>6.0000000000000002E-05</v>
      </c>
      <c r="R198" s="226">
        <f>Q198*H198</f>
        <v>0.00089999999999999998</v>
      </c>
      <c r="S198" s="226">
        <v>0</v>
      </c>
      <c r="T198" s="227">
        <f>S198*H198</f>
        <v>0</v>
      </c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R198" s="228" t="s">
        <v>138</v>
      </c>
      <c r="AT198" s="228" t="s">
        <v>134</v>
      </c>
      <c r="AU198" s="228" t="s">
        <v>85</v>
      </c>
      <c r="AY198" s="14" t="s">
        <v>131</v>
      </c>
      <c r="BE198" s="229">
        <f>IF(N198="základní",J198,0)</f>
        <v>0</v>
      </c>
      <c r="BF198" s="229">
        <f>IF(N198="snížená",J198,0)</f>
        <v>0</v>
      </c>
      <c r="BG198" s="229">
        <f>IF(N198="zákl. přenesená",J198,0)</f>
        <v>0</v>
      </c>
      <c r="BH198" s="229">
        <f>IF(N198="sníž. přenesená",J198,0)</f>
        <v>0</v>
      </c>
      <c r="BI198" s="229">
        <f>IF(N198="nulová",J198,0)</f>
        <v>0</v>
      </c>
      <c r="BJ198" s="14" t="s">
        <v>83</v>
      </c>
      <c r="BK198" s="229">
        <f>ROUND(I198*H198,2)</f>
        <v>0</v>
      </c>
      <c r="BL198" s="14" t="s">
        <v>138</v>
      </c>
      <c r="BM198" s="228" t="s">
        <v>416</v>
      </c>
    </row>
    <row r="199" s="2" customFormat="1" ht="24.15" customHeight="1">
      <c r="A199" s="35"/>
      <c r="B199" s="36"/>
      <c r="C199" s="216" t="s">
        <v>417</v>
      </c>
      <c r="D199" s="216" t="s">
        <v>134</v>
      </c>
      <c r="E199" s="217" t="s">
        <v>418</v>
      </c>
      <c r="F199" s="218" t="s">
        <v>419</v>
      </c>
      <c r="G199" s="219" t="s">
        <v>185</v>
      </c>
      <c r="H199" s="220">
        <v>2</v>
      </c>
      <c r="I199" s="221"/>
      <c r="J199" s="222">
        <f>ROUND(I199*H199,2)</f>
        <v>0</v>
      </c>
      <c r="K199" s="223"/>
      <c r="L199" s="41"/>
      <c r="M199" s="224" t="s">
        <v>1</v>
      </c>
      <c r="N199" s="225" t="s">
        <v>40</v>
      </c>
      <c r="O199" s="88"/>
      <c r="P199" s="226">
        <f>O199*H199</f>
        <v>0</v>
      </c>
      <c r="Q199" s="226">
        <v>3.0000000000000001E-05</v>
      </c>
      <c r="R199" s="226">
        <f>Q199*H199</f>
        <v>6.0000000000000002E-05</v>
      </c>
      <c r="S199" s="226">
        <v>0</v>
      </c>
      <c r="T199" s="227">
        <f>S199*H199</f>
        <v>0</v>
      </c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R199" s="228" t="s">
        <v>138</v>
      </c>
      <c r="AT199" s="228" t="s">
        <v>134</v>
      </c>
      <c r="AU199" s="228" t="s">
        <v>85</v>
      </c>
      <c r="AY199" s="14" t="s">
        <v>131</v>
      </c>
      <c r="BE199" s="229">
        <f>IF(N199="základní",J199,0)</f>
        <v>0</v>
      </c>
      <c r="BF199" s="229">
        <f>IF(N199="snížená",J199,0)</f>
        <v>0</v>
      </c>
      <c r="BG199" s="229">
        <f>IF(N199="zákl. přenesená",J199,0)</f>
        <v>0</v>
      </c>
      <c r="BH199" s="229">
        <f>IF(N199="sníž. přenesená",J199,0)</f>
        <v>0</v>
      </c>
      <c r="BI199" s="229">
        <f>IF(N199="nulová",J199,0)</f>
        <v>0</v>
      </c>
      <c r="BJ199" s="14" t="s">
        <v>83</v>
      </c>
      <c r="BK199" s="229">
        <f>ROUND(I199*H199,2)</f>
        <v>0</v>
      </c>
      <c r="BL199" s="14" t="s">
        <v>138</v>
      </c>
      <c r="BM199" s="228" t="s">
        <v>420</v>
      </c>
    </row>
    <row r="200" s="2" customFormat="1" ht="33" customHeight="1">
      <c r="A200" s="35"/>
      <c r="B200" s="36"/>
      <c r="C200" s="216" t="s">
        <v>421</v>
      </c>
      <c r="D200" s="216" t="s">
        <v>134</v>
      </c>
      <c r="E200" s="217" t="s">
        <v>422</v>
      </c>
      <c r="F200" s="218" t="s">
        <v>423</v>
      </c>
      <c r="G200" s="219" t="s">
        <v>185</v>
      </c>
      <c r="H200" s="220">
        <v>2</v>
      </c>
      <c r="I200" s="221"/>
      <c r="J200" s="222">
        <f>ROUND(I200*H200,2)</f>
        <v>0</v>
      </c>
      <c r="K200" s="223"/>
      <c r="L200" s="41"/>
      <c r="M200" s="224" t="s">
        <v>1</v>
      </c>
      <c r="N200" s="225" t="s">
        <v>40</v>
      </c>
      <c r="O200" s="88"/>
      <c r="P200" s="226">
        <f>O200*H200</f>
        <v>0</v>
      </c>
      <c r="Q200" s="226">
        <v>5.0000000000000002E-05</v>
      </c>
      <c r="R200" s="226">
        <f>Q200*H200</f>
        <v>0.00010000000000000001</v>
      </c>
      <c r="S200" s="226">
        <v>0</v>
      </c>
      <c r="T200" s="227">
        <f>S200*H200</f>
        <v>0</v>
      </c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R200" s="228" t="s">
        <v>138</v>
      </c>
      <c r="AT200" s="228" t="s">
        <v>134</v>
      </c>
      <c r="AU200" s="228" t="s">
        <v>85</v>
      </c>
      <c r="AY200" s="14" t="s">
        <v>131</v>
      </c>
      <c r="BE200" s="229">
        <f>IF(N200="základní",J200,0)</f>
        <v>0</v>
      </c>
      <c r="BF200" s="229">
        <f>IF(N200="snížená",J200,0)</f>
        <v>0</v>
      </c>
      <c r="BG200" s="229">
        <f>IF(N200="zákl. přenesená",J200,0)</f>
        <v>0</v>
      </c>
      <c r="BH200" s="229">
        <f>IF(N200="sníž. přenesená",J200,0)</f>
        <v>0</v>
      </c>
      <c r="BI200" s="229">
        <f>IF(N200="nulová",J200,0)</f>
        <v>0</v>
      </c>
      <c r="BJ200" s="14" t="s">
        <v>83</v>
      </c>
      <c r="BK200" s="229">
        <f>ROUND(I200*H200,2)</f>
        <v>0</v>
      </c>
      <c r="BL200" s="14" t="s">
        <v>138</v>
      </c>
      <c r="BM200" s="228" t="s">
        <v>424</v>
      </c>
    </row>
    <row r="201" s="2" customFormat="1" ht="33" customHeight="1">
      <c r="A201" s="35"/>
      <c r="B201" s="36"/>
      <c r="C201" s="216" t="s">
        <v>425</v>
      </c>
      <c r="D201" s="216" t="s">
        <v>134</v>
      </c>
      <c r="E201" s="217" t="s">
        <v>426</v>
      </c>
      <c r="F201" s="218" t="s">
        <v>427</v>
      </c>
      <c r="G201" s="219" t="s">
        <v>185</v>
      </c>
      <c r="H201" s="220">
        <v>11</v>
      </c>
      <c r="I201" s="221"/>
      <c r="J201" s="222">
        <f>ROUND(I201*H201,2)</f>
        <v>0</v>
      </c>
      <c r="K201" s="223"/>
      <c r="L201" s="41"/>
      <c r="M201" s="224" t="s">
        <v>1</v>
      </c>
      <c r="N201" s="225" t="s">
        <v>40</v>
      </c>
      <c r="O201" s="88"/>
      <c r="P201" s="226">
        <f>O201*H201</f>
        <v>0</v>
      </c>
      <c r="Q201" s="226">
        <v>6.0000000000000002E-05</v>
      </c>
      <c r="R201" s="226">
        <f>Q201*H201</f>
        <v>0.00066</v>
      </c>
      <c r="S201" s="226">
        <v>0</v>
      </c>
      <c r="T201" s="227">
        <f>S201*H201</f>
        <v>0</v>
      </c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R201" s="228" t="s">
        <v>138</v>
      </c>
      <c r="AT201" s="228" t="s">
        <v>134</v>
      </c>
      <c r="AU201" s="228" t="s">
        <v>85</v>
      </c>
      <c r="AY201" s="14" t="s">
        <v>131</v>
      </c>
      <c r="BE201" s="229">
        <f>IF(N201="základní",J201,0)</f>
        <v>0</v>
      </c>
      <c r="BF201" s="229">
        <f>IF(N201="snížená",J201,0)</f>
        <v>0</v>
      </c>
      <c r="BG201" s="229">
        <f>IF(N201="zákl. přenesená",J201,0)</f>
        <v>0</v>
      </c>
      <c r="BH201" s="229">
        <f>IF(N201="sníž. přenesená",J201,0)</f>
        <v>0</v>
      </c>
      <c r="BI201" s="229">
        <f>IF(N201="nulová",J201,0)</f>
        <v>0</v>
      </c>
      <c r="BJ201" s="14" t="s">
        <v>83</v>
      </c>
      <c r="BK201" s="229">
        <f>ROUND(I201*H201,2)</f>
        <v>0</v>
      </c>
      <c r="BL201" s="14" t="s">
        <v>138</v>
      </c>
      <c r="BM201" s="228" t="s">
        <v>428</v>
      </c>
    </row>
    <row r="202" s="2" customFormat="1" ht="24.15" customHeight="1">
      <c r="A202" s="35"/>
      <c r="B202" s="36"/>
      <c r="C202" s="216" t="s">
        <v>429</v>
      </c>
      <c r="D202" s="216" t="s">
        <v>134</v>
      </c>
      <c r="E202" s="217" t="s">
        <v>430</v>
      </c>
      <c r="F202" s="218" t="s">
        <v>431</v>
      </c>
      <c r="G202" s="219" t="s">
        <v>142</v>
      </c>
      <c r="H202" s="220">
        <v>40</v>
      </c>
      <c r="I202" s="221"/>
      <c r="J202" s="222">
        <f>ROUND(I202*H202,2)</f>
        <v>0</v>
      </c>
      <c r="K202" s="223"/>
      <c r="L202" s="41"/>
      <c r="M202" s="224" t="s">
        <v>1</v>
      </c>
      <c r="N202" s="225" t="s">
        <v>40</v>
      </c>
      <c r="O202" s="88"/>
      <c r="P202" s="226">
        <f>O202*H202</f>
        <v>0</v>
      </c>
      <c r="Q202" s="226">
        <v>0</v>
      </c>
      <c r="R202" s="226">
        <f>Q202*H202</f>
        <v>0</v>
      </c>
      <c r="S202" s="226">
        <v>0</v>
      </c>
      <c r="T202" s="227">
        <f>S202*H202</f>
        <v>0</v>
      </c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R202" s="228" t="s">
        <v>138</v>
      </c>
      <c r="AT202" s="228" t="s">
        <v>134</v>
      </c>
      <c r="AU202" s="228" t="s">
        <v>85</v>
      </c>
      <c r="AY202" s="14" t="s">
        <v>131</v>
      </c>
      <c r="BE202" s="229">
        <f>IF(N202="základní",J202,0)</f>
        <v>0</v>
      </c>
      <c r="BF202" s="229">
        <f>IF(N202="snížená",J202,0)</f>
        <v>0</v>
      </c>
      <c r="BG202" s="229">
        <f>IF(N202="zákl. přenesená",J202,0)</f>
        <v>0</v>
      </c>
      <c r="BH202" s="229">
        <f>IF(N202="sníž. přenesená",J202,0)</f>
        <v>0</v>
      </c>
      <c r="BI202" s="229">
        <f>IF(N202="nulová",J202,0)</f>
        <v>0</v>
      </c>
      <c r="BJ202" s="14" t="s">
        <v>83</v>
      </c>
      <c r="BK202" s="229">
        <f>ROUND(I202*H202,2)</f>
        <v>0</v>
      </c>
      <c r="BL202" s="14" t="s">
        <v>138</v>
      </c>
      <c r="BM202" s="228" t="s">
        <v>432</v>
      </c>
    </row>
    <row r="203" s="2" customFormat="1" ht="44.25" customHeight="1">
      <c r="A203" s="35"/>
      <c r="B203" s="36"/>
      <c r="C203" s="216" t="s">
        <v>433</v>
      </c>
      <c r="D203" s="216" t="s">
        <v>134</v>
      </c>
      <c r="E203" s="217" t="s">
        <v>434</v>
      </c>
      <c r="F203" s="218" t="s">
        <v>435</v>
      </c>
      <c r="G203" s="219" t="s">
        <v>173</v>
      </c>
      <c r="H203" s="241"/>
      <c r="I203" s="221"/>
      <c r="J203" s="222">
        <f>ROUND(I203*H203,2)</f>
        <v>0</v>
      </c>
      <c r="K203" s="223"/>
      <c r="L203" s="41"/>
      <c r="M203" s="224" t="s">
        <v>1</v>
      </c>
      <c r="N203" s="225" t="s">
        <v>40</v>
      </c>
      <c r="O203" s="88"/>
      <c r="P203" s="226">
        <f>O203*H203</f>
        <v>0</v>
      </c>
      <c r="Q203" s="226">
        <v>0</v>
      </c>
      <c r="R203" s="226">
        <f>Q203*H203</f>
        <v>0</v>
      </c>
      <c r="S203" s="226">
        <v>0</v>
      </c>
      <c r="T203" s="227">
        <f>S203*H203</f>
        <v>0</v>
      </c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R203" s="228" t="s">
        <v>138</v>
      </c>
      <c r="AT203" s="228" t="s">
        <v>134</v>
      </c>
      <c r="AU203" s="228" t="s">
        <v>85</v>
      </c>
      <c r="AY203" s="14" t="s">
        <v>131</v>
      </c>
      <c r="BE203" s="229">
        <f>IF(N203="základní",J203,0)</f>
        <v>0</v>
      </c>
      <c r="BF203" s="229">
        <f>IF(N203="snížená",J203,0)</f>
        <v>0</v>
      </c>
      <c r="BG203" s="229">
        <f>IF(N203="zákl. přenesená",J203,0)</f>
        <v>0</v>
      </c>
      <c r="BH203" s="229">
        <f>IF(N203="sníž. přenesená",J203,0)</f>
        <v>0</v>
      </c>
      <c r="BI203" s="229">
        <f>IF(N203="nulová",J203,0)</f>
        <v>0</v>
      </c>
      <c r="BJ203" s="14" t="s">
        <v>83</v>
      </c>
      <c r="BK203" s="229">
        <f>ROUND(I203*H203,2)</f>
        <v>0</v>
      </c>
      <c r="BL203" s="14" t="s">
        <v>138</v>
      </c>
      <c r="BM203" s="228" t="s">
        <v>436</v>
      </c>
    </row>
    <row r="204" s="12" customFormat="1" ht="22.8" customHeight="1">
      <c r="A204" s="12"/>
      <c r="B204" s="200"/>
      <c r="C204" s="201"/>
      <c r="D204" s="202" t="s">
        <v>74</v>
      </c>
      <c r="E204" s="214" t="s">
        <v>437</v>
      </c>
      <c r="F204" s="214" t="s">
        <v>438</v>
      </c>
      <c r="G204" s="201"/>
      <c r="H204" s="201"/>
      <c r="I204" s="204"/>
      <c r="J204" s="215">
        <f>BK204</f>
        <v>0</v>
      </c>
      <c r="K204" s="201"/>
      <c r="L204" s="206"/>
      <c r="M204" s="207"/>
      <c r="N204" s="208"/>
      <c r="O204" s="208"/>
      <c r="P204" s="209">
        <f>SUM(P205:P231)</f>
        <v>0</v>
      </c>
      <c r="Q204" s="208"/>
      <c r="R204" s="209">
        <f>SUM(R205:R231)</f>
        <v>0.041670000000000006</v>
      </c>
      <c r="S204" s="208"/>
      <c r="T204" s="210">
        <f>SUM(T205:T231)</f>
        <v>0</v>
      </c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R204" s="211" t="s">
        <v>85</v>
      </c>
      <c r="AT204" s="212" t="s">
        <v>74</v>
      </c>
      <c r="AU204" s="212" t="s">
        <v>83</v>
      </c>
      <c r="AY204" s="211" t="s">
        <v>131</v>
      </c>
      <c r="BK204" s="213">
        <f>SUM(BK205:BK231)</f>
        <v>0</v>
      </c>
    </row>
    <row r="205" s="2" customFormat="1" ht="21.75" customHeight="1">
      <c r="A205" s="35"/>
      <c r="B205" s="36"/>
      <c r="C205" s="216" t="s">
        <v>439</v>
      </c>
      <c r="D205" s="216" t="s">
        <v>134</v>
      </c>
      <c r="E205" s="217" t="s">
        <v>440</v>
      </c>
      <c r="F205" s="218" t="s">
        <v>441</v>
      </c>
      <c r="G205" s="219" t="s">
        <v>185</v>
      </c>
      <c r="H205" s="220">
        <v>1</v>
      </c>
      <c r="I205" s="221"/>
      <c r="J205" s="222">
        <f>ROUND(I205*H205,2)</f>
        <v>0</v>
      </c>
      <c r="K205" s="223"/>
      <c r="L205" s="41"/>
      <c r="M205" s="224" t="s">
        <v>1</v>
      </c>
      <c r="N205" s="225" t="s">
        <v>40</v>
      </c>
      <c r="O205" s="88"/>
      <c r="P205" s="226">
        <f>O205*H205</f>
        <v>0</v>
      </c>
      <c r="Q205" s="226">
        <v>8.0000000000000007E-05</v>
      </c>
      <c r="R205" s="226">
        <f>Q205*H205</f>
        <v>8.0000000000000007E-05</v>
      </c>
      <c r="S205" s="226">
        <v>0</v>
      </c>
      <c r="T205" s="227">
        <f>S205*H205</f>
        <v>0</v>
      </c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R205" s="228" t="s">
        <v>138</v>
      </c>
      <c r="AT205" s="228" t="s">
        <v>134</v>
      </c>
      <c r="AU205" s="228" t="s">
        <v>85</v>
      </c>
      <c r="AY205" s="14" t="s">
        <v>131</v>
      </c>
      <c r="BE205" s="229">
        <f>IF(N205="základní",J205,0)</f>
        <v>0</v>
      </c>
      <c r="BF205" s="229">
        <f>IF(N205="snížená",J205,0)</f>
        <v>0</v>
      </c>
      <c r="BG205" s="229">
        <f>IF(N205="zákl. přenesená",J205,0)</f>
        <v>0</v>
      </c>
      <c r="BH205" s="229">
        <f>IF(N205="sníž. přenesená",J205,0)</f>
        <v>0</v>
      </c>
      <c r="BI205" s="229">
        <f>IF(N205="nulová",J205,0)</f>
        <v>0</v>
      </c>
      <c r="BJ205" s="14" t="s">
        <v>83</v>
      </c>
      <c r="BK205" s="229">
        <f>ROUND(I205*H205,2)</f>
        <v>0</v>
      </c>
      <c r="BL205" s="14" t="s">
        <v>138</v>
      </c>
      <c r="BM205" s="228" t="s">
        <v>442</v>
      </c>
    </row>
    <row r="206" s="2" customFormat="1" ht="21.75" customHeight="1">
      <c r="A206" s="35"/>
      <c r="B206" s="36"/>
      <c r="C206" s="216" t="s">
        <v>443</v>
      </c>
      <c r="D206" s="216" t="s">
        <v>134</v>
      </c>
      <c r="E206" s="217" t="s">
        <v>444</v>
      </c>
      <c r="F206" s="218" t="s">
        <v>445</v>
      </c>
      <c r="G206" s="219" t="s">
        <v>185</v>
      </c>
      <c r="H206" s="220">
        <v>2</v>
      </c>
      <c r="I206" s="221"/>
      <c r="J206" s="222">
        <f>ROUND(I206*H206,2)</f>
        <v>0</v>
      </c>
      <c r="K206" s="223"/>
      <c r="L206" s="41"/>
      <c r="M206" s="224" t="s">
        <v>1</v>
      </c>
      <c r="N206" s="225" t="s">
        <v>40</v>
      </c>
      <c r="O206" s="88"/>
      <c r="P206" s="226">
        <f>O206*H206</f>
        <v>0</v>
      </c>
      <c r="Q206" s="226">
        <v>0.00010000000000000001</v>
      </c>
      <c r="R206" s="226">
        <f>Q206*H206</f>
        <v>0.00020000000000000001</v>
      </c>
      <c r="S206" s="226">
        <v>0</v>
      </c>
      <c r="T206" s="227">
        <f>S206*H206</f>
        <v>0</v>
      </c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R206" s="228" t="s">
        <v>138</v>
      </c>
      <c r="AT206" s="228" t="s">
        <v>134</v>
      </c>
      <c r="AU206" s="228" t="s">
        <v>85</v>
      </c>
      <c r="AY206" s="14" t="s">
        <v>131</v>
      </c>
      <c r="BE206" s="229">
        <f>IF(N206="základní",J206,0)</f>
        <v>0</v>
      </c>
      <c r="BF206" s="229">
        <f>IF(N206="snížená",J206,0)</f>
        <v>0</v>
      </c>
      <c r="BG206" s="229">
        <f>IF(N206="zákl. přenesená",J206,0)</f>
        <v>0</v>
      </c>
      <c r="BH206" s="229">
        <f>IF(N206="sníž. přenesená",J206,0)</f>
        <v>0</v>
      </c>
      <c r="BI206" s="229">
        <f>IF(N206="nulová",J206,0)</f>
        <v>0</v>
      </c>
      <c r="BJ206" s="14" t="s">
        <v>83</v>
      </c>
      <c r="BK206" s="229">
        <f>ROUND(I206*H206,2)</f>
        <v>0</v>
      </c>
      <c r="BL206" s="14" t="s">
        <v>138</v>
      </c>
      <c r="BM206" s="228" t="s">
        <v>446</v>
      </c>
    </row>
    <row r="207" s="2" customFormat="1" ht="21.75" customHeight="1">
      <c r="A207" s="35"/>
      <c r="B207" s="36"/>
      <c r="C207" s="216" t="s">
        <v>447</v>
      </c>
      <c r="D207" s="216" t="s">
        <v>134</v>
      </c>
      <c r="E207" s="217" t="s">
        <v>448</v>
      </c>
      <c r="F207" s="218" t="s">
        <v>449</v>
      </c>
      <c r="G207" s="219" t="s">
        <v>185</v>
      </c>
      <c r="H207" s="220">
        <v>2</v>
      </c>
      <c r="I207" s="221"/>
      <c r="J207" s="222">
        <f>ROUND(I207*H207,2)</f>
        <v>0</v>
      </c>
      <c r="K207" s="223"/>
      <c r="L207" s="41"/>
      <c r="M207" s="224" t="s">
        <v>1</v>
      </c>
      <c r="N207" s="225" t="s">
        <v>40</v>
      </c>
      <c r="O207" s="88"/>
      <c r="P207" s="226">
        <f>O207*H207</f>
        <v>0</v>
      </c>
      <c r="Q207" s="226">
        <v>0.00021000000000000001</v>
      </c>
      <c r="R207" s="226">
        <f>Q207*H207</f>
        <v>0.00042000000000000002</v>
      </c>
      <c r="S207" s="226">
        <v>0</v>
      </c>
      <c r="T207" s="227">
        <f>S207*H207</f>
        <v>0</v>
      </c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R207" s="228" t="s">
        <v>138</v>
      </c>
      <c r="AT207" s="228" t="s">
        <v>134</v>
      </c>
      <c r="AU207" s="228" t="s">
        <v>85</v>
      </c>
      <c r="AY207" s="14" t="s">
        <v>131</v>
      </c>
      <c r="BE207" s="229">
        <f>IF(N207="základní",J207,0)</f>
        <v>0</v>
      </c>
      <c r="BF207" s="229">
        <f>IF(N207="snížená",J207,0)</f>
        <v>0</v>
      </c>
      <c r="BG207" s="229">
        <f>IF(N207="zákl. přenesená",J207,0)</f>
        <v>0</v>
      </c>
      <c r="BH207" s="229">
        <f>IF(N207="sníž. přenesená",J207,0)</f>
        <v>0</v>
      </c>
      <c r="BI207" s="229">
        <f>IF(N207="nulová",J207,0)</f>
        <v>0</v>
      </c>
      <c r="BJ207" s="14" t="s">
        <v>83</v>
      </c>
      <c r="BK207" s="229">
        <f>ROUND(I207*H207,2)</f>
        <v>0</v>
      </c>
      <c r="BL207" s="14" t="s">
        <v>138</v>
      </c>
      <c r="BM207" s="228" t="s">
        <v>450</v>
      </c>
    </row>
    <row r="208" s="2" customFormat="1" ht="21.75" customHeight="1">
      <c r="A208" s="35"/>
      <c r="B208" s="36"/>
      <c r="C208" s="216" t="s">
        <v>451</v>
      </c>
      <c r="D208" s="216" t="s">
        <v>134</v>
      </c>
      <c r="E208" s="217" t="s">
        <v>452</v>
      </c>
      <c r="F208" s="218" t="s">
        <v>453</v>
      </c>
      <c r="G208" s="219" t="s">
        <v>185</v>
      </c>
      <c r="H208" s="220">
        <v>2</v>
      </c>
      <c r="I208" s="221"/>
      <c r="J208" s="222">
        <f>ROUND(I208*H208,2)</f>
        <v>0</v>
      </c>
      <c r="K208" s="223"/>
      <c r="L208" s="41"/>
      <c r="M208" s="224" t="s">
        <v>1</v>
      </c>
      <c r="N208" s="225" t="s">
        <v>40</v>
      </c>
      <c r="O208" s="88"/>
      <c r="P208" s="226">
        <f>O208*H208</f>
        <v>0</v>
      </c>
      <c r="Q208" s="226">
        <v>0.00033</v>
      </c>
      <c r="R208" s="226">
        <f>Q208*H208</f>
        <v>0.00066</v>
      </c>
      <c r="S208" s="226">
        <v>0</v>
      </c>
      <c r="T208" s="227">
        <f>S208*H208</f>
        <v>0</v>
      </c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R208" s="228" t="s">
        <v>138</v>
      </c>
      <c r="AT208" s="228" t="s">
        <v>134</v>
      </c>
      <c r="AU208" s="228" t="s">
        <v>85</v>
      </c>
      <c r="AY208" s="14" t="s">
        <v>131</v>
      </c>
      <c r="BE208" s="229">
        <f>IF(N208="základní",J208,0)</f>
        <v>0</v>
      </c>
      <c r="BF208" s="229">
        <f>IF(N208="snížená",J208,0)</f>
        <v>0</v>
      </c>
      <c r="BG208" s="229">
        <f>IF(N208="zákl. přenesená",J208,0)</f>
        <v>0</v>
      </c>
      <c r="BH208" s="229">
        <f>IF(N208="sníž. přenesená",J208,0)</f>
        <v>0</v>
      </c>
      <c r="BI208" s="229">
        <f>IF(N208="nulová",J208,0)</f>
        <v>0</v>
      </c>
      <c r="BJ208" s="14" t="s">
        <v>83</v>
      </c>
      <c r="BK208" s="229">
        <f>ROUND(I208*H208,2)</f>
        <v>0</v>
      </c>
      <c r="BL208" s="14" t="s">
        <v>138</v>
      </c>
      <c r="BM208" s="228" t="s">
        <v>454</v>
      </c>
    </row>
    <row r="209" s="2" customFormat="1" ht="21.75" customHeight="1">
      <c r="A209" s="35"/>
      <c r="B209" s="36"/>
      <c r="C209" s="216" t="s">
        <v>455</v>
      </c>
      <c r="D209" s="216" t="s">
        <v>134</v>
      </c>
      <c r="E209" s="217" t="s">
        <v>456</v>
      </c>
      <c r="F209" s="218" t="s">
        <v>457</v>
      </c>
      <c r="G209" s="219" t="s">
        <v>185</v>
      </c>
      <c r="H209" s="220">
        <v>1</v>
      </c>
      <c r="I209" s="221"/>
      <c r="J209" s="222">
        <f>ROUND(I209*H209,2)</f>
        <v>0</v>
      </c>
      <c r="K209" s="223"/>
      <c r="L209" s="41"/>
      <c r="M209" s="224" t="s">
        <v>1</v>
      </c>
      <c r="N209" s="225" t="s">
        <v>40</v>
      </c>
      <c r="O209" s="88"/>
      <c r="P209" s="226">
        <f>O209*H209</f>
        <v>0</v>
      </c>
      <c r="Q209" s="226">
        <v>0.00012</v>
      </c>
      <c r="R209" s="226">
        <f>Q209*H209</f>
        <v>0.00012</v>
      </c>
      <c r="S209" s="226">
        <v>0</v>
      </c>
      <c r="T209" s="227">
        <f>S209*H209</f>
        <v>0</v>
      </c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R209" s="228" t="s">
        <v>138</v>
      </c>
      <c r="AT209" s="228" t="s">
        <v>134</v>
      </c>
      <c r="AU209" s="228" t="s">
        <v>85</v>
      </c>
      <c r="AY209" s="14" t="s">
        <v>131</v>
      </c>
      <c r="BE209" s="229">
        <f>IF(N209="základní",J209,0)</f>
        <v>0</v>
      </c>
      <c r="BF209" s="229">
        <f>IF(N209="snížená",J209,0)</f>
        <v>0</v>
      </c>
      <c r="BG209" s="229">
        <f>IF(N209="zákl. přenesená",J209,0)</f>
        <v>0</v>
      </c>
      <c r="BH209" s="229">
        <f>IF(N209="sníž. přenesená",J209,0)</f>
        <v>0</v>
      </c>
      <c r="BI209" s="229">
        <f>IF(N209="nulová",J209,0)</f>
        <v>0</v>
      </c>
      <c r="BJ209" s="14" t="s">
        <v>83</v>
      </c>
      <c r="BK209" s="229">
        <f>ROUND(I209*H209,2)</f>
        <v>0</v>
      </c>
      <c r="BL209" s="14" t="s">
        <v>138</v>
      </c>
      <c r="BM209" s="228" t="s">
        <v>458</v>
      </c>
    </row>
    <row r="210" s="2" customFormat="1" ht="21.75" customHeight="1">
      <c r="A210" s="35"/>
      <c r="B210" s="36"/>
      <c r="C210" s="216" t="s">
        <v>459</v>
      </c>
      <c r="D210" s="216" t="s">
        <v>134</v>
      </c>
      <c r="E210" s="217" t="s">
        <v>460</v>
      </c>
      <c r="F210" s="218" t="s">
        <v>461</v>
      </c>
      <c r="G210" s="219" t="s">
        <v>185</v>
      </c>
      <c r="H210" s="220">
        <v>1</v>
      </c>
      <c r="I210" s="221"/>
      <c r="J210" s="222">
        <f>ROUND(I210*H210,2)</f>
        <v>0</v>
      </c>
      <c r="K210" s="223"/>
      <c r="L210" s="41"/>
      <c r="M210" s="224" t="s">
        <v>1</v>
      </c>
      <c r="N210" s="225" t="s">
        <v>40</v>
      </c>
      <c r="O210" s="88"/>
      <c r="P210" s="226">
        <f>O210*H210</f>
        <v>0</v>
      </c>
      <c r="Q210" s="226">
        <v>0.00035</v>
      </c>
      <c r="R210" s="226">
        <f>Q210*H210</f>
        <v>0.00035</v>
      </c>
      <c r="S210" s="226">
        <v>0</v>
      </c>
      <c r="T210" s="227">
        <f>S210*H210</f>
        <v>0</v>
      </c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R210" s="228" t="s">
        <v>138</v>
      </c>
      <c r="AT210" s="228" t="s">
        <v>134</v>
      </c>
      <c r="AU210" s="228" t="s">
        <v>85</v>
      </c>
      <c r="AY210" s="14" t="s">
        <v>131</v>
      </c>
      <c r="BE210" s="229">
        <f>IF(N210="základní",J210,0)</f>
        <v>0</v>
      </c>
      <c r="BF210" s="229">
        <f>IF(N210="snížená",J210,0)</f>
        <v>0</v>
      </c>
      <c r="BG210" s="229">
        <f>IF(N210="zákl. přenesená",J210,0)</f>
        <v>0</v>
      </c>
      <c r="BH210" s="229">
        <f>IF(N210="sníž. přenesená",J210,0)</f>
        <v>0</v>
      </c>
      <c r="BI210" s="229">
        <f>IF(N210="nulová",J210,0)</f>
        <v>0</v>
      </c>
      <c r="BJ210" s="14" t="s">
        <v>83</v>
      </c>
      <c r="BK210" s="229">
        <f>ROUND(I210*H210,2)</f>
        <v>0</v>
      </c>
      <c r="BL210" s="14" t="s">
        <v>138</v>
      </c>
      <c r="BM210" s="228" t="s">
        <v>462</v>
      </c>
    </row>
    <row r="211" s="2" customFormat="1" ht="55.5" customHeight="1">
      <c r="A211" s="35"/>
      <c r="B211" s="36"/>
      <c r="C211" s="230" t="s">
        <v>463</v>
      </c>
      <c r="D211" s="230" t="s">
        <v>145</v>
      </c>
      <c r="E211" s="231" t="s">
        <v>464</v>
      </c>
      <c r="F211" s="232" t="s">
        <v>465</v>
      </c>
      <c r="G211" s="233" t="s">
        <v>232</v>
      </c>
      <c r="H211" s="234">
        <v>1</v>
      </c>
      <c r="I211" s="235"/>
      <c r="J211" s="236">
        <f>ROUND(I211*H211,2)</f>
        <v>0</v>
      </c>
      <c r="K211" s="237"/>
      <c r="L211" s="238"/>
      <c r="M211" s="239" t="s">
        <v>1</v>
      </c>
      <c r="N211" s="240" t="s">
        <v>40</v>
      </c>
      <c r="O211" s="88"/>
      <c r="P211" s="226">
        <f>O211*H211</f>
        <v>0</v>
      </c>
      <c r="Q211" s="226">
        <v>0</v>
      </c>
      <c r="R211" s="226">
        <f>Q211*H211</f>
        <v>0</v>
      </c>
      <c r="S211" s="226">
        <v>0</v>
      </c>
      <c r="T211" s="227">
        <f>S211*H211</f>
        <v>0</v>
      </c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R211" s="228" t="s">
        <v>148</v>
      </c>
      <c r="AT211" s="228" t="s">
        <v>145</v>
      </c>
      <c r="AU211" s="228" t="s">
        <v>85</v>
      </c>
      <c r="AY211" s="14" t="s">
        <v>131</v>
      </c>
      <c r="BE211" s="229">
        <f>IF(N211="základní",J211,0)</f>
        <v>0</v>
      </c>
      <c r="BF211" s="229">
        <f>IF(N211="snížená",J211,0)</f>
        <v>0</v>
      </c>
      <c r="BG211" s="229">
        <f>IF(N211="zákl. přenesená",J211,0)</f>
        <v>0</v>
      </c>
      <c r="BH211" s="229">
        <f>IF(N211="sníž. přenesená",J211,0)</f>
        <v>0</v>
      </c>
      <c r="BI211" s="229">
        <f>IF(N211="nulová",J211,0)</f>
        <v>0</v>
      </c>
      <c r="BJ211" s="14" t="s">
        <v>83</v>
      </c>
      <c r="BK211" s="229">
        <f>ROUND(I211*H211,2)</f>
        <v>0</v>
      </c>
      <c r="BL211" s="14" t="s">
        <v>138</v>
      </c>
      <c r="BM211" s="228" t="s">
        <v>466</v>
      </c>
    </row>
    <row r="212" s="2" customFormat="1" ht="16.5" customHeight="1">
      <c r="A212" s="35"/>
      <c r="B212" s="36"/>
      <c r="C212" s="230" t="s">
        <v>467</v>
      </c>
      <c r="D212" s="230" t="s">
        <v>145</v>
      </c>
      <c r="E212" s="231" t="s">
        <v>468</v>
      </c>
      <c r="F212" s="232" t="s">
        <v>469</v>
      </c>
      <c r="G212" s="233" t="s">
        <v>185</v>
      </c>
      <c r="H212" s="234">
        <v>1</v>
      </c>
      <c r="I212" s="235"/>
      <c r="J212" s="236">
        <f>ROUND(I212*H212,2)</f>
        <v>0</v>
      </c>
      <c r="K212" s="237"/>
      <c r="L212" s="238"/>
      <c r="M212" s="239" t="s">
        <v>1</v>
      </c>
      <c r="N212" s="240" t="s">
        <v>40</v>
      </c>
      <c r="O212" s="88"/>
      <c r="P212" s="226">
        <f>O212*H212</f>
        <v>0</v>
      </c>
      <c r="Q212" s="226">
        <v>0.0025999999999999999</v>
      </c>
      <c r="R212" s="226">
        <f>Q212*H212</f>
        <v>0.0025999999999999999</v>
      </c>
      <c r="S212" s="226">
        <v>0</v>
      </c>
      <c r="T212" s="227">
        <f>S212*H212</f>
        <v>0</v>
      </c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R212" s="228" t="s">
        <v>148</v>
      </c>
      <c r="AT212" s="228" t="s">
        <v>145</v>
      </c>
      <c r="AU212" s="228" t="s">
        <v>85</v>
      </c>
      <c r="AY212" s="14" t="s">
        <v>131</v>
      </c>
      <c r="BE212" s="229">
        <f>IF(N212="základní",J212,0)</f>
        <v>0</v>
      </c>
      <c r="BF212" s="229">
        <f>IF(N212="snížená",J212,0)</f>
        <v>0</v>
      </c>
      <c r="BG212" s="229">
        <f>IF(N212="zákl. přenesená",J212,0)</f>
        <v>0</v>
      </c>
      <c r="BH212" s="229">
        <f>IF(N212="sníž. přenesená",J212,0)</f>
        <v>0</v>
      </c>
      <c r="BI212" s="229">
        <f>IF(N212="nulová",J212,0)</f>
        <v>0</v>
      </c>
      <c r="BJ212" s="14" t="s">
        <v>83</v>
      </c>
      <c r="BK212" s="229">
        <f>ROUND(I212*H212,2)</f>
        <v>0</v>
      </c>
      <c r="BL212" s="14" t="s">
        <v>138</v>
      </c>
      <c r="BM212" s="228" t="s">
        <v>470</v>
      </c>
    </row>
    <row r="213" s="2" customFormat="1" ht="24.15" customHeight="1">
      <c r="A213" s="35"/>
      <c r="B213" s="36"/>
      <c r="C213" s="230" t="s">
        <v>471</v>
      </c>
      <c r="D213" s="230" t="s">
        <v>145</v>
      </c>
      <c r="E213" s="231" t="s">
        <v>472</v>
      </c>
      <c r="F213" s="232" t="s">
        <v>473</v>
      </c>
      <c r="G213" s="233" t="s">
        <v>185</v>
      </c>
      <c r="H213" s="234">
        <v>1</v>
      </c>
      <c r="I213" s="235"/>
      <c r="J213" s="236">
        <f>ROUND(I213*H213,2)</f>
        <v>0</v>
      </c>
      <c r="K213" s="237"/>
      <c r="L213" s="238"/>
      <c r="M213" s="239" t="s">
        <v>1</v>
      </c>
      <c r="N213" s="240" t="s">
        <v>40</v>
      </c>
      <c r="O213" s="88"/>
      <c r="P213" s="226">
        <f>O213*H213</f>
        <v>0</v>
      </c>
      <c r="Q213" s="226">
        <v>0.00072000000000000005</v>
      </c>
      <c r="R213" s="226">
        <f>Q213*H213</f>
        <v>0.00072000000000000005</v>
      </c>
      <c r="S213" s="226">
        <v>0</v>
      </c>
      <c r="T213" s="227">
        <f>S213*H213</f>
        <v>0</v>
      </c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R213" s="228" t="s">
        <v>148</v>
      </c>
      <c r="AT213" s="228" t="s">
        <v>145</v>
      </c>
      <c r="AU213" s="228" t="s">
        <v>85</v>
      </c>
      <c r="AY213" s="14" t="s">
        <v>131</v>
      </c>
      <c r="BE213" s="229">
        <f>IF(N213="základní",J213,0)</f>
        <v>0</v>
      </c>
      <c r="BF213" s="229">
        <f>IF(N213="snížená",J213,0)</f>
        <v>0</v>
      </c>
      <c r="BG213" s="229">
        <f>IF(N213="zákl. přenesená",J213,0)</f>
        <v>0</v>
      </c>
      <c r="BH213" s="229">
        <f>IF(N213="sníž. přenesená",J213,0)</f>
        <v>0</v>
      </c>
      <c r="BI213" s="229">
        <f>IF(N213="nulová",J213,0)</f>
        <v>0</v>
      </c>
      <c r="BJ213" s="14" t="s">
        <v>83</v>
      </c>
      <c r="BK213" s="229">
        <f>ROUND(I213*H213,2)</f>
        <v>0</v>
      </c>
      <c r="BL213" s="14" t="s">
        <v>138</v>
      </c>
      <c r="BM213" s="228" t="s">
        <v>474</v>
      </c>
    </row>
    <row r="214" s="2" customFormat="1" ht="24.15" customHeight="1">
      <c r="A214" s="35"/>
      <c r="B214" s="36"/>
      <c r="C214" s="230" t="s">
        <v>475</v>
      </c>
      <c r="D214" s="230" t="s">
        <v>145</v>
      </c>
      <c r="E214" s="231" t="s">
        <v>476</v>
      </c>
      <c r="F214" s="232" t="s">
        <v>477</v>
      </c>
      <c r="G214" s="233" t="s">
        <v>185</v>
      </c>
      <c r="H214" s="234">
        <v>1</v>
      </c>
      <c r="I214" s="235"/>
      <c r="J214" s="236">
        <f>ROUND(I214*H214,2)</f>
        <v>0</v>
      </c>
      <c r="K214" s="237"/>
      <c r="L214" s="238"/>
      <c r="M214" s="239" t="s">
        <v>1</v>
      </c>
      <c r="N214" s="240" t="s">
        <v>40</v>
      </c>
      <c r="O214" s="88"/>
      <c r="P214" s="226">
        <f>O214*H214</f>
        <v>0</v>
      </c>
      <c r="Q214" s="226">
        <v>0.0022399999999999998</v>
      </c>
      <c r="R214" s="226">
        <f>Q214*H214</f>
        <v>0.0022399999999999998</v>
      </c>
      <c r="S214" s="226">
        <v>0</v>
      </c>
      <c r="T214" s="227">
        <f>S214*H214</f>
        <v>0</v>
      </c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R214" s="228" t="s">
        <v>148</v>
      </c>
      <c r="AT214" s="228" t="s">
        <v>145</v>
      </c>
      <c r="AU214" s="228" t="s">
        <v>85</v>
      </c>
      <c r="AY214" s="14" t="s">
        <v>131</v>
      </c>
      <c r="BE214" s="229">
        <f>IF(N214="základní",J214,0)</f>
        <v>0</v>
      </c>
      <c r="BF214" s="229">
        <f>IF(N214="snížená",J214,0)</f>
        <v>0</v>
      </c>
      <c r="BG214" s="229">
        <f>IF(N214="zákl. přenesená",J214,0)</f>
        <v>0</v>
      </c>
      <c r="BH214" s="229">
        <f>IF(N214="sníž. přenesená",J214,0)</f>
        <v>0</v>
      </c>
      <c r="BI214" s="229">
        <f>IF(N214="nulová",J214,0)</f>
        <v>0</v>
      </c>
      <c r="BJ214" s="14" t="s">
        <v>83</v>
      </c>
      <c r="BK214" s="229">
        <f>ROUND(I214*H214,2)</f>
        <v>0</v>
      </c>
      <c r="BL214" s="14" t="s">
        <v>138</v>
      </c>
      <c r="BM214" s="228" t="s">
        <v>478</v>
      </c>
    </row>
    <row r="215" s="2" customFormat="1" ht="24.15" customHeight="1">
      <c r="A215" s="35"/>
      <c r="B215" s="36"/>
      <c r="C215" s="230" t="s">
        <v>479</v>
      </c>
      <c r="D215" s="230" t="s">
        <v>145</v>
      </c>
      <c r="E215" s="231" t="s">
        <v>480</v>
      </c>
      <c r="F215" s="232" t="s">
        <v>481</v>
      </c>
      <c r="G215" s="233" t="s">
        <v>185</v>
      </c>
      <c r="H215" s="234">
        <v>1</v>
      </c>
      <c r="I215" s="235"/>
      <c r="J215" s="236">
        <f>ROUND(I215*H215,2)</f>
        <v>0</v>
      </c>
      <c r="K215" s="237"/>
      <c r="L215" s="238"/>
      <c r="M215" s="239" t="s">
        <v>1</v>
      </c>
      <c r="N215" s="240" t="s">
        <v>40</v>
      </c>
      <c r="O215" s="88"/>
      <c r="P215" s="226">
        <f>O215*H215</f>
        <v>0</v>
      </c>
      <c r="Q215" s="226">
        <v>0.0011299999999999999</v>
      </c>
      <c r="R215" s="226">
        <f>Q215*H215</f>
        <v>0.0011299999999999999</v>
      </c>
      <c r="S215" s="226">
        <v>0</v>
      </c>
      <c r="T215" s="227">
        <f>S215*H215</f>
        <v>0</v>
      </c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R215" s="228" t="s">
        <v>148</v>
      </c>
      <c r="AT215" s="228" t="s">
        <v>145</v>
      </c>
      <c r="AU215" s="228" t="s">
        <v>85</v>
      </c>
      <c r="AY215" s="14" t="s">
        <v>131</v>
      </c>
      <c r="BE215" s="229">
        <f>IF(N215="základní",J215,0)</f>
        <v>0</v>
      </c>
      <c r="BF215" s="229">
        <f>IF(N215="snížená",J215,0)</f>
        <v>0</v>
      </c>
      <c r="BG215" s="229">
        <f>IF(N215="zákl. přenesená",J215,0)</f>
        <v>0</v>
      </c>
      <c r="BH215" s="229">
        <f>IF(N215="sníž. přenesená",J215,0)</f>
        <v>0</v>
      </c>
      <c r="BI215" s="229">
        <f>IF(N215="nulová",J215,0)</f>
        <v>0</v>
      </c>
      <c r="BJ215" s="14" t="s">
        <v>83</v>
      </c>
      <c r="BK215" s="229">
        <f>ROUND(I215*H215,2)</f>
        <v>0</v>
      </c>
      <c r="BL215" s="14" t="s">
        <v>138</v>
      </c>
      <c r="BM215" s="228" t="s">
        <v>482</v>
      </c>
    </row>
    <row r="216" s="2" customFormat="1" ht="24.15" customHeight="1">
      <c r="A216" s="35"/>
      <c r="B216" s="36"/>
      <c r="C216" s="230" t="s">
        <v>483</v>
      </c>
      <c r="D216" s="230" t="s">
        <v>145</v>
      </c>
      <c r="E216" s="231" t="s">
        <v>484</v>
      </c>
      <c r="F216" s="232" t="s">
        <v>481</v>
      </c>
      <c r="G216" s="233" t="s">
        <v>185</v>
      </c>
      <c r="H216" s="234">
        <v>1</v>
      </c>
      <c r="I216" s="235"/>
      <c r="J216" s="236">
        <f>ROUND(I216*H216,2)</f>
        <v>0</v>
      </c>
      <c r="K216" s="237"/>
      <c r="L216" s="238"/>
      <c r="M216" s="239" t="s">
        <v>1</v>
      </c>
      <c r="N216" s="240" t="s">
        <v>40</v>
      </c>
      <c r="O216" s="88"/>
      <c r="P216" s="226">
        <f>O216*H216</f>
        <v>0</v>
      </c>
      <c r="Q216" s="226">
        <v>0.0011299999999999999</v>
      </c>
      <c r="R216" s="226">
        <f>Q216*H216</f>
        <v>0.0011299999999999999</v>
      </c>
      <c r="S216" s="226">
        <v>0</v>
      </c>
      <c r="T216" s="227">
        <f>S216*H216</f>
        <v>0</v>
      </c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R216" s="228" t="s">
        <v>148</v>
      </c>
      <c r="AT216" s="228" t="s">
        <v>145</v>
      </c>
      <c r="AU216" s="228" t="s">
        <v>85</v>
      </c>
      <c r="AY216" s="14" t="s">
        <v>131</v>
      </c>
      <c r="BE216" s="229">
        <f>IF(N216="základní",J216,0)</f>
        <v>0</v>
      </c>
      <c r="BF216" s="229">
        <f>IF(N216="snížená",J216,0)</f>
        <v>0</v>
      </c>
      <c r="BG216" s="229">
        <f>IF(N216="zákl. přenesená",J216,0)</f>
        <v>0</v>
      </c>
      <c r="BH216" s="229">
        <f>IF(N216="sníž. přenesená",J216,0)</f>
        <v>0</v>
      </c>
      <c r="BI216" s="229">
        <f>IF(N216="nulová",J216,0)</f>
        <v>0</v>
      </c>
      <c r="BJ216" s="14" t="s">
        <v>83</v>
      </c>
      <c r="BK216" s="229">
        <f>ROUND(I216*H216,2)</f>
        <v>0</v>
      </c>
      <c r="BL216" s="14" t="s">
        <v>138</v>
      </c>
      <c r="BM216" s="228" t="s">
        <v>485</v>
      </c>
    </row>
    <row r="217" s="2" customFormat="1" ht="24.15" customHeight="1">
      <c r="A217" s="35"/>
      <c r="B217" s="36"/>
      <c r="C217" s="216" t="s">
        <v>486</v>
      </c>
      <c r="D217" s="216" t="s">
        <v>134</v>
      </c>
      <c r="E217" s="217" t="s">
        <v>487</v>
      </c>
      <c r="F217" s="218" t="s">
        <v>488</v>
      </c>
      <c r="G217" s="219" t="s">
        <v>185</v>
      </c>
      <c r="H217" s="220">
        <v>4</v>
      </c>
      <c r="I217" s="221"/>
      <c r="J217" s="222">
        <f>ROUND(I217*H217,2)</f>
        <v>0</v>
      </c>
      <c r="K217" s="223"/>
      <c r="L217" s="41"/>
      <c r="M217" s="224" t="s">
        <v>1</v>
      </c>
      <c r="N217" s="225" t="s">
        <v>40</v>
      </c>
      <c r="O217" s="88"/>
      <c r="P217" s="226">
        <f>O217*H217</f>
        <v>0</v>
      </c>
      <c r="Q217" s="226">
        <v>0.00027</v>
      </c>
      <c r="R217" s="226">
        <f>Q217*H217</f>
        <v>0.00108</v>
      </c>
      <c r="S217" s="226">
        <v>0</v>
      </c>
      <c r="T217" s="227">
        <f>S217*H217</f>
        <v>0</v>
      </c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R217" s="228" t="s">
        <v>138</v>
      </c>
      <c r="AT217" s="228" t="s">
        <v>134</v>
      </c>
      <c r="AU217" s="228" t="s">
        <v>85</v>
      </c>
      <c r="AY217" s="14" t="s">
        <v>131</v>
      </c>
      <c r="BE217" s="229">
        <f>IF(N217="základní",J217,0)</f>
        <v>0</v>
      </c>
      <c r="BF217" s="229">
        <f>IF(N217="snížená",J217,0)</f>
        <v>0</v>
      </c>
      <c r="BG217" s="229">
        <f>IF(N217="zákl. přenesená",J217,0)</f>
        <v>0</v>
      </c>
      <c r="BH217" s="229">
        <f>IF(N217="sníž. přenesená",J217,0)</f>
        <v>0</v>
      </c>
      <c r="BI217" s="229">
        <f>IF(N217="nulová",J217,0)</f>
        <v>0</v>
      </c>
      <c r="BJ217" s="14" t="s">
        <v>83</v>
      </c>
      <c r="BK217" s="229">
        <f>ROUND(I217*H217,2)</f>
        <v>0</v>
      </c>
      <c r="BL217" s="14" t="s">
        <v>138</v>
      </c>
      <c r="BM217" s="228" t="s">
        <v>489</v>
      </c>
    </row>
    <row r="218" s="2" customFormat="1" ht="24.15" customHeight="1">
      <c r="A218" s="35"/>
      <c r="B218" s="36"/>
      <c r="C218" s="216" t="s">
        <v>490</v>
      </c>
      <c r="D218" s="216" t="s">
        <v>134</v>
      </c>
      <c r="E218" s="217" t="s">
        <v>491</v>
      </c>
      <c r="F218" s="218" t="s">
        <v>492</v>
      </c>
      <c r="G218" s="219" t="s">
        <v>185</v>
      </c>
      <c r="H218" s="220">
        <v>1</v>
      </c>
      <c r="I218" s="221"/>
      <c r="J218" s="222">
        <f>ROUND(I218*H218,2)</f>
        <v>0</v>
      </c>
      <c r="K218" s="223"/>
      <c r="L218" s="41"/>
      <c r="M218" s="224" t="s">
        <v>1</v>
      </c>
      <c r="N218" s="225" t="s">
        <v>40</v>
      </c>
      <c r="O218" s="88"/>
      <c r="P218" s="226">
        <f>O218*H218</f>
        <v>0</v>
      </c>
      <c r="Q218" s="226">
        <v>0.00018000000000000001</v>
      </c>
      <c r="R218" s="226">
        <f>Q218*H218</f>
        <v>0.00018000000000000001</v>
      </c>
      <c r="S218" s="226">
        <v>0</v>
      </c>
      <c r="T218" s="227">
        <f>S218*H218</f>
        <v>0</v>
      </c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R218" s="228" t="s">
        <v>138</v>
      </c>
      <c r="AT218" s="228" t="s">
        <v>134</v>
      </c>
      <c r="AU218" s="228" t="s">
        <v>85</v>
      </c>
      <c r="AY218" s="14" t="s">
        <v>131</v>
      </c>
      <c r="BE218" s="229">
        <f>IF(N218="základní",J218,0)</f>
        <v>0</v>
      </c>
      <c r="BF218" s="229">
        <f>IF(N218="snížená",J218,0)</f>
        <v>0</v>
      </c>
      <c r="BG218" s="229">
        <f>IF(N218="zákl. přenesená",J218,0)</f>
        <v>0</v>
      </c>
      <c r="BH218" s="229">
        <f>IF(N218="sníž. přenesená",J218,0)</f>
        <v>0</v>
      </c>
      <c r="BI218" s="229">
        <f>IF(N218="nulová",J218,0)</f>
        <v>0</v>
      </c>
      <c r="BJ218" s="14" t="s">
        <v>83</v>
      </c>
      <c r="BK218" s="229">
        <f>ROUND(I218*H218,2)</f>
        <v>0</v>
      </c>
      <c r="BL218" s="14" t="s">
        <v>138</v>
      </c>
      <c r="BM218" s="228" t="s">
        <v>493</v>
      </c>
    </row>
    <row r="219" s="2" customFormat="1" ht="24.15" customHeight="1">
      <c r="A219" s="35"/>
      <c r="B219" s="36"/>
      <c r="C219" s="216" t="s">
        <v>494</v>
      </c>
      <c r="D219" s="216" t="s">
        <v>134</v>
      </c>
      <c r="E219" s="217" t="s">
        <v>495</v>
      </c>
      <c r="F219" s="218" t="s">
        <v>496</v>
      </c>
      <c r="G219" s="219" t="s">
        <v>185</v>
      </c>
      <c r="H219" s="220">
        <v>1</v>
      </c>
      <c r="I219" s="221"/>
      <c r="J219" s="222">
        <f>ROUND(I219*H219,2)</f>
        <v>0</v>
      </c>
      <c r="K219" s="223"/>
      <c r="L219" s="41"/>
      <c r="M219" s="224" t="s">
        <v>1</v>
      </c>
      <c r="N219" s="225" t="s">
        <v>40</v>
      </c>
      <c r="O219" s="88"/>
      <c r="P219" s="226">
        <f>O219*H219</f>
        <v>0</v>
      </c>
      <c r="Q219" s="226">
        <v>0.00052999999999999998</v>
      </c>
      <c r="R219" s="226">
        <f>Q219*H219</f>
        <v>0.00052999999999999998</v>
      </c>
      <c r="S219" s="226">
        <v>0</v>
      </c>
      <c r="T219" s="227">
        <f>S219*H219</f>
        <v>0</v>
      </c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R219" s="228" t="s">
        <v>138</v>
      </c>
      <c r="AT219" s="228" t="s">
        <v>134</v>
      </c>
      <c r="AU219" s="228" t="s">
        <v>85</v>
      </c>
      <c r="AY219" s="14" t="s">
        <v>131</v>
      </c>
      <c r="BE219" s="229">
        <f>IF(N219="základní",J219,0)</f>
        <v>0</v>
      </c>
      <c r="BF219" s="229">
        <f>IF(N219="snížená",J219,0)</f>
        <v>0</v>
      </c>
      <c r="BG219" s="229">
        <f>IF(N219="zákl. přenesená",J219,0)</f>
        <v>0</v>
      </c>
      <c r="BH219" s="229">
        <f>IF(N219="sníž. přenesená",J219,0)</f>
        <v>0</v>
      </c>
      <c r="BI219" s="229">
        <f>IF(N219="nulová",J219,0)</f>
        <v>0</v>
      </c>
      <c r="BJ219" s="14" t="s">
        <v>83</v>
      </c>
      <c r="BK219" s="229">
        <f>ROUND(I219*H219,2)</f>
        <v>0</v>
      </c>
      <c r="BL219" s="14" t="s">
        <v>138</v>
      </c>
      <c r="BM219" s="228" t="s">
        <v>497</v>
      </c>
    </row>
    <row r="220" s="2" customFormat="1" ht="24.15" customHeight="1">
      <c r="A220" s="35"/>
      <c r="B220" s="36"/>
      <c r="C220" s="216" t="s">
        <v>498</v>
      </c>
      <c r="D220" s="216" t="s">
        <v>134</v>
      </c>
      <c r="E220" s="217" t="s">
        <v>499</v>
      </c>
      <c r="F220" s="218" t="s">
        <v>500</v>
      </c>
      <c r="G220" s="219" t="s">
        <v>185</v>
      </c>
      <c r="H220" s="220">
        <v>3</v>
      </c>
      <c r="I220" s="221"/>
      <c r="J220" s="222">
        <f>ROUND(I220*H220,2)</f>
        <v>0</v>
      </c>
      <c r="K220" s="223"/>
      <c r="L220" s="41"/>
      <c r="M220" s="224" t="s">
        <v>1</v>
      </c>
      <c r="N220" s="225" t="s">
        <v>40</v>
      </c>
      <c r="O220" s="88"/>
      <c r="P220" s="226">
        <f>O220*H220</f>
        <v>0</v>
      </c>
      <c r="Q220" s="226">
        <v>0.00058</v>
      </c>
      <c r="R220" s="226">
        <f>Q220*H220</f>
        <v>0.00174</v>
      </c>
      <c r="S220" s="226">
        <v>0</v>
      </c>
      <c r="T220" s="227">
        <f>S220*H220</f>
        <v>0</v>
      </c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R220" s="228" t="s">
        <v>138</v>
      </c>
      <c r="AT220" s="228" t="s">
        <v>134</v>
      </c>
      <c r="AU220" s="228" t="s">
        <v>85</v>
      </c>
      <c r="AY220" s="14" t="s">
        <v>131</v>
      </c>
      <c r="BE220" s="229">
        <f>IF(N220="základní",J220,0)</f>
        <v>0</v>
      </c>
      <c r="BF220" s="229">
        <f>IF(N220="snížená",J220,0)</f>
        <v>0</v>
      </c>
      <c r="BG220" s="229">
        <f>IF(N220="zákl. přenesená",J220,0)</f>
        <v>0</v>
      </c>
      <c r="BH220" s="229">
        <f>IF(N220="sníž. přenesená",J220,0)</f>
        <v>0</v>
      </c>
      <c r="BI220" s="229">
        <f>IF(N220="nulová",J220,0)</f>
        <v>0</v>
      </c>
      <c r="BJ220" s="14" t="s">
        <v>83</v>
      </c>
      <c r="BK220" s="229">
        <f>ROUND(I220*H220,2)</f>
        <v>0</v>
      </c>
      <c r="BL220" s="14" t="s">
        <v>138</v>
      </c>
      <c r="BM220" s="228" t="s">
        <v>501</v>
      </c>
    </row>
    <row r="221" s="2" customFormat="1" ht="24.15" customHeight="1">
      <c r="A221" s="35"/>
      <c r="B221" s="36"/>
      <c r="C221" s="216" t="s">
        <v>502</v>
      </c>
      <c r="D221" s="216" t="s">
        <v>134</v>
      </c>
      <c r="E221" s="217" t="s">
        <v>503</v>
      </c>
      <c r="F221" s="218" t="s">
        <v>504</v>
      </c>
      <c r="G221" s="219" t="s">
        <v>185</v>
      </c>
      <c r="H221" s="220">
        <v>1</v>
      </c>
      <c r="I221" s="221"/>
      <c r="J221" s="222">
        <f>ROUND(I221*H221,2)</f>
        <v>0</v>
      </c>
      <c r="K221" s="223"/>
      <c r="L221" s="41"/>
      <c r="M221" s="224" t="s">
        <v>1</v>
      </c>
      <c r="N221" s="225" t="s">
        <v>40</v>
      </c>
      <c r="O221" s="88"/>
      <c r="P221" s="226">
        <f>O221*H221</f>
        <v>0</v>
      </c>
      <c r="Q221" s="226">
        <v>0.00069999999999999999</v>
      </c>
      <c r="R221" s="226">
        <f>Q221*H221</f>
        <v>0.00069999999999999999</v>
      </c>
      <c r="S221" s="226">
        <v>0</v>
      </c>
      <c r="T221" s="227">
        <f>S221*H221</f>
        <v>0</v>
      </c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R221" s="228" t="s">
        <v>138</v>
      </c>
      <c r="AT221" s="228" t="s">
        <v>134</v>
      </c>
      <c r="AU221" s="228" t="s">
        <v>85</v>
      </c>
      <c r="AY221" s="14" t="s">
        <v>131</v>
      </c>
      <c r="BE221" s="229">
        <f>IF(N221="základní",J221,0)</f>
        <v>0</v>
      </c>
      <c r="BF221" s="229">
        <f>IF(N221="snížená",J221,0)</f>
        <v>0</v>
      </c>
      <c r="BG221" s="229">
        <f>IF(N221="zákl. přenesená",J221,0)</f>
        <v>0</v>
      </c>
      <c r="BH221" s="229">
        <f>IF(N221="sníž. přenesená",J221,0)</f>
        <v>0</v>
      </c>
      <c r="BI221" s="229">
        <f>IF(N221="nulová",J221,0)</f>
        <v>0</v>
      </c>
      <c r="BJ221" s="14" t="s">
        <v>83</v>
      </c>
      <c r="BK221" s="229">
        <f>ROUND(I221*H221,2)</f>
        <v>0</v>
      </c>
      <c r="BL221" s="14" t="s">
        <v>138</v>
      </c>
      <c r="BM221" s="228" t="s">
        <v>505</v>
      </c>
    </row>
    <row r="222" s="2" customFormat="1" ht="24.15" customHeight="1">
      <c r="A222" s="35"/>
      <c r="B222" s="36"/>
      <c r="C222" s="216" t="s">
        <v>506</v>
      </c>
      <c r="D222" s="216" t="s">
        <v>134</v>
      </c>
      <c r="E222" s="217" t="s">
        <v>507</v>
      </c>
      <c r="F222" s="218" t="s">
        <v>508</v>
      </c>
      <c r="G222" s="219" t="s">
        <v>185</v>
      </c>
      <c r="H222" s="220">
        <v>14</v>
      </c>
      <c r="I222" s="221"/>
      <c r="J222" s="222">
        <f>ROUND(I222*H222,2)</f>
        <v>0</v>
      </c>
      <c r="K222" s="223"/>
      <c r="L222" s="41"/>
      <c r="M222" s="224" t="s">
        <v>1</v>
      </c>
      <c r="N222" s="225" t="s">
        <v>40</v>
      </c>
      <c r="O222" s="88"/>
      <c r="P222" s="226">
        <f>O222*H222</f>
        <v>0</v>
      </c>
      <c r="Q222" s="226">
        <v>0.00022000000000000001</v>
      </c>
      <c r="R222" s="226">
        <f>Q222*H222</f>
        <v>0.0030800000000000003</v>
      </c>
      <c r="S222" s="226">
        <v>0</v>
      </c>
      <c r="T222" s="227">
        <f>S222*H222</f>
        <v>0</v>
      </c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R222" s="228" t="s">
        <v>138</v>
      </c>
      <c r="AT222" s="228" t="s">
        <v>134</v>
      </c>
      <c r="AU222" s="228" t="s">
        <v>85</v>
      </c>
      <c r="AY222" s="14" t="s">
        <v>131</v>
      </c>
      <c r="BE222" s="229">
        <f>IF(N222="základní",J222,0)</f>
        <v>0</v>
      </c>
      <c r="BF222" s="229">
        <f>IF(N222="snížená",J222,0)</f>
        <v>0</v>
      </c>
      <c r="BG222" s="229">
        <f>IF(N222="zákl. přenesená",J222,0)</f>
        <v>0</v>
      </c>
      <c r="BH222" s="229">
        <f>IF(N222="sníž. přenesená",J222,0)</f>
        <v>0</v>
      </c>
      <c r="BI222" s="229">
        <f>IF(N222="nulová",J222,0)</f>
        <v>0</v>
      </c>
      <c r="BJ222" s="14" t="s">
        <v>83</v>
      </c>
      <c r="BK222" s="229">
        <f>ROUND(I222*H222,2)</f>
        <v>0</v>
      </c>
      <c r="BL222" s="14" t="s">
        <v>138</v>
      </c>
      <c r="BM222" s="228" t="s">
        <v>509</v>
      </c>
    </row>
    <row r="223" s="2" customFormat="1" ht="33" customHeight="1">
      <c r="A223" s="35"/>
      <c r="B223" s="36"/>
      <c r="C223" s="216" t="s">
        <v>510</v>
      </c>
      <c r="D223" s="216" t="s">
        <v>134</v>
      </c>
      <c r="E223" s="217" t="s">
        <v>511</v>
      </c>
      <c r="F223" s="218" t="s">
        <v>512</v>
      </c>
      <c r="G223" s="219" t="s">
        <v>185</v>
      </c>
      <c r="H223" s="220">
        <v>1</v>
      </c>
      <c r="I223" s="221"/>
      <c r="J223" s="222">
        <f>ROUND(I223*H223,2)</f>
        <v>0</v>
      </c>
      <c r="K223" s="223"/>
      <c r="L223" s="41"/>
      <c r="M223" s="224" t="s">
        <v>1</v>
      </c>
      <c r="N223" s="225" t="s">
        <v>40</v>
      </c>
      <c r="O223" s="88"/>
      <c r="P223" s="226">
        <f>O223*H223</f>
        <v>0</v>
      </c>
      <c r="Q223" s="226">
        <v>0.00033</v>
      </c>
      <c r="R223" s="226">
        <f>Q223*H223</f>
        <v>0.00033</v>
      </c>
      <c r="S223" s="226">
        <v>0</v>
      </c>
      <c r="T223" s="227">
        <f>S223*H223</f>
        <v>0</v>
      </c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R223" s="228" t="s">
        <v>138</v>
      </c>
      <c r="AT223" s="228" t="s">
        <v>134</v>
      </c>
      <c r="AU223" s="228" t="s">
        <v>85</v>
      </c>
      <c r="AY223" s="14" t="s">
        <v>131</v>
      </c>
      <c r="BE223" s="229">
        <f>IF(N223="základní",J223,0)</f>
        <v>0</v>
      </c>
      <c r="BF223" s="229">
        <f>IF(N223="snížená",J223,0)</f>
        <v>0</v>
      </c>
      <c r="BG223" s="229">
        <f>IF(N223="zákl. přenesená",J223,0)</f>
        <v>0</v>
      </c>
      <c r="BH223" s="229">
        <f>IF(N223="sníž. přenesená",J223,0)</f>
        <v>0</v>
      </c>
      <c r="BI223" s="229">
        <f>IF(N223="nulová",J223,0)</f>
        <v>0</v>
      </c>
      <c r="BJ223" s="14" t="s">
        <v>83</v>
      </c>
      <c r="BK223" s="229">
        <f>ROUND(I223*H223,2)</f>
        <v>0</v>
      </c>
      <c r="BL223" s="14" t="s">
        <v>138</v>
      </c>
      <c r="BM223" s="228" t="s">
        <v>513</v>
      </c>
    </row>
    <row r="224" s="2" customFormat="1" ht="33" customHeight="1">
      <c r="A224" s="35"/>
      <c r="B224" s="36"/>
      <c r="C224" s="216" t="s">
        <v>514</v>
      </c>
      <c r="D224" s="216" t="s">
        <v>134</v>
      </c>
      <c r="E224" s="217" t="s">
        <v>515</v>
      </c>
      <c r="F224" s="218" t="s">
        <v>516</v>
      </c>
      <c r="G224" s="219" t="s">
        <v>185</v>
      </c>
      <c r="H224" s="220">
        <v>1</v>
      </c>
      <c r="I224" s="221"/>
      <c r="J224" s="222">
        <f>ROUND(I224*H224,2)</f>
        <v>0</v>
      </c>
      <c r="K224" s="223"/>
      <c r="L224" s="41"/>
      <c r="M224" s="224" t="s">
        <v>1</v>
      </c>
      <c r="N224" s="225" t="s">
        <v>40</v>
      </c>
      <c r="O224" s="88"/>
      <c r="P224" s="226">
        <f>O224*H224</f>
        <v>0</v>
      </c>
      <c r="Q224" s="226">
        <v>0.00056999999999999998</v>
      </c>
      <c r="R224" s="226">
        <f>Q224*H224</f>
        <v>0.00056999999999999998</v>
      </c>
      <c r="S224" s="226">
        <v>0</v>
      </c>
      <c r="T224" s="227">
        <f>S224*H224</f>
        <v>0</v>
      </c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R224" s="228" t="s">
        <v>138</v>
      </c>
      <c r="AT224" s="228" t="s">
        <v>134</v>
      </c>
      <c r="AU224" s="228" t="s">
        <v>85</v>
      </c>
      <c r="AY224" s="14" t="s">
        <v>131</v>
      </c>
      <c r="BE224" s="229">
        <f>IF(N224="základní",J224,0)</f>
        <v>0</v>
      </c>
      <c r="BF224" s="229">
        <f>IF(N224="snížená",J224,0)</f>
        <v>0</v>
      </c>
      <c r="BG224" s="229">
        <f>IF(N224="zákl. přenesená",J224,0)</f>
        <v>0</v>
      </c>
      <c r="BH224" s="229">
        <f>IF(N224="sníž. přenesená",J224,0)</f>
        <v>0</v>
      </c>
      <c r="BI224" s="229">
        <f>IF(N224="nulová",J224,0)</f>
        <v>0</v>
      </c>
      <c r="BJ224" s="14" t="s">
        <v>83</v>
      </c>
      <c r="BK224" s="229">
        <f>ROUND(I224*H224,2)</f>
        <v>0</v>
      </c>
      <c r="BL224" s="14" t="s">
        <v>138</v>
      </c>
      <c r="BM224" s="228" t="s">
        <v>517</v>
      </c>
    </row>
    <row r="225" s="2" customFormat="1" ht="33" customHeight="1">
      <c r="A225" s="35"/>
      <c r="B225" s="36"/>
      <c r="C225" s="216" t="s">
        <v>518</v>
      </c>
      <c r="D225" s="216" t="s">
        <v>134</v>
      </c>
      <c r="E225" s="217" t="s">
        <v>519</v>
      </c>
      <c r="F225" s="218" t="s">
        <v>520</v>
      </c>
      <c r="G225" s="219" t="s">
        <v>185</v>
      </c>
      <c r="H225" s="220">
        <v>1</v>
      </c>
      <c r="I225" s="221"/>
      <c r="J225" s="222">
        <f>ROUND(I225*H225,2)</f>
        <v>0</v>
      </c>
      <c r="K225" s="223"/>
      <c r="L225" s="41"/>
      <c r="M225" s="224" t="s">
        <v>1</v>
      </c>
      <c r="N225" s="225" t="s">
        <v>40</v>
      </c>
      <c r="O225" s="88"/>
      <c r="P225" s="226">
        <f>O225*H225</f>
        <v>0</v>
      </c>
      <c r="Q225" s="226">
        <v>0.00173</v>
      </c>
      <c r="R225" s="226">
        <f>Q225*H225</f>
        <v>0.00173</v>
      </c>
      <c r="S225" s="226">
        <v>0</v>
      </c>
      <c r="T225" s="227">
        <f>S225*H225</f>
        <v>0</v>
      </c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R225" s="228" t="s">
        <v>138</v>
      </c>
      <c r="AT225" s="228" t="s">
        <v>134</v>
      </c>
      <c r="AU225" s="228" t="s">
        <v>85</v>
      </c>
      <c r="AY225" s="14" t="s">
        <v>131</v>
      </c>
      <c r="BE225" s="229">
        <f>IF(N225="základní",J225,0)</f>
        <v>0</v>
      </c>
      <c r="BF225" s="229">
        <f>IF(N225="snížená",J225,0)</f>
        <v>0</v>
      </c>
      <c r="BG225" s="229">
        <f>IF(N225="zákl. přenesená",J225,0)</f>
        <v>0</v>
      </c>
      <c r="BH225" s="229">
        <f>IF(N225="sníž. přenesená",J225,0)</f>
        <v>0</v>
      </c>
      <c r="BI225" s="229">
        <f>IF(N225="nulová",J225,0)</f>
        <v>0</v>
      </c>
      <c r="BJ225" s="14" t="s">
        <v>83</v>
      </c>
      <c r="BK225" s="229">
        <f>ROUND(I225*H225,2)</f>
        <v>0</v>
      </c>
      <c r="BL225" s="14" t="s">
        <v>138</v>
      </c>
      <c r="BM225" s="228" t="s">
        <v>521</v>
      </c>
    </row>
    <row r="226" s="2" customFormat="1" ht="24.15" customHeight="1">
      <c r="A226" s="35"/>
      <c r="B226" s="36"/>
      <c r="C226" s="216" t="s">
        <v>522</v>
      </c>
      <c r="D226" s="216" t="s">
        <v>134</v>
      </c>
      <c r="E226" s="217" t="s">
        <v>523</v>
      </c>
      <c r="F226" s="218" t="s">
        <v>524</v>
      </c>
      <c r="G226" s="219" t="s">
        <v>185</v>
      </c>
      <c r="H226" s="220">
        <v>10</v>
      </c>
      <c r="I226" s="221"/>
      <c r="J226" s="222">
        <f>ROUND(I226*H226,2)</f>
        <v>0</v>
      </c>
      <c r="K226" s="223"/>
      <c r="L226" s="41"/>
      <c r="M226" s="224" t="s">
        <v>1</v>
      </c>
      <c r="N226" s="225" t="s">
        <v>40</v>
      </c>
      <c r="O226" s="88"/>
      <c r="P226" s="226">
        <f>O226*H226</f>
        <v>0</v>
      </c>
      <c r="Q226" s="226">
        <v>0.00050000000000000001</v>
      </c>
      <c r="R226" s="226">
        <f>Q226*H226</f>
        <v>0.0050000000000000001</v>
      </c>
      <c r="S226" s="226">
        <v>0</v>
      </c>
      <c r="T226" s="227">
        <f>S226*H226</f>
        <v>0</v>
      </c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R226" s="228" t="s">
        <v>138</v>
      </c>
      <c r="AT226" s="228" t="s">
        <v>134</v>
      </c>
      <c r="AU226" s="228" t="s">
        <v>85</v>
      </c>
      <c r="AY226" s="14" t="s">
        <v>131</v>
      </c>
      <c r="BE226" s="229">
        <f>IF(N226="základní",J226,0)</f>
        <v>0</v>
      </c>
      <c r="BF226" s="229">
        <f>IF(N226="snížená",J226,0)</f>
        <v>0</v>
      </c>
      <c r="BG226" s="229">
        <f>IF(N226="zákl. přenesená",J226,0)</f>
        <v>0</v>
      </c>
      <c r="BH226" s="229">
        <f>IF(N226="sníž. přenesená",J226,0)</f>
        <v>0</v>
      </c>
      <c r="BI226" s="229">
        <f>IF(N226="nulová",J226,0)</f>
        <v>0</v>
      </c>
      <c r="BJ226" s="14" t="s">
        <v>83</v>
      </c>
      <c r="BK226" s="229">
        <f>ROUND(I226*H226,2)</f>
        <v>0</v>
      </c>
      <c r="BL226" s="14" t="s">
        <v>138</v>
      </c>
      <c r="BM226" s="228" t="s">
        <v>525</v>
      </c>
    </row>
    <row r="227" s="2" customFormat="1" ht="24.15" customHeight="1">
      <c r="A227" s="35"/>
      <c r="B227" s="36"/>
      <c r="C227" s="216" t="s">
        <v>526</v>
      </c>
      <c r="D227" s="216" t="s">
        <v>134</v>
      </c>
      <c r="E227" s="217" t="s">
        <v>527</v>
      </c>
      <c r="F227" s="218" t="s">
        <v>528</v>
      </c>
      <c r="G227" s="219" t="s">
        <v>185</v>
      </c>
      <c r="H227" s="220">
        <v>7</v>
      </c>
      <c r="I227" s="221"/>
      <c r="J227" s="222">
        <f>ROUND(I227*H227,2)</f>
        <v>0</v>
      </c>
      <c r="K227" s="223"/>
      <c r="L227" s="41"/>
      <c r="M227" s="224" t="s">
        <v>1</v>
      </c>
      <c r="N227" s="225" t="s">
        <v>40</v>
      </c>
      <c r="O227" s="88"/>
      <c r="P227" s="226">
        <f>O227*H227</f>
        <v>0</v>
      </c>
      <c r="Q227" s="226">
        <v>0.00069999999999999999</v>
      </c>
      <c r="R227" s="226">
        <f>Q227*H227</f>
        <v>0.0048999999999999998</v>
      </c>
      <c r="S227" s="226">
        <v>0</v>
      </c>
      <c r="T227" s="227">
        <f>S227*H227</f>
        <v>0</v>
      </c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R227" s="228" t="s">
        <v>138</v>
      </c>
      <c r="AT227" s="228" t="s">
        <v>134</v>
      </c>
      <c r="AU227" s="228" t="s">
        <v>85</v>
      </c>
      <c r="AY227" s="14" t="s">
        <v>131</v>
      </c>
      <c r="BE227" s="229">
        <f>IF(N227="základní",J227,0)</f>
        <v>0</v>
      </c>
      <c r="BF227" s="229">
        <f>IF(N227="snížená",J227,0)</f>
        <v>0</v>
      </c>
      <c r="BG227" s="229">
        <f>IF(N227="zákl. přenesená",J227,0)</f>
        <v>0</v>
      </c>
      <c r="BH227" s="229">
        <f>IF(N227="sníž. přenesená",J227,0)</f>
        <v>0</v>
      </c>
      <c r="BI227" s="229">
        <f>IF(N227="nulová",J227,0)</f>
        <v>0</v>
      </c>
      <c r="BJ227" s="14" t="s">
        <v>83</v>
      </c>
      <c r="BK227" s="229">
        <f>ROUND(I227*H227,2)</f>
        <v>0</v>
      </c>
      <c r="BL227" s="14" t="s">
        <v>138</v>
      </c>
      <c r="BM227" s="228" t="s">
        <v>529</v>
      </c>
    </row>
    <row r="228" s="2" customFormat="1" ht="24.15" customHeight="1">
      <c r="A228" s="35"/>
      <c r="B228" s="36"/>
      <c r="C228" s="216" t="s">
        <v>530</v>
      </c>
      <c r="D228" s="216" t="s">
        <v>134</v>
      </c>
      <c r="E228" s="217" t="s">
        <v>531</v>
      </c>
      <c r="F228" s="218" t="s">
        <v>532</v>
      </c>
      <c r="G228" s="219" t="s">
        <v>185</v>
      </c>
      <c r="H228" s="220">
        <v>2</v>
      </c>
      <c r="I228" s="221"/>
      <c r="J228" s="222">
        <f>ROUND(I228*H228,2)</f>
        <v>0</v>
      </c>
      <c r="K228" s="223"/>
      <c r="L228" s="41"/>
      <c r="M228" s="224" t="s">
        <v>1</v>
      </c>
      <c r="N228" s="225" t="s">
        <v>40</v>
      </c>
      <c r="O228" s="88"/>
      <c r="P228" s="226">
        <f>O228*H228</f>
        <v>0</v>
      </c>
      <c r="Q228" s="226">
        <v>0.00107</v>
      </c>
      <c r="R228" s="226">
        <f>Q228*H228</f>
        <v>0.00214</v>
      </c>
      <c r="S228" s="226">
        <v>0</v>
      </c>
      <c r="T228" s="227">
        <f>S228*H228</f>
        <v>0</v>
      </c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R228" s="228" t="s">
        <v>138</v>
      </c>
      <c r="AT228" s="228" t="s">
        <v>134</v>
      </c>
      <c r="AU228" s="228" t="s">
        <v>85</v>
      </c>
      <c r="AY228" s="14" t="s">
        <v>131</v>
      </c>
      <c r="BE228" s="229">
        <f>IF(N228="základní",J228,0)</f>
        <v>0</v>
      </c>
      <c r="BF228" s="229">
        <f>IF(N228="snížená",J228,0)</f>
        <v>0</v>
      </c>
      <c r="BG228" s="229">
        <f>IF(N228="zákl. přenesená",J228,0)</f>
        <v>0</v>
      </c>
      <c r="BH228" s="229">
        <f>IF(N228="sníž. přenesená",J228,0)</f>
        <v>0</v>
      </c>
      <c r="BI228" s="229">
        <f>IF(N228="nulová",J228,0)</f>
        <v>0</v>
      </c>
      <c r="BJ228" s="14" t="s">
        <v>83</v>
      </c>
      <c r="BK228" s="229">
        <f>ROUND(I228*H228,2)</f>
        <v>0</v>
      </c>
      <c r="BL228" s="14" t="s">
        <v>138</v>
      </c>
      <c r="BM228" s="228" t="s">
        <v>533</v>
      </c>
    </row>
    <row r="229" s="2" customFormat="1" ht="24.15" customHeight="1">
      <c r="A229" s="35"/>
      <c r="B229" s="36"/>
      <c r="C229" s="216" t="s">
        <v>534</v>
      </c>
      <c r="D229" s="216" t="s">
        <v>134</v>
      </c>
      <c r="E229" s="217" t="s">
        <v>535</v>
      </c>
      <c r="F229" s="218" t="s">
        <v>536</v>
      </c>
      <c r="G229" s="219" t="s">
        <v>185</v>
      </c>
      <c r="H229" s="220">
        <v>1</v>
      </c>
      <c r="I229" s="221"/>
      <c r="J229" s="222">
        <f>ROUND(I229*H229,2)</f>
        <v>0</v>
      </c>
      <c r="K229" s="223"/>
      <c r="L229" s="41"/>
      <c r="M229" s="224" t="s">
        <v>1</v>
      </c>
      <c r="N229" s="225" t="s">
        <v>40</v>
      </c>
      <c r="O229" s="88"/>
      <c r="P229" s="226">
        <f>O229*H229</f>
        <v>0</v>
      </c>
      <c r="Q229" s="226">
        <v>0.0016800000000000001</v>
      </c>
      <c r="R229" s="226">
        <f>Q229*H229</f>
        <v>0.0016800000000000001</v>
      </c>
      <c r="S229" s="226">
        <v>0</v>
      </c>
      <c r="T229" s="227">
        <f>S229*H229</f>
        <v>0</v>
      </c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R229" s="228" t="s">
        <v>138</v>
      </c>
      <c r="AT229" s="228" t="s">
        <v>134</v>
      </c>
      <c r="AU229" s="228" t="s">
        <v>85</v>
      </c>
      <c r="AY229" s="14" t="s">
        <v>131</v>
      </c>
      <c r="BE229" s="229">
        <f>IF(N229="základní",J229,0)</f>
        <v>0</v>
      </c>
      <c r="BF229" s="229">
        <f>IF(N229="snížená",J229,0)</f>
        <v>0</v>
      </c>
      <c r="BG229" s="229">
        <f>IF(N229="zákl. přenesená",J229,0)</f>
        <v>0</v>
      </c>
      <c r="BH229" s="229">
        <f>IF(N229="sníž. přenesená",J229,0)</f>
        <v>0</v>
      </c>
      <c r="BI229" s="229">
        <f>IF(N229="nulová",J229,0)</f>
        <v>0</v>
      </c>
      <c r="BJ229" s="14" t="s">
        <v>83</v>
      </c>
      <c r="BK229" s="229">
        <f>ROUND(I229*H229,2)</f>
        <v>0</v>
      </c>
      <c r="BL229" s="14" t="s">
        <v>138</v>
      </c>
      <c r="BM229" s="228" t="s">
        <v>537</v>
      </c>
    </row>
    <row r="230" s="2" customFormat="1" ht="37.8" customHeight="1">
      <c r="A230" s="35"/>
      <c r="B230" s="36"/>
      <c r="C230" s="216" t="s">
        <v>538</v>
      </c>
      <c r="D230" s="216" t="s">
        <v>134</v>
      </c>
      <c r="E230" s="217" t="s">
        <v>539</v>
      </c>
      <c r="F230" s="218" t="s">
        <v>540</v>
      </c>
      <c r="G230" s="219" t="s">
        <v>185</v>
      </c>
      <c r="H230" s="220">
        <v>13</v>
      </c>
      <c r="I230" s="221"/>
      <c r="J230" s="222">
        <f>ROUND(I230*H230,2)</f>
        <v>0</v>
      </c>
      <c r="K230" s="223"/>
      <c r="L230" s="41"/>
      <c r="M230" s="224" t="s">
        <v>1</v>
      </c>
      <c r="N230" s="225" t="s">
        <v>40</v>
      </c>
      <c r="O230" s="88"/>
      <c r="P230" s="226">
        <f>O230*H230</f>
        <v>0</v>
      </c>
      <c r="Q230" s="226">
        <v>0.00052999999999999998</v>
      </c>
      <c r="R230" s="226">
        <f>Q230*H230</f>
        <v>0.0068899999999999994</v>
      </c>
      <c r="S230" s="226">
        <v>0</v>
      </c>
      <c r="T230" s="227">
        <f>S230*H230</f>
        <v>0</v>
      </c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R230" s="228" t="s">
        <v>138</v>
      </c>
      <c r="AT230" s="228" t="s">
        <v>134</v>
      </c>
      <c r="AU230" s="228" t="s">
        <v>85</v>
      </c>
      <c r="AY230" s="14" t="s">
        <v>131</v>
      </c>
      <c r="BE230" s="229">
        <f>IF(N230="základní",J230,0)</f>
        <v>0</v>
      </c>
      <c r="BF230" s="229">
        <f>IF(N230="snížená",J230,0)</f>
        <v>0</v>
      </c>
      <c r="BG230" s="229">
        <f>IF(N230="zákl. přenesená",J230,0)</f>
        <v>0</v>
      </c>
      <c r="BH230" s="229">
        <f>IF(N230="sníž. přenesená",J230,0)</f>
        <v>0</v>
      </c>
      <c r="BI230" s="229">
        <f>IF(N230="nulová",J230,0)</f>
        <v>0</v>
      </c>
      <c r="BJ230" s="14" t="s">
        <v>83</v>
      </c>
      <c r="BK230" s="229">
        <f>ROUND(I230*H230,2)</f>
        <v>0</v>
      </c>
      <c r="BL230" s="14" t="s">
        <v>138</v>
      </c>
      <c r="BM230" s="228" t="s">
        <v>541</v>
      </c>
    </row>
    <row r="231" s="2" customFormat="1" ht="33" customHeight="1">
      <c r="A231" s="35"/>
      <c r="B231" s="36"/>
      <c r="C231" s="216" t="s">
        <v>542</v>
      </c>
      <c r="D231" s="216" t="s">
        <v>134</v>
      </c>
      <c r="E231" s="217" t="s">
        <v>543</v>
      </c>
      <c r="F231" s="218" t="s">
        <v>544</v>
      </c>
      <c r="G231" s="219" t="s">
        <v>185</v>
      </c>
      <c r="H231" s="220">
        <v>1</v>
      </c>
      <c r="I231" s="221"/>
      <c r="J231" s="222">
        <f>ROUND(I231*H231,2)</f>
        <v>0</v>
      </c>
      <c r="K231" s="223"/>
      <c r="L231" s="41"/>
      <c r="M231" s="224" t="s">
        <v>1</v>
      </c>
      <c r="N231" s="225" t="s">
        <v>40</v>
      </c>
      <c r="O231" s="88"/>
      <c r="P231" s="226">
        <f>O231*H231</f>
        <v>0</v>
      </c>
      <c r="Q231" s="226">
        <v>0.00147</v>
      </c>
      <c r="R231" s="226">
        <f>Q231*H231</f>
        <v>0.00147</v>
      </c>
      <c r="S231" s="226">
        <v>0</v>
      </c>
      <c r="T231" s="227">
        <f>S231*H231</f>
        <v>0</v>
      </c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R231" s="228" t="s">
        <v>138</v>
      </c>
      <c r="AT231" s="228" t="s">
        <v>134</v>
      </c>
      <c r="AU231" s="228" t="s">
        <v>85</v>
      </c>
      <c r="AY231" s="14" t="s">
        <v>131</v>
      </c>
      <c r="BE231" s="229">
        <f>IF(N231="základní",J231,0)</f>
        <v>0</v>
      </c>
      <c r="BF231" s="229">
        <f>IF(N231="snížená",J231,0)</f>
        <v>0</v>
      </c>
      <c r="BG231" s="229">
        <f>IF(N231="zákl. přenesená",J231,0)</f>
        <v>0</v>
      </c>
      <c r="BH231" s="229">
        <f>IF(N231="sníž. přenesená",J231,0)</f>
        <v>0</v>
      </c>
      <c r="BI231" s="229">
        <f>IF(N231="nulová",J231,0)</f>
        <v>0</v>
      </c>
      <c r="BJ231" s="14" t="s">
        <v>83</v>
      </c>
      <c r="BK231" s="229">
        <f>ROUND(I231*H231,2)</f>
        <v>0</v>
      </c>
      <c r="BL231" s="14" t="s">
        <v>138</v>
      </c>
      <c r="BM231" s="228" t="s">
        <v>545</v>
      </c>
    </row>
    <row r="232" s="12" customFormat="1" ht="22.8" customHeight="1">
      <c r="A232" s="12"/>
      <c r="B232" s="200"/>
      <c r="C232" s="201"/>
      <c r="D232" s="202" t="s">
        <v>74</v>
      </c>
      <c r="E232" s="214" t="s">
        <v>546</v>
      </c>
      <c r="F232" s="214" t="s">
        <v>547</v>
      </c>
      <c r="G232" s="201"/>
      <c r="H232" s="201"/>
      <c r="I232" s="204"/>
      <c r="J232" s="215">
        <f>BK232</f>
        <v>0</v>
      </c>
      <c r="K232" s="201"/>
      <c r="L232" s="206"/>
      <c r="M232" s="207"/>
      <c r="N232" s="208"/>
      <c r="O232" s="208"/>
      <c r="P232" s="209">
        <f>SUM(P233:P234)</f>
        <v>0</v>
      </c>
      <c r="Q232" s="208"/>
      <c r="R232" s="209">
        <f>SUM(R233:R234)</f>
        <v>0.00050000000000000001</v>
      </c>
      <c r="S232" s="208"/>
      <c r="T232" s="210">
        <f>SUM(T233:T234)</f>
        <v>0</v>
      </c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R232" s="211" t="s">
        <v>85</v>
      </c>
      <c r="AT232" s="212" t="s">
        <v>74</v>
      </c>
      <c r="AU232" s="212" t="s">
        <v>83</v>
      </c>
      <c r="AY232" s="211" t="s">
        <v>131</v>
      </c>
      <c r="BK232" s="213">
        <f>SUM(BK233:BK234)</f>
        <v>0</v>
      </c>
    </row>
    <row r="233" s="2" customFormat="1" ht="37.8" customHeight="1">
      <c r="A233" s="35"/>
      <c r="B233" s="36"/>
      <c r="C233" s="216" t="s">
        <v>548</v>
      </c>
      <c r="D233" s="216" t="s">
        <v>134</v>
      </c>
      <c r="E233" s="217" t="s">
        <v>549</v>
      </c>
      <c r="F233" s="218" t="s">
        <v>550</v>
      </c>
      <c r="G233" s="219" t="s">
        <v>142</v>
      </c>
      <c r="H233" s="220">
        <v>5</v>
      </c>
      <c r="I233" s="221"/>
      <c r="J233" s="222">
        <f>ROUND(I233*H233,2)</f>
        <v>0</v>
      </c>
      <c r="K233" s="223"/>
      <c r="L233" s="41"/>
      <c r="M233" s="224" t="s">
        <v>1</v>
      </c>
      <c r="N233" s="225" t="s">
        <v>40</v>
      </c>
      <c r="O233" s="88"/>
      <c r="P233" s="226">
        <f>O233*H233</f>
        <v>0</v>
      </c>
      <c r="Q233" s="226">
        <v>2.0000000000000002E-05</v>
      </c>
      <c r="R233" s="226">
        <f>Q233*H233</f>
        <v>0.00010000000000000001</v>
      </c>
      <c r="S233" s="226">
        <v>0</v>
      </c>
      <c r="T233" s="227">
        <f>S233*H233</f>
        <v>0</v>
      </c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R233" s="228" t="s">
        <v>138</v>
      </c>
      <c r="AT233" s="228" t="s">
        <v>134</v>
      </c>
      <c r="AU233" s="228" t="s">
        <v>85</v>
      </c>
      <c r="AY233" s="14" t="s">
        <v>131</v>
      </c>
      <c r="BE233" s="229">
        <f>IF(N233="základní",J233,0)</f>
        <v>0</v>
      </c>
      <c r="BF233" s="229">
        <f>IF(N233="snížená",J233,0)</f>
        <v>0</v>
      </c>
      <c r="BG233" s="229">
        <f>IF(N233="zákl. přenesená",J233,0)</f>
        <v>0</v>
      </c>
      <c r="BH233" s="229">
        <f>IF(N233="sníž. přenesená",J233,0)</f>
        <v>0</v>
      </c>
      <c r="BI233" s="229">
        <f>IF(N233="nulová",J233,0)</f>
        <v>0</v>
      </c>
      <c r="BJ233" s="14" t="s">
        <v>83</v>
      </c>
      <c r="BK233" s="229">
        <f>ROUND(I233*H233,2)</f>
        <v>0</v>
      </c>
      <c r="BL233" s="14" t="s">
        <v>138</v>
      </c>
      <c r="BM233" s="228" t="s">
        <v>551</v>
      </c>
    </row>
    <row r="234" s="2" customFormat="1" ht="37.8" customHeight="1">
      <c r="A234" s="35"/>
      <c r="B234" s="36"/>
      <c r="C234" s="216" t="s">
        <v>552</v>
      </c>
      <c r="D234" s="216" t="s">
        <v>134</v>
      </c>
      <c r="E234" s="217" t="s">
        <v>553</v>
      </c>
      <c r="F234" s="218" t="s">
        <v>554</v>
      </c>
      <c r="G234" s="219" t="s">
        <v>142</v>
      </c>
      <c r="H234" s="220">
        <v>8</v>
      </c>
      <c r="I234" s="221"/>
      <c r="J234" s="222">
        <f>ROUND(I234*H234,2)</f>
        <v>0</v>
      </c>
      <c r="K234" s="223"/>
      <c r="L234" s="41"/>
      <c r="M234" s="242" t="s">
        <v>1</v>
      </c>
      <c r="N234" s="243" t="s">
        <v>40</v>
      </c>
      <c r="O234" s="244"/>
      <c r="P234" s="245">
        <f>O234*H234</f>
        <v>0</v>
      </c>
      <c r="Q234" s="245">
        <v>5.0000000000000002E-05</v>
      </c>
      <c r="R234" s="245">
        <f>Q234*H234</f>
        <v>0.00040000000000000002</v>
      </c>
      <c r="S234" s="245">
        <v>0</v>
      </c>
      <c r="T234" s="246">
        <f>S234*H234</f>
        <v>0</v>
      </c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R234" s="228" t="s">
        <v>138</v>
      </c>
      <c r="AT234" s="228" t="s">
        <v>134</v>
      </c>
      <c r="AU234" s="228" t="s">
        <v>85</v>
      </c>
      <c r="AY234" s="14" t="s">
        <v>131</v>
      </c>
      <c r="BE234" s="229">
        <f>IF(N234="základní",J234,0)</f>
        <v>0</v>
      </c>
      <c r="BF234" s="229">
        <f>IF(N234="snížená",J234,0)</f>
        <v>0</v>
      </c>
      <c r="BG234" s="229">
        <f>IF(N234="zákl. přenesená",J234,0)</f>
        <v>0</v>
      </c>
      <c r="BH234" s="229">
        <f>IF(N234="sníž. přenesená",J234,0)</f>
        <v>0</v>
      </c>
      <c r="BI234" s="229">
        <f>IF(N234="nulová",J234,0)</f>
        <v>0</v>
      </c>
      <c r="BJ234" s="14" t="s">
        <v>83</v>
      </c>
      <c r="BK234" s="229">
        <f>ROUND(I234*H234,2)</f>
        <v>0</v>
      </c>
      <c r="BL234" s="14" t="s">
        <v>138</v>
      </c>
      <c r="BM234" s="228" t="s">
        <v>555</v>
      </c>
    </row>
    <row r="235" s="2" customFormat="1" ht="6.96" customHeight="1">
      <c r="A235" s="35"/>
      <c r="B235" s="63"/>
      <c r="C235" s="64"/>
      <c r="D235" s="64"/>
      <c r="E235" s="64"/>
      <c r="F235" s="64"/>
      <c r="G235" s="64"/>
      <c r="H235" s="64"/>
      <c r="I235" s="64"/>
      <c r="J235" s="64"/>
      <c r="K235" s="64"/>
      <c r="L235" s="41"/>
      <c r="M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</row>
  </sheetData>
  <sheetProtection sheet="1" autoFilter="0" formatColumns="0" formatRows="0" objects="1" scenarios="1" spinCount="100000" saltValue="kQj0BCJcAubO98tKR0ou0vs+o0Dzv+WnA5M/ggrIGZ9q0k4MWTk0udECzeOPQkJ8WPbKNCta1S+rgVmSxETM2A==" hashValue="8KI2Aj91sXQ6onrgPhBLa+XmM0aic0QrVCOdmkiyxtt3/7CBe1YYD0vM/lBOl8wtW8NSTtKzFkj9sY1d/HcvSQ==" algorithmName="SHA-512" password="F695"/>
  <autoFilter ref="C122:K234"/>
  <mergeCells count="9">
    <mergeCell ref="E7:H7"/>
    <mergeCell ref="E9:H9"/>
    <mergeCell ref="E18:H18"/>
    <mergeCell ref="E27:H27"/>
    <mergeCell ref="E85:H85"/>
    <mergeCell ref="E87:H87"/>
    <mergeCell ref="E113:H113"/>
    <mergeCell ref="E115:H115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4" t="s">
        <v>88</v>
      </c>
    </row>
    <row r="3" s="1" customFormat="1" ht="6.96" customHeight="1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7"/>
      <c r="AT3" s="14" t="s">
        <v>85</v>
      </c>
    </row>
    <row r="4" s="1" customFormat="1" ht="24.96" customHeight="1">
      <c r="B4" s="17"/>
      <c r="D4" s="135" t="s">
        <v>101</v>
      </c>
      <c r="L4" s="17"/>
      <c r="M4" s="136" t="s">
        <v>10</v>
      </c>
      <c r="AT4" s="14" t="s">
        <v>4</v>
      </c>
    </row>
    <row r="5" s="1" customFormat="1" ht="6.96" customHeight="1">
      <c r="B5" s="17"/>
      <c r="L5" s="17"/>
    </row>
    <row r="6" s="1" customFormat="1" ht="12" customHeight="1">
      <c r="B6" s="17"/>
      <c r="D6" s="137" t="s">
        <v>16</v>
      </c>
      <c r="L6" s="17"/>
    </row>
    <row r="7" s="1" customFormat="1" ht="16.5" customHeight="1">
      <c r="B7" s="17"/>
      <c r="E7" s="138" t="str">
        <f>'Rekapitulace stavby'!K6</f>
        <v>Forestina Horaždovice- UT, OPZ</v>
      </c>
      <c r="F7" s="137"/>
      <c r="G7" s="137"/>
      <c r="H7" s="137"/>
      <c r="L7" s="17"/>
    </row>
    <row r="8" s="2" customFormat="1" ht="12" customHeight="1">
      <c r="A8" s="35"/>
      <c r="B8" s="41"/>
      <c r="C8" s="35"/>
      <c r="D8" s="137" t="s">
        <v>102</v>
      </c>
      <c r="E8" s="35"/>
      <c r="F8" s="35"/>
      <c r="G8" s="35"/>
      <c r="H8" s="35"/>
      <c r="I8" s="35"/>
      <c r="J8" s="35"/>
      <c r="K8" s="35"/>
      <c r="L8" s="6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="2" customFormat="1" ht="16.5" customHeight="1">
      <c r="A9" s="35"/>
      <c r="B9" s="41"/>
      <c r="C9" s="35"/>
      <c r="D9" s="35"/>
      <c r="E9" s="139" t="s">
        <v>556</v>
      </c>
      <c r="F9" s="35"/>
      <c r="G9" s="35"/>
      <c r="H9" s="35"/>
      <c r="I9" s="35"/>
      <c r="J9" s="35"/>
      <c r="K9" s="35"/>
      <c r="L9" s="6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="2" customFormat="1">
      <c r="A10" s="35"/>
      <c r="B10" s="41"/>
      <c r="C10" s="35"/>
      <c r="D10" s="35"/>
      <c r="E10" s="35"/>
      <c r="F10" s="35"/>
      <c r="G10" s="35"/>
      <c r="H10" s="35"/>
      <c r="I10" s="35"/>
      <c r="J10" s="35"/>
      <c r="K10" s="35"/>
      <c r="L10" s="6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="2" customFormat="1" ht="12" customHeight="1">
      <c r="A11" s="35"/>
      <c r="B11" s="41"/>
      <c r="C11" s="35"/>
      <c r="D11" s="137" t="s">
        <v>18</v>
      </c>
      <c r="E11" s="35"/>
      <c r="F11" s="140" t="s">
        <v>1</v>
      </c>
      <c r="G11" s="35"/>
      <c r="H11" s="35"/>
      <c r="I11" s="137" t="s">
        <v>19</v>
      </c>
      <c r="J11" s="140" t="s">
        <v>1</v>
      </c>
      <c r="K11" s="35"/>
      <c r="L11" s="6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="2" customFormat="1" ht="12" customHeight="1">
      <c r="A12" s="35"/>
      <c r="B12" s="41"/>
      <c r="C12" s="35"/>
      <c r="D12" s="137" t="s">
        <v>20</v>
      </c>
      <c r="E12" s="35"/>
      <c r="F12" s="140" t="s">
        <v>21</v>
      </c>
      <c r="G12" s="35"/>
      <c r="H12" s="35"/>
      <c r="I12" s="137" t="s">
        <v>22</v>
      </c>
      <c r="J12" s="141" t="str">
        <f>'Rekapitulace stavby'!AN8</f>
        <v>10. 6. 2025</v>
      </c>
      <c r="K12" s="35"/>
      <c r="L12" s="6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="2" customFormat="1" ht="10.8" customHeight="1">
      <c r="A13" s="35"/>
      <c r="B13" s="41"/>
      <c r="C13" s="35"/>
      <c r="D13" s="35"/>
      <c r="E13" s="35"/>
      <c r="F13" s="35"/>
      <c r="G13" s="35"/>
      <c r="H13" s="35"/>
      <c r="I13" s="35"/>
      <c r="J13" s="35"/>
      <c r="K13" s="35"/>
      <c r="L13" s="6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="2" customFormat="1" ht="12" customHeight="1">
      <c r="A14" s="35"/>
      <c r="B14" s="41"/>
      <c r="C14" s="35"/>
      <c r="D14" s="137" t="s">
        <v>24</v>
      </c>
      <c r="E14" s="35"/>
      <c r="F14" s="35"/>
      <c r="G14" s="35"/>
      <c r="H14" s="35"/>
      <c r="I14" s="137" t="s">
        <v>25</v>
      </c>
      <c r="J14" s="140" t="s">
        <v>1</v>
      </c>
      <c r="K14" s="35"/>
      <c r="L14" s="6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="2" customFormat="1" ht="18" customHeight="1">
      <c r="A15" s="35"/>
      <c r="B15" s="41"/>
      <c r="C15" s="35"/>
      <c r="D15" s="35"/>
      <c r="E15" s="140" t="s">
        <v>26</v>
      </c>
      <c r="F15" s="35"/>
      <c r="G15" s="35"/>
      <c r="H15" s="35"/>
      <c r="I15" s="137" t="s">
        <v>27</v>
      </c>
      <c r="J15" s="140" t="s">
        <v>1</v>
      </c>
      <c r="K15" s="35"/>
      <c r="L15" s="6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="2" customFormat="1" ht="6.96" customHeight="1">
      <c r="A16" s="35"/>
      <c r="B16" s="41"/>
      <c r="C16" s="35"/>
      <c r="D16" s="35"/>
      <c r="E16" s="35"/>
      <c r="F16" s="35"/>
      <c r="G16" s="35"/>
      <c r="H16" s="35"/>
      <c r="I16" s="35"/>
      <c r="J16" s="35"/>
      <c r="K16" s="35"/>
      <c r="L16" s="6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="2" customFormat="1" ht="12" customHeight="1">
      <c r="A17" s="35"/>
      <c r="B17" s="41"/>
      <c r="C17" s="35"/>
      <c r="D17" s="137" t="s">
        <v>28</v>
      </c>
      <c r="E17" s="35"/>
      <c r="F17" s="35"/>
      <c r="G17" s="35"/>
      <c r="H17" s="35"/>
      <c r="I17" s="137" t="s">
        <v>25</v>
      </c>
      <c r="J17" s="30" t="str">
        <f>'Rekapitulace stavby'!AN13</f>
        <v>Vyplň údaj</v>
      </c>
      <c r="K17" s="35"/>
      <c r="L17" s="6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="2" customFormat="1" ht="18" customHeight="1">
      <c r="A18" s="35"/>
      <c r="B18" s="41"/>
      <c r="C18" s="35"/>
      <c r="D18" s="35"/>
      <c r="E18" s="30" t="str">
        <f>'Rekapitulace stavby'!E14</f>
        <v>Vyplň údaj</v>
      </c>
      <c r="F18" s="140"/>
      <c r="G18" s="140"/>
      <c r="H18" s="140"/>
      <c r="I18" s="137" t="s">
        <v>27</v>
      </c>
      <c r="J18" s="30" t="str">
        <f>'Rekapitulace stavby'!AN14</f>
        <v>Vyplň údaj</v>
      </c>
      <c r="K18" s="35"/>
      <c r="L18" s="6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="2" customFormat="1" ht="6.96" customHeight="1">
      <c r="A19" s="35"/>
      <c r="B19" s="41"/>
      <c r="C19" s="35"/>
      <c r="D19" s="35"/>
      <c r="E19" s="35"/>
      <c r="F19" s="35"/>
      <c r="G19" s="35"/>
      <c r="H19" s="35"/>
      <c r="I19" s="35"/>
      <c r="J19" s="35"/>
      <c r="K19" s="35"/>
      <c r="L19" s="6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="2" customFormat="1" ht="12" customHeight="1">
      <c r="A20" s="35"/>
      <c r="B20" s="41"/>
      <c r="C20" s="35"/>
      <c r="D20" s="137" t="s">
        <v>30</v>
      </c>
      <c r="E20" s="35"/>
      <c r="F20" s="35"/>
      <c r="G20" s="35"/>
      <c r="H20" s="35"/>
      <c r="I20" s="137" t="s">
        <v>25</v>
      </c>
      <c r="J20" s="140" t="s">
        <v>1</v>
      </c>
      <c r="K20" s="35"/>
      <c r="L20" s="6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="2" customFormat="1" ht="18" customHeight="1">
      <c r="A21" s="35"/>
      <c r="B21" s="41"/>
      <c r="C21" s="35"/>
      <c r="D21" s="35"/>
      <c r="E21" s="140" t="s">
        <v>26</v>
      </c>
      <c r="F21" s="35"/>
      <c r="G21" s="35"/>
      <c r="H21" s="35"/>
      <c r="I21" s="137" t="s">
        <v>27</v>
      </c>
      <c r="J21" s="140" t="s">
        <v>1</v>
      </c>
      <c r="K21" s="35"/>
      <c r="L21" s="6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="2" customFormat="1" ht="6.96" customHeight="1">
      <c r="A22" s="35"/>
      <c r="B22" s="41"/>
      <c r="C22" s="35"/>
      <c r="D22" s="35"/>
      <c r="E22" s="35"/>
      <c r="F22" s="35"/>
      <c r="G22" s="35"/>
      <c r="H22" s="35"/>
      <c r="I22" s="35"/>
      <c r="J22" s="35"/>
      <c r="K22" s="35"/>
      <c r="L22" s="6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="2" customFormat="1" ht="12" customHeight="1">
      <c r="A23" s="35"/>
      <c r="B23" s="41"/>
      <c r="C23" s="35"/>
      <c r="D23" s="137" t="s">
        <v>32</v>
      </c>
      <c r="E23" s="35"/>
      <c r="F23" s="35"/>
      <c r="G23" s="35"/>
      <c r="H23" s="35"/>
      <c r="I23" s="137" t="s">
        <v>25</v>
      </c>
      <c r="J23" s="140" t="s">
        <v>1</v>
      </c>
      <c r="K23" s="35"/>
      <c r="L23" s="6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="2" customFormat="1" ht="18" customHeight="1">
      <c r="A24" s="35"/>
      <c r="B24" s="41"/>
      <c r="C24" s="35"/>
      <c r="D24" s="35"/>
      <c r="E24" s="140" t="s">
        <v>33</v>
      </c>
      <c r="F24" s="35"/>
      <c r="G24" s="35"/>
      <c r="H24" s="35"/>
      <c r="I24" s="137" t="s">
        <v>27</v>
      </c>
      <c r="J24" s="140" t="s">
        <v>1</v>
      </c>
      <c r="K24" s="35"/>
      <c r="L24" s="6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="2" customFormat="1" ht="6.96" customHeight="1">
      <c r="A25" s="35"/>
      <c r="B25" s="41"/>
      <c r="C25" s="35"/>
      <c r="D25" s="35"/>
      <c r="E25" s="35"/>
      <c r="F25" s="35"/>
      <c r="G25" s="35"/>
      <c r="H25" s="35"/>
      <c r="I25" s="35"/>
      <c r="J25" s="35"/>
      <c r="K25" s="35"/>
      <c r="L25" s="6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="2" customFormat="1" ht="12" customHeight="1">
      <c r="A26" s="35"/>
      <c r="B26" s="41"/>
      <c r="C26" s="35"/>
      <c r="D26" s="137" t="s">
        <v>34</v>
      </c>
      <c r="E26" s="35"/>
      <c r="F26" s="35"/>
      <c r="G26" s="35"/>
      <c r="H26" s="35"/>
      <c r="I26" s="35"/>
      <c r="J26" s="35"/>
      <c r="K26" s="35"/>
      <c r="L26" s="6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="8" customFormat="1" ht="16.5" customHeight="1">
      <c r="A27" s="142"/>
      <c r="B27" s="143"/>
      <c r="C27" s="142"/>
      <c r="D27" s="142"/>
      <c r="E27" s="144" t="s">
        <v>1</v>
      </c>
      <c r="F27" s="144"/>
      <c r="G27" s="144"/>
      <c r="H27" s="144"/>
      <c r="I27" s="142"/>
      <c r="J27" s="142"/>
      <c r="K27" s="142"/>
      <c r="L27" s="145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="2" customFormat="1" ht="6.96" customHeight="1">
      <c r="A28" s="35"/>
      <c r="B28" s="41"/>
      <c r="C28" s="35"/>
      <c r="D28" s="35"/>
      <c r="E28" s="35"/>
      <c r="F28" s="35"/>
      <c r="G28" s="35"/>
      <c r="H28" s="35"/>
      <c r="I28" s="35"/>
      <c r="J28" s="35"/>
      <c r="K28" s="35"/>
      <c r="L28" s="6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="2" customFormat="1" ht="6.96" customHeight="1">
      <c r="A29" s="35"/>
      <c r="B29" s="41"/>
      <c r="C29" s="35"/>
      <c r="D29" s="146"/>
      <c r="E29" s="146"/>
      <c r="F29" s="146"/>
      <c r="G29" s="146"/>
      <c r="H29" s="146"/>
      <c r="I29" s="146"/>
      <c r="J29" s="146"/>
      <c r="K29" s="146"/>
      <c r="L29" s="6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="2" customFormat="1" ht="25.44" customHeight="1">
      <c r="A30" s="35"/>
      <c r="B30" s="41"/>
      <c r="C30" s="35"/>
      <c r="D30" s="147" t="s">
        <v>35</v>
      </c>
      <c r="E30" s="35"/>
      <c r="F30" s="35"/>
      <c r="G30" s="35"/>
      <c r="H30" s="35"/>
      <c r="I30" s="35"/>
      <c r="J30" s="148">
        <f>ROUND(J124, 2)</f>
        <v>0</v>
      </c>
      <c r="K30" s="35"/>
      <c r="L30" s="6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="2" customFormat="1" ht="6.96" customHeight="1">
      <c r="A31" s="35"/>
      <c r="B31" s="41"/>
      <c r="C31" s="35"/>
      <c r="D31" s="146"/>
      <c r="E31" s="146"/>
      <c r="F31" s="146"/>
      <c r="G31" s="146"/>
      <c r="H31" s="146"/>
      <c r="I31" s="146"/>
      <c r="J31" s="146"/>
      <c r="K31" s="146"/>
      <c r="L31" s="6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="2" customFormat="1" ht="14.4" customHeight="1">
      <c r="A32" s="35"/>
      <c r="B32" s="41"/>
      <c r="C32" s="35"/>
      <c r="D32" s="35"/>
      <c r="E32" s="35"/>
      <c r="F32" s="149" t="s">
        <v>37</v>
      </c>
      <c r="G32" s="35"/>
      <c r="H32" s="35"/>
      <c r="I32" s="149" t="s">
        <v>36</v>
      </c>
      <c r="J32" s="149" t="s">
        <v>38</v>
      </c>
      <c r="K32" s="35"/>
      <c r="L32" s="6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="2" customFormat="1" ht="14.4" customHeight="1">
      <c r="A33" s="35"/>
      <c r="B33" s="41"/>
      <c r="C33" s="35"/>
      <c r="D33" s="150" t="s">
        <v>39</v>
      </c>
      <c r="E33" s="137" t="s">
        <v>40</v>
      </c>
      <c r="F33" s="151">
        <f>ROUND((SUM(BE124:BE190)),  2)</f>
        <v>0</v>
      </c>
      <c r="G33" s="35"/>
      <c r="H33" s="35"/>
      <c r="I33" s="152">
        <v>0.20999999999999999</v>
      </c>
      <c r="J33" s="151">
        <f>ROUND(((SUM(BE124:BE190))*I33),  2)</f>
        <v>0</v>
      </c>
      <c r="K33" s="35"/>
      <c r="L33" s="6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="2" customFormat="1" ht="14.4" customHeight="1">
      <c r="A34" s="35"/>
      <c r="B34" s="41"/>
      <c r="C34" s="35"/>
      <c r="D34" s="35"/>
      <c r="E34" s="137" t="s">
        <v>41</v>
      </c>
      <c r="F34" s="151">
        <f>ROUND((SUM(BF124:BF190)),  2)</f>
        <v>0</v>
      </c>
      <c r="G34" s="35"/>
      <c r="H34" s="35"/>
      <c r="I34" s="152">
        <v>0.12</v>
      </c>
      <c r="J34" s="151">
        <f>ROUND(((SUM(BF124:BF190))*I34),  2)</f>
        <v>0</v>
      </c>
      <c r="K34" s="35"/>
      <c r="L34" s="6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hidden="1" s="2" customFormat="1" ht="14.4" customHeight="1">
      <c r="A35" s="35"/>
      <c r="B35" s="41"/>
      <c r="C35" s="35"/>
      <c r="D35" s="35"/>
      <c r="E35" s="137" t="s">
        <v>42</v>
      </c>
      <c r="F35" s="151">
        <f>ROUND((SUM(BG124:BG190)),  2)</f>
        <v>0</v>
      </c>
      <c r="G35" s="35"/>
      <c r="H35" s="35"/>
      <c r="I35" s="152">
        <v>0.20999999999999999</v>
      </c>
      <c r="J35" s="151">
        <f>0</f>
        <v>0</v>
      </c>
      <c r="K35" s="35"/>
      <c r="L35" s="6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hidden="1" s="2" customFormat="1" ht="14.4" customHeight="1">
      <c r="A36" s="35"/>
      <c r="B36" s="41"/>
      <c r="C36" s="35"/>
      <c r="D36" s="35"/>
      <c r="E36" s="137" t="s">
        <v>43</v>
      </c>
      <c r="F36" s="151">
        <f>ROUND((SUM(BH124:BH190)),  2)</f>
        <v>0</v>
      </c>
      <c r="G36" s="35"/>
      <c r="H36" s="35"/>
      <c r="I36" s="152">
        <v>0.12</v>
      </c>
      <c r="J36" s="151">
        <f>0</f>
        <v>0</v>
      </c>
      <c r="K36" s="35"/>
      <c r="L36" s="6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hidden="1" s="2" customFormat="1" ht="14.4" customHeight="1">
      <c r="A37" s="35"/>
      <c r="B37" s="41"/>
      <c r="C37" s="35"/>
      <c r="D37" s="35"/>
      <c r="E37" s="137" t="s">
        <v>44</v>
      </c>
      <c r="F37" s="151">
        <f>ROUND((SUM(BI124:BI190)),  2)</f>
        <v>0</v>
      </c>
      <c r="G37" s="35"/>
      <c r="H37" s="35"/>
      <c r="I37" s="152">
        <v>0</v>
      </c>
      <c r="J37" s="151">
        <f>0</f>
        <v>0</v>
      </c>
      <c r="K37" s="35"/>
      <c r="L37" s="6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="2" customFormat="1" ht="6.96" customHeight="1">
      <c r="A38" s="35"/>
      <c r="B38" s="41"/>
      <c r="C38" s="35"/>
      <c r="D38" s="35"/>
      <c r="E38" s="35"/>
      <c r="F38" s="35"/>
      <c r="G38" s="35"/>
      <c r="H38" s="35"/>
      <c r="I38" s="35"/>
      <c r="J38" s="35"/>
      <c r="K38" s="35"/>
      <c r="L38" s="6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="2" customFormat="1" ht="25.44" customHeight="1">
      <c r="A39" s="35"/>
      <c r="B39" s="41"/>
      <c r="C39" s="153"/>
      <c r="D39" s="154" t="s">
        <v>45</v>
      </c>
      <c r="E39" s="155"/>
      <c r="F39" s="155"/>
      <c r="G39" s="156" t="s">
        <v>46</v>
      </c>
      <c r="H39" s="157" t="s">
        <v>47</v>
      </c>
      <c r="I39" s="155"/>
      <c r="J39" s="158">
        <f>SUM(J30:J37)</f>
        <v>0</v>
      </c>
      <c r="K39" s="159"/>
      <c r="L39" s="6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="2" customFormat="1" ht="14.4" customHeight="1">
      <c r="A40" s="35"/>
      <c r="B40" s="41"/>
      <c r="C40" s="35"/>
      <c r="D40" s="35"/>
      <c r="E40" s="35"/>
      <c r="F40" s="35"/>
      <c r="G40" s="35"/>
      <c r="H40" s="35"/>
      <c r="I40" s="35"/>
      <c r="J40" s="35"/>
      <c r="K40" s="35"/>
      <c r="L40" s="6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="1" customFormat="1" ht="14.4" customHeight="1">
      <c r="B41" s="17"/>
      <c r="L41" s="17"/>
    </row>
    <row r="42" s="1" customFormat="1" ht="14.4" customHeight="1">
      <c r="B42" s="17"/>
      <c r="L42" s="17"/>
    </row>
    <row r="43" s="1" customFormat="1" ht="14.4" customHeight="1">
      <c r="B43" s="17"/>
      <c r="L43" s="17"/>
    </row>
    <row r="44" s="1" customFormat="1" ht="14.4" customHeight="1">
      <c r="B44" s="17"/>
      <c r="L44" s="17"/>
    </row>
    <row r="45" s="1" customFormat="1" ht="14.4" customHeight="1">
      <c r="B45" s="17"/>
      <c r="L45" s="17"/>
    </row>
    <row r="46" s="1" customFormat="1" ht="14.4" customHeight="1">
      <c r="B46" s="17"/>
      <c r="L46" s="17"/>
    </row>
    <row r="47" s="1" customFormat="1" ht="14.4" customHeight="1">
      <c r="B47" s="17"/>
      <c r="L47" s="17"/>
    </row>
    <row r="48" s="1" customFormat="1" ht="14.4" customHeight="1">
      <c r="B48" s="17"/>
      <c r="L48" s="17"/>
    </row>
    <row r="49" s="1" customFormat="1" ht="14.4" customHeight="1">
      <c r="B49" s="17"/>
      <c r="L49" s="17"/>
    </row>
    <row r="50" s="2" customFormat="1" ht="14.4" customHeight="1">
      <c r="B50" s="60"/>
      <c r="D50" s="160" t="s">
        <v>48</v>
      </c>
      <c r="E50" s="161"/>
      <c r="F50" s="161"/>
      <c r="G50" s="160" t="s">
        <v>49</v>
      </c>
      <c r="H50" s="161"/>
      <c r="I50" s="161"/>
      <c r="J50" s="161"/>
      <c r="K50" s="161"/>
      <c r="L50" s="60"/>
    </row>
    <row r="51">
      <c r="B51" s="17"/>
      <c r="L51" s="17"/>
    </row>
    <row r="52">
      <c r="B52" s="17"/>
      <c r="L52" s="17"/>
    </row>
    <row r="53">
      <c r="B53" s="17"/>
      <c r="L53" s="17"/>
    </row>
    <row r="54">
      <c r="B54" s="17"/>
      <c r="L54" s="17"/>
    </row>
    <row r="55">
      <c r="B55" s="17"/>
      <c r="L55" s="17"/>
    </row>
    <row r="56">
      <c r="B56" s="17"/>
      <c r="L56" s="17"/>
    </row>
    <row r="57">
      <c r="B57" s="17"/>
      <c r="L57" s="17"/>
    </row>
    <row r="58">
      <c r="B58" s="17"/>
      <c r="L58" s="17"/>
    </row>
    <row r="59">
      <c r="B59" s="17"/>
      <c r="L59" s="17"/>
    </row>
    <row r="60">
      <c r="B60" s="17"/>
      <c r="L60" s="17"/>
    </row>
    <row r="61" s="2" customFormat="1">
      <c r="A61" s="35"/>
      <c r="B61" s="41"/>
      <c r="C61" s="35"/>
      <c r="D61" s="162" t="s">
        <v>50</v>
      </c>
      <c r="E61" s="163"/>
      <c r="F61" s="164" t="s">
        <v>51</v>
      </c>
      <c r="G61" s="162" t="s">
        <v>50</v>
      </c>
      <c r="H61" s="163"/>
      <c r="I61" s="163"/>
      <c r="J61" s="165" t="s">
        <v>51</v>
      </c>
      <c r="K61" s="163"/>
      <c r="L61" s="6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>
      <c r="B62" s="17"/>
      <c r="L62" s="17"/>
    </row>
    <row r="63">
      <c r="B63" s="17"/>
      <c r="L63" s="17"/>
    </row>
    <row r="64">
      <c r="B64" s="17"/>
      <c r="L64" s="17"/>
    </row>
    <row r="65" s="2" customFormat="1">
      <c r="A65" s="35"/>
      <c r="B65" s="41"/>
      <c r="C65" s="35"/>
      <c r="D65" s="160" t="s">
        <v>52</v>
      </c>
      <c r="E65" s="166"/>
      <c r="F65" s="166"/>
      <c r="G65" s="160" t="s">
        <v>53</v>
      </c>
      <c r="H65" s="166"/>
      <c r="I65" s="166"/>
      <c r="J65" s="166"/>
      <c r="K65" s="166"/>
      <c r="L65" s="6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>
      <c r="B66" s="17"/>
      <c r="L66" s="17"/>
    </row>
    <row r="67">
      <c r="B67" s="17"/>
      <c r="L67" s="17"/>
    </row>
    <row r="68">
      <c r="B68" s="17"/>
      <c r="L68" s="17"/>
    </row>
    <row r="69">
      <c r="B69" s="17"/>
      <c r="L69" s="17"/>
    </row>
    <row r="70">
      <c r="B70" s="17"/>
      <c r="L70" s="17"/>
    </row>
    <row r="71">
      <c r="B71" s="17"/>
      <c r="L71" s="17"/>
    </row>
    <row r="72">
      <c r="B72" s="17"/>
      <c r="L72" s="17"/>
    </row>
    <row r="73">
      <c r="B73" s="17"/>
      <c r="L73" s="17"/>
    </row>
    <row r="74">
      <c r="B74" s="17"/>
      <c r="L74" s="17"/>
    </row>
    <row r="75">
      <c r="B75" s="17"/>
      <c r="L75" s="17"/>
    </row>
    <row r="76" s="2" customFormat="1">
      <c r="A76" s="35"/>
      <c r="B76" s="41"/>
      <c r="C76" s="35"/>
      <c r="D76" s="162" t="s">
        <v>50</v>
      </c>
      <c r="E76" s="163"/>
      <c r="F76" s="164" t="s">
        <v>51</v>
      </c>
      <c r="G76" s="162" t="s">
        <v>50</v>
      </c>
      <c r="H76" s="163"/>
      <c r="I76" s="163"/>
      <c r="J76" s="165" t="s">
        <v>51</v>
      </c>
      <c r="K76" s="163"/>
      <c r="L76" s="6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="2" customFormat="1" ht="14.4" customHeight="1">
      <c r="A77" s="35"/>
      <c r="B77" s="167"/>
      <c r="C77" s="168"/>
      <c r="D77" s="168"/>
      <c r="E77" s="168"/>
      <c r="F77" s="168"/>
      <c r="G77" s="168"/>
      <c r="H77" s="168"/>
      <c r="I77" s="168"/>
      <c r="J77" s="168"/>
      <c r="K77" s="168"/>
      <c r="L77" s="6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81" s="2" customFormat="1" ht="6.96" customHeight="1">
      <c r="A81" s="35"/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6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="2" customFormat="1" ht="24.96" customHeight="1">
      <c r="A82" s="35"/>
      <c r="B82" s="36"/>
      <c r="C82" s="20" t="s">
        <v>104</v>
      </c>
      <c r="D82" s="37"/>
      <c r="E82" s="37"/>
      <c r="F82" s="37"/>
      <c r="G82" s="37"/>
      <c r="H82" s="37"/>
      <c r="I82" s="37"/>
      <c r="J82" s="37"/>
      <c r="K82" s="37"/>
      <c r="L82" s="6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="2" customFormat="1" ht="6.96" customHeight="1">
      <c r="A83" s="35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6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="2" customFormat="1" ht="12" customHeight="1">
      <c r="A84" s="35"/>
      <c r="B84" s="36"/>
      <c r="C84" s="29" t="s">
        <v>16</v>
      </c>
      <c r="D84" s="37"/>
      <c r="E84" s="37"/>
      <c r="F84" s="37"/>
      <c r="G84" s="37"/>
      <c r="H84" s="37"/>
      <c r="I84" s="37"/>
      <c r="J84" s="37"/>
      <c r="K84" s="37"/>
      <c r="L84" s="6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="2" customFormat="1" ht="16.5" customHeight="1">
      <c r="A85" s="35"/>
      <c r="B85" s="36"/>
      <c r="C85" s="37"/>
      <c r="D85" s="37"/>
      <c r="E85" s="171" t="str">
        <f>E7</f>
        <v>Forestina Horaždovice- UT, OPZ</v>
      </c>
      <c r="F85" s="29"/>
      <c r="G85" s="29"/>
      <c r="H85" s="29"/>
      <c r="I85" s="37"/>
      <c r="J85" s="37"/>
      <c r="K85" s="37"/>
      <c r="L85" s="6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="2" customFormat="1" ht="12" customHeight="1">
      <c r="A86" s="35"/>
      <c r="B86" s="36"/>
      <c r="C86" s="29" t="s">
        <v>102</v>
      </c>
      <c r="D86" s="37"/>
      <c r="E86" s="37"/>
      <c r="F86" s="37"/>
      <c r="G86" s="37"/>
      <c r="H86" s="37"/>
      <c r="I86" s="37"/>
      <c r="J86" s="37"/>
      <c r="K86" s="37"/>
      <c r="L86" s="6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="2" customFormat="1" ht="16.5" customHeight="1">
      <c r="A87" s="35"/>
      <c r="B87" s="36"/>
      <c r="C87" s="37"/>
      <c r="D87" s="37"/>
      <c r="E87" s="73" t="str">
        <f>E9</f>
        <v>02 - Vytápění- otop. soustava</v>
      </c>
      <c r="F87" s="37"/>
      <c r="G87" s="37"/>
      <c r="H87" s="37"/>
      <c r="I87" s="37"/>
      <c r="J87" s="37"/>
      <c r="K87" s="37"/>
      <c r="L87" s="6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="2" customFormat="1" ht="6.96" customHeight="1">
      <c r="A88" s="35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6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="2" customFormat="1" ht="12" customHeight="1">
      <c r="A89" s="35"/>
      <c r="B89" s="36"/>
      <c r="C89" s="29" t="s">
        <v>20</v>
      </c>
      <c r="D89" s="37"/>
      <c r="E89" s="37"/>
      <c r="F89" s="24" t="str">
        <f>F12</f>
        <v>Horaždovice</v>
      </c>
      <c r="G89" s="37"/>
      <c r="H89" s="37"/>
      <c r="I89" s="29" t="s">
        <v>22</v>
      </c>
      <c r="J89" s="76" t="str">
        <f>IF(J12="","",J12)</f>
        <v>10. 6. 2025</v>
      </c>
      <c r="K89" s="37"/>
      <c r="L89" s="6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="2" customFormat="1" ht="6.96" customHeight="1">
      <c r="A90" s="35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6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="2" customFormat="1" ht="15.15" customHeight="1">
      <c r="A91" s="35"/>
      <c r="B91" s="36"/>
      <c r="C91" s="29" t="s">
        <v>24</v>
      </c>
      <c r="D91" s="37"/>
      <c r="E91" s="37"/>
      <c r="F91" s="24" t="str">
        <f>E15</f>
        <v xml:space="preserve"> </v>
      </c>
      <c r="G91" s="37"/>
      <c r="H91" s="37"/>
      <c r="I91" s="29" t="s">
        <v>30</v>
      </c>
      <c r="J91" s="33" t="str">
        <f>E21</f>
        <v xml:space="preserve"> </v>
      </c>
      <c r="K91" s="37"/>
      <c r="L91" s="6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="2" customFormat="1" ht="15.15" customHeight="1">
      <c r="A92" s="35"/>
      <c r="B92" s="36"/>
      <c r="C92" s="29" t="s">
        <v>28</v>
      </c>
      <c r="D92" s="37"/>
      <c r="E92" s="37"/>
      <c r="F92" s="24" t="str">
        <f>IF(E18="","",E18)</f>
        <v>Vyplň údaj</v>
      </c>
      <c r="G92" s="37"/>
      <c r="H92" s="37"/>
      <c r="I92" s="29" t="s">
        <v>32</v>
      </c>
      <c r="J92" s="33" t="str">
        <f>E24</f>
        <v xml:space="preserve">Ing. pavel Míka </v>
      </c>
      <c r="K92" s="37"/>
      <c r="L92" s="6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="2" customFormat="1" ht="10.32" customHeight="1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6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="2" customFormat="1" ht="29.28" customHeight="1">
      <c r="A94" s="35"/>
      <c r="B94" s="36"/>
      <c r="C94" s="172" t="s">
        <v>105</v>
      </c>
      <c r="D94" s="173"/>
      <c r="E94" s="173"/>
      <c r="F94" s="173"/>
      <c r="G94" s="173"/>
      <c r="H94" s="173"/>
      <c r="I94" s="173"/>
      <c r="J94" s="174" t="s">
        <v>106</v>
      </c>
      <c r="K94" s="173"/>
      <c r="L94" s="6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="2" customFormat="1" ht="10.32" customHeight="1">
      <c r="A95" s="35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6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="2" customFormat="1" ht="22.8" customHeight="1">
      <c r="A96" s="35"/>
      <c r="B96" s="36"/>
      <c r="C96" s="175" t="s">
        <v>107</v>
      </c>
      <c r="D96" s="37"/>
      <c r="E96" s="37"/>
      <c r="F96" s="37"/>
      <c r="G96" s="37"/>
      <c r="H96" s="37"/>
      <c r="I96" s="37"/>
      <c r="J96" s="107">
        <f>J124</f>
        <v>0</v>
      </c>
      <c r="K96" s="37"/>
      <c r="L96" s="6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U96" s="14" t="s">
        <v>108</v>
      </c>
    </row>
    <row r="97" s="9" customFormat="1" ht="24.96" customHeight="1">
      <c r="A97" s="9"/>
      <c r="B97" s="176"/>
      <c r="C97" s="177"/>
      <c r="D97" s="178" t="s">
        <v>109</v>
      </c>
      <c r="E97" s="179"/>
      <c r="F97" s="179"/>
      <c r="G97" s="179"/>
      <c r="H97" s="179"/>
      <c r="I97" s="179"/>
      <c r="J97" s="180">
        <f>J125</f>
        <v>0</v>
      </c>
      <c r="K97" s="177"/>
      <c r="L97" s="181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2"/>
      <c r="C98" s="183"/>
      <c r="D98" s="184" t="s">
        <v>110</v>
      </c>
      <c r="E98" s="185"/>
      <c r="F98" s="185"/>
      <c r="G98" s="185"/>
      <c r="H98" s="185"/>
      <c r="I98" s="185"/>
      <c r="J98" s="186">
        <f>J126</f>
        <v>0</v>
      </c>
      <c r="K98" s="183"/>
      <c r="L98" s="187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2"/>
      <c r="C99" s="183"/>
      <c r="D99" s="184" t="s">
        <v>113</v>
      </c>
      <c r="E99" s="185"/>
      <c r="F99" s="185"/>
      <c r="G99" s="185"/>
      <c r="H99" s="185"/>
      <c r="I99" s="185"/>
      <c r="J99" s="186">
        <f>J136</f>
        <v>0</v>
      </c>
      <c r="K99" s="183"/>
      <c r="L99" s="187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2"/>
      <c r="C100" s="183"/>
      <c r="D100" s="184" t="s">
        <v>114</v>
      </c>
      <c r="E100" s="185"/>
      <c r="F100" s="185"/>
      <c r="G100" s="185"/>
      <c r="H100" s="185"/>
      <c r="I100" s="185"/>
      <c r="J100" s="186">
        <f>J154</f>
        <v>0</v>
      </c>
      <c r="K100" s="183"/>
      <c r="L100" s="187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2"/>
      <c r="C101" s="183"/>
      <c r="D101" s="184" t="s">
        <v>557</v>
      </c>
      <c r="E101" s="185"/>
      <c r="F101" s="185"/>
      <c r="G101" s="185"/>
      <c r="H101" s="185"/>
      <c r="I101" s="185"/>
      <c r="J101" s="186">
        <f>J160</f>
        <v>0</v>
      </c>
      <c r="K101" s="183"/>
      <c r="L101" s="187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82"/>
      <c r="C102" s="183"/>
      <c r="D102" s="184" t="s">
        <v>558</v>
      </c>
      <c r="E102" s="185"/>
      <c r="F102" s="185"/>
      <c r="G102" s="185"/>
      <c r="H102" s="185"/>
      <c r="I102" s="185"/>
      <c r="J102" s="186">
        <f>J179</f>
        <v>0</v>
      </c>
      <c r="K102" s="183"/>
      <c r="L102" s="187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10" customFormat="1" ht="19.92" customHeight="1">
      <c r="A103" s="10"/>
      <c r="B103" s="182"/>
      <c r="C103" s="183"/>
      <c r="D103" s="184" t="s">
        <v>115</v>
      </c>
      <c r="E103" s="185"/>
      <c r="F103" s="185"/>
      <c r="G103" s="185"/>
      <c r="H103" s="185"/>
      <c r="I103" s="185"/>
      <c r="J103" s="186">
        <f>J183</f>
        <v>0</v>
      </c>
      <c r="K103" s="183"/>
      <c r="L103" s="187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="9" customFormat="1" ht="24.96" customHeight="1">
      <c r="A104" s="9"/>
      <c r="B104" s="176"/>
      <c r="C104" s="177"/>
      <c r="D104" s="178" t="s">
        <v>559</v>
      </c>
      <c r="E104" s="179"/>
      <c r="F104" s="179"/>
      <c r="G104" s="179"/>
      <c r="H104" s="179"/>
      <c r="I104" s="179"/>
      <c r="J104" s="180">
        <f>J186</f>
        <v>0</v>
      </c>
      <c r="K104" s="177"/>
      <c r="L104" s="181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="2" customFormat="1" ht="21.84" customHeight="1">
      <c r="A105" s="35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60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  <row r="106" s="2" customFormat="1" ht="6.96" customHeight="1">
      <c r="A106" s="35"/>
      <c r="B106" s="63"/>
      <c r="C106" s="64"/>
      <c r="D106" s="64"/>
      <c r="E106" s="64"/>
      <c r="F106" s="64"/>
      <c r="G106" s="64"/>
      <c r="H106" s="64"/>
      <c r="I106" s="64"/>
      <c r="J106" s="64"/>
      <c r="K106" s="64"/>
      <c r="L106" s="60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</row>
    <row r="110" s="2" customFormat="1" ht="6.96" customHeight="1">
      <c r="A110" s="35"/>
      <c r="B110" s="65"/>
      <c r="C110" s="66"/>
      <c r="D110" s="66"/>
      <c r="E110" s="66"/>
      <c r="F110" s="66"/>
      <c r="G110" s="66"/>
      <c r="H110" s="66"/>
      <c r="I110" s="66"/>
      <c r="J110" s="66"/>
      <c r="K110" s="66"/>
      <c r="L110" s="6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 s="2" customFormat="1" ht="24.96" customHeight="1">
      <c r="A111" s="35"/>
      <c r="B111" s="36"/>
      <c r="C111" s="20" t="s">
        <v>116</v>
      </c>
      <c r="D111" s="37"/>
      <c r="E111" s="37"/>
      <c r="F111" s="37"/>
      <c r="G111" s="37"/>
      <c r="H111" s="37"/>
      <c r="I111" s="37"/>
      <c r="J111" s="37"/>
      <c r="K111" s="37"/>
      <c r="L111" s="6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 s="2" customFormat="1" ht="6.96" customHeight="1">
      <c r="A112" s="35"/>
      <c r="B112" s="36"/>
      <c r="C112" s="37"/>
      <c r="D112" s="37"/>
      <c r="E112" s="37"/>
      <c r="F112" s="37"/>
      <c r="G112" s="37"/>
      <c r="H112" s="37"/>
      <c r="I112" s="37"/>
      <c r="J112" s="37"/>
      <c r="K112" s="37"/>
      <c r="L112" s="6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 s="2" customFormat="1" ht="12" customHeight="1">
      <c r="A113" s="35"/>
      <c r="B113" s="36"/>
      <c r="C113" s="29" t="s">
        <v>16</v>
      </c>
      <c r="D113" s="37"/>
      <c r="E113" s="37"/>
      <c r="F113" s="37"/>
      <c r="G113" s="37"/>
      <c r="H113" s="37"/>
      <c r="I113" s="37"/>
      <c r="J113" s="37"/>
      <c r="K113" s="37"/>
      <c r="L113" s="6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 s="2" customFormat="1" ht="16.5" customHeight="1">
      <c r="A114" s="35"/>
      <c r="B114" s="36"/>
      <c r="C114" s="37"/>
      <c r="D114" s="37"/>
      <c r="E114" s="171" t="str">
        <f>E7</f>
        <v>Forestina Horaždovice- UT, OPZ</v>
      </c>
      <c r="F114" s="29"/>
      <c r="G114" s="29"/>
      <c r="H114" s="29"/>
      <c r="I114" s="37"/>
      <c r="J114" s="37"/>
      <c r="K114" s="37"/>
      <c r="L114" s="6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 s="2" customFormat="1" ht="12" customHeight="1">
      <c r="A115" s="35"/>
      <c r="B115" s="36"/>
      <c r="C115" s="29" t="s">
        <v>102</v>
      </c>
      <c r="D115" s="37"/>
      <c r="E115" s="37"/>
      <c r="F115" s="37"/>
      <c r="G115" s="37"/>
      <c r="H115" s="37"/>
      <c r="I115" s="37"/>
      <c r="J115" s="37"/>
      <c r="K115" s="37"/>
      <c r="L115" s="6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 s="2" customFormat="1" ht="16.5" customHeight="1">
      <c r="A116" s="35"/>
      <c r="B116" s="36"/>
      <c r="C116" s="37"/>
      <c r="D116" s="37"/>
      <c r="E116" s="73" t="str">
        <f>E9</f>
        <v>02 - Vytápění- otop. soustava</v>
      </c>
      <c r="F116" s="37"/>
      <c r="G116" s="37"/>
      <c r="H116" s="37"/>
      <c r="I116" s="37"/>
      <c r="J116" s="37"/>
      <c r="K116" s="37"/>
      <c r="L116" s="6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="2" customFormat="1" ht="6.96" customHeight="1">
      <c r="A117" s="35"/>
      <c r="B117" s="36"/>
      <c r="C117" s="37"/>
      <c r="D117" s="37"/>
      <c r="E117" s="37"/>
      <c r="F117" s="37"/>
      <c r="G117" s="37"/>
      <c r="H117" s="37"/>
      <c r="I117" s="37"/>
      <c r="J117" s="37"/>
      <c r="K117" s="37"/>
      <c r="L117" s="60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="2" customFormat="1" ht="12" customHeight="1">
      <c r="A118" s="35"/>
      <c r="B118" s="36"/>
      <c r="C118" s="29" t="s">
        <v>20</v>
      </c>
      <c r="D118" s="37"/>
      <c r="E118" s="37"/>
      <c r="F118" s="24" t="str">
        <f>F12</f>
        <v>Horaždovice</v>
      </c>
      <c r="G118" s="37"/>
      <c r="H118" s="37"/>
      <c r="I118" s="29" t="s">
        <v>22</v>
      </c>
      <c r="J118" s="76" t="str">
        <f>IF(J12="","",J12)</f>
        <v>10. 6. 2025</v>
      </c>
      <c r="K118" s="37"/>
      <c r="L118" s="60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</row>
    <row r="119" s="2" customFormat="1" ht="6.96" customHeight="1">
      <c r="A119" s="35"/>
      <c r="B119" s="36"/>
      <c r="C119" s="37"/>
      <c r="D119" s="37"/>
      <c r="E119" s="37"/>
      <c r="F119" s="37"/>
      <c r="G119" s="37"/>
      <c r="H119" s="37"/>
      <c r="I119" s="37"/>
      <c r="J119" s="37"/>
      <c r="K119" s="37"/>
      <c r="L119" s="60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</row>
    <row r="120" s="2" customFormat="1" ht="15.15" customHeight="1">
      <c r="A120" s="35"/>
      <c r="B120" s="36"/>
      <c r="C120" s="29" t="s">
        <v>24</v>
      </c>
      <c r="D120" s="37"/>
      <c r="E120" s="37"/>
      <c r="F120" s="24" t="str">
        <f>E15</f>
        <v xml:space="preserve"> </v>
      </c>
      <c r="G120" s="37"/>
      <c r="H120" s="37"/>
      <c r="I120" s="29" t="s">
        <v>30</v>
      </c>
      <c r="J120" s="33" t="str">
        <f>E21</f>
        <v xml:space="preserve"> </v>
      </c>
      <c r="K120" s="37"/>
      <c r="L120" s="60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</row>
    <row r="121" s="2" customFormat="1" ht="15.15" customHeight="1">
      <c r="A121" s="35"/>
      <c r="B121" s="36"/>
      <c r="C121" s="29" t="s">
        <v>28</v>
      </c>
      <c r="D121" s="37"/>
      <c r="E121" s="37"/>
      <c r="F121" s="24" t="str">
        <f>IF(E18="","",E18)</f>
        <v>Vyplň údaj</v>
      </c>
      <c r="G121" s="37"/>
      <c r="H121" s="37"/>
      <c r="I121" s="29" t="s">
        <v>32</v>
      </c>
      <c r="J121" s="33" t="str">
        <f>E24</f>
        <v xml:space="preserve">Ing. pavel Míka </v>
      </c>
      <c r="K121" s="37"/>
      <c r="L121" s="60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</row>
    <row r="122" s="2" customFormat="1" ht="10.32" customHeight="1">
      <c r="A122" s="35"/>
      <c r="B122" s="36"/>
      <c r="C122" s="37"/>
      <c r="D122" s="37"/>
      <c r="E122" s="37"/>
      <c r="F122" s="37"/>
      <c r="G122" s="37"/>
      <c r="H122" s="37"/>
      <c r="I122" s="37"/>
      <c r="J122" s="37"/>
      <c r="K122" s="37"/>
      <c r="L122" s="60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</row>
    <row r="123" s="11" customFormat="1" ht="29.28" customHeight="1">
      <c r="A123" s="188"/>
      <c r="B123" s="189"/>
      <c r="C123" s="190" t="s">
        <v>117</v>
      </c>
      <c r="D123" s="191" t="s">
        <v>60</v>
      </c>
      <c r="E123" s="191" t="s">
        <v>56</v>
      </c>
      <c r="F123" s="191" t="s">
        <v>57</v>
      </c>
      <c r="G123" s="191" t="s">
        <v>118</v>
      </c>
      <c r="H123" s="191" t="s">
        <v>119</v>
      </c>
      <c r="I123" s="191" t="s">
        <v>120</v>
      </c>
      <c r="J123" s="192" t="s">
        <v>106</v>
      </c>
      <c r="K123" s="193" t="s">
        <v>121</v>
      </c>
      <c r="L123" s="194"/>
      <c r="M123" s="97" t="s">
        <v>1</v>
      </c>
      <c r="N123" s="98" t="s">
        <v>39</v>
      </c>
      <c r="O123" s="98" t="s">
        <v>122</v>
      </c>
      <c r="P123" s="98" t="s">
        <v>123</v>
      </c>
      <c r="Q123" s="98" t="s">
        <v>124</v>
      </c>
      <c r="R123" s="98" t="s">
        <v>125</v>
      </c>
      <c r="S123" s="98" t="s">
        <v>126</v>
      </c>
      <c r="T123" s="99" t="s">
        <v>127</v>
      </c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</row>
    <row r="124" s="2" customFormat="1" ht="22.8" customHeight="1">
      <c r="A124" s="35"/>
      <c r="B124" s="36"/>
      <c r="C124" s="104" t="s">
        <v>128</v>
      </c>
      <c r="D124" s="37"/>
      <c r="E124" s="37"/>
      <c r="F124" s="37"/>
      <c r="G124" s="37"/>
      <c r="H124" s="37"/>
      <c r="I124" s="37"/>
      <c r="J124" s="195">
        <f>BK124</f>
        <v>0</v>
      </c>
      <c r="K124" s="37"/>
      <c r="L124" s="41"/>
      <c r="M124" s="100"/>
      <c r="N124" s="196"/>
      <c r="O124" s="101"/>
      <c r="P124" s="197">
        <f>P125+P186</f>
        <v>0</v>
      </c>
      <c r="Q124" s="101"/>
      <c r="R124" s="197">
        <f>R125+R186</f>
        <v>3.84748</v>
      </c>
      <c r="S124" s="101"/>
      <c r="T124" s="198">
        <f>T125+T186</f>
        <v>0</v>
      </c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T124" s="14" t="s">
        <v>74</v>
      </c>
      <c r="AU124" s="14" t="s">
        <v>108</v>
      </c>
      <c r="BK124" s="199">
        <f>BK125+BK186</f>
        <v>0</v>
      </c>
    </row>
    <row r="125" s="12" customFormat="1" ht="25.92" customHeight="1">
      <c r="A125" s="12"/>
      <c r="B125" s="200"/>
      <c r="C125" s="201"/>
      <c r="D125" s="202" t="s">
        <v>74</v>
      </c>
      <c r="E125" s="203" t="s">
        <v>129</v>
      </c>
      <c r="F125" s="203" t="s">
        <v>130</v>
      </c>
      <c r="G125" s="201"/>
      <c r="H125" s="201"/>
      <c r="I125" s="204"/>
      <c r="J125" s="205">
        <f>BK125</f>
        <v>0</v>
      </c>
      <c r="K125" s="201"/>
      <c r="L125" s="206"/>
      <c r="M125" s="207"/>
      <c r="N125" s="208"/>
      <c r="O125" s="208"/>
      <c r="P125" s="209">
        <f>P126+P136+P154+P160+P179+P183</f>
        <v>0</v>
      </c>
      <c r="Q125" s="208"/>
      <c r="R125" s="209">
        <f>R126+R136+R154+R160+R179+R183</f>
        <v>3.84748</v>
      </c>
      <c r="S125" s="208"/>
      <c r="T125" s="210">
        <f>T126+T136+T154+T160+T179+T183</f>
        <v>0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R125" s="211" t="s">
        <v>85</v>
      </c>
      <c r="AT125" s="212" t="s">
        <v>74</v>
      </c>
      <c r="AU125" s="212" t="s">
        <v>75</v>
      </c>
      <c r="AY125" s="211" t="s">
        <v>131</v>
      </c>
      <c r="BK125" s="213">
        <f>BK126+BK136+BK154+BK160+BK179+BK183</f>
        <v>0</v>
      </c>
    </row>
    <row r="126" s="12" customFormat="1" ht="22.8" customHeight="1">
      <c r="A126" s="12"/>
      <c r="B126" s="200"/>
      <c r="C126" s="201"/>
      <c r="D126" s="202" t="s">
        <v>74</v>
      </c>
      <c r="E126" s="214" t="s">
        <v>132</v>
      </c>
      <c r="F126" s="214" t="s">
        <v>133</v>
      </c>
      <c r="G126" s="201"/>
      <c r="H126" s="201"/>
      <c r="I126" s="204"/>
      <c r="J126" s="215">
        <f>BK126</f>
        <v>0</v>
      </c>
      <c r="K126" s="201"/>
      <c r="L126" s="206"/>
      <c r="M126" s="207"/>
      <c r="N126" s="208"/>
      <c r="O126" s="208"/>
      <c r="P126" s="209">
        <f>SUM(P127:P135)</f>
        <v>0</v>
      </c>
      <c r="Q126" s="208"/>
      <c r="R126" s="209">
        <f>SUM(R127:R135)</f>
        <v>0.1545</v>
      </c>
      <c r="S126" s="208"/>
      <c r="T126" s="210">
        <f>SUM(T127:T135)</f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R126" s="211" t="s">
        <v>85</v>
      </c>
      <c r="AT126" s="212" t="s">
        <v>74</v>
      </c>
      <c r="AU126" s="212" t="s">
        <v>83</v>
      </c>
      <c r="AY126" s="211" t="s">
        <v>131</v>
      </c>
      <c r="BK126" s="213">
        <f>SUM(BK127:BK135)</f>
        <v>0</v>
      </c>
    </row>
    <row r="127" s="2" customFormat="1" ht="66.75" customHeight="1">
      <c r="A127" s="35"/>
      <c r="B127" s="36"/>
      <c r="C127" s="216" t="s">
        <v>83</v>
      </c>
      <c r="D127" s="216" t="s">
        <v>134</v>
      </c>
      <c r="E127" s="217" t="s">
        <v>140</v>
      </c>
      <c r="F127" s="218" t="s">
        <v>560</v>
      </c>
      <c r="G127" s="219" t="s">
        <v>142</v>
      </c>
      <c r="H127" s="220">
        <v>130</v>
      </c>
      <c r="I127" s="221"/>
      <c r="J127" s="222">
        <f>ROUND(I127*H127,2)</f>
        <v>0</v>
      </c>
      <c r="K127" s="223"/>
      <c r="L127" s="41"/>
      <c r="M127" s="224" t="s">
        <v>1</v>
      </c>
      <c r="N127" s="225" t="s">
        <v>40</v>
      </c>
      <c r="O127" s="88"/>
      <c r="P127" s="226">
        <f>O127*H127</f>
        <v>0</v>
      </c>
      <c r="Q127" s="226">
        <v>0.00019000000000000001</v>
      </c>
      <c r="R127" s="226">
        <f>Q127*H127</f>
        <v>0.0247</v>
      </c>
      <c r="S127" s="226">
        <v>0</v>
      </c>
      <c r="T127" s="227">
        <f>S127*H127</f>
        <v>0</v>
      </c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R127" s="228" t="s">
        <v>138</v>
      </c>
      <c r="AT127" s="228" t="s">
        <v>134</v>
      </c>
      <c r="AU127" s="228" t="s">
        <v>85</v>
      </c>
      <c r="AY127" s="14" t="s">
        <v>131</v>
      </c>
      <c r="BE127" s="229">
        <f>IF(N127="základní",J127,0)</f>
        <v>0</v>
      </c>
      <c r="BF127" s="229">
        <f>IF(N127="snížená",J127,0)</f>
        <v>0</v>
      </c>
      <c r="BG127" s="229">
        <f>IF(N127="zákl. přenesená",J127,0)</f>
        <v>0</v>
      </c>
      <c r="BH127" s="229">
        <f>IF(N127="sníž. přenesená",J127,0)</f>
        <v>0</v>
      </c>
      <c r="BI127" s="229">
        <f>IF(N127="nulová",J127,0)</f>
        <v>0</v>
      </c>
      <c r="BJ127" s="14" t="s">
        <v>83</v>
      </c>
      <c r="BK127" s="229">
        <f>ROUND(I127*H127,2)</f>
        <v>0</v>
      </c>
      <c r="BL127" s="14" t="s">
        <v>138</v>
      </c>
      <c r="BM127" s="228" t="s">
        <v>561</v>
      </c>
    </row>
    <row r="128" s="2" customFormat="1" ht="24.15" customHeight="1">
      <c r="A128" s="35"/>
      <c r="B128" s="36"/>
      <c r="C128" s="230" t="s">
        <v>85</v>
      </c>
      <c r="D128" s="230" t="s">
        <v>145</v>
      </c>
      <c r="E128" s="231" t="s">
        <v>562</v>
      </c>
      <c r="F128" s="232" t="s">
        <v>563</v>
      </c>
      <c r="G128" s="233" t="s">
        <v>142</v>
      </c>
      <c r="H128" s="234">
        <v>55</v>
      </c>
      <c r="I128" s="235"/>
      <c r="J128" s="236">
        <f>ROUND(I128*H128,2)</f>
        <v>0</v>
      </c>
      <c r="K128" s="237"/>
      <c r="L128" s="238"/>
      <c r="M128" s="239" t="s">
        <v>1</v>
      </c>
      <c r="N128" s="240" t="s">
        <v>40</v>
      </c>
      <c r="O128" s="88"/>
      <c r="P128" s="226">
        <f>O128*H128</f>
        <v>0</v>
      </c>
      <c r="Q128" s="226">
        <v>0.00042000000000000002</v>
      </c>
      <c r="R128" s="226">
        <f>Q128*H128</f>
        <v>0.023100000000000002</v>
      </c>
      <c r="S128" s="226">
        <v>0</v>
      </c>
      <c r="T128" s="227">
        <f>S128*H128</f>
        <v>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R128" s="228" t="s">
        <v>148</v>
      </c>
      <c r="AT128" s="228" t="s">
        <v>145</v>
      </c>
      <c r="AU128" s="228" t="s">
        <v>85</v>
      </c>
      <c r="AY128" s="14" t="s">
        <v>131</v>
      </c>
      <c r="BE128" s="229">
        <f>IF(N128="základní",J128,0)</f>
        <v>0</v>
      </c>
      <c r="BF128" s="229">
        <f>IF(N128="snížená",J128,0)</f>
        <v>0</v>
      </c>
      <c r="BG128" s="229">
        <f>IF(N128="zákl. přenesená",J128,0)</f>
        <v>0</v>
      </c>
      <c r="BH128" s="229">
        <f>IF(N128="sníž. přenesená",J128,0)</f>
        <v>0</v>
      </c>
      <c r="BI128" s="229">
        <f>IF(N128="nulová",J128,0)</f>
        <v>0</v>
      </c>
      <c r="BJ128" s="14" t="s">
        <v>83</v>
      </c>
      <c r="BK128" s="229">
        <f>ROUND(I128*H128,2)</f>
        <v>0</v>
      </c>
      <c r="BL128" s="14" t="s">
        <v>138</v>
      </c>
      <c r="BM128" s="228" t="s">
        <v>564</v>
      </c>
    </row>
    <row r="129" s="2" customFormat="1" ht="24.15" customHeight="1">
      <c r="A129" s="35"/>
      <c r="B129" s="36"/>
      <c r="C129" s="230" t="s">
        <v>144</v>
      </c>
      <c r="D129" s="230" t="s">
        <v>145</v>
      </c>
      <c r="E129" s="231" t="s">
        <v>565</v>
      </c>
      <c r="F129" s="232" t="s">
        <v>566</v>
      </c>
      <c r="G129" s="233" t="s">
        <v>142</v>
      </c>
      <c r="H129" s="234">
        <v>50</v>
      </c>
      <c r="I129" s="235"/>
      <c r="J129" s="236">
        <f>ROUND(I129*H129,2)</f>
        <v>0</v>
      </c>
      <c r="K129" s="237"/>
      <c r="L129" s="238"/>
      <c r="M129" s="239" t="s">
        <v>1</v>
      </c>
      <c r="N129" s="240" t="s">
        <v>40</v>
      </c>
      <c r="O129" s="88"/>
      <c r="P129" s="226">
        <f>O129*H129</f>
        <v>0</v>
      </c>
      <c r="Q129" s="226">
        <v>0.00088000000000000003</v>
      </c>
      <c r="R129" s="226">
        <f>Q129*H129</f>
        <v>0.044000000000000004</v>
      </c>
      <c r="S129" s="226">
        <v>0</v>
      </c>
      <c r="T129" s="227">
        <f>S129*H129</f>
        <v>0</v>
      </c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R129" s="228" t="s">
        <v>148</v>
      </c>
      <c r="AT129" s="228" t="s">
        <v>145</v>
      </c>
      <c r="AU129" s="228" t="s">
        <v>85</v>
      </c>
      <c r="AY129" s="14" t="s">
        <v>131</v>
      </c>
      <c r="BE129" s="229">
        <f>IF(N129="základní",J129,0)</f>
        <v>0</v>
      </c>
      <c r="BF129" s="229">
        <f>IF(N129="snížená",J129,0)</f>
        <v>0</v>
      </c>
      <c r="BG129" s="229">
        <f>IF(N129="zákl. přenesená",J129,0)</f>
        <v>0</v>
      </c>
      <c r="BH129" s="229">
        <f>IF(N129="sníž. přenesená",J129,0)</f>
        <v>0</v>
      </c>
      <c r="BI129" s="229">
        <f>IF(N129="nulová",J129,0)</f>
        <v>0</v>
      </c>
      <c r="BJ129" s="14" t="s">
        <v>83</v>
      </c>
      <c r="BK129" s="229">
        <f>ROUND(I129*H129,2)</f>
        <v>0</v>
      </c>
      <c r="BL129" s="14" t="s">
        <v>138</v>
      </c>
      <c r="BM129" s="228" t="s">
        <v>567</v>
      </c>
    </row>
    <row r="130" s="2" customFormat="1" ht="24.15" customHeight="1">
      <c r="A130" s="35"/>
      <c r="B130" s="36"/>
      <c r="C130" s="230" t="s">
        <v>150</v>
      </c>
      <c r="D130" s="230" t="s">
        <v>145</v>
      </c>
      <c r="E130" s="231" t="s">
        <v>568</v>
      </c>
      <c r="F130" s="232" t="s">
        <v>569</v>
      </c>
      <c r="G130" s="233" t="s">
        <v>142</v>
      </c>
      <c r="H130" s="234">
        <v>25</v>
      </c>
      <c r="I130" s="235"/>
      <c r="J130" s="236">
        <f>ROUND(I130*H130,2)</f>
        <v>0</v>
      </c>
      <c r="K130" s="237"/>
      <c r="L130" s="238"/>
      <c r="M130" s="239" t="s">
        <v>1</v>
      </c>
      <c r="N130" s="240" t="s">
        <v>40</v>
      </c>
      <c r="O130" s="88"/>
      <c r="P130" s="226">
        <f>O130*H130</f>
        <v>0</v>
      </c>
      <c r="Q130" s="226">
        <v>0.0010200000000000001</v>
      </c>
      <c r="R130" s="226">
        <f>Q130*H130</f>
        <v>0.025500000000000002</v>
      </c>
      <c r="S130" s="226">
        <v>0</v>
      </c>
      <c r="T130" s="227">
        <f>S130*H130</f>
        <v>0</v>
      </c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R130" s="228" t="s">
        <v>148</v>
      </c>
      <c r="AT130" s="228" t="s">
        <v>145</v>
      </c>
      <c r="AU130" s="228" t="s">
        <v>85</v>
      </c>
      <c r="AY130" s="14" t="s">
        <v>131</v>
      </c>
      <c r="BE130" s="229">
        <f>IF(N130="základní",J130,0)</f>
        <v>0</v>
      </c>
      <c r="BF130" s="229">
        <f>IF(N130="snížená",J130,0)</f>
        <v>0</v>
      </c>
      <c r="BG130" s="229">
        <f>IF(N130="zákl. přenesená",J130,0)</f>
        <v>0</v>
      </c>
      <c r="BH130" s="229">
        <f>IF(N130="sníž. přenesená",J130,0)</f>
        <v>0</v>
      </c>
      <c r="BI130" s="229">
        <f>IF(N130="nulová",J130,0)</f>
        <v>0</v>
      </c>
      <c r="BJ130" s="14" t="s">
        <v>83</v>
      </c>
      <c r="BK130" s="229">
        <f>ROUND(I130*H130,2)</f>
        <v>0</v>
      </c>
      <c r="BL130" s="14" t="s">
        <v>138</v>
      </c>
      <c r="BM130" s="228" t="s">
        <v>570</v>
      </c>
    </row>
    <row r="131" s="2" customFormat="1" ht="37.8" customHeight="1">
      <c r="A131" s="35"/>
      <c r="B131" s="36"/>
      <c r="C131" s="216" t="s">
        <v>154</v>
      </c>
      <c r="D131" s="216" t="s">
        <v>134</v>
      </c>
      <c r="E131" s="217" t="s">
        <v>159</v>
      </c>
      <c r="F131" s="218" t="s">
        <v>160</v>
      </c>
      <c r="G131" s="219" t="s">
        <v>142</v>
      </c>
      <c r="H131" s="220">
        <v>305</v>
      </c>
      <c r="I131" s="221"/>
      <c r="J131" s="222">
        <f>ROUND(I131*H131,2)</f>
        <v>0</v>
      </c>
      <c r="K131" s="223"/>
      <c r="L131" s="41"/>
      <c r="M131" s="224" t="s">
        <v>1</v>
      </c>
      <c r="N131" s="225" t="s">
        <v>40</v>
      </c>
      <c r="O131" s="88"/>
      <c r="P131" s="226">
        <f>O131*H131</f>
        <v>0</v>
      </c>
      <c r="Q131" s="226">
        <v>0</v>
      </c>
      <c r="R131" s="226">
        <f>Q131*H131</f>
        <v>0</v>
      </c>
      <c r="S131" s="226">
        <v>0</v>
      </c>
      <c r="T131" s="227">
        <f>S131*H131</f>
        <v>0</v>
      </c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R131" s="228" t="s">
        <v>138</v>
      </c>
      <c r="AT131" s="228" t="s">
        <v>134</v>
      </c>
      <c r="AU131" s="228" t="s">
        <v>85</v>
      </c>
      <c r="AY131" s="14" t="s">
        <v>131</v>
      </c>
      <c r="BE131" s="229">
        <f>IF(N131="základní",J131,0)</f>
        <v>0</v>
      </c>
      <c r="BF131" s="229">
        <f>IF(N131="snížená",J131,0)</f>
        <v>0</v>
      </c>
      <c r="BG131" s="229">
        <f>IF(N131="zákl. přenesená",J131,0)</f>
        <v>0</v>
      </c>
      <c r="BH131" s="229">
        <f>IF(N131="sníž. přenesená",J131,0)</f>
        <v>0</v>
      </c>
      <c r="BI131" s="229">
        <f>IF(N131="nulová",J131,0)</f>
        <v>0</v>
      </c>
      <c r="BJ131" s="14" t="s">
        <v>83</v>
      </c>
      <c r="BK131" s="229">
        <f>ROUND(I131*H131,2)</f>
        <v>0</v>
      </c>
      <c r="BL131" s="14" t="s">
        <v>138</v>
      </c>
      <c r="BM131" s="228" t="s">
        <v>571</v>
      </c>
    </row>
    <row r="132" s="2" customFormat="1" ht="24.15" customHeight="1">
      <c r="A132" s="35"/>
      <c r="B132" s="36"/>
      <c r="C132" s="230" t="s">
        <v>166</v>
      </c>
      <c r="D132" s="230" t="s">
        <v>145</v>
      </c>
      <c r="E132" s="231" t="s">
        <v>572</v>
      </c>
      <c r="F132" s="232" t="s">
        <v>573</v>
      </c>
      <c r="G132" s="233" t="s">
        <v>142</v>
      </c>
      <c r="H132" s="234">
        <v>50</v>
      </c>
      <c r="I132" s="235"/>
      <c r="J132" s="236">
        <f>ROUND(I132*H132,2)</f>
        <v>0</v>
      </c>
      <c r="K132" s="237"/>
      <c r="L132" s="238"/>
      <c r="M132" s="239" t="s">
        <v>1</v>
      </c>
      <c r="N132" s="240" t="s">
        <v>40</v>
      </c>
      <c r="O132" s="88"/>
      <c r="P132" s="226">
        <f>O132*H132</f>
        <v>0</v>
      </c>
      <c r="Q132" s="226">
        <v>8.0000000000000007E-05</v>
      </c>
      <c r="R132" s="226">
        <f>Q132*H132</f>
        <v>0.0040000000000000001</v>
      </c>
      <c r="S132" s="226">
        <v>0</v>
      </c>
      <c r="T132" s="227">
        <f>S132*H132</f>
        <v>0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R132" s="228" t="s">
        <v>148</v>
      </c>
      <c r="AT132" s="228" t="s">
        <v>145</v>
      </c>
      <c r="AU132" s="228" t="s">
        <v>85</v>
      </c>
      <c r="AY132" s="14" t="s">
        <v>131</v>
      </c>
      <c r="BE132" s="229">
        <f>IF(N132="základní",J132,0)</f>
        <v>0</v>
      </c>
      <c r="BF132" s="229">
        <f>IF(N132="snížená",J132,0)</f>
        <v>0</v>
      </c>
      <c r="BG132" s="229">
        <f>IF(N132="zákl. přenesená",J132,0)</f>
        <v>0</v>
      </c>
      <c r="BH132" s="229">
        <f>IF(N132="sníž. přenesená",J132,0)</f>
        <v>0</v>
      </c>
      <c r="BI132" s="229">
        <f>IF(N132="nulová",J132,0)</f>
        <v>0</v>
      </c>
      <c r="BJ132" s="14" t="s">
        <v>83</v>
      </c>
      <c r="BK132" s="229">
        <f>ROUND(I132*H132,2)</f>
        <v>0</v>
      </c>
      <c r="BL132" s="14" t="s">
        <v>138</v>
      </c>
      <c r="BM132" s="228" t="s">
        <v>574</v>
      </c>
    </row>
    <row r="133" s="2" customFormat="1" ht="24.15" customHeight="1">
      <c r="A133" s="35"/>
      <c r="B133" s="36"/>
      <c r="C133" s="230" t="s">
        <v>170</v>
      </c>
      <c r="D133" s="230" t="s">
        <v>145</v>
      </c>
      <c r="E133" s="231" t="s">
        <v>575</v>
      </c>
      <c r="F133" s="232" t="s">
        <v>576</v>
      </c>
      <c r="G133" s="233" t="s">
        <v>142</v>
      </c>
      <c r="H133" s="234">
        <v>190</v>
      </c>
      <c r="I133" s="235"/>
      <c r="J133" s="236">
        <f>ROUND(I133*H133,2)</f>
        <v>0</v>
      </c>
      <c r="K133" s="237"/>
      <c r="L133" s="238"/>
      <c r="M133" s="239" t="s">
        <v>1</v>
      </c>
      <c r="N133" s="240" t="s">
        <v>40</v>
      </c>
      <c r="O133" s="88"/>
      <c r="P133" s="226">
        <f>O133*H133</f>
        <v>0</v>
      </c>
      <c r="Q133" s="226">
        <v>0.00012</v>
      </c>
      <c r="R133" s="226">
        <f>Q133*H133</f>
        <v>0.022800000000000001</v>
      </c>
      <c r="S133" s="226">
        <v>0</v>
      </c>
      <c r="T133" s="227">
        <f>S133*H133</f>
        <v>0</v>
      </c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R133" s="228" t="s">
        <v>148</v>
      </c>
      <c r="AT133" s="228" t="s">
        <v>145</v>
      </c>
      <c r="AU133" s="228" t="s">
        <v>85</v>
      </c>
      <c r="AY133" s="14" t="s">
        <v>131</v>
      </c>
      <c r="BE133" s="229">
        <f>IF(N133="základní",J133,0)</f>
        <v>0</v>
      </c>
      <c r="BF133" s="229">
        <f>IF(N133="snížená",J133,0)</f>
        <v>0</v>
      </c>
      <c r="BG133" s="229">
        <f>IF(N133="zákl. přenesená",J133,0)</f>
        <v>0</v>
      </c>
      <c r="BH133" s="229">
        <f>IF(N133="sníž. přenesená",J133,0)</f>
        <v>0</v>
      </c>
      <c r="BI133" s="229">
        <f>IF(N133="nulová",J133,0)</f>
        <v>0</v>
      </c>
      <c r="BJ133" s="14" t="s">
        <v>83</v>
      </c>
      <c r="BK133" s="229">
        <f>ROUND(I133*H133,2)</f>
        <v>0</v>
      </c>
      <c r="BL133" s="14" t="s">
        <v>138</v>
      </c>
      <c r="BM133" s="228" t="s">
        <v>577</v>
      </c>
    </row>
    <row r="134" s="2" customFormat="1" ht="24.15" customHeight="1">
      <c r="A134" s="35"/>
      <c r="B134" s="36"/>
      <c r="C134" s="230" t="s">
        <v>177</v>
      </c>
      <c r="D134" s="230" t="s">
        <v>145</v>
      </c>
      <c r="E134" s="231" t="s">
        <v>578</v>
      </c>
      <c r="F134" s="232" t="s">
        <v>579</v>
      </c>
      <c r="G134" s="233" t="s">
        <v>142</v>
      </c>
      <c r="H134" s="234">
        <v>65</v>
      </c>
      <c r="I134" s="235"/>
      <c r="J134" s="236">
        <f>ROUND(I134*H134,2)</f>
        <v>0</v>
      </c>
      <c r="K134" s="237"/>
      <c r="L134" s="238"/>
      <c r="M134" s="239" t="s">
        <v>1</v>
      </c>
      <c r="N134" s="240" t="s">
        <v>40</v>
      </c>
      <c r="O134" s="88"/>
      <c r="P134" s="226">
        <f>O134*H134</f>
        <v>0</v>
      </c>
      <c r="Q134" s="226">
        <v>0.00016000000000000001</v>
      </c>
      <c r="R134" s="226">
        <f>Q134*H134</f>
        <v>0.010400000000000001</v>
      </c>
      <c r="S134" s="226">
        <v>0</v>
      </c>
      <c r="T134" s="227">
        <f>S134*H134</f>
        <v>0</v>
      </c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R134" s="228" t="s">
        <v>148</v>
      </c>
      <c r="AT134" s="228" t="s">
        <v>145</v>
      </c>
      <c r="AU134" s="228" t="s">
        <v>85</v>
      </c>
      <c r="AY134" s="14" t="s">
        <v>131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4" t="s">
        <v>83</v>
      </c>
      <c r="BK134" s="229">
        <f>ROUND(I134*H134,2)</f>
        <v>0</v>
      </c>
      <c r="BL134" s="14" t="s">
        <v>138</v>
      </c>
      <c r="BM134" s="228" t="s">
        <v>580</v>
      </c>
    </row>
    <row r="135" s="2" customFormat="1" ht="44.25" customHeight="1">
      <c r="A135" s="35"/>
      <c r="B135" s="36"/>
      <c r="C135" s="216" t="s">
        <v>195</v>
      </c>
      <c r="D135" s="216" t="s">
        <v>134</v>
      </c>
      <c r="E135" s="217" t="s">
        <v>581</v>
      </c>
      <c r="F135" s="218" t="s">
        <v>582</v>
      </c>
      <c r="G135" s="219" t="s">
        <v>173</v>
      </c>
      <c r="H135" s="241"/>
      <c r="I135" s="221"/>
      <c r="J135" s="222">
        <f>ROUND(I135*H135,2)</f>
        <v>0</v>
      </c>
      <c r="K135" s="223"/>
      <c r="L135" s="41"/>
      <c r="M135" s="224" t="s">
        <v>1</v>
      </c>
      <c r="N135" s="225" t="s">
        <v>40</v>
      </c>
      <c r="O135" s="88"/>
      <c r="P135" s="226">
        <f>O135*H135</f>
        <v>0</v>
      </c>
      <c r="Q135" s="226">
        <v>0</v>
      </c>
      <c r="R135" s="226">
        <f>Q135*H135</f>
        <v>0</v>
      </c>
      <c r="S135" s="226">
        <v>0</v>
      </c>
      <c r="T135" s="227">
        <f>S135*H135</f>
        <v>0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R135" s="228" t="s">
        <v>138</v>
      </c>
      <c r="AT135" s="228" t="s">
        <v>134</v>
      </c>
      <c r="AU135" s="228" t="s">
        <v>85</v>
      </c>
      <c r="AY135" s="14" t="s">
        <v>131</v>
      </c>
      <c r="BE135" s="229">
        <f>IF(N135="základní",J135,0)</f>
        <v>0</v>
      </c>
      <c r="BF135" s="229">
        <f>IF(N135="snížená",J135,0)</f>
        <v>0</v>
      </c>
      <c r="BG135" s="229">
        <f>IF(N135="zákl. přenesená",J135,0)</f>
        <v>0</v>
      </c>
      <c r="BH135" s="229">
        <f>IF(N135="sníž. přenesená",J135,0)</f>
        <v>0</v>
      </c>
      <c r="BI135" s="229">
        <f>IF(N135="nulová",J135,0)</f>
        <v>0</v>
      </c>
      <c r="BJ135" s="14" t="s">
        <v>83</v>
      </c>
      <c r="BK135" s="229">
        <f>ROUND(I135*H135,2)</f>
        <v>0</v>
      </c>
      <c r="BL135" s="14" t="s">
        <v>138</v>
      </c>
      <c r="BM135" s="228" t="s">
        <v>583</v>
      </c>
    </row>
    <row r="136" s="12" customFormat="1" ht="22.8" customHeight="1">
      <c r="A136" s="12"/>
      <c r="B136" s="200"/>
      <c r="C136" s="201"/>
      <c r="D136" s="202" t="s">
        <v>74</v>
      </c>
      <c r="E136" s="214" t="s">
        <v>371</v>
      </c>
      <c r="F136" s="214" t="s">
        <v>372</v>
      </c>
      <c r="G136" s="201"/>
      <c r="H136" s="201"/>
      <c r="I136" s="204"/>
      <c r="J136" s="215">
        <f>BK136</f>
        <v>0</v>
      </c>
      <c r="K136" s="201"/>
      <c r="L136" s="206"/>
      <c r="M136" s="207"/>
      <c r="N136" s="208"/>
      <c r="O136" s="208"/>
      <c r="P136" s="209">
        <f>SUM(P137:P153)</f>
        <v>0</v>
      </c>
      <c r="Q136" s="208"/>
      <c r="R136" s="209">
        <f>SUM(R137:R153)</f>
        <v>1.28745</v>
      </c>
      <c r="S136" s="208"/>
      <c r="T136" s="210">
        <f>SUM(T137:T153)</f>
        <v>0</v>
      </c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R136" s="211" t="s">
        <v>85</v>
      </c>
      <c r="AT136" s="212" t="s">
        <v>74</v>
      </c>
      <c r="AU136" s="212" t="s">
        <v>83</v>
      </c>
      <c r="AY136" s="211" t="s">
        <v>131</v>
      </c>
      <c r="BK136" s="213">
        <f>SUM(BK137:BK153)</f>
        <v>0</v>
      </c>
    </row>
    <row r="137" s="2" customFormat="1" ht="37.8" customHeight="1">
      <c r="A137" s="35"/>
      <c r="B137" s="36"/>
      <c r="C137" s="216" t="s">
        <v>252</v>
      </c>
      <c r="D137" s="216" t="s">
        <v>134</v>
      </c>
      <c r="E137" s="217" t="s">
        <v>584</v>
      </c>
      <c r="F137" s="218" t="s">
        <v>585</v>
      </c>
      <c r="G137" s="219" t="s">
        <v>142</v>
      </c>
      <c r="H137" s="220">
        <v>65</v>
      </c>
      <c r="I137" s="221"/>
      <c r="J137" s="222">
        <f>ROUND(I137*H137,2)</f>
        <v>0</v>
      </c>
      <c r="K137" s="223"/>
      <c r="L137" s="41"/>
      <c r="M137" s="224" t="s">
        <v>1</v>
      </c>
      <c r="N137" s="225" t="s">
        <v>40</v>
      </c>
      <c r="O137" s="88"/>
      <c r="P137" s="226">
        <f>O137*H137</f>
        <v>0</v>
      </c>
      <c r="Q137" s="226">
        <v>0.0036700000000000001</v>
      </c>
      <c r="R137" s="226">
        <f>Q137*H137</f>
        <v>0.23855000000000001</v>
      </c>
      <c r="S137" s="226">
        <v>0</v>
      </c>
      <c r="T137" s="227">
        <f>S137*H137</f>
        <v>0</v>
      </c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R137" s="228" t="s">
        <v>138</v>
      </c>
      <c r="AT137" s="228" t="s">
        <v>134</v>
      </c>
      <c r="AU137" s="228" t="s">
        <v>85</v>
      </c>
      <c r="AY137" s="14" t="s">
        <v>131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4" t="s">
        <v>83</v>
      </c>
      <c r="BK137" s="229">
        <f>ROUND(I137*H137,2)</f>
        <v>0</v>
      </c>
      <c r="BL137" s="14" t="s">
        <v>138</v>
      </c>
      <c r="BM137" s="228" t="s">
        <v>586</v>
      </c>
    </row>
    <row r="138" s="2" customFormat="1" ht="37.8" customHeight="1">
      <c r="A138" s="35"/>
      <c r="B138" s="36"/>
      <c r="C138" s="216" t="s">
        <v>138</v>
      </c>
      <c r="D138" s="216" t="s">
        <v>134</v>
      </c>
      <c r="E138" s="217" t="s">
        <v>587</v>
      </c>
      <c r="F138" s="218" t="s">
        <v>588</v>
      </c>
      <c r="G138" s="219" t="s">
        <v>142</v>
      </c>
      <c r="H138" s="220">
        <v>60</v>
      </c>
      <c r="I138" s="221"/>
      <c r="J138" s="222">
        <f>ROUND(I138*H138,2)</f>
        <v>0</v>
      </c>
      <c r="K138" s="223"/>
      <c r="L138" s="41"/>
      <c r="M138" s="224" t="s">
        <v>1</v>
      </c>
      <c r="N138" s="225" t="s">
        <v>40</v>
      </c>
      <c r="O138" s="88"/>
      <c r="P138" s="226">
        <f>O138*H138</f>
        <v>0</v>
      </c>
      <c r="Q138" s="226">
        <v>0.0042900000000000004</v>
      </c>
      <c r="R138" s="226">
        <f>Q138*H138</f>
        <v>0.25740000000000002</v>
      </c>
      <c r="S138" s="226">
        <v>0</v>
      </c>
      <c r="T138" s="227">
        <f>S138*H138</f>
        <v>0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R138" s="228" t="s">
        <v>138</v>
      </c>
      <c r="AT138" s="228" t="s">
        <v>134</v>
      </c>
      <c r="AU138" s="228" t="s">
        <v>85</v>
      </c>
      <c r="AY138" s="14" t="s">
        <v>131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4" t="s">
        <v>83</v>
      </c>
      <c r="BK138" s="229">
        <f>ROUND(I138*H138,2)</f>
        <v>0</v>
      </c>
      <c r="BL138" s="14" t="s">
        <v>138</v>
      </c>
      <c r="BM138" s="228" t="s">
        <v>589</v>
      </c>
    </row>
    <row r="139" s="2" customFormat="1" ht="37.8" customHeight="1">
      <c r="A139" s="35"/>
      <c r="B139" s="36"/>
      <c r="C139" s="216" t="s">
        <v>259</v>
      </c>
      <c r="D139" s="216" t="s">
        <v>134</v>
      </c>
      <c r="E139" s="217" t="s">
        <v>590</v>
      </c>
      <c r="F139" s="218" t="s">
        <v>591</v>
      </c>
      <c r="G139" s="219" t="s">
        <v>142</v>
      </c>
      <c r="H139" s="220">
        <v>55</v>
      </c>
      <c r="I139" s="221"/>
      <c r="J139" s="222">
        <f>ROUND(I139*H139,2)</f>
        <v>0</v>
      </c>
      <c r="K139" s="223"/>
      <c r="L139" s="41"/>
      <c r="M139" s="224" t="s">
        <v>1</v>
      </c>
      <c r="N139" s="225" t="s">
        <v>40</v>
      </c>
      <c r="O139" s="88"/>
      <c r="P139" s="226">
        <f>O139*H139</f>
        <v>0</v>
      </c>
      <c r="Q139" s="226">
        <v>0.0061399999999999996</v>
      </c>
      <c r="R139" s="226">
        <f>Q139*H139</f>
        <v>0.3377</v>
      </c>
      <c r="S139" s="226">
        <v>0</v>
      </c>
      <c r="T139" s="227">
        <f>S139*H139</f>
        <v>0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R139" s="228" t="s">
        <v>138</v>
      </c>
      <c r="AT139" s="228" t="s">
        <v>134</v>
      </c>
      <c r="AU139" s="228" t="s">
        <v>85</v>
      </c>
      <c r="AY139" s="14" t="s">
        <v>131</v>
      </c>
      <c r="BE139" s="229">
        <f>IF(N139="základní",J139,0)</f>
        <v>0</v>
      </c>
      <c r="BF139" s="229">
        <f>IF(N139="snížená",J139,0)</f>
        <v>0</v>
      </c>
      <c r="BG139" s="229">
        <f>IF(N139="zákl. přenesená",J139,0)</f>
        <v>0</v>
      </c>
      <c r="BH139" s="229">
        <f>IF(N139="sníž. přenesená",J139,0)</f>
        <v>0</v>
      </c>
      <c r="BI139" s="229">
        <f>IF(N139="nulová",J139,0)</f>
        <v>0</v>
      </c>
      <c r="BJ139" s="14" t="s">
        <v>83</v>
      </c>
      <c r="BK139" s="229">
        <f>ROUND(I139*H139,2)</f>
        <v>0</v>
      </c>
      <c r="BL139" s="14" t="s">
        <v>138</v>
      </c>
      <c r="BM139" s="228" t="s">
        <v>592</v>
      </c>
    </row>
    <row r="140" s="2" customFormat="1" ht="24.15" customHeight="1">
      <c r="A140" s="35"/>
      <c r="B140" s="36"/>
      <c r="C140" s="216" t="s">
        <v>593</v>
      </c>
      <c r="D140" s="216" t="s">
        <v>134</v>
      </c>
      <c r="E140" s="217" t="s">
        <v>594</v>
      </c>
      <c r="F140" s="218" t="s">
        <v>595</v>
      </c>
      <c r="G140" s="219" t="s">
        <v>142</v>
      </c>
      <c r="H140" s="220">
        <v>30</v>
      </c>
      <c r="I140" s="221"/>
      <c r="J140" s="222">
        <f>ROUND(I140*H140,2)</f>
        <v>0</v>
      </c>
      <c r="K140" s="223"/>
      <c r="L140" s="41"/>
      <c r="M140" s="224" t="s">
        <v>1</v>
      </c>
      <c r="N140" s="225" t="s">
        <v>40</v>
      </c>
      <c r="O140" s="88"/>
      <c r="P140" s="226">
        <f>O140*H140</f>
        <v>0</v>
      </c>
      <c r="Q140" s="226">
        <v>0.0061399999999999996</v>
      </c>
      <c r="R140" s="226">
        <f>Q140*H140</f>
        <v>0.18419999999999998</v>
      </c>
      <c r="S140" s="226">
        <v>0</v>
      </c>
      <c r="T140" s="227">
        <f>S140*H140</f>
        <v>0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R140" s="228" t="s">
        <v>138</v>
      </c>
      <c r="AT140" s="228" t="s">
        <v>134</v>
      </c>
      <c r="AU140" s="228" t="s">
        <v>85</v>
      </c>
      <c r="AY140" s="14" t="s">
        <v>131</v>
      </c>
      <c r="BE140" s="229">
        <f>IF(N140="základní",J140,0)</f>
        <v>0</v>
      </c>
      <c r="BF140" s="229">
        <f>IF(N140="snížená",J140,0)</f>
        <v>0</v>
      </c>
      <c r="BG140" s="229">
        <f>IF(N140="zákl. přenesená",J140,0)</f>
        <v>0</v>
      </c>
      <c r="BH140" s="229">
        <f>IF(N140="sníž. přenesená",J140,0)</f>
        <v>0</v>
      </c>
      <c r="BI140" s="229">
        <f>IF(N140="nulová",J140,0)</f>
        <v>0</v>
      </c>
      <c r="BJ140" s="14" t="s">
        <v>83</v>
      </c>
      <c r="BK140" s="229">
        <f>ROUND(I140*H140,2)</f>
        <v>0</v>
      </c>
      <c r="BL140" s="14" t="s">
        <v>138</v>
      </c>
      <c r="BM140" s="228" t="s">
        <v>596</v>
      </c>
    </row>
    <row r="141" s="2" customFormat="1" ht="37.8" customHeight="1">
      <c r="A141" s="35"/>
      <c r="B141" s="36"/>
      <c r="C141" s="216" t="s">
        <v>597</v>
      </c>
      <c r="D141" s="216" t="s">
        <v>134</v>
      </c>
      <c r="E141" s="217" t="s">
        <v>598</v>
      </c>
      <c r="F141" s="218" t="s">
        <v>599</v>
      </c>
      <c r="G141" s="219" t="s">
        <v>185</v>
      </c>
      <c r="H141" s="220">
        <v>2</v>
      </c>
      <c r="I141" s="221"/>
      <c r="J141" s="222">
        <f>ROUND(I141*H141,2)</f>
        <v>0</v>
      </c>
      <c r="K141" s="223"/>
      <c r="L141" s="41"/>
      <c r="M141" s="224" t="s">
        <v>1</v>
      </c>
      <c r="N141" s="225" t="s">
        <v>40</v>
      </c>
      <c r="O141" s="88"/>
      <c r="P141" s="226">
        <f>O141*H141</f>
        <v>0</v>
      </c>
      <c r="Q141" s="226">
        <v>0</v>
      </c>
      <c r="R141" s="226">
        <f>Q141*H141</f>
        <v>0</v>
      </c>
      <c r="S141" s="226">
        <v>0</v>
      </c>
      <c r="T141" s="227">
        <f>S141*H141</f>
        <v>0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R141" s="228" t="s">
        <v>138</v>
      </c>
      <c r="AT141" s="228" t="s">
        <v>134</v>
      </c>
      <c r="AU141" s="228" t="s">
        <v>85</v>
      </c>
      <c r="AY141" s="14" t="s">
        <v>131</v>
      </c>
      <c r="BE141" s="229">
        <f>IF(N141="základní",J141,0)</f>
        <v>0</v>
      </c>
      <c r="BF141" s="229">
        <f>IF(N141="snížená",J141,0)</f>
        <v>0</v>
      </c>
      <c r="BG141" s="229">
        <f>IF(N141="zákl. přenesená",J141,0)</f>
        <v>0</v>
      </c>
      <c r="BH141" s="229">
        <f>IF(N141="sníž. přenesená",J141,0)</f>
        <v>0</v>
      </c>
      <c r="BI141" s="229">
        <f>IF(N141="nulová",J141,0)</f>
        <v>0</v>
      </c>
      <c r="BJ141" s="14" t="s">
        <v>83</v>
      </c>
      <c r="BK141" s="229">
        <f>ROUND(I141*H141,2)</f>
        <v>0</v>
      </c>
      <c r="BL141" s="14" t="s">
        <v>138</v>
      </c>
      <c r="BM141" s="228" t="s">
        <v>600</v>
      </c>
    </row>
    <row r="142" s="2" customFormat="1" ht="37.8" customHeight="1">
      <c r="A142" s="35"/>
      <c r="B142" s="36"/>
      <c r="C142" s="216" t="s">
        <v>601</v>
      </c>
      <c r="D142" s="216" t="s">
        <v>134</v>
      </c>
      <c r="E142" s="217" t="s">
        <v>378</v>
      </c>
      <c r="F142" s="218" t="s">
        <v>379</v>
      </c>
      <c r="G142" s="219" t="s">
        <v>185</v>
      </c>
      <c r="H142" s="220">
        <v>2</v>
      </c>
      <c r="I142" s="221"/>
      <c r="J142" s="222">
        <f>ROUND(I142*H142,2)</f>
        <v>0</v>
      </c>
      <c r="K142" s="223"/>
      <c r="L142" s="41"/>
      <c r="M142" s="224" t="s">
        <v>1</v>
      </c>
      <c r="N142" s="225" t="s">
        <v>40</v>
      </c>
      <c r="O142" s="88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R142" s="228" t="s">
        <v>138</v>
      </c>
      <c r="AT142" s="228" t="s">
        <v>134</v>
      </c>
      <c r="AU142" s="228" t="s">
        <v>85</v>
      </c>
      <c r="AY142" s="14" t="s">
        <v>131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4" t="s">
        <v>83</v>
      </c>
      <c r="BK142" s="229">
        <f>ROUND(I142*H142,2)</f>
        <v>0</v>
      </c>
      <c r="BL142" s="14" t="s">
        <v>138</v>
      </c>
      <c r="BM142" s="228" t="s">
        <v>602</v>
      </c>
    </row>
    <row r="143" s="2" customFormat="1" ht="37.8" customHeight="1">
      <c r="A143" s="35"/>
      <c r="B143" s="36"/>
      <c r="C143" s="216" t="s">
        <v>7</v>
      </c>
      <c r="D143" s="216" t="s">
        <v>134</v>
      </c>
      <c r="E143" s="217" t="s">
        <v>603</v>
      </c>
      <c r="F143" s="218" t="s">
        <v>604</v>
      </c>
      <c r="G143" s="219" t="s">
        <v>185</v>
      </c>
      <c r="H143" s="220">
        <v>2</v>
      </c>
      <c r="I143" s="221"/>
      <c r="J143" s="222">
        <f>ROUND(I143*H143,2)</f>
        <v>0</v>
      </c>
      <c r="K143" s="223"/>
      <c r="L143" s="41"/>
      <c r="M143" s="224" t="s">
        <v>1</v>
      </c>
      <c r="N143" s="225" t="s">
        <v>40</v>
      </c>
      <c r="O143" s="88"/>
      <c r="P143" s="226">
        <f>O143*H143</f>
        <v>0</v>
      </c>
      <c r="Q143" s="226">
        <v>0</v>
      </c>
      <c r="R143" s="226">
        <f>Q143*H143</f>
        <v>0</v>
      </c>
      <c r="S143" s="226">
        <v>0</v>
      </c>
      <c r="T143" s="227">
        <f>S143*H143</f>
        <v>0</v>
      </c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R143" s="228" t="s">
        <v>138</v>
      </c>
      <c r="AT143" s="228" t="s">
        <v>134</v>
      </c>
      <c r="AU143" s="228" t="s">
        <v>85</v>
      </c>
      <c r="AY143" s="14" t="s">
        <v>131</v>
      </c>
      <c r="BE143" s="229">
        <f>IF(N143="základní",J143,0)</f>
        <v>0</v>
      </c>
      <c r="BF143" s="229">
        <f>IF(N143="snížená",J143,0)</f>
        <v>0</v>
      </c>
      <c r="BG143" s="229">
        <f>IF(N143="zákl. přenesená",J143,0)</f>
        <v>0</v>
      </c>
      <c r="BH143" s="229">
        <f>IF(N143="sníž. přenesená",J143,0)</f>
        <v>0</v>
      </c>
      <c r="BI143" s="229">
        <f>IF(N143="nulová",J143,0)</f>
        <v>0</v>
      </c>
      <c r="BJ143" s="14" t="s">
        <v>83</v>
      </c>
      <c r="BK143" s="229">
        <f>ROUND(I143*H143,2)</f>
        <v>0</v>
      </c>
      <c r="BL143" s="14" t="s">
        <v>138</v>
      </c>
      <c r="BM143" s="228" t="s">
        <v>605</v>
      </c>
    </row>
    <row r="144" s="2" customFormat="1" ht="37.8" customHeight="1">
      <c r="A144" s="35"/>
      <c r="B144" s="36"/>
      <c r="C144" s="216" t="s">
        <v>606</v>
      </c>
      <c r="D144" s="216" t="s">
        <v>134</v>
      </c>
      <c r="E144" s="217" t="s">
        <v>607</v>
      </c>
      <c r="F144" s="218" t="s">
        <v>608</v>
      </c>
      <c r="G144" s="219" t="s">
        <v>142</v>
      </c>
      <c r="H144" s="220">
        <v>125</v>
      </c>
      <c r="I144" s="221"/>
      <c r="J144" s="222">
        <f>ROUND(I144*H144,2)</f>
        <v>0</v>
      </c>
      <c r="K144" s="223"/>
      <c r="L144" s="41"/>
      <c r="M144" s="224" t="s">
        <v>1</v>
      </c>
      <c r="N144" s="225" t="s">
        <v>40</v>
      </c>
      <c r="O144" s="88"/>
      <c r="P144" s="226">
        <f>O144*H144</f>
        <v>0</v>
      </c>
      <c r="Q144" s="226">
        <v>0</v>
      </c>
      <c r="R144" s="226">
        <f>Q144*H144</f>
        <v>0</v>
      </c>
      <c r="S144" s="226">
        <v>0</v>
      </c>
      <c r="T144" s="227">
        <f>S144*H144</f>
        <v>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R144" s="228" t="s">
        <v>138</v>
      </c>
      <c r="AT144" s="228" t="s">
        <v>134</v>
      </c>
      <c r="AU144" s="228" t="s">
        <v>85</v>
      </c>
      <c r="AY144" s="14" t="s">
        <v>131</v>
      </c>
      <c r="BE144" s="229">
        <f>IF(N144="základní",J144,0)</f>
        <v>0</v>
      </c>
      <c r="BF144" s="229">
        <f>IF(N144="snížená",J144,0)</f>
        <v>0</v>
      </c>
      <c r="BG144" s="229">
        <f>IF(N144="zákl. přenesená",J144,0)</f>
        <v>0</v>
      </c>
      <c r="BH144" s="229">
        <f>IF(N144="sníž. přenesená",J144,0)</f>
        <v>0</v>
      </c>
      <c r="BI144" s="229">
        <f>IF(N144="nulová",J144,0)</f>
        <v>0</v>
      </c>
      <c r="BJ144" s="14" t="s">
        <v>83</v>
      </c>
      <c r="BK144" s="229">
        <f>ROUND(I144*H144,2)</f>
        <v>0</v>
      </c>
      <c r="BL144" s="14" t="s">
        <v>138</v>
      </c>
      <c r="BM144" s="228" t="s">
        <v>609</v>
      </c>
    </row>
    <row r="145" s="2" customFormat="1" ht="44.25" customHeight="1">
      <c r="A145" s="35"/>
      <c r="B145" s="36"/>
      <c r="C145" s="216" t="s">
        <v>610</v>
      </c>
      <c r="D145" s="216" t="s">
        <v>134</v>
      </c>
      <c r="E145" s="217" t="s">
        <v>386</v>
      </c>
      <c r="F145" s="218" t="s">
        <v>387</v>
      </c>
      <c r="G145" s="219" t="s">
        <v>142</v>
      </c>
      <c r="H145" s="220">
        <v>55</v>
      </c>
      <c r="I145" s="221"/>
      <c r="J145" s="222">
        <f>ROUND(I145*H145,2)</f>
        <v>0</v>
      </c>
      <c r="K145" s="223"/>
      <c r="L145" s="41"/>
      <c r="M145" s="224" t="s">
        <v>1</v>
      </c>
      <c r="N145" s="225" t="s">
        <v>40</v>
      </c>
      <c r="O145" s="88"/>
      <c r="P145" s="226">
        <f>O145*H145</f>
        <v>0</v>
      </c>
      <c r="Q145" s="226">
        <v>0</v>
      </c>
      <c r="R145" s="226">
        <f>Q145*H145</f>
        <v>0</v>
      </c>
      <c r="S145" s="226">
        <v>0</v>
      </c>
      <c r="T145" s="227">
        <f>S145*H145</f>
        <v>0</v>
      </c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R145" s="228" t="s">
        <v>138</v>
      </c>
      <c r="AT145" s="228" t="s">
        <v>134</v>
      </c>
      <c r="AU145" s="228" t="s">
        <v>85</v>
      </c>
      <c r="AY145" s="14" t="s">
        <v>131</v>
      </c>
      <c r="BE145" s="229">
        <f>IF(N145="základní",J145,0)</f>
        <v>0</v>
      </c>
      <c r="BF145" s="229">
        <f>IF(N145="snížená",J145,0)</f>
        <v>0</v>
      </c>
      <c r="BG145" s="229">
        <f>IF(N145="zákl. přenesená",J145,0)</f>
        <v>0</v>
      </c>
      <c r="BH145" s="229">
        <f>IF(N145="sníž. přenesená",J145,0)</f>
        <v>0</v>
      </c>
      <c r="BI145" s="229">
        <f>IF(N145="nulová",J145,0)</f>
        <v>0</v>
      </c>
      <c r="BJ145" s="14" t="s">
        <v>83</v>
      </c>
      <c r="BK145" s="229">
        <f>ROUND(I145*H145,2)</f>
        <v>0</v>
      </c>
      <c r="BL145" s="14" t="s">
        <v>138</v>
      </c>
      <c r="BM145" s="228" t="s">
        <v>611</v>
      </c>
    </row>
    <row r="146" s="2" customFormat="1" ht="44.25" customHeight="1">
      <c r="A146" s="35"/>
      <c r="B146" s="36"/>
      <c r="C146" s="216" t="s">
        <v>612</v>
      </c>
      <c r="D146" s="216" t="s">
        <v>134</v>
      </c>
      <c r="E146" s="217" t="s">
        <v>390</v>
      </c>
      <c r="F146" s="218" t="s">
        <v>391</v>
      </c>
      <c r="G146" s="219" t="s">
        <v>142</v>
      </c>
      <c r="H146" s="220">
        <v>30</v>
      </c>
      <c r="I146" s="221"/>
      <c r="J146" s="222">
        <f>ROUND(I146*H146,2)</f>
        <v>0</v>
      </c>
      <c r="K146" s="223"/>
      <c r="L146" s="41"/>
      <c r="M146" s="224" t="s">
        <v>1</v>
      </c>
      <c r="N146" s="225" t="s">
        <v>40</v>
      </c>
      <c r="O146" s="88"/>
      <c r="P146" s="226">
        <f>O146*H146</f>
        <v>0</v>
      </c>
      <c r="Q146" s="226">
        <v>0</v>
      </c>
      <c r="R146" s="226">
        <f>Q146*H146</f>
        <v>0</v>
      </c>
      <c r="S146" s="226">
        <v>0</v>
      </c>
      <c r="T146" s="227">
        <f>S146*H146</f>
        <v>0</v>
      </c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R146" s="228" t="s">
        <v>138</v>
      </c>
      <c r="AT146" s="228" t="s">
        <v>134</v>
      </c>
      <c r="AU146" s="228" t="s">
        <v>85</v>
      </c>
      <c r="AY146" s="14" t="s">
        <v>131</v>
      </c>
      <c r="BE146" s="229">
        <f>IF(N146="základní",J146,0)</f>
        <v>0</v>
      </c>
      <c r="BF146" s="229">
        <f>IF(N146="snížená",J146,0)</f>
        <v>0</v>
      </c>
      <c r="BG146" s="229">
        <f>IF(N146="zákl. přenesená",J146,0)</f>
        <v>0</v>
      </c>
      <c r="BH146" s="229">
        <f>IF(N146="sníž. přenesená",J146,0)</f>
        <v>0</v>
      </c>
      <c r="BI146" s="229">
        <f>IF(N146="nulová",J146,0)</f>
        <v>0</v>
      </c>
      <c r="BJ146" s="14" t="s">
        <v>83</v>
      </c>
      <c r="BK146" s="229">
        <f>ROUND(I146*H146,2)</f>
        <v>0</v>
      </c>
      <c r="BL146" s="14" t="s">
        <v>138</v>
      </c>
      <c r="BM146" s="228" t="s">
        <v>613</v>
      </c>
    </row>
    <row r="147" s="2" customFormat="1" ht="33" customHeight="1">
      <c r="A147" s="35"/>
      <c r="B147" s="36"/>
      <c r="C147" s="216" t="s">
        <v>275</v>
      </c>
      <c r="D147" s="216" t="s">
        <v>134</v>
      </c>
      <c r="E147" s="217" t="s">
        <v>394</v>
      </c>
      <c r="F147" s="218" t="s">
        <v>395</v>
      </c>
      <c r="G147" s="219" t="s">
        <v>142</v>
      </c>
      <c r="H147" s="220">
        <v>45</v>
      </c>
      <c r="I147" s="221"/>
      <c r="J147" s="222">
        <f>ROUND(I147*H147,2)</f>
        <v>0</v>
      </c>
      <c r="K147" s="223"/>
      <c r="L147" s="41"/>
      <c r="M147" s="224" t="s">
        <v>1</v>
      </c>
      <c r="N147" s="225" t="s">
        <v>40</v>
      </c>
      <c r="O147" s="88"/>
      <c r="P147" s="226">
        <f>O147*H147</f>
        <v>0</v>
      </c>
      <c r="Q147" s="226">
        <v>0.00069999999999999999</v>
      </c>
      <c r="R147" s="226">
        <f>Q147*H147</f>
        <v>0.0315</v>
      </c>
      <c r="S147" s="226">
        <v>0</v>
      </c>
      <c r="T147" s="227">
        <f>S147*H147</f>
        <v>0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R147" s="228" t="s">
        <v>138</v>
      </c>
      <c r="AT147" s="228" t="s">
        <v>134</v>
      </c>
      <c r="AU147" s="228" t="s">
        <v>85</v>
      </c>
      <c r="AY147" s="14" t="s">
        <v>131</v>
      </c>
      <c r="BE147" s="229">
        <f>IF(N147="základní",J147,0)</f>
        <v>0</v>
      </c>
      <c r="BF147" s="229">
        <f>IF(N147="snížená",J147,0)</f>
        <v>0</v>
      </c>
      <c r="BG147" s="229">
        <f>IF(N147="zákl. přenesená",J147,0)</f>
        <v>0</v>
      </c>
      <c r="BH147" s="229">
        <f>IF(N147="sníž. přenesená",J147,0)</f>
        <v>0</v>
      </c>
      <c r="BI147" s="229">
        <f>IF(N147="nulová",J147,0)</f>
        <v>0</v>
      </c>
      <c r="BJ147" s="14" t="s">
        <v>83</v>
      </c>
      <c r="BK147" s="229">
        <f>ROUND(I147*H147,2)</f>
        <v>0</v>
      </c>
      <c r="BL147" s="14" t="s">
        <v>138</v>
      </c>
      <c r="BM147" s="228" t="s">
        <v>614</v>
      </c>
    </row>
    <row r="148" s="2" customFormat="1" ht="24.15" customHeight="1">
      <c r="A148" s="35"/>
      <c r="B148" s="36"/>
      <c r="C148" s="216" t="s">
        <v>279</v>
      </c>
      <c r="D148" s="216" t="s">
        <v>134</v>
      </c>
      <c r="E148" s="217" t="s">
        <v>398</v>
      </c>
      <c r="F148" s="218" t="s">
        <v>399</v>
      </c>
      <c r="G148" s="219" t="s">
        <v>142</v>
      </c>
      <c r="H148" s="220">
        <v>190</v>
      </c>
      <c r="I148" s="221"/>
      <c r="J148" s="222">
        <f>ROUND(I148*H148,2)</f>
        <v>0</v>
      </c>
      <c r="K148" s="223"/>
      <c r="L148" s="41"/>
      <c r="M148" s="224" t="s">
        <v>1</v>
      </c>
      <c r="N148" s="225" t="s">
        <v>40</v>
      </c>
      <c r="O148" s="88"/>
      <c r="P148" s="226">
        <f>O148*H148</f>
        <v>0</v>
      </c>
      <c r="Q148" s="226">
        <v>0.00124</v>
      </c>
      <c r="R148" s="226">
        <f>Q148*H148</f>
        <v>0.2356</v>
      </c>
      <c r="S148" s="226">
        <v>0</v>
      </c>
      <c r="T148" s="227">
        <f>S148*H148</f>
        <v>0</v>
      </c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R148" s="228" t="s">
        <v>138</v>
      </c>
      <c r="AT148" s="228" t="s">
        <v>134</v>
      </c>
      <c r="AU148" s="228" t="s">
        <v>85</v>
      </c>
      <c r="AY148" s="14" t="s">
        <v>131</v>
      </c>
      <c r="BE148" s="229">
        <f>IF(N148="základní",J148,0)</f>
        <v>0</v>
      </c>
      <c r="BF148" s="229">
        <f>IF(N148="snížená",J148,0)</f>
        <v>0</v>
      </c>
      <c r="BG148" s="229">
        <f>IF(N148="zákl. přenesená",J148,0)</f>
        <v>0</v>
      </c>
      <c r="BH148" s="229">
        <f>IF(N148="sníž. přenesená",J148,0)</f>
        <v>0</v>
      </c>
      <c r="BI148" s="229">
        <f>IF(N148="nulová",J148,0)</f>
        <v>0</v>
      </c>
      <c r="BJ148" s="14" t="s">
        <v>83</v>
      </c>
      <c r="BK148" s="229">
        <f>ROUND(I148*H148,2)</f>
        <v>0</v>
      </c>
      <c r="BL148" s="14" t="s">
        <v>138</v>
      </c>
      <c r="BM148" s="228" t="s">
        <v>615</v>
      </c>
    </row>
    <row r="149" s="2" customFormat="1" ht="24.15" customHeight="1">
      <c r="A149" s="35"/>
      <c r="B149" s="36"/>
      <c r="C149" s="216" t="s">
        <v>262</v>
      </c>
      <c r="D149" s="216" t="s">
        <v>134</v>
      </c>
      <c r="E149" s="217" t="s">
        <v>616</v>
      </c>
      <c r="F149" s="218" t="s">
        <v>617</v>
      </c>
      <c r="G149" s="219" t="s">
        <v>185</v>
      </c>
      <c r="H149" s="220">
        <v>2</v>
      </c>
      <c r="I149" s="221"/>
      <c r="J149" s="222">
        <f>ROUND(I149*H149,2)</f>
        <v>0</v>
      </c>
      <c r="K149" s="223"/>
      <c r="L149" s="41"/>
      <c r="M149" s="224" t="s">
        <v>1</v>
      </c>
      <c r="N149" s="225" t="s">
        <v>40</v>
      </c>
      <c r="O149" s="88"/>
      <c r="P149" s="226">
        <f>O149*H149</f>
        <v>0</v>
      </c>
      <c r="Q149" s="226">
        <v>1.0000000000000001E-05</v>
      </c>
      <c r="R149" s="226">
        <f>Q149*H149</f>
        <v>2.0000000000000002E-05</v>
      </c>
      <c r="S149" s="226">
        <v>0</v>
      </c>
      <c r="T149" s="227">
        <f>S149*H149</f>
        <v>0</v>
      </c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R149" s="228" t="s">
        <v>138</v>
      </c>
      <c r="AT149" s="228" t="s">
        <v>134</v>
      </c>
      <c r="AU149" s="228" t="s">
        <v>85</v>
      </c>
      <c r="AY149" s="14" t="s">
        <v>131</v>
      </c>
      <c r="BE149" s="229">
        <f>IF(N149="základní",J149,0)</f>
        <v>0</v>
      </c>
      <c r="BF149" s="229">
        <f>IF(N149="snížená",J149,0)</f>
        <v>0</v>
      </c>
      <c r="BG149" s="229">
        <f>IF(N149="zákl. přenesená",J149,0)</f>
        <v>0</v>
      </c>
      <c r="BH149" s="229">
        <f>IF(N149="sníž. přenesená",J149,0)</f>
        <v>0</v>
      </c>
      <c r="BI149" s="229">
        <f>IF(N149="nulová",J149,0)</f>
        <v>0</v>
      </c>
      <c r="BJ149" s="14" t="s">
        <v>83</v>
      </c>
      <c r="BK149" s="229">
        <f>ROUND(I149*H149,2)</f>
        <v>0</v>
      </c>
      <c r="BL149" s="14" t="s">
        <v>138</v>
      </c>
      <c r="BM149" s="228" t="s">
        <v>618</v>
      </c>
    </row>
    <row r="150" s="2" customFormat="1" ht="24.15" customHeight="1">
      <c r="A150" s="35"/>
      <c r="B150" s="36"/>
      <c r="C150" s="216" t="s">
        <v>283</v>
      </c>
      <c r="D150" s="216" t="s">
        <v>134</v>
      </c>
      <c r="E150" s="217" t="s">
        <v>418</v>
      </c>
      <c r="F150" s="218" t="s">
        <v>419</v>
      </c>
      <c r="G150" s="219" t="s">
        <v>185</v>
      </c>
      <c r="H150" s="220">
        <v>13</v>
      </c>
      <c r="I150" s="221"/>
      <c r="J150" s="222">
        <f>ROUND(I150*H150,2)</f>
        <v>0</v>
      </c>
      <c r="K150" s="223"/>
      <c r="L150" s="41"/>
      <c r="M150" s="224" t="s">
        <v>1</v>
      </c>
      <c r="N150" s="225" t="s">
        <v>40</v>
      </c>
      <c r="O150" s="88"/>
      <c r="P150" s="226">
        <f>O150*H150</f>
        <v>0</v>
      </c>
      <c r="Q150" s="226">
        <v>3.0000000000000001E-05</v>
      </c>
      <c r="R150" s="226">
        <f>Q150*H150</f>
        <v>0.00038999999999999999</v>
      </c>
      <c r="S150" s="226">
        <v>0</v>
      </c>
      <c r="T150" s="227">
        <f>S150*H150</f>
        <v>0</v>
      </c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R150" s="228" t="s">
        <v>138</v>
      </c>
      <c r="AT150" s="228" t="s">
        <v>134</v>
      </c>
      <c r="AU150" s="228" t="s">
        <v>85</v>
      </c>
      <c r="AY150" s="14" t="s">
        <v>131</v>
      </c>
      <c r="BE150" s="229">
        <f>IF(N150="základní",J150,0)</f>
        <v>0</v>
      </c>
      <c r="BF150" s="229">
        <f>IF(N150="snížená",J150,0)</f>
        <v>0</v>
      </c>
      <c r="BG150" s="229">
        <f>IF(N150="zákl. přenesená",J150,0)</f>
        <v>0</v>
      </c>
      <c r="BH150" s="229">
        <f>IF(N150="sníž. přenesená",J150,0)</f>
        <v>0</v>
      </c>
      <c r="BI150" s="229">
        <f>IF(N150="nulová",J150,0)</f>
        <v>0</v>
      </c>
      <c r="BJ150" s="14" t="s">
        <v>83</v>
      </c>
      <c r="BK150" s="229">
        <f>ROUND(I150*H150,2)</f>
        <v>0</v>
      </c>
      <c r="BL150" s="14" t="s">
        <v>138</v>
      </c>
      <c r="BM150" s="228" t="s">
        <v>619</v>
      </c>
    </row>
    <row r="151" s="2" customFormat="1" ht="33" customHeight="1">
      <c r="A151" s="35"/>
      <c r="B151" s="36"/>
      <c r="C151" s="216" t="s">
        <v>287</v>
      </c>
      <c r="D151" s="216" t="s">
        <v>134</v>
      </c>
      <c r="E151" s="217" t="s">
        <v>422</v>
      </c>
      <c r="F151" s="218" t="s">
        <v>423</v>
      </c>
      <c r="G151" s="219" t="s">
        <v>185</v>
      </c>
      <c r="H151" s="220">
        <v>13</v>
      </c>
      <c r="I151" s="221"/>
      <c r="J151" s="222">
        <f>ROUND(I151*H151,2)</f>
        <v>0</v>
      </c>
      <c r="K151" s="223"/>
      <c r="L151" s="41"/>
      <c r="M151" s="224" t="s">
        <v>1</v>
      </c>
      <c r="N151" s="225" t="s">
        <v>40</v>
      </c>
      <c r="O151" s="88"/>
      <c r="P151" s="226">
        <f>O151*H151</f>
        <v>0</v>
      </c>
      <c r="Q151" s="226">
        <v>5.0000000000000002E-05</v>
      </c>
      <c r="R151" s="226">
        <f>Q151*H151</f>
        <v>0.00065000000000000008</v>
      </c>
      <c r="S151" s="226">
        <v>0</v>
      </c>
      <c r="T151" s="227">
        <f>S151*H151</f>
        <v>0</v>
      </c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R151" s="228" t="s">
        <v>138</v>
      </c>
      <c r="AT151" s="228" t="s">
        <v>134</v>
      </c>
      <c r="AU151" s="228" t="s">
        <v>85</v>
      </c>
      <c r="AY151" s="14" t="s">
        <v>131</v>
      </c>
      <c r="BE151" s="229">
        <f>IF(N151="základní",J151,0)</f>
        <v>0</v>
      </c>
      <c r="BF151" s="229">
        <f>IF(N151="snížená",J151,0)</f>
        <v>0</v>
      </c>
      <c r="BG151" s="229">
        <f>IF(N151="zákl. přenesená",J151,0)</f>
        <v>0</v>
      </c>
      <c r="BH151" s="229">
        <f>IF(N151="sníž. přenesená",J151,0)</f>
        <v>0</v>
      </c>
      <c r="BI151" s="229">
        <f>IF(N151="nulová",J151,0)</f>
        <v>0</v>
      </c>
      <c r="BJ151" s="14" t="s">
        <v>83</v>
      </c>
      <c r="BK151" s="229">
        <f>ROUND(I151*H151,2)</f>
        <v>0</v>
      </c>
      <c r="BL151" s="14" t="s">
        <v>138</v>
      </c>
      <c r="BM151" s="228" t="s">
        <v>620</v>
      </c>
    </row>
    <row r="152" s="2" customFormat="1" ht="24.15" customHeight="1">
      <c r="A152" s="35"/>
      <c r="B152" s="36"/>
      <c r="C152" s="216" t="s">
        <v>291</v>
      </c>
      <c r="D152" s="216" t="s">
        <v>134</v>
      </c>
      <c r="E152" s="217" t="s">
        <v>621</v>
      </c>
      <c r="F152" s="218" t="s">
        <v>622</v>
      </c>
      <c r="G152" s="219" t="s">
        <v>185</v>
      </c>
      <c r="H152" s="220">
        <v>4</v>
      </c>
      <c r="I152" s="221"/>
      <c r="J152" s="222">
        <f>ROUND(I152*H152,2)</f>
        <v>0</v>
      </c>
      <c r="K152" s="223"/>
      <c r="L152" s="41"/>
      <c r="M152" s="224" t="s">
        <v>1</v>
      </c>
      <c r="N152" s="225" t="s">
        <v>40</v>
      </c>
      <c r="O152" s="88"/>
      <c r="P152" s="226">
        <f>O152*H152</f>
        <v>0</v>
      </c>
      <c r="Q152" s="226">
        <v>0.00036000000000000002</v>
      </c>
      <c r="R152" s="226">
        <f>Q152*H152</f>
        <v>0.0014400000000000001</v>
      </c>
      <c r="S152" s="226">
        <v>0</v>
      </c>
      <c r="T152" s="227">
        <f>S152*H152</f>
        <v>0</v>
      </c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R152" s="228" t="s">
        <v>138</v>
      </c>
      <c r="AT152" s="228" t="s">
        <v>134</v>
      </c>
      <c r="AU152" s="228" t="s">
        <v>85</v>
      </c>
      <c r="AY152" s="14" t="s">
        <v>131</v>
      </c>
      <c r="BE152" s="229">
        <f>IF(N152="základní",J152,0)</f>
        <v>0</v>
      </c>
      <c r="BF152" s="229">
        <f>IF(N152="snížená",J152,0)</f>
        <v>0</v>
      </c>
      <c r="BG152" s="229">
        <f>IF(N152="zákl. přenesená",J152,0)</f>
        <v>0</v>
      </c>
      <c r="BH152" s="229">
        <f>IF(N152="sníž. přenesená",J152,0)</f>
        <v>0</v>
      </c>
      <c r="BI152" s="229">
        <f>IF(N152="nulová",J152,0)</f>
        <v>0</v>
      </c>
      <c r="BJ152" s="14" t="s">
        <v>83</v>
      </c>
      <c r="BK152" s="229">
        <f>ROUND(I152*H152,2)</f>
        <v>0</v>
      </c>
      <c r="BL152" s="14" t="s">
        <v>138</v>
      </c>
      <c r="BM152" s="228" t="s">
        <v>623</v>
      </c>
    </row>
    <row r="153" s="2" customFormat="1" ht="24.15" customHeight="1">
      <c r="A153" s="35"/>
      <c r="B153" s="36"/>
      <c r="C153" s="216" t="s">
        <v>295</v>
      </c>
      <c r="D153" s="216" t="s">
        <v>134</v>
      </c>
      <c r="E153" s="217" t="s">
        <v>430</v>
      </c>
      <c r="F153" s="218" t="s">
        <v>624</v>
      </c>
      <c r="G153" s="219" t="s">
        <v>142</v>
      </c>
      <c r="H153" s="220">
        <v>235</v>
      </c>
      <c r="I153" s="221"/>
      <c r="J153" s="222">
        <f>ROUND(I153*H153,2)</f>
        <v>0</v>
      </c>
      <c r="K153" s="223"/>
      <c r="L153" s="41"/>
      <c r="M153" s="224" t="s">
        <v>1</v>
      </c>
      <c r="N153" s="225" t="s">
        <v>40</v>
      </c>
      <c r="O153" s="88"/>
      <c r="P153" s="226">
        <f>O153*H153</f>
        <v>0</v>
      </c>
      <c r="Q153" s="226">
        <v>0</v>
      </c>
      <c r="R153" s="226">
        <f>Q153*H153</f>
        <v>0</v>
      </c>
      <c r="S153" s="226">
        <v>0</v>
      </c>
      <c r="T153" s="227">
        <f>S153*H153</f>
        <v>0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R153" s="228" t="s">
        <v>138</v>
      </c>
      <c r="AT153" s="228" t="s">
        <v>134</v>
      </c>
      <c r="AU153" s="228" t="s">
        <v>85</v>
      </c>
      <c r="AY153" s="14" t="s">
        <v>131</v>
      </c>
      <c r="BE153" s="229">
        <f>IF(N153="základní",J153,0)</f>
        <v>0</v>
      </c>
      <c r="BF153" s="229">
        <f>IF(N153="snížená",J153,0)</f>
        <v>0</v>
      </c>
      <c r="BG153" s="229">
        <f>IF(N153="zákl. přenesená",J153,0)</f>
        <v>0</v>
      </c>
      <c r="BH153" s="229">
        <f>IF(N153="sníž. přenesená",J153,0)</f>
        <v>0</v>
      </c>
      <c r="BI153" s="229">
        <f>IF(N153="nulová",J153,0)</f>
        <v>0</v>
      </c>
      <c r="BJ153" s="14" t="s">
        <v>83</v>
      </c>
      <c r="BK153" s="229">
        <f>ROUND(I153*H153,2)</f>
        <v>0</v>
      </c>
      <c r="BL153" s="14" t="s">
        <v>138</v>
      </c>
      <c r="BM153" s="228" t="s">
        <v>625</v>
      </c>
    </row>
    <row r="154" s="12" customFormat="1" ht="22.8" customHeight="1">
      <c r="A154" s="12"/>
      <c r="B154" s="200"/>
      <c r="C154" s="201"/>
      <c r="D154" s="202" t="s">
        <v>74</v>
      </c>
      <c r="E154" s="214" t="s">
        <v>437</v>
      </c>
      <c r="F154" s="214" t="s">
        <v>438</v>
      </c>
      <c r="G154" s="201"/>
      <c r="H154" s="201"/>
      <c r="I154" s="204"/>
      <c r="J154" s="215">
        <f>BK154</f>
        <v>0</v>
      </c>
      <c r="K154" s="201"/>
      <c r="L154" s="206"/>
      <c r="M154" s="207"/>
      <c r="N154" s="208"/>
      <c r="O154" s="208"/>
      <c r="P154" s="209">
        <f>SUM(P155:P159)</f>
        <v>0</v>
      </c>
      <c r="Q154" s="208"/>
      <c r="R154" s="209">
        <f>SUM(R155:R159)</f>
        <v>0.02903</v>
      </c>
      <c r="S154" s="208"/>
      <c r="T154" s="210">
        <f>SUM(T155:T159)</f>
        <v>0</v>
      </c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R154" s="211" t="s">
        <v>85</v>
      </c>
      <c r="AT154" s="212" t="s">
        <v>74</v>
      </c>
      <c r="AU154" s="212" t="s">
        <v>83</v>
      </c>
      <c r="AY154" s="211" t="s">
        <v>131</v>
      </c>
      <c r="BK154" s="213">
        <f>SUM(BK155:BK159)</f>
        <v>0</v>
      </c>
    </row>
    <row r="155" s="2" customFormat="1" ht="24.15" customHeight="1">
      <c r="A155" s="35"/>
      <c r="B155" s="36"/>
      <c r="C155" s="216" t="s">
        <v>626</v>
      </c>
      <c r="D155" s="216" t="s">
        <v>134</v>
      </c>
      <c r="E155" s="217" t="s">
        <v>627</v>
      </c>
      <c r="F155" s="218" t="s">
        <v>628</v>
      </c>
      <c r="G155" s="219" t="s">
        <v>185</v>
      </c>
      <c r="H155" s="220">
        <v>6</v>
      </c>
      <c r="I155" s="221"/>
      <c r="J155" s="222">
        <f>ROUND(I155*H155,2)</f>
        <v>0</v>
      </c>
      <c r="K155" s="223"/>
      <c r="L155" s="41"/>
      <c r="M155" s="224" t="s">
        <v>1</v>
      </c>
      <c r="N155" s="225" t="s">
        <v>40</v>
      </c>
      <c r="O155" s="88"/>
      <c r="P155" s="226">
        <f>O155*H155</f>
        <v>0</v>
      </c>
      <c r="Q155" s="226">
        <v>0.00025000000000000001</v>
      </c>
      <c r="R155" s="226">
        <f>Q155*H155</f>
        <v>0.0015</v>
      </c>
      <c r="S155" s="226">
        <v>0</v>
      </c>
      <c r="T155" s="227">
        <f>S155*H155</f>
        <v>0</v>
      </c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R155" s="228" t="s">
        <v>138</v>
      </c>
      <c r="AT155" s="228" t="s">
        <v>134</v>
      </c>
      <c r="AU155" s="228" t="s">
        <v>85</v>
      </c>
      <c r="AY155" s="14" t="s">
        <v>131</v>
      </c>
      <c r="BE155" s="229">
        <f>IF(N155="základní",J155,0)</f>
        <v>0</v>
      </c>
      <c r="BF155" s="229">
        <f>IF(N155="snížená",J155,0)</f>
        <v>0</v>
      </c>
      <c r="BG155" s="229">
        <f>IF(N155="zákl. přenesená",J155,0)</f>
        <v>0</v>
      </c>
      <c r="BH155" s="229">
        <f>IF(N155="sníž. přenesená",J155,0)</f>
        <v>0</v>
      </c>
      <c r="BI155" s="229">
        <f>IF(N155="nulová",J155,0)</f>
        <v>0</v>
      </c>
      <c r="BJ155" s="14" t="s">
        <v>83</v>
      </c>
      <c r="BK155" s="229">
        <f>ROUND(I155*H155,2)</f>
        <v>0</v>
      </c>
      <c r="BL155" s="14" t="s">
        <v>138</v>
      </c>
      <c r="BM155" s="228" t="s">
        <v>629</v>
      </c>
    </row>
    <row r="156" s="2" customFormat="1" ht="24.15" customHeight="1">
      <c r="A156" s="35"/>
      <c r="B156" s="36"/>
      <c r="C156" s="216" t="s">
        <v>299</v>
      </c>
      <c r="D156" s="216" t="s">
        <v>134</v>
      </c>
      <c r="E156" s="217" t="s">
        <v>630</v>
      </c>
      <c r="F156" s="218" t="s">
        <v>631</v>
      </c>
      <c r="G156" s="219" t="s">
        <v>185</v>
      </c>
      <c r="H156" s="220">
        <v>13</v>
      </c>
      <c r="I156" s="221"/>
      <c r="J156" s="222">
        <f>ROUND(I156*H156,2)</f>
        <v>0</v>
      </c>
      <c r="K156" s="223"/>
      <c r="L156" s="41"/>
      <c r="M156" s="224" t="s">
        <v>1</v>
      </c>
      <c r="N156" s="225" t="s">
        <v>40</v>
      </c>
      <c r="O156" s="88"/>
      <c r="P156" s="226">
        <f>O156*H156</f>
        <v>0</v>
      </c>
      <c r="Q156" s="226">
        <v>0.00095</v>
      </c>
      <c r="R156" s="226">
        <f>Q156*H156</f>
        <v>0.01235</v>
      </c>
      <c r="S156" s="226">
        <v>0</v>
      </c>
      <c r="T156" s="227">
        <f>S156*H156</f>
        <v>0</v>
      </c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R156" s="228" t="s">
        <v>138</v>
      </c>
      <c r="AT156" s="228" t="s">
        <v>134</v>
      </c>
      <c r="AU156" s="228" t="s">
        <v>85</v>
      </c>
      <c r="AY156" s="14" t="s">
        <v>131</v>
      </c>
      <c r="BE156" s="229">
        <f>IF(N156="základní",J156,0)</f>
        <v>0</v>
      </c>
      <c r="BF156" s="229">
        <f>IF(N156="snížená",J156,0)</f>
        <v>0</v>
      </c>
      <c r="BG156" s="229">
        <f>IF(N156="zákl. přenesená",J156,0)</f>
        <v>0</v>
      </c>
      <c r="BH156" s="229">
        <f>IF(N156="sníž. přenesená",J156,0)</f>
        <v>0</v>
      </c>
      <c r="BI156" s="229">
        <f>IF(N156="nulová",J156,0)</f>
        <v>0</v>
      </c>
      <c r="BJ156" s="14" t="s">
        <v>83</v>
      </c>
      <c r="BK156" s="229">
        <f>ROUND(I156*H156,2)</f>
        <v>0</v>
      </c>
      <c r="BL156" s="14" t="s">
        <v>138</v>
      </c>
      <c r="BM156" s="228" t="s">
        <v>632</v>
      </c>
    </row>
    <row r="157" s="2" customFormat="1" ht="24.15" customHeight="1">
      <c r="A157" s="35"/>
      <c r="B157" s="36"/>
      <c r="C157" s="216" t="s">
        <v>389</v>
      </c>
      <c r="D157" s="216" t="s">
        <v>134</v>
      </c>
      <c r="E157" s="217" t="s">
        <v>633</v>
      </c>
      <c r="F157" s="218" t="s">
        <v>634</v>
      </c>
      <c r="G157" s="219" t="s">
        <v>185</v>
      </c>
      <c r="H157" s="220">
        <v>10</v>
      </c>
      <c r="I157" s="221"/>
      <c r="J157" s="222">
        <f>ROUND(I157*H157,2)</f>
        <v>0</v>
      </c>
      <c r="K157" s="223"/>
      <c r="L157" s="41"/>
      <c r="M157" s="224" t="s">
        <v>1</v>
      </c>
      <c r="N157" s="225" t="s">
        <v>40</v>
      </c>
      <c r="O157" s="88"/>
      <c r="P157" s="226">
        <f>O157*H157</f>
        <v>0</v>
      </c>
      <c r="Q157" s="226">
        <v>0.00022000000000000001</v>
      </c>
      <c r="R157" s="226">
        <f>Q157*H157</f>
        <v>0.0022000000000000001</v>
      </c>
      <c r="S157" s="226">
        <v>0</v>
      </c>
      <c r="T157" s="227">
        <f>S157*H157</f>
        <v>0</v>
      </c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R157" s="228" t="s">
        <v>138</v>
      </c>
      <c r="AT157" s="228" t="s">
        <v>134</v>
      </c>
      <c r="AU157" s="228" t="s">
        <v>85</v>
      </c>
      <c r="AY157" s="14" t="s">
        <v>131</v>
      </c>
      <c r="BE157" s="229">
        <f>IF(N157="základní",J157,0)</f>
        <v>0</v>
      </c>
      <c r="BF157" s="229">
        <f>IF(N157="snížená",J157,0)</f>
        <v>0</v>
      </c>
      <c r="BG157" s="229">
        <f>IF(N157="zákl. přenesená",J157,0)</f>
        <v>0</v>
      </c>
      <c r="BH157" s="229">
        <f>IF(N157="sníž. přenesená",J157,0)</f>
        <v>0</v>
      </c>
      <c r="BI157" s="229">
        <f>IF(N157="nulová",J157,0)</f>
        <v>0</v>
      </c>
      <c r="BJ157" s="14" t="s">
        <v>83</v>
      </c>
      <c r="BK157" s="229">
        <f>ROUND(I157*H157,2)</f>
        <v>0</v>
      </c>
      <c r="BL157" s="14" t="s">
        <v>138</v>
      </c>
      <c r="BM157" s="228" t="s">
        <v>635</v>
      </c>
    </row>
    <row r="158" s="2" customFormat="1" ht="24.15" customHeight="1">
      <c r="A158" s="35"/>
      <c r="B158" s="36"/>
      <c r="C158" s="216" t="s">
        <v>393</v>
      </c>
      <c r="D158" s="216" t="s">
        <v>134</v>
      </c>
      <c r="E158" s="217" t="s">
        <v>523</v>
      </c>
      <c r="F158" s="218" t="s">
        <v>524</v>
      </c>
      <c r="G158" s="219" t="s">
        <v>185</v>
      </c>
      <c r="H158" s="220">
        <v>13</v>
      </c>
      <c r="I158" s="221"/>
      <c r="J158" s="222">
        <f>ROUND(I158*H158,2)</f>
        <v>0</v>
      </c>
      <c r="K158" s="223"/>
      <c r="L158" s="41"/>
      <c r="M158" s="224" t="s">
        <v>1</v>
      </c>
      <c r="N158" s="225" t="s">
        <v>40</v>
      </c>
      <c r="O158" s="88"/>
      <c r="P158" s="226">
        <f>O158*H158</f>
        <v>0</v>
      </c>
      <c r="Q158" s="226">
        <v>0.00050000000000000001</v>
      </c>
      <c r="R158" s="226">
        <f>Q158*H158</f>
        <v>0.0065000000000000006</v>
      </c>
      <c r="S158" s="226">
        <v>0</v>
      </c>
      <c r="T158" s="227">
        <f>S158*H158</f>
        <v>0</v>
      </c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R158" s="228" t="s">
        <v>138</v>
      </c>
      <c r="AT158" s="228" t="s">
        <v>134</v>
      </c>
      <c r="AU158" s="228" t="s">
        <v>85</v>
      </c>
      <c r="AY158" s="14" t="s">
        <v>131</v>
      </c>
      <c r="BE158" s="229">
        <f>IF(N158="základní",J158,0)</f>
        <v>0</v>
      </c>
      <c r="BF158" s="229">
        <f>IF(N158="snížená",J158,0)</f>
        <v>0</v>
      </c>
      <c r="BG158" s="229">
        <f>IF(N158="zákl. přenesená",J158,0)</f>
        <v>0</v>
      </c>
      <c r="BH158" s="229">
        <f>IF(N158="sníž. přenesená",J158,0)</f>
        <v>0</v>
      </c>
      <c r="BI158" s="229">
        <f>IF(N158="nulová",J158,0)</f>
        <v>0</v>
      </c>
      <c r="BJ158" s="14" t="s">
        <v>83</v>
      </c>
      <c r="BK158" s="229">
        <f>ROUND(I158*H158,2)</f>
        <v>0</v>
      </c>
      <c r="BL158" s="14" t="s">
        <v>138</v>
      </c>
      <c r="BM158" s="228" t="s">
        <v>636</v>
      </c>
    </row>
    <row r="159" s="2" customFormat="1" ht="16.5" customHeight="1">
      <c r="A159" s="35"/>
      <c r="B159" s="36"/>
      <c r="C159" s="216" t="s">
        <v>397</v>
      </c>
      <c r="D159" s="216" t="s">
        <v>134</v>
      </c>
      <c r="E159" s="217" t="s">
        <v>637</v>
      </c>
      <c r="F159" s="218" t="s">
        <v>638</v>
      </c>
      <c r="G159" s="219" t="s">
        <v>185</v>
      </c>
      <c r="H159" s="220">
        <v>4</v>
      </c>
      <c r="I159" s="221"/>
      <c r="J159" s="222">
        <f>ROUND(I159*H159,2)</f>
        <v>0</v>
      </c>
      <c r="K159" s="223"/>
      <c r="L159" s="41"/>
      <c r="M159" s="224" t="s">
        <v>1</v>
      </c>
      <c r="N159" s="225" t="s">
        <v>40</v>
      </c>
      <c r="O159" s="88"/>
      <c r="P159" s="226">
        <f>O159*H159</f>
        <v>0</v>
      </c>
      <c r="Q159" s="226">
        <v>0.0016199999999999999</v>
      </c>
      <c r="R159" s="226">
        <f>Q159*H159</f>
        <v>0.0064799999999999996</v>
      </c>
      <c r="S159" s="226">
        <v>0</v>
      </c>
      <c r="T159" s="227">
        <f>S159*H159</f>
        <v>0</v>
      </c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R159" s="228" t="s">
        <v>138</v>
      </c>
      <c r="AT159" s="228" t="s">
        <v>134</v>
      </c>
      <c r="AU159" s="228" t="s">
        <v>85</v>
      </c>
      <c r="AY159" s="14" t="s">
        <v>131</v>
      </c>
      <c r="BE159" s="229">
        <f>IF(N159="základní",J159,0)</f>
        <v>0</v>
      </c>
      <c r="BF159" s="229">
        <f>IF(N159="snížená",J159,0)</f>
        <v>0</v>
      </c>
      <c r="BG159" s="229">
        <f>IF(N159="zákl. přenesená",J159,0)</f>
        <v>0</v>
      </c>
      <c r="BH159" s="229">
        <f>IF(N159="sníž. přenesená",J159,0)</f>
        <v>0</v>
      </c>
      <c r="BI159" s="229">
        <f>IF(N159="nulová",J159,0)</f>
        <v>0</v>
      </c>
      <c r="BJ159" s="14" t="s">
        <v>83</v>
      </c>
      <c r="BK159" s="229">
        <f>ROUND(I159*H159,2)</f>
        <v>0</v>
      </c>
      <c r="BL159" s="14" t="s">
        <v>138</v>
      </c>
      <c r="BM159" s="228" t="s">
        <v>639</v>
      </c>
    </row>
    <row r="160" s="12" customFormat="1" ht="22.8" customHeight="1">
      <c r="A160" s="12"/>
      <c r="B160" s="200"/>
      <c r="C160" s="201"/>
      <c r="D160" s="202" t="s">
        <v>74</v>
      </c>
      <c r="E160" s="214" t="s">
        <v>640</v>
      </c>
      <c r="F160" s="214" t="s">
        <v>641</v>
      </c>
      <c r="G160" s="201"/>
      <c r="H160" s="201"/>
      <c r="I160" s="204"/>
      <c r="J160" s="215">
        <f>BK160</f>
        <v>0</v>
      </c>
      <c r="K160" s="201"/>
      <c r="L160" s="206"/>
      <c r="M160" s="207"/>
      <c r="N160" s="208"/>
      <c r="O160" s="208"/>
      <c r="P160" s="209">
        <f>SUM(P161:P178)</f>
        <v>0</v>
      </c>
      <c r="Q160" s="208"/>
      <c r="R160" s="209">
        <f>SUM(R161:R178)</f>
        <v>2.3683999999999998</v>
      </c>
      <c r="S160" s="208"/>
      <c r="T160" s="210">
        <f>SUM(T161:T178)</f>
        <v>0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R160" s="211" t="s">
        <v>85</v>
      </c>
      <c r="AT160" s="212" t="s">
        <v>74</v>
      </c>
      <c r="AU160" s="212" t="s">
        <v>83</v>
      </c>
      <c r="AY160" s="211" t="s">
        <v>131</v>
      </c>
      <c r="BK160" s="213">
        <f>SUM(BK161:BK178)</f>
        <v>0</v>
      </c>
    </row>
    <row r="161" s="2" customFormat="1" ht="37.8" customHeight="1">
      <c r="A161" s="35"/>
      <c r="B161" s="36"/>
      <c r="C161" s="216" t="s">
        <v>347</v>
      </c>
      <c r="D161" s="216" t="s">
        <v>134</v>
      </c>
      <c r="E161" s="217" t="s">
        <v>642</v>
      </c>
      <c r="F161" s="218" t="s">
        <v>643</v>
      </c>
      <c r="G161" s="219" t="s">
        <v>142</v>
      </c>
      <c r="H161" s="220">
        <v>4700</v>
      </c>
      <c r="I161" s="221"/>
      <c r="J161" s="222">
        <f>ROUND(I161*H161,2)</f>
        <v>0</v>
      </c>
      <c r="K161" s="223"/>
      <c r="L161" s="41"/>
      <c r="M161" s="224" t="s">
        <v>1</v>
      </c>
      <c r="N161" s="225" t="s">
        <v>40</v>
      </c>
      <c r="O161" s="88"/>
      <c r="P161" s="226">
        <f>O161*H161</f>
        <v>0</v>
      </c>
      <c r="Q161" s="226">
        <v>0.00012</v>
      </c>
      <c r="R161" s="226">
        <f>Q161*H161</f>
        <v>0.56400000000000006</v>
      </c>
      <c r="S161" s="226">
        <v>0</v>
      </c>
      <c r="T161" s="227">
        <f>S161*H161</f>
        <v>0</v>
      </c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R161" s="228" t="s">
        <v>138</v>
      </c>
      <c r="AT161" s="228" t="s">
        <v>134</v>
      </c>
      <c r="AU161" s="228" t="s">
        <v>85</v>
      </c>
      <c r="AY161" s="14" t="s">
        <v>131</v>
      </c>
      <c r="BE161" s="229">
        <f>IF(N161="základní",J161,0)</f>
        <v>0</v>
      </c>
      <c r="BF161" s="229">
        <f>IF(N161="snížená",J161,0)</f>
        <v>0</v>
      </c>
      <c r="BG161" s="229">
        <f>IF(N161="zákl. přenesená",J161,0)</f>
        <v>0</v>
      </c>
      <c r="BH161" s="229">
        <f>IF(N161="sníž. přenesená",J161,0)</f>
        <v>0</v>
      </c>
      <c r="BI161" s="229">
        <f>IF(N161="nulová",J161,0)</f>
        <v>0</v>
      </c>
      <c r="BJ161" s="14" t="s">
        <v>83</v>
      </c>
      <c r="BK161" s="229">
        <f>ROUND(I161*H161,2)</f>
        <v>0</v>
      </c>
      <c r="BL161" s="14" t="s">
        <v>138</v>
      </c>
      <c r="BM161" s="228" t="s">
        <v>644</v>
      </c>
    </row>
    <row r="162" s="2" customFormat="1" ht="37.8" customHeight="1">
      <c r="A162" s="35"/>
      <c r="B162" s="36"/>
      <c r="C162" s="216" t="s">
        <v>355</v>
      </c>
      <c r="D162" s="216" t="s">
        <v>134</v>
      </c>
      <c r="E162" s="217" t="s">
        <v>645</v>
      </c>
      <c r="F162" s="218" t="s">
        <v>646</v>
      </c>
      <c r="G162" s="219" t="s">
        <v>142</v>
      </c>
      <c r="H162" s="220">
        <v>1500</v>
      </c>
      <c r="I162" s="221"/>
      <c r="J162" s="222">
        <f>ROUND(I162*H162,2)</f>
        <v>0</v>
      </c>
      <c r="K162" s="223"/>
      <c r="L162" s="41"/>
      <c r="M162" s="224" t="s">
        <v>1</v>
      </c>
      <c r="N162" s="225" t="s">
        <v>40</v>
      </c>
      <c r="O162" s="88"/>
      <c r="P162" s="226">
        <f>O162*H162</f>
        <v>0</v>
      </c>
      <c r="Q162" s="226">
        <v>0.00012</v>
      </c>
      <c r="R162" s="226">
        <f>Q162*H162</f>
        <v>0.17999999999999999</v>
      </c>
      <c r="S162" s="226">
        <v>0</v>
      </c>
      <c r="T162" s="227">
        <f>S162*H162</f>
        <v>0</v>
      </c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R162" s="228" t="s">
        <v>138</v>
      </c>
      <c r="AT162" s="228" t="s">
        <v>134</v>
      </c>
      <c r="AU162" s="228" t="s">
        <v>85</v>
      </c>
      <c r="AY162" s="14" t="s">
        <v>131</v>
      </c>
      <c r="BE162" s="229">
        <f>IF(N162="základní",J162,0)</f>
        <v>0</v>
      </c>
      <c r="BF162" s="229">
        <f>IF(N162="snížená",J162,0)</f>
        <v>0</v>
      </c>
      <c r="BG162" s="229">
        <f>IF(N162="zákl. přenesená",J162,0)</f>
        <v>0</v>
      </c>
      <c r="BH162" s="229">
        <f>IF(N162="sníž. přenesená",J162,0)</f>
        <v>0</v>
      </c>
      <c r="BI162" s="229">
        <f>IF(N162="nulová",J162,0)</f>
        <v>0</v>
      </c>
      <c r="BJ162" s="14" t="s">
        <v>83</v>
      </c>
      <c r="BK162" s="229">
        <f>ROUND(I162*H162,2)</f>
        <v>0</v>
      </c>
      <c r="BL162" s="14" t="s">
        <v>138</v>
      </c>
      <c r="BM162" s="228" t="s">
        <v>647</v>
      </c>
    </row>
    <row r="163" s="2" customFormat="1" ht="37.8" customHeight="1">
      <c r="A163" s="35"/>
      <c r="B163" s="36"/>
      <c r="C163" s="216" t="s">
        <v>351</v>
      </c>
      <c r="D163" s="216" t="s">
        <v>134</v>
      </c>
      <c r="E163" s="217" t="s">
        <v>648</v>
      </c>
      <c r="F163" s="218" t="s">
        <v>649</v>
      </c>
      <c r="G163" s="219" t="s">
        <v>142</v>
      </c>
      <c r="H163" s="220">
        <v>60</v>
      </c>
      <c r="I163" s="221"/>
      <c r="J163" s="222">
        <f>ROUND(I163*H163,2)</f>
        <v>0</v>
      </c>
      <c r="K163" s="223"/>
      <c r="L163" s="41"/>
      <c r="M163" s="224" t="s">
        <v>1</v>
      </c>
      <c r="N163" s="225" t="s">
        <v>40</v>
      </c>
      <c r="O163" s="88"/>
      <c r="P163" s="226">
        <f>O163*H163</f>
        <v>0</v>
      </c>
      <c r="Q163" s="226">
        <v>0.00012</v>
      </c>
      <c r="R163" s="226">
        <f>Q163*H163</f>
        <v>0.0071999999999999998</v>
      </c>
      <c r="S163" s="226">
        <v>0</v>
      </c>
      <c r="T163" s="227">
        <f>S163*H163</f>
        <v>0</v>
      </c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R163" s="228" t="s">
        <v>138</v>
      </c>
      <c r="AT163" s="228" t="s">
        <v>134</v>
      </c>
      <c r="AU163" s="228" t="s">
        <v>85</v>
      </c>
      <c r="AY163" s="14" t="s">
        <v>131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4" t="s">
        <v>83</v>
      </c>
      <c r="BK163" s="229">
        <f>ROUND(I163*H163,2)</f>
        <v>0</v>
      </c>
      <c r="BL163" s="14" t="s">
        <v>138</v>
      </c>
      <c r="BM163" s="228" t="s">
        <v>650</v>
      </c>
    </row>
    <row r="164" s="2" customFormat="1" ht="37.8" customHeight="1">
      <c r="A164" s="35"/>
      <c r="B164" s="36"/>
      <c r="C164" s="216" t="s">
        <v>373</v>
      </c>
      <c r="D164" s="216" t="s">
        <v>134</v>
      </c>
      <c r="E164" s="217" t="s">
        <v>651</v>
      </c>
      <c r="F164" s="218" t="s">
        <v>652</v>
      </c>
      <c r="G164" s="219" t="s">
        <v>137</v>
      </c>
      <c r="H164" s="220">
        <v>1080</v>
      </c>
      <c r="I164" s="221"/>
      <c r="J164" s="222">
        <f>ROUND(I164*H164,2)</f>
        <v>0</v>
      </c>
      <c r="K164" s="223"/>
      <c r="L164" s="41"/>
      <c r="M164" s="224" t="s">
        <v>1</v>
      </c>
      <c r="N164" s="225" t="s">
        <v>40</v>
      </c>
      <c r="O164" s="88"/>
      <c r="P164" s="226">
        <f>O164*H164</f>
        <v>0</v>
      </c>
      <c r="Q164" s="226">
        <v>0.0012099999999999999</v>
      </c>
      <c r="R164" s="226">
        <f>Q164*H164</f>
        <v>1.3068</v>
      </c>
      <c r="S164" s="226">
        <v>0</v>
      </c>
      <c r="T164" s="227">
        <f>S164*H164</f>
        <v>0</v>
      </c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R164" s="228" t="s">
        <v>138</v>
      </c>
      <c r="AT164" s="228" t="s">
        <v>134</v>
      </c>
      <c r="AU164" s="228" t="s">
        <v>85</v>
      </c>
      <c r="AY164" s="14" t="s">
        <v>131</v>
      </c>
      <c r="BE164" s="229">
        <f>IF(N164="základní",J164,0)</f>
        <v>0</v>
      </c>
      <c r="BF164" s="229">
        <f>IF(N164="snížená",J164,0)</f>
        <v>0</v>
      </c>
      <c r="BG164" s="229">
        <f>IF(N164="zákl. přenesená",J164,0)</f>
        <v>0</v>
      </c>
      <c r="BH164" s="229">
        <f>IF(N164="sníž. přenesená",J164,0)</f>
        <v>0</v>
      </c>
      <c r="BI164" s="229">
        <f>IF(N164="nulová",J164,0)</f>
        <v>0</v>
      </c>
      <c r="BJ164" s="14" t="s">
        <v>83</v>
      </c>
      <c r="BK164" s="229">
        <f>ROUND(I164*H164,2)</f>
        <v>0</v>
      </c>
      <c r="BL164" s="14" t="s">
        <v>138</v>
      </c>
      <c r="BM164" s="228" t="s">
        <v>653</v>
      </c>
    </row>
    <row r="165" s="2" customFormat="1" ht="24.15" customHeight="1">
      <c r="A165" s="35"/>
      <c r="B165" s="36"/>
      <c r="C165" s="216" t="s">
        <v>319</v>
      </c>
      <c r="D165" s="216" t="s">
        <v>134</v>
      </c>
      <c r="E165" s="217" t="s">
        <v>654</v>
      </c>
      <c r="F165" s="218" t="s">
        <v>655</v>
      </c>
      <c r="G165" s="219" t="s">
        <v>142</v>
      </c>
      <c r="H165" s="220">
        <v>1175</v>
      </c>
      <c r="I165" s="221"/>
      <c r="J165" s="222">
        <f>ROUND(I165*H165,2)</f>
        <v>0</v>
      </c>
      <c r="K165" s="223"/>
      <c r="L165" s="41"/>
      <c r="M165" s="224" t="s">
        <v>1</v>
      </c>
      <c r="N165" s="225" t="s">
        <v>40</v>
      </c>
      <c r="O165" s="88"/>
      <c r="P165" s="226">
        <f>O165*H165</f>
        <v>0</v>
      </c>
      <c r="Q165" s="226">
        <v>6.0000000000000002E-05</v>
      </c>
      <c r="R165" s="226">
        <f>Q165*H165</f>
        <v>0.070500000000000007</v>
      </c>
      <c r="S165" s="226">
        <v>0</v>
      </c>
      <c r="T165" s="227">
        <f>S165*H165</f>
        <v>0</v>
      </c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R165" s="228" t="s">
        <v>138</v>
      </c>
      <c r="AT165" s="228" t="s">
        <v>134</v>
      </c>
      <c r="AU165" s="228" t="s">
        <v>85</v>
      </c>
      <c r="AY165" s="14" t="s">
        <v>131</v>
      </c>
      <c r="BE165" s="229">
        <f>IF(N165="základní",J165,0)</f>
        <v>0</v>
      </c>
      <c r="BF165" s="229">
        <f>IF(N165="snížená",J165,0)</f>
        <v>0</v>
      </c>
      <c r="BG165" s="229">
        <f>IF(N165="zákl. přenesená",J165,0)</f>
        <v>0</v>
      </c>
      <c r="BH165" s="229">
        <f>IF(N165="sníž. přenesená",J165,0)</f>
        <v>0</v>
      </c>
      <c r="BI165" s="229">
        <f>IF(N165="nulová",J165,0)</f>
        <v>0</v>
      </c>
      <c r="BJ165" s="14" t="s">
        <v>83</v>
      </c>
      <c r="BK165" s="229">
        <f>ROUND(I165*H165,2)</f>
        <v>0</v>
      </c>
      <c r="BL165" s="14" t="s">
        <v>138</v>
      </c>
      <c r="BM165" s="228" t="s">
        <v>656</v>
      </c>
    </row>
    <row r="166" s="2" customFormat="1" ht="33" customHeight="1">
      <c r="A166" s="35"/>
      <c r="B166" s="36"/>
      <c r="C166" s="216" t="s">
        <v>303</v>
      </c>
      <c r="D166" s="216" t="s">
        <v>134</v>
      </c>
      <c r="E166" s="217" t="s">
        <v>657</v>
      </c>
      <c r="F166" s="218" t="s">
        <v>658</v>
      </c>
      <c r="G166" s="219" t="s">
        <v>185</v>
      </c>
      <c r="H166" s="220">
        <v>1</v>
      </c>
      <c r="I166" s="221"/>
      <c r="J166" s="222">
        <f>ROUND(I166*H166,2)</f>
        <v>0</v>
      </c>
      <c r="K166" s="223"/>
      <c r="L166" s="41"/>
      <c r="M166" s="224" t="s">
        <v>1</v>
      </c>
      <c r="N166" s="225" t="s">
        <v>40</v>
      </c>
      <c r="O166" s="88"/>
      <c r="P166" s="226">
        <f>O166*H166</f>
        <v>0</v>
      </c>
      <c r="Q166" s="226">
        <v>0.00314</v>
      </c>
      <c r="R166" s="226">
        <f>Q166*H166</f>
        <v>0.00314</v>
      </c>
      <c r="S166" s="226">
        <v>0</v>
      </c>
      <c r="T166" s="227">
        <f>S166*H166</f>
        <v>0</v>
      </c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R166" s="228" t="s">
        <v>138</v>
      </c>
      <c r="AT166" s="228" t="s">
        <v>134</v>
      </c>
      <c r="AU166" s="228" t="s">
        <v>85</v>
      </c>
      <c r="AY166" s="14" t="s">
        <v>131</v>
      </c>
      <c r="BE166" s="229">
        <f>IF(N166="základní",J166,0)</f>
        <v>0</v>
      </c>
      <c r="BF166" s="229">
        <f>IF(N166="snížená",J166,0)</f>
        <v>0</v>
      </c>
      <c r="BG166" s="229">
        <f>IF(N166="zákl. přenesená",J166,0)</f>
        <v>0</v>
      </c>
      <c r="BH166" s="229">
        <f>IF(N166="sníž. přenesená",J166,0)</f>
        <v>0</v>
      </c>
      <c r="BI166" s="229">
        <f>IF(N166="nulová",J166,0)</f>
        <v>0</v>
      </c>
      <c r="BJ166" s="14" t="s">
        <v>83</v>
      </c>
      <c r="BK166" s="229">
        <f>ROUND(I166*H166,2)</f>
        <v>0</v>
      </c>
      <c r="BL166" s="14" t="s">
        <v>138</v>
      </c>
      <c r="BM166" s="228" t="s">
        <v>659</v>
      </c>
    </row>
    <row r="167" s="2" customFormat="1" ht="33" customHeight="1">
      <c r="A167" s="35"/>
      <c r="B167" s="36"/>
      <c r="C167" s="216" t="s">
        <v>307</v>
      </c>
      <c r="D167" s="216" t="s">
        <v>134</v>
      </c>
      <c r="E167" s="217" t="s">
        <v>660</v>
      </c>
      <c r="F167" s="218" t="s">
        <v>661</v>
      </c>
      <c r="G167" s="219" t="s">
        <v>185</v>
      </c>
      <c r="H167" s="220">
        <v>1</v>
      </c>
      <c r="I167" s="221"/>
      <c r="J167" s="222">
        <f>ROUND(I167*H167,2)</f>
        <v>0</v>
      </c>
      <c r="K167" s="223"/>
      <c r="L167" s="41"/>
      <c r="M167" s="224" t="s">
        <v>1</v>
      </c>
      <c r="N167" s="225" t="s">
        <v>40</v>
      </c>
      <c r="O167" s="88"/>
      <c r="P167" s="226">
        <f>O167*H167</f>
        <v>0</v>
      </c>
      <c r="Q167" s="226">
        <v>0.0038400000000000001</v>
      </c>
      <c r="R167" s="226">
        <f>Q167*H167</f>
        <v>0.0038400000000000001</v>
      </c>
      <c r="S167" s="226">
        <v>0</v>
      </c>
      <c r="T167" s="227">
        <f>S167*H167</f>
        <v>0</v>
      </c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R167" s="228" t="s">
        <v>138</v>
      </c>
      <c r="AT167" s="228" t="s">
        <v>134</v>
      </c>
      <c r="AU167" s="228" t="s">
        <v>85</v>
      </c>
      <c r="AY167" s="14" t="s">
        <v>131</v>
      </c>
      <c r="BE167" s="229">
        <f>IF(N167="základní",J167,0)</f>
        <v>0</v>
      </c>
      <c r="BF167" s="229">
        <f>IF(N167="snížená",J167,0)</f>
        <v>0</v>
      </c>
      <c r="BG167" s="229">
        <f>IF(N167="zákl. přenesená",J167,0)</f>
        <v>0</v>
      </c>
      <c r="BH167" s="229">
        <f>IF(N167="sníž. přenesená",J167,0)</f>
        <v>0</v>
      </c>
      <c r="BI167" s="229">
        <f>IF(N167="nulová",J167,0)</f>
        <v>0</v>
      </c>
      <c r="BJ167" s="14" t="s">
        <v>83</v>
      </c>
      <c r="BK167" s="229">
        <f>ROUND(I167*H167,2)</f>
        <v>0</v>
      </c>
      <c r="BL167" s="14" t="s">
        <v>138</v>
      </c>
      <c r="BM167" s="228" t="s">
        <v>662</v>
      </c>
    </row>
    <row r="168" s="2" customFormat="1" ht="37.8" customHeight="1">
      <c r="A168" s="35"/>
      <c r="B168" s="36"/>
      <c r="C168" s="216" t="s">
        <v>663</v>
      </c>
      <c r="D168" s="216" t="s">
        <v>134</v>
      </c>
      <c r="E168" s="217" t="s">
        <v>664</v>
      </c>
      <c r="F168" s="218" t="s">
        <v>665</v>
      </c>
      <c r="G168" s="219" t="s">
        <v>185</v>
      </c>
      <c r="H168" s="220">
        <v>5</v>
      </c>
      <c r="I168" s="221"/>
      <c r="J168" s="222">
        <f>ROUND(I168*H168,2)</f>
        <v>0</v>
      </c>
      <c r="K168" s="223"/>
      <c r="L168" s="41"/>
      <c r="M168" s="224" t="s">
        <v>1</v>
      </c>
      <c r="N168" s="225" t="s">
        <v>40</v>
      </c>
      <c r="O168" s="88"/>
      <c r="P168" s="226">
        <f>O168*H168</f>
        <v>0</v>
      </c>
      <c r="Q168" s="226">
        <v>0.0050400000000000002</v>
      </c>
      <c r="R168" s="226">
        <f>Q168*H168</f>
        <v>0.0252</v>
      </c>
      <c r="S168" s="226">
        <v>0</v>
      </c>
      <c r="T168" s="227">
        <f>S168*H168</f>
        <v>0</v>
      </c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R168" s="228" t="s">
        <v>138</v>
      </c>
      <c r="AT168" s="228" t="s">
        <v>134</v>
      </c>
      <c r="AU168" s="228" t="s">
        <v>85</v>
      </c>
      <c r="AY168" s="14" t="s">
        <v>131</v>
      </c>
      <c r="BE168" s="229">
        <f>IF(N168="základní",J168,0)</f>
        <v>0</v>
      </c>
      <c r="BF168" s="229">
        <f>IF(N168="snížená",J168,0)</f>
        <v>0</v>
      </c>
      <c r="BG168" s="229">
        <f>IF(N168="zákl. přenesená",J168,0)</f>
        <v>0</v>
      </c>
      <c r="BH168" s="229">
        <f>IF(N168="sníž. přenesená",J168,0)</f>
        <v>0</v>
      </c>
      <c r="BI168" s="229">
        <f>IF(N168="nulová",J168,0)</f>
        <v>0</v>
      </c>
      <c r="BJ168" s="14" t="s">
        <v>83</v>
      </c>
      <c r="BK168" s="229">
        <f>ROUND(I168*H168,2)</f>
        <v>0</v>
      </c>
      <c r="BL168" s="14" t="s">
        <v>138</v>
      </c>
      <c r="BM168" s="228" t="s">
        <v>666</v>
      </c>
    </row>
    <row r="169" s="2" customFormat="1" ht="37.8" customHeight="1">
      <c r="A169" s="35"/>
      <c r="B169" s="36"/>
      <c r="C169" s="216" t="s">
        <v>359</v>
      </c>
      <c r="D169" s="216" t="s">
        <v>134</v>
      </c>
      <c r="E169" s="217" t="s">
        <v>667</v>
      </c>
      <c r="F169" s="218" t="s">
        <v>668</v>
      </c>
      <c r="G169" s="219" t="s">
        <v>185</v>
      </c>
      <c r="H169" s="220">
        <v>4</v>
      </c>
      <c r="I169" s="221"/>
      <c r="J169" s="222">
        <f>ROUND(I169*H169,2)</f>
        <v>0</v>
      </c>
      <c r="K169" s="223"/>
      <c r="L169" s="41"/>
      <c r="M169" s="224" t="s">
        <v>1</v>
      </c>
      <c r="N169" s="225" t="s">
        <v>40</v>
      </c>
      <c r="O169" s="88"/>
      <c r="P169" s="226">
        <f>O169*H169</f>
        <v>0</v>
      </c>
      <c r="Q169" s="226">
        <v>0.0057600000000000004</v>
      </c>
      <c r="R169" s="226">
        <f>Q169*H169</f>
        <v>0.023040000000000001</v>
      </c>
      <c r="S169" s="226">
        <v>0</v>
      </c>
      <c r="T169" s="227">
        <f>S169*H169</f>
        <v>0</v>
      </c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R169" s="228" t="s">
        <v>138</v>
      </c>
      <c r="AT169" s="228" t="s">
        <v>134</v>
      </c>
      <c r="AU169" s="228" t="s">
        <v>85</v>
      </c>
      <c r="AY169" s="14" t="s">
        <v>131</v>
      </c>
      <c r="BE169" s="229">
        <f>IF(N169="základní",J169,0)</f>
        <v>0</v>
      </c>
      <c r="BF169" s="229">
        <f>IF(N169="snížená",J169,0)</f>
        <v>0</v>
      </c>
      <c r="BG169" s="229">
        <f>IF(N169="zákl. přenesená",J169,0)</f>
        <v>0</v>
      </c>
      <c r="BH169" s="229">
        <f>IF(N169="sníž. přenesená",J169,0)</f>
        <v>0</v>
      </c>
      <c r="BI169" s="229">
        <f>IF(N169="nulová",J169,0)</f>
        <v>0</v>
      </c>
      <c r="BJ169" s="14" t="s">
        <v>83</v>
      </c>
      <c r="BK169" s="229">
        <f>ROUND(I169*H169,2)</f>
        <v>0</v>
      </c>
      <c r="BL169" s="14" t="s">
        <v>138</v>
      </c>
      <c r="BM169" s="228" t="s">
        <v>669</v>
      </c>
    </row>
    <row r="170" s="2" customFormat="1" ht="37.8" customHeight="1">
      <c r="A170" s="35"/>
      <c r="B170" s="36"/>
      <c r="C170" s="216" t="s">
        <v>363</v>
      </c>
      <c r="D170" s="216" t="s">
        <v>134</v>
      </c>
      <c r="E170" s="217" t="s">
        <v>670</v>
      </c>
      <c r="F170" s="218" t="s">
        <v>671</v>
      </c>
      <c r="G170" s="219" t="s">
        <v>185</v>
      </c>
      <c r="H170" s="220">
        <v>1</v>
      </c>
      <c r="I170" s="221"/>
      <c r="J170" s="222">
        <f>ROUND(I170*H170,2)</f>
        <v>0</v>
      </c>
      <c r="K170" s="223"/>
      <c r="L170" s="41"/>
      <c r="M170" s="224" t="s">
        <v>1</v>
      </c>
      <c r="N170" s="225" t="s">
        <v>40</v>
      </c>
      <c r="O170" s="88"/>
      <c r="P170" s="226">
        <f>O170*H170</f>
        <v>0</v>
      </c>
      <c r="Q170" s="226">
        <v>0.0058799999999999998</v>
      </c>
      <c r="R170" s="226">
        <f>Q170*H170</f>
        <v>0.0058799999999999998</v>
      </c>
      <c r="S170" s="226">
        <v>0</v>
      </c>
      <c r="T170" s="227">
        <f>S170*H170</f>
        <v>0</v>
      </c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R170" s="228" t="s">
        <v>138</v>
      </c>
      <c r="AT170" s="228" t="s">
        <v>134</v>
      </c>
      <c r="AU170" s="228" t="s">
        <v>85</v>
      </c>
      <c r="AY170" s="14" t="s">
        <v>131</v>
      </c>
      <c r="BE170" s="229">
        <f>IF(N170="základní",J170,0)</f>
        <v>0</v>
      </c>
      <c r="BF170" s="229">
        <f>IF(N170="snížená",J170,0)</f>
        <v>0</v>
      </c>
      <c r="BG170" s="229">
        <f>IF(N170="zákl. přenesená",J170,0)</f>
        <v>0</v>
      </c>
      <c r="BH170" s="229">
        <f>IF(N170="sníž. přenesená",J170,0)</f>
        <v>0</v>
      </c>
      <c r="BI170" s="229">
        <f>IF(N170="nulová",J170,0)</f>
        <v>0</v>
      </c>
      <c r="BJ170" s="14" t="s">
        <v>83</v>
      </c>
      <c r="BK170" s="229">
        <f>ROUND(I170*H170,2)</f>
        <v>0</v>
      </c>
      <c r="BL170" s="14" t="s">
        <v>138</v>
      </c>
      <c r="BM170" s="228" t="s">
        <v>672</v>
      </c>
    </row>
    <row r="171" s="2" customFormat="1" ht="37.8" customHeight="1">
      <c r="A171" s="35"/>
      <c r="B171" s="36"/>
      <c r="C171" s="216" t="s">
        <v>367</v>
      </c>
      <c r="D171" s="216" t="s">
        <v>134</v>
      </c>
      <c r="E171" s="217" t="s">
        <v>673</v>
      </c>
      <c r="F171" s="218" t="s">
        <v>674</v>
      </c>
      <c r="G171" s="219" t="s">
        <v>185</v>
      </c>
      <c r="H171" s="220">
        <v>2</v>
      </c>
      <c r="I171" s="221"/>
      <c r="J171" s="222">
        <f>ROUND(I171*H171,2)</f>
        <v>0</v>
      </c>
      <c r="K171" s="223"/>
      <c r="L171" s="41"/>
      <c r="M171" s="224" t="s">
        <v>1</v>
      </c>
      <c r="N171" s="225" t="s">
        <v>40</v>
      </c>
      <c r="O171" s="88"/>
      <c r="P171" s="226">
        <f>O171*H171</f>
        <v>0</v>
      </c>
      <c r="Q171" s="226">
        <v>0.0065799999999999999</v>
      </c>
      <c r="R171" s="226">
        <f>Q171*H171</f>
        <v>0.01316</v>
      </c>
      <c r="S171" s="226">
        <v>0</v>
      </c>
      <c r="T171" s="227">
        <f>S171*H171</f>
        <v>0</v>
      </c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R171" s="228" t="s">
        <v>138</v>
      </c>
      <c r="AT171" s="228" t="s">
        <v>134</v>
      </c>
      <c r="AU171" s="228" t="s">
        <v>85</v>
      </c>
      <c r="AY171" s="14" t="s">
        <v>131</v>
      </c>
      <c r="BE171" s="229">
        <f>IF(N171="základní",J171,0)</f>
        <v>0</v>
      </c>
      <c r="BF171" s="229">
        <f>IF(N171="snížená",J171,0)</f>
        <v>0</v>
      </c>
      <c r="BG171" s="229">
        <f>IF(N171="zákl. přenesená",J171,0)</f>
        <v>0</v>
      </c>
      <c r="BH171" s="229">
        <f>IF(N171="sníž. přenesená",J171,0)</f>
        <v>0</v>
      </c>
      <c r="BI171" s="229">
        <f>IF(N171="nulová",J171,0)</f>
        <v>0</v>
      </c>
      <c r="BJ171" s="14" t="s">
        <v>83</v>
      </c>
      <c r="BK171" s="229">
        <f>ROUND(I171*H171,2)</f>
        <v>0</v>
      </c>
      <c r="BL171" s="14" t="s">
        <v>138</v>
      </c>
      <c r="BM171" s="228" t="s">
        <v>675</v>
      </c>
    </row>
    <row r="172" s="2" customFormat="1" ht="33" customHeight="1">
      <c r="A172" s="35"/>
      <c r="B172" s="36"/>
      <c r="C172" s="216" t="s">
        <v>311</v>
      </c>
      <c r="D172" s="216" t="s">
        <v>134</v>
      </c>
      <c r="E172" s="217" t="s">
        <v>676</v>
      </c>
      <c r="F172" s="218" t="s">
        <v>677</v>
      </c>
      <c r="G172" s="219" t="s">
        <v>185</v>
      </c>
      <c r="H172" s="220">
        <v>142</v>
      </c>
      <c r="I172" s="221"/>
      <c r="J172" s="222">
        <f>ROUND(I172*H172,2)</f>
        <v>0</v>
      </c>
      <c r="K172" s="223"/>
      <c r="L172" s="41"/>
      <c r="M172" s="224" t="s">
        <v>1</v>
      </c>
      <c r="N172" s="225" t="s">
        <v>40</v>
      </c>
      <c r="O172" s="88"/>
      <c r="P172" s="226">
        <f>O172*H172</f>
        <v>0</v>
      </c>
      <c r="Q172" s="226">
        <v>6.9999999999999994E-05</v>
      </c>
      <c r="R172" s="226">
        <f>Q172*H172</f>
        <v>0.0099399999999999992</v>
      </c>
      <c r="S172" s="226">
        <v>0</v>
      </c>
      <c r="T172" s="227">
        <f>S172*H172</f>
        <v>0</v>
      </c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R172" s="228" t="s">
        <v>138</v>
      </c>
      <c r="AT172" s="228" t="s">
        <v>134</v>
      </c>
      <c r="AU172" s="228" t="s">
        <v>85</v>
      </c>
      <c r="AY172" s="14" t="s">
        <v>131</v>
      </c>
      <c r="BE172" s="229">
        <f>IF(N172="základní",J172,0)</f>
        <v>0</v>
      </c>
      <c r="BF172" s="229">
        <f>IF(N172="snížená",J172,0)</f>
        <v>0</v>
      </c>
      <c r="BG172" s="229">
        <f>IF(N172="zákl. přenesená",J172,0)</f>
        <v>0</v>
      </c>
      <c r="BH172" s="229">
        <f>IF(N172="sníž. přenesená",J172,0)</f>
        <v>0</v>
      </c>
      <c r="BI172" s="229">
        <f>IF(N172="nulová",J172,0)</f>
        <v>0</v>
      </c>
      <c r="BJ172" s="14" t="s">
        <v>83</v>
      </c>
      <c r="BK172" s="229">
        <f>ROUND(I172*H172,2)</f>
        <v>0</v>
      </c>
      <c r="BL172" s="14" t="s">
        <v>138</v>
      </c>
      <c r="BM172" s="228" t="s">
        <v>678</v>
      </c>
    </row>
    <row r="173" s="2" customFormat="1" ht="37.8" customHeight="1">
      <c r="A173" s="35"/>
      <c r="B173" s="36"/>
      <c r="C173" s="216" t="s">
        <v>323</v>
      </c>
      <c r="D173" s="216" t="s">
        <v>134</v>
      </c>
      <c r="E173" s="217" t="s">
        <v>679</v>
      </c>
      <c r="F173" s="218" t="s">
        <v>680</v>
      </c>
      <c r="G173" s="219" t="s">
        <v>185</v>
      </c>
      <c r="H173" s="220">
        <v>2</v>
      </c>
      <c r="I173" s="221"/>
      <c r="J173" s="222">
        <f>ROUND(I173*H173,2)</f>
        <v>0</v>
      </c>
      <c r="K173" s="223"/>
      <c r="L173" s="41"/>
      <c r="M173" s="224" t="s">
        <v>1</v>
      </c>
      <c r="N173" s="225" t="s">
        <v>40</v>
      </c>
      <c r="O173" s="88"/>
      <c r="P173" s="226">
        <f>O173*H173</f>
        <v>0</v>
      </c>
      <c r="Q173" s="226">
        <v>0.0091000000000000004</v>
      </c>
      <c r="R173" s="226">
        <f>Q173*H173</f>
        <v>0.018200000000000001</v>
      </c>
      <c r="S173" s="226">
        <v>0</v>
      </c>
      <c r="T173" s="227">
        <f>S173*H173</f>
        <v>0</v>
      </c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R173" s="228" t="s">
        <v>138</v>
      </c>
      <c r="AT173" s="228" t="s">
        <v>134</v>
      </c>
      <c r="AU173" s="228" t="s">
        <v>85</v>
      </c>
      <c r="AY173" s="14" t="s">
        <v>131</v>
      </c>
      <c r="BE173" s="229">
        <f>IF(N173="základní",J173,0)</f>
        <v>0</v>
      </c>
      <c r="BF173" s="229">
        <f>IF(N173="snížená",J173,0)</f>
        <v>0</v>
      </c>
      <c r="BG173" s="229">
        <f>IF(N173="zákl. přenesená",J173,0)</f>
        <v>0</v>
      </c>
      <c r="BH173" s="229">
        <f>IF(N173="sníž. přenesená",J173,0)</f>
        <v>0</v>
      </c>
      <c r="BI173" s="229">
        <f>IF(N173="nulová",J173,0)</f>
        <v>0</v>
      </c>
      <c r="BJ173" s="14" t="s">
        <v>83</v>
      </c>
      <c r="BK173" s="229">
        <f>ROUND(I173*H173,2)</f>
        <v>0</v>
      </c>
      <c r="BL173" s="14" t="s">
        <v>138</v>
      </c>
      <c r="BM173" s="228" t="s">
        <v>681</v>
      </c>
    </row>
    <row r="174" s="2" customFormat="1" ht="37.8" customHeight="1">
      <c r="A174" s="35"/>
      <c r="B174" s="36"/>
      <c r="C174" s="216" t="s">
        <v>327</v>
      </c>
      <c r="D174" s="216" t="s">
        <v>134</v>
      </c>
      <c r="E174" s="217" t="s">
        <v>682</v>
      </c>
      <c r="F174" s="218" t="s">
        <v>683</v>
      </c>
      <c r="G174" s="219" t="s">
        <v>185</v>
      </c>
      <c r="H174" s="220">
        <v>5</v>
      </c>
      <c r="I174" s="221"/>
      <c r="J174" s="222">
        <f>ROUND(I174*H174,2)</f>
        <v>0</v>
      </c>
      <c r="K174" s="223"/>
      <c r="L174" s="41"/>
      <c r="M174" s="224" t="s">
        <v>1</v>
      </c>
      <c r="N174" s="225" t="s">
        <v>40</v>
      </c>
      <c r="O174" s="88"/>
      <c r="P174" s="226">
        <f>O174*H174</f>
        <v>0</v>
      </c>
      <c r="Q174" s="226">
        <v>0.010699999999999999</v>
      </c>
      <c r="R174" s="226">
        <f>Q174*H174</f>
        <v>0.053499999999999999</v>
      </c>
      <c r="S174" s="226">
        <v>0</v>
      </c>
      <c r="T174" s="227">
        <f>S174*H174</f>
        <v>0</v>
      </c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R174" s="228" t="s">
        <v>138</v>
      </c>
      <c r="AT174" s="228" t="s">
        <v>134</v>
      </c>
      <c r="AU174" s="228" t="s">
        <v>85</v>
      </c>
      <c r="AY174" s="14" t="s">
        <v>131</v>
      </c>
      <c r="BE174" s="229">
        <f>IF(N174="základní",J174,0)</f>
        <v>0</v>
      </c>
      <c r="BF174" s="229">
        <f>IF(N174="snížená",J174,0)</f>
        <v>0</v>
      </c>
      <c r="BG174" s="229">
        <f>IF(N174="zákl. přenesená",J174,0)</f>
        <v>0</v>
      </c>
      <c r="BH174" s="229">
        <f>IF(N174="sníž. přenesená",J174,0)</f>
        <v>0</v>
      </c>
      <c r="BI174" s="229">
        <f>IF(N174="nulová",J174,0)</f>
        <v>0</v>
      </c>
      <c r="BJ174" s="14" t="s">
        <v>83</v>
      </c>
      <c r="BK174" s="229">
        <f>ROUND(I174*H174,2)</f>
        <v>0</v>
      </c>
      <c r="BL174" s="14" t="s">
        <v>138</v>
      </c>
      <c r="BM174" s="228" t="s">
        <v>684</v>
      </c>
    </row>
    <row r="175" s="2" customFormat="1" ht="37.8" customHeight="1">
      <c r="A175" s="35"/>
      <c r="B175" s="36"/>
      <c r="C175" s="216" t="s">
        <v>331</v>
      </c>
      <c r="D175" s="216" t="s">
        <v>134</v>
      </c>
      <c r="E175" s="217" t="s">
        <v>685</v>
      </c>
      <c r="F175" s="218" t="s">
        <v>686</v>
      </c>
      <c r="G175" s="219" t="s">
        <v>185</v>
      </c>
      <c r="H175" s="220">
        <v>6</v>
      </c>
      <c r="I175" s="221"/>
      <c r="J175" s="222">
        <f>ROUND(I175*H175,2)</f>
        <v>0</v>
      </c>
      <c r="K175" s="223"/>
      <c r="L175" s="41"/>
      <c r="M175" s="224" t="s">
        <v>1</v>
      </c>
      <c r="N175" s="225" t="s">
        <v>40</v>
      </c>
      <c r="O175" s="88"/>
      <c r="P175" s="226">
        <f>O175*H175</f>
        <v>0</v>
      </c>
      <c r="Q175" s="226">
        <v>0.0132</v>
      </c>
      <c r="R175" s="226">
        <f>Q175*H175</f>
        <v>0.079199999999999993</v>
      </c>
      <c r="S175" s="226">
        <v>0</v>
      </c>
      <c r="T175" s="227">
        <f>S175*H175</f>
        <v>0</v>
      </c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R175" s="228" t="s">
        <v>138</v>
      </c>
      <c r="AT175" s="228" t="s">
        <v>134</v>
      </c>
      <c r="AU175" s="228" t="s">
        <v>85</v>
      </c>
      <c r="AY175" s="14" t="s">
        <v>131</v>
      </c>
      <c r="BE175" s="229">
        <f>IF(N175="základní",J175,0)</f>
        <v>0</v>
      </c>
      <c r="BF175" s="229">
        <f>IF(N175="snížená",J175,0)</f>
        <v>0</v>
      </c>
      <c r="BG175" s="229">
        <f>IF(N175="zákl. přenesená",J175,0)</f>
        <v>0</v>
      </c>
      <c r="BH175" s="229">
        <f>IF(N175="sníž. přenesená",J175,0)</f>
        <v>0</v>
      </c>
      <c r="BI175" s="229">
        <f>IF(N175="nulová",J175,0)</f>
        <v>0</v>
      </c>
      <c r="BJ175" s="14" t="s">
        <v>83</v>
      </c>
      <c r="BK175" s="229">
        <f>ROUND(I175*H175,2)</f>
        <v>0</v>
      </c>
      <c r="BL175" s="14" t="s">
        <v>138</v>
      </c>
      <c r="BM175" s="228" t="s">
        <v>687</v>
      </c>
    </row>
    <row r="176" s="2" customFormat="1" ht="24.15" customHeight="1">
      <c r="A176" s="35"/>
      <c r="B176" s="36"/>
      <c r="C176" s="216" t="s">
        <v>315</v>
      </c>
      <c r="D176" s="216" t="s">
        <v>134</v>
      </c>
      <c r="E176" s="217" t="s">
        <v>688</v>
      </c>
      <c r="F176" s="218" t="s">
        <v>689</v>
      </c>
      <c r="G176" s="219" t="s">
        <v>185</v>
      </c>
      <c r="H176" s="220">
        <v>40</v>
      </c>
      <c r="I176" s="221"/>
      <c r="J176" s="222">
        <f>ROUND(I176*H176,2)</f>
        <v>0</v>
      </c>
      <c r="K176" s="223"/>
      <c r="L176" s="41"/>
      <c r="M176" s="224" t="s">
        <v>1</v>
      </c>
      <c r="N176" s="225" t="s">
        <v>40</v>
      </c>
      <c r="O176" s="88"/>
      <c r="P176" s="226">
        <f>O176*H176</f>
        <v>0</v>
      </c>
      <c r="Q176" s="226">
        <v>0.00012</v>
      </c>
      <c r="R176" s="226">
        <f>Q176*H176</f>
        <v>0.0048000000000000004</v>
      </c>
      <c r="S176" s="226">
        <v>0</v>
      </c>
      <c r="T176" s="227">
        <f>S176*H176</f>
        <v>0</v>
      </c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R176" s="228" t="s">
        <v>138</v>
      </c>
      <c r="AT176" s="228" t="s">
        <v>134</v>
      </c>
      <c r="AU176" s="228" t="s">
        <v>85</v>
      </c>
      <c r="AY176" s="14" t="s">
        <v>131</v>
      </c>
      <c r="BE176" s="229">
        <f>IF(N176="základní",J176,0)</f>
        <v>0</v>
      </c>
      <c r="BF176" s="229">
        <f>IF(N176="snížená",J176,0)</f>
        <v>0</v>
      </c>
      <c r="BG176" s="229">
        <f>IF(N176="zákl. přenesená",J176,0)</f>
        <v>0</v>
      </c>
      <c r="BH176" s="229">
        <f>IF(N176="sníž. přenesená",J176,0)</f>
        <v>0</v>
      </c>
      <c r="BI176" s="229">
        <f>IF(N176="nulová",J176,0)</f>
        <v>0</v>
      </c>
      <c r="BJ176" s="14" t="s">
        <v>83</v>
      </c>
      <c r="BK176" s="229">
        <f>ROUND(I176*H176,2)</f>
        <v>0</v>
      </c>
      <c r="BL176" s="14" t="s">
        <v>138</v>
      </c>
      <c r="BM176" s="228" t="s">
        <v>690</v>
      </c>
    </row>
    <row r="177" s="2" customFormat="1" ht="49.05" customHeight="1">
      <c r="A177" s="35"/>
      <c r="B177" s="36"/>
      <c r="C177" s="216" t="s">
        <v>377</v>
      </c>
      <c r="D177" s="216" t="s">
        <v>134</v>
      </c>
      <c r="E177" s="217" t="s">
        <v>691</v>
      </c>
      <c r="F177" s="218" t="s">
        <v>692</v>
      </c>
      <c r="G177" s="219" t="s">
        <v>693</v>
      </c>
      <c r="H177" s="220">
        <v>2.3679999999999999</v>
      </c>
      <c r="I177" s="221"/>
      <c r="J177" s="222">
        <f>ROUND(I177*H177,2)</f>
        <v>0</v>
      </c>
      <c r="K177" s="223"/>
      <c r="L177" s="41"/>
      <c r="M177" s="224" t="s">
        <v>1</v>
      </c>
      <c r="N177" s="225" t="s">
        <v>40</v>
      </c>
      <c r="O177" s="88"/>
      <c r="P177" s="226">
        <f>O177*H177</f>
        <v>0</v>
      </c>
      <c r="Q177" s="226">
        <v>0</v>
      </c>
      <c r="R177" s="226">
        <f>Q177*H177</f>
        <v>0</v>
      </c>
      <c r="S177" s="226">
        <v>0</v>
      </c>
      <c r="T177" s="227">
        <f>S177*H177</f>
        <v>0</v>
      </c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R177" s="228" t="s">
        <v>138</v>
      </c>
      <c r="AT177" s="228" t="s">
        <v>134</v>
      </c>
      <c r="AU177" s="228" t="s">
        <v>85</v>
      </c>
      <c r="AY177" s="14" t="s">
        <v>131</v>
      </c>
      <c r="BE177" s="229">
        <f>IF(N177="základní",J177,0)</f>
        <v>0</v>
      </c>
      <c r="BF177" s="229">
        <f>IF(N177="snížená",J177,0)</f>
        <v>0</v>
      </c>
      <c r="BG177" s="229">
        <f>IF(N177="zákl. přenesená",J177,0)</f>
        <v>0</v>
      </c>
      <c r="BH177" s="229">
        <f>IF(N177="sníž. přenesená",J177,0)</f>
        <v>0</v>
      </c>
      <c r="BI177" s="229">
        <f>IF(N177="nulová",J177,0)</f>
        <v>0</v>
      </c>
      <c r="BJ177" s="14" t="s">
        <v>83</v>
      </c>
      <c r="BK177" s="229">
        <f>ROUND(I177*H177,2)</f>
        <v>0</v>
      </c>
      <c r="BL177" s="14" t="s">
        <v>138</v>
      </c>
      <c r="BM177" s="228" t="s">
        <v>694</v>
      </c>
    </row>
    <row r="178" s="2" customFormat="1" ht="62.7" customHeight="1">
      <c r="A178" s="35"/>
      <c r="B178" s="36"/>
      <c r="C178" s="216" t="s">
        <v>381</v>
      </c>
      <c r="D178" s="216" t="s">
        <v>134</v>
      </c>
      <c r="E178" s="217" t="s">
        <v>695</v>
      </c>
      <c r="F178" s="218" t="s">
        <v>696</v>
      </c>
      <c r="G178" s="219" t="s">
        <v>693</v>
      </c>
      <c r="H178" s="220">
        <v>2.3679999999999999</v>
      </c>
      <c r="I178" s="221"/>
      <c r="J178" s="222">
        <f>ROUND(I178*H178,2)</f>
        <v>0</v>
      </c>
      <c r="K178" s="223"/>
      <c r="L178" s="41"/>
      <c r="M178" s="224" t="s">
        <v>1</v>
      </c>
      <c r="N178" s="225" t="s">
        <v>40</v>
      </c>
      <c r="O178" s="88"/>
      <c r="P178" s="226">
        <f>O178*H178</f>
        <v>0</v>
      </c>
      <c r="Q178" s="226">
        <v>0</v>
      </c>
      <c r="R178" s="226">
        <f>Q178*H178</f>
        <v>0</v>
      </c>
      <c r="S178" s="226">
        <v>0</v>
      </c>
      <c r="T178" s="227">
        <f>S178*H178</f>
        <v>0</v>
      </c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R178" s="228" t="s">
        <v>138</v>
      </c>
      <c r="AT178" s="228" t="s">
        <v>134</v>
      </c>
      <c r="AU178" s="228" t="s">
        <v>85</v>
      </c>
      <c r="AY178" s="14" t="s">
        <v>131</v>
      </c>
      <c r="BE178" s="229">
        <f>IF(N178="základní",J178,0)</f>
        <v>0</v>
      </c>
      <c r="BF178" s="229">
        <f>IF(N178="snížená",J178,0)</f>
        <v>0</v>
      </c>
      <c r="BG178" s="229">
        <f>IF(N178="zákl. přenesená",J178,0)</f>
        <v>0</v>
      </c>
      <c r="BH178" s="229">
        <f>IF(N178="sníž. přenesená",J178,0)</f>
        <v>0</v>
      </c>
      <c r="BI178" s="229">
        <f>IF(N178="nulová",J178,0)</f>
        <v>0</v>
      </c>
      <c r="BJ178" s="14" t="s">
        <v>83</v>
      </c>
      <c r="BK178" s="229">
        <f>ROUND(I178*H178,2)</f>
        <v>0</v>
      </c>
      <c r="BL178" s="14" t="s">
        <v>138</v>
      </c>
      <c r="BM178" s="228" t="s">
        <v>697</v>
      </c>
    </row>
    <row r="179" s="12" customFormat="1" ht="22.8" customHeight="1">
      <c r="A179" s="12"/>
      <c r="B179" s="200"/>
      <c r="C179" s="201"/>
      <c r="D179" s="202" t="s">
        <v>74</v>
      </c>
      <c r="E179" s="214" t="s">
        <v>698</v>
      </c>
      <c r="F179" s="214" t="s">
        <v>699</v>
      </c>
      <c r="G179" s="201"/>
      <c r="H179" s="201"/>
      <c r="I179" s="204"/>
      <c r="J179" s="215">
        <f>BK179</f>
        <v>0</v>
      </c>
      <c r="K179" s="201"/>
      <c r="L179" s="206"/>
      <c r="M179" s="207"/>
      <c r="N179" s="208"/>
      <c r="O179" s="208"/>
      <c r="P179" s="209">
        <f>SUM(P180:P182)</f>
        <v>0</v>
      </c>
      <c r="Q179" s="208"/>
      <c r="R179" s="209">
        <f>SUM(R180:R182)</f>
        <v>0.0030000000000000001</v>
      </c>
      <c r="S179" s="208"/>
      <c r="T179" s="210">
        <f>SUM(T180:T182)</f>
        <v>0</v>
      </c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R179" s="211" t="s">
        <v>85</v>
      </c>
      <c r="AT179" s="212" t="s">
        <v>74</v>
      </c>
      <c r="AU179" s="212" t="s">
        <v>83</v>
      </c>
      <c r="AY179" s="211" t="s">
        <v>131</v>
      </c>
      <c r="BK179" s="213">
        <f>SUM(BK180:BK182)</f>
        <v>0</v>
      </c>
    </row>
    <row r="180" s="2" customFormat="1" ht="24.15" customHeight="1">
      <c r="A180" s="35"/>
      <c r="B180" s="36"/>
      <c r="C180" s="216" t="s">
        <v>230</v>
      </c>
      <c r="D180" s="216" t="s">
        <v>134</v>
      </c>
      <c r="E180" s="217" t="s">
        <v>700</v>
      </c>
      <c r="F180" s="218" t="s">
        <v>701</v>
      </c>
      <c r="G180" s="219" t="s">
        <v>702</v>
      </c>
      <c r="H180" s="220">
        <v>50</v>
      </c>
      <c r="I180" s="221"/>
      <c r="J180" s="222">
        <f>ROUND(I180*H180,2)</f>
        <v>0</v>
      </c>
      <c r="K180" s="223"/>
      <c r="L180" s="41"/>
      <c r="M180" s="224" t="s">
        <v>1</v>
      </c>
      <c r="N180" s="225" t="s">
        <v>40</v>
      </c>
      <c r="O180" s="88"/>
      <c r="P180" s="226">
        <f>O180*H180</f>
        <v>0</v>
      </c>
      <c r="Q180" s="226">
        <v>6.0000000000000002E-05</v>
      </c>
      <c r="R180" s="226">
        <f>Q180*H180</f>
        <v>0.0030000000000000001</v>
      </c>
      <c r="S180" s="226">
        <v>0</v>
      </c>
      <c r="T180" s="227">
        <f>S180*H180</f>
        <v>0</v>
      </c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R180" s="228" t="s">
        <v>138</v>
      </c>
      <c r="AT180" s="228" t="s">
        <v>134</v>
      </c>
      <c r="AU180" s="228" t="s">
        <v>85</v>
      </c>
      <c r="AY180" s="14" t="s">
        <v>131</v>
      </c>
      <c r="BE180" s="229">
        <f>IF(N180="základní",J180,0)</f>
        <v>0</v>
      </c>
      <c r="BF180" s="229">
        <f>IF(N180="snížená",J180,0)</f>
        <v>0</v>
      </c>
      <c r="BG180" s="229">
        <f>IF(N180="zákl. přenesená",J180,0)</f>
        <v>0</v>
      </c>
      <c r="BH180" s="229">
        <f>IF(N180="sníž. přenesená",J180,0)</f>
        <v>0</v>
      </c>
      <c r="BI180" s="229">
        <f>IF(N180="nulová",J180,0)</f>
        <v>0</v>
      </c>
      <c r="BJ180" s="14" t="s">
        <v>83</v>
      </c>
      <c r="BK180" s="229">
        <f>ROUND(I180*H180,2)</f>
        <v>0</v>
      </c>
      <c r="BL180" s="14" t="s">
        <v>138</v>
      </c>
      <c r="BM180" s="228" t="s">
        <v>703</v>
      </c>
    </row>
    <row r="181" s="2" customFormat="1" ht="44.25" customHeight="1">
      <c r="A181" s="35"/>
      <c r="B181" s="36"/>
      <c r="C181" s="230" t="s">
        <v>234</v>
      </c>
      <c r="D181" s="230" t="s">
        <v>145</v>
      </c>
      <c r="E181" s="231" t="s">
        <v>704</v>
      </c>
      <c r="F181" s="232" t="s">
        <v>705</v>
      </c>
      <c r="G181" s="233" t="s">
        <v>702</v>
      </c>
      <c r="H181" s="234">
        <v>100</v>
      </c>
      <c r="I181" s="235"/>
      <c r="J181" s="236">
        <f>ROUND(I181*H181,2)</f>
        <v>0</v>
      </c>
      <c r="K181" s="237"/>
      <c r="L181" s="238"/>
      <c r="M181" s="239" t="s">
        <v>1</v>
      </c>
      <c r="N181" s="240" t="s">
        <v>40</v>
      </c>
      <c r="O181" s="88"/>
      <c r="P181" s="226">
        <f>O181*H181</f>
        <v>0</v>
      </c>
      <c r="Q181" s="226">
        <v>0</v>
      </c>
      <c r="R181" s="226">
        <f>Q181*H181</f>
        <v>0</v>
      </c>
      <c r="S181" s="226">
        <v>0</v>
      </c>
      <c r="T181" s="227">
        <f>S181*H181</f>
        <v>0</v>
      </c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R181" s="228" t="s">
        <v>148</v>
      </c>
      <c r="AT181" s="228" t="s">
        <v>145</v>
      </c>
      <c r="AU181" s="228" t="s">
        <v>85</v>
      </c>
      <c r="AY181" s="14" t="s">
        <v>131</v>
      </c>
      <c r="BE181" s="229">
        <f>IF(N181="základní",J181,0)</f>
        <v>0</v>
      </c>
      <c r="BF181" s="229">
        <f>IF(N181="snížená",J181,0)</f>
        <v>0</v>
      </c>
      <c r="BG181" s="229">
        <f>IF(N181="zákl. přenesená",J181,0)</f>
        <v>0</v>
      </c>
      <c r="BH181" s="229">
        <f>IF(N181="sníž. přenesená",J181,0)</f>
        <v>0</v>
      </c>
      <c r="BI181" s="229">
        <f>IF(N181="nulová",J181,0)</f>
        <v>0</v>
      </c>
      <c r="BJ181" s="14" t="s">
        <v>83</v>
      </c>
      <c r="BK181" s="229">
        <f>ROUND(I181*H181,2)</f>
        <v>0</v>
      </c>
      <c r="BL181" s="14" t="s">
        <v>138</v>
      </c>
      <c r="BM181" s="228" t="s">
        <v>706</v>
      </c>
    </row>
    <row r="182" s="2" customFormat="1" ht="44.25" customHeight="1">
      <c r="A182" s="35"/>
      <c r="B182" s="36"/>
      <c r="C182" s="216" t="s">
        <v>237</v>
      </c>
      <c r="D182" s="216" t="s">
        <v>134</v>
      </c>
      <c r="E182" s="217" t="s">
        <v>707</v>
      </c>
      <c r="F182" s="218" t="s">
        <v>708</v>
      </c>
      <c r="G182" s="219" t="s">
        <v>173</v>
      </c>
      <c r="H182" s="241"/>
      <c r="I182" s="221"/>
      <c r="J182" s="222">
        <f>ROUND(I182*H182,2)</f>
        <v>0</v>
      </c>
      <c r="K182" s="223"/>
      <c r="L182" s="41"/>
      <c r="M182" s="224" t="s">
        <v>1</v>
      </c>
      <c r="N182" s="225" t="s">
        <v>40</v>
      </c>
      <c r="O182" s="88"/>
      <c r="P182" s="226">
        <f>O182*H182</f>
        <v>0</v>
      </c>
      <c r="Q182" s="226">
        <v>0</v>
      </c>
      <c r="R182" s="226">
        <f>Q182*H182</f>
        <v>0</v>
      </c>
      <c r="S182" s="226">
        <v>0</v>
      </c>
      <c r="T182" s="227">
        <f>S182*H182</f>
        <v>0</v>
      </c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R182" s="228" t="s">
        <v>138</v>
      </c>
      <c r="AT182" s="228" t="s">
        <v>134</v>
      </c>
      <c r="AU182" s="228" t="s">
        <v>85</v>
      </c>
      <c r="AY182" s="14" t="s">
        <v>131</v>
      </c>
      <c r="BE182" s="229">
        <f>IF(N182="základní",J182,0)</f>
        <v>0</v>
      </c>
      <c r="BF182" s="229">
        <f>IF(N182="snížená",J182,0)</f>
        <v>0</v>
      </c>
      <c r="BG182" s="229">
        <f>IF(N182="zákl. přenesená",J182,0)</f>
        <v>0</v>
      </c>
      <c r="BH182" s="229">
        <f>IF(N182="sníž. přenesená",J182,0)</f>
        <v>0</v>
      </c>
      <c r="BI182" s="229">
        <f>IF(N182="nulová",J182,0)</f>
        <v>0</v>
      </c>
      <c r="BJ182" s="14" t="s">
        <v>83</v>
      </c>
      <c r="BK182" s="229">
        <f>ROUND(I182*H182,2)</f>
        <v>0</v>
      </c>
      <c r="BL182" s="14" t="s">
        <v>138</v>
      </c>
      <c r="BM182" s="228" t="s">
        <v>709</v>
      </c>
    </row>
    <row r="183" s="12" customFormat="1" ht="22.8" customHeight="1">
      <c r="A183" s="12"/>
      <c r="B183" s="200"/>
      <c r="C183" s="201"/>
      <c r="D183" s="202" t="s">
        <v>74</v>
      </c>
      <c r="E183" s="214" t="s">
        <v>546</v>
      </c>
      <c r="F183" s="214" t="s">
        <v>547</v>
      </c>
      <c r="G183" s="201"/>
      <c r="H183" s="201"/>
      <c r="I183" s="204"/>
      <c r="J183" s="215">
        <f>BK183</f>
        <v>0</v>
      </c>
      <c r="K183" s="201"/>
      <c r="L183" s="206"/>
      <c r="M183" s="207"/>
      <c r="N183" s="208"/>
      <c r="O183" s="208"/>
      <c r="P183" s="209">
        <f>SUM(P184:P185)</f>
        <v>0</v>
      </c>
      <c r="Q183" s="208"/>
      <c r="R183" s="209">
        <f>SUM(R184:R185)</f>
        <v>0.0051000000000000004</v>
      </c>
      <c r="S183" s="208"/>
      <c r="T183" s="210">
        <f>SUM(T184:T185)</f>
        <v>0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R183" s="211" t="s">
        <v>85</v>
      </c>
      <c r="AT183" s="212" t="s">
        <v>74</v>
      </c>
      <c r="AU183" s="212" t="s">
        <v>83</v>
      </c>
      <c r="AY183" s="211" t="s">
        <v>131</v>
      </c>
      <c r="BK183" s="213">
        <f>SUM(BK184:BK185)</f>
        <v>0</v>
      </c>
    </row>
    <row r="184" s="2" customFormat="1" ht="37.8" customHeight="1">
      <c r="A184" s="35"/>
      <c r="B184" s="36"/>
      <c r="C184" s="216" t="s">
        <v>240</v>
      </c>
      <c r="D184" s="216" t="s">
        <v>134</v>
      </c>
      <c r="E184" s="217" t="s">
        <v>549</v>
      </c>
      <c r="F184" s="218" t="s">
        <v>550</v>
      </c>
      <c r="G184" s="219" t="s">
        <v>142</v>
      </c>
      <c r="H184" s="220">
        <v>180</v>
      </c>
      <c r="I184" s="221"/>
      <c r="J184" s="222">
        <f>ROUND(I184*H184,2)</f>
        <v>0</v>
      </c>
      <c r="K184" s="223"/>
      <c r="L184" s="41"/>
      <c r="M184" s="224" t="s">
        <v>1</v>
      </c>
      <c r="N184" s="225" t="s">
        <v>40</v>
      </c>
      <c r="O184" s="88"/>
      <c r="P184" s="226">
        <f>O184*H184</f>
        <v>0</v>
      </c>
      <c r="Q184" s="226">
        <v>2.0000000000000002E-05</v>
      </c>
      <c r="R184" s="226">
        <f>Q184*H184</f>
        <v>0.0036000000000000003</v>
      </c>
      <c r="S184" s="226">
        <v>0</v>
      </c>
      <c r="T184" s="227">
        <f>S184*H184</f>
        <v>0</v>
      </c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R184" s="228" t="s">
        <v>138</v>
      </c>
      <c r="AT184" s="228" t="s">
        <v>134</v>
      </c>
      <c r="AU184" s="228" t="s">
        <v>85</v>
      </c>
      <c r="AY184" s="14" t="s">
        <v>131</v>
      </c>
      <c r="BE184" s="229">
        <f>IF(N184="základní",J184,0)</f>
        <v>0</v>
      </c>
      <c r="BF184" s="229">
        <f>IF(N184="snížená",J184,0)</f>
        <v>0</v>
      </c>
      <c r="BG184" s="229">
        <f>IF(N184="zákl. přenesená",J184,0)</f>
        <v>0</v>
      </c>
      <c r="BH184" s="229">
        <f>IF(N184="sníž. přenesená",J184,0)</f>
        <v>0</v>
      </c>
      <c r="BI184" s="229">
        <f>IF(N184="nulová",J184,0)</f>
        <v>0</v>
      </c>
      <c r="BJ184" s="14" t="s">
        <v>83</v>
      </c>
      <c r="BK184" s="229">
        <f>ROUND(I184*H184,2)</f>
        <v>0</v>
      </c>
      <c r="BL184" s="14" t="s">
        <v>138</v>
      </c>
      <c r="BM184" s="228" t="s">
        <v>710</v>
      </c>
    </row>
    <row r="185" s="2" customFormat="1" ht="37.8" customHeight="1">
      <c r="A185" s="35"/>
      <c r="B185" s="36"/>
      <c r="C185" s="216" t="s">
        <v>243</v>
      </c>
      <c r="D185" s="216" t="s">
        <v>134</v>
      </c>
      <c r="E185" s="217" t="s">
        <v>553</v>
      </c>
      <c r="F185" s="218" t="s">
        <v>554</v>
      </c>
      <c r="G185" s="219" t="s">
        <v>142</v>
      </c>
      <c r="H185" s="220">
        <v>30</v>
      </c>
      <c r="I185" s="221"/>
      <c r="J185" s="222">
        <f>ROUND(I185*H185,2)</f>
        <v>0</v>
      </c>
      <c r="K185" s="223"/>
      <c r="L185" s="41"/>
      <c r="M185" s="224" t="s">
        <v>1</v>
      </c>
      <c r="N185" s="225" t="s">
        <v>40</v>
      </c>
      <c r="O185" s="88"/>
      <c r="P185" s="226">
        <f>O185*H185</f>
        <v>0</v>
      </c>
      <c r="Q185" s="226">
        <v>5.0000000000000002E-05</v>
      </c>
      <c r="R185" s="226">
        <f>Q185*H185</f>
        <v>0.0015</v>
      </c>
      <c r="S185" s="226">
        <v>0</v>
      </c>
      <c r="T185" s="227">
        <f>S185*H185</f>
        <v>0</v>
      </c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R185" s="228" t="s">
        <v>138</v>
      </c>
      <c r="AT185" s="228" t="s">
        <v>134</v>
      </c>
      <c r="AU185" s="228" t="s">
        <v>85</v>
      </c>
      <c r="AY185" s="14" t="s">
        <v>131</v>
      </c>
      <c r="BE185" s="229">
        <f>IF(N185="základní",J185,0)</f>
        <v>0</v>
      </c>
      <c r="BF185" s="229">
        <f>IF(N185="snížená",J185,0)</f>
        <v>0</v>
      </c>
      <c r="BG185" s="229">
        <f>IF(N185="zákl. přenesená",J185,0)</f>
        <v>0</v>
      </c>
      <c r="BH185" s="229">
        <f>IF(N185="sníž. přenesená",J185,0)</f>
        <v>0</v>
      </c>
      <c r="BI185" s="229">
        <f>IF(N185="nulová",J185,0)</f>
        <v>0</v>
      </c>
      <c r="BJ185" s="14" t="s">
        <v>83</v>
      </c>
      <c r="BK185" s="229">
        <f>ROUND(I185*H185,2)</f>
        <v>0</v>
      </c>
      <c r="BL185" s="14" t="s">
        <v>138</v>
      </c>
      <c r="BM185" s="228" t="s">
        <v>711</v>
      </c>
    </row>
    <row r="186" s="12" customFormat="1" ht="25.92" customHeight="1">
      <c r="A186" s="12"/>
      <c r="B186" s="200"/>
      <c r="C186" s="201"/>
      <c r="D186" s="202" t="s">
        <v>74</v>
      </c>
      <c r="E186" s="203" t="s">
        <v>712</v>
      </c>
      <c r="F186" s="203" t="s">
        <v>713</v>
      </c>
      <c r="G186" s="201"/>
      <c r="H186" s="201"/>
      <c r="I186" s="204"/>
      <c r="J186" s="205">
        <f>BK186</f>
        <v>0</v>
      </c>
      <c r="K186" s="201"/>
      <c r="L186" s="206"/>
      <c r="M186" s="207"/>
      <c r="N186" s="208"/>
      <c r="O186" s="208"/>
      <c r="P186" s="209">
        <f>SUM(P187:P190)</f>
        <v>0</v>
      </c>
      <c r="Q186" s="208"/>
      <c r="R186" s="209">
        <f>SUM(R187:R190)</f>
        <v>0</v>
      </c>
      <c r="S186" s="208"/>
      <c r="T186" s="210">
        <f>SUM(T187:T190)</f>
        <v>0</v>
      </c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R186" s="211" t="s">
        <v>150</v>
      </c>
      <c r="AT186" s="212" t="s">
        <v>74</v>
      </c>
      <c r="AU186" s="212" t="s">
        <v>75</v>
      </c>
      <c r="AY186" s="211" t="s">
        <v>131</v>
      </c>
      <c r="BK186" s="213">
        <f>SUM(BK187:BK190)</f>
        <v>0</v>
      </c>
    </row>
    <row r="187" s="2" customFormat="1" ht="33" customHeight="1">
      <c r="A187" s="35"/>
      <c r="B187" s="36"/>
      <c r="C187" s="216" t="s">
        <v>246</v>
      </c>
      <c r="D187" s="216" t="s">
        <v>134</v>
      </c>
      <c r="E187" s="217" t="s">
        <v>714</v>
      </c>
      <c r="F187" s="218" t="s">
        <v>715</v>
      </c>
      <c r="G187" s="219" t="s">
        <v>198</v>
      </c>
      <c r="H187" s="220">
        <v>1</v>
      </c>
      <c r="I187" s="221"/>
      <c r="J187" s="222">
        <f>ROUND(I187*H187,2)</f>
        <v>0</v>
      </c>
      <c r="K187" s="223"/>
      <c r="L187" s="41"/>
      <c r="M187" s="224" t="s">
        <v>1</v>
      </c>
      <c r="N187" s="225" t="s">
        <v>40</v>
      </c>
      <c r="O187" s="88"/>
      <c r="P187" s="226">
        <f>O187*H187</f>
        <v>0</v>
      </c>
      <c r="Q187" s="226">
        <v>0</v>
      </c>
      <c r="R187" s="226">
        <f>Q187*H187</f>
        <v>0</v>
      </c>
      <c r="S187" s="226">
        <v>0</v>
      </c>
      <c r="T187" s="227">
        <f>S187*H187</f>
        <v>0</v>
      </c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R187" s="228" t="s">
        <v>716</v>
      </c>
      <c r="AT187" s="228" t="s">
        <v>134</v>
      </c>
      <c r="AU187" s="228" t="s">
        <v>83</v>
      </c>
      <c r="AY187" s="14" t="s">
        <v>131</v>
      </c>
      <c r="BE187" s="229">
        <f>IF(N187="základní",J187,0)</f>
        <v>0</v>
      </c>
      <c r="BF187" s="229">
        <f>IF(N187="snížená",J187,0)</f>
        <v>0</v>
      </c>
      <c r="BG187" s="229">
        <f>IF(N187="zákl. přenesená",J187,0)</f>
        <v>0</v>
      </c>
      <c r="BH187" s="229">
        <f>IF(N187="sníž. přenesená",J187,0)</f>
        <v>0</v>
      </c>
      <c r="BI187" s="229">
        <f>IF(N187="nulová",J187,0)</f>
        <v>0</v>
      </c>
      <c r="BJ187" s="14" t="s">
        <v>83</v>
      </c>
      <c r="BK187" s="229">
        <f>ROUND(I187*H187,2)</f>
        <v>0</v>
      </c>
      <c r="BL187" s="14" t="s">
        <v>716</v>
      </c>
      <c r="BM187" s="228" t="s">
        <v>717</v>
      </c>
    </row>
    <row r="188" s="2" customFormat="1" ht="33" customHeight="1">
      <c r="A188" s="35"/>
      <c r="B188" s="36"/>
      <c r="C188" s="216" t="s">
        <v>249</v>
      </c>
      <c r="D188" s="216" t="s">
        <v>134</v>
      </c>
      <c r="E188" s="217" t="s">
        <v>718</v>
      </c>
      <c r="F188" s="218" t="s">
        <v>719</v>
      </c>
      <c r="G188" s="219" t="s">
        <v>142</v>
      </c>
      <c r="H188" s="220">
        <v>10</v>
      </c>
      <c r="I188" s="221"/>
      <c r="J188" s="222">
        <f>ROUND(I188*H188,2)</f>
        <v>0</v>
      </c>
      <c r="K188" s="223"/>
      <c r="L188" s="41"/>
      <c r="M188" s="224" t="s">
        <v>1</v>
      </c>
      <c r="N188" s="225" t="s">
        <v>40</v>
      </c>
      <c r="O188" s="88"/>
      <c r="P188" s="226">
        <f>O188*H188</f>
        <v>0</v>
      </c>
      <c r="Q188" s="226">
        <v>0</v>
      </c>
      <c r="R188" s="226">
        <f>Q188*H188</f>
        <v>0</v>
      </c>
      <c r="S188" s="226">
        <v>0</v>
      </c>
      <c r="T188" s="227">
        <f>S188*H188</f>
        <v>0</v>
      </c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R188" s="228" t="s">
        <v>716</v>
      </c>
      <c r="AT188" s="228" t="s">
        <v>134</v>
      </c>
      <c r="AU188" s="228" t="s">
        <v>83</v>
      </c>
      <c r="AY188" s="14" t="s">
        <v>131</v>
      </c>
      <c r="BE188" s="229">
        <f>IF(N188="základní",J188,0)</f>
        <v>0</v>
      </c>
      <c r="BF188" s="229">
        <f>IF(N188="snížená",J188,0)</f>
        <v>0</v>
      </c>
      <c r="BG188" s="229">
        <f>IF(N188="zákl. přenesená",J188,0)</f>
        <v>0</v>
      </c>
      <c r="BH188" s="229">
        <f>IF(N188="sníž. přenesená",J188,0)</f>
        <v>0</v>
      </c>
      <c r="BI188" s="229">
        <f>IF(N188="nulová",J188,0)</f>
        <v>0</v>
      </c>
      <c r="BJ188" s="14" t="s">
        <v>83</v>
      </c>
      <c r="BK188" s="229">
        <f>ROUND(I188*H188,2)</f>
        <v>0</v>
      </c>
      <c r="BL188" s="14" t="s">
        <v>716</v>
      </c>
      <c r="BM188" s="228" t="s">
        <v>720</v>
      </c>
    </row>
    <row r="189" s="2" customFormat="1" ht="33" customHeight="1">
      <c r="A189" s="35"/>
      <c r="B189" s="36"/>
      <c r="C189" s="216" t="s">
        <v>271</v>
      </c>
      <c r="D189" s="216" t="s">
        <v>134</v>
      </c>
      <c r="E189" s="217" t="s">
        <v>721</v>
      </c>
      <c r="F189" s="218" t="s">
        <v>722</v>
      </c>
      <c r="G189" s="219" t="s">
        <v>203</v>
      </c>
      <c r="H189" s="220">
        <v>1</v>
      </c>
      <c r="I189" s="221"/>
      <c r="J189" s="222">
        <f>ROUND(I189*H189,2)</f>
        <v>0</v>
      </c>
      <c r="K189" s="223"/>
      <c r="L189" s="41"/>
      <c r="M189" s="224" t="s">
        <v>1</v>
      </c>
      <c r="N189" s="225" t="s">
        <v>40</v>
      </c>
      <c r="O189" s="88"/>
      <c r="P189" s="226">
        <f>O189*H189</f>
        <v>0</v>
      </c>
      <c r="Q189" s="226">
        <v>0</v>
      </c>
      <c r="R189" s="226">
        <f>Q189*H189</f>
        <v>0</v>
      </c>
      <c r="S189" s="226">
        <v>0</v>
      </c>
      <c r="T189" s="227">
        <f>S189*H189</f>
        <v>0</v>
      </c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R189" s="228" t="s">
        <v>716</v>
      </c>
      <c r="AT189" s="228" t="s">
        <v>134</v>
      </c>
      <c r="AU189" s="228" t="s">
        <v>83</v>
      </c>
      <c r="AY189" s="14" t="s">
        <v>131</v>
      </c>
      <c r="BE189" s="229">
        <f>IF(N189="základní",J189,0)</f>
        <v>0</v>
      </c>
      <c r="BF189" s="229">
        <f>IF(N189="snížená",J189,0)</f>
        <v>0</v>
      </c>
      <c r="BG189" s="229">
        <f>IF(N189="zákl. přenesená",J189,0)</f>
        <v>0</v>
      </c>
      <c r="BH189" s="229">
        <f>IF(N189="sníž. přenesená",J189,0)</f>
        <v>0</v>
      </c>
      <c r="BI189" s="229">
        <f>IF(N189="nulová",J189,0)</f>
        <v>0</v>
      </c>
      <c r="BJ189" s="14" t="s">
        <v>83</v>
      </c>
      <c r="BK189" s="229">
        <f>ROUND(I189*H189,2)</f>
        <v>0</v>
      </c>
      <c r="BL189" s="14" t="s">
        <v>716</v>
      </c>
      <c r="BM189" s="228" t="s">
        <v>723</v>
      </c>
    </row>
    <row r="190" s="2" customFormat="1" ht="33" customHeight="1">
      <c r="A190" s="35"/>
      <c r="B190" s="36"/>
      <c r="C190" s="216" t="s">
        <v>385</v>
      </c>
      <c r="D190" s="216" t="s">
        <v>134</v>
      </c>
      <c r="E190" s="217" t="s">
        <v>724</v>
      </c>
      <c r="F190" s="218" t="s">
        <v>722</v>
      </c>
      <c r="G190" s="219" t="s">
        <v>203</v>
      </c>
      <c r="H190" s="220">
        <v>1</v>
      </c>
      <c r="I190" s="221"/>
      <c r="J190" s="222">
        <f>ROUND(I190*H190,2)</f>
        <v>0</v>
      </c>
      <c r="K190" s="223"/>
      <c r="L190" s="41"/>
      <c r="M190" s="242" t="s">
        <v>1</v>
      </c>
      <c r="N190" s="243" t="s">
        <v>40</v>
      </c>
      <c r="O190" s="244"/>
      <c r="P190" s="245">
        <f>O190*H190</f>
        <v>0</v>
      </c>
      <c r="Q190" s="245">
        <v>0</v>
      </c>
      <c r="R190" s="245">
        <f>Q190*H190</f>
        <v>0</v>
      </c>
      <c r="S190" s="245">
        <v>0</v>
      </c>
      <c r="T190" s="246">
        <f>S190*H190</f>
        <v>0</v>
      </c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R190" s="228" t="s">
        <v>716</v>
      </c>
      <c r="AT190" s="228" t="s">
        <v>134</v>
      </c>
      <c r="AU190" s="228" t="s">
        <v>83</v>
      </c>
      <c r="AY190" s="14" t="s">
        <v>131</v>
      </c>
      <c r="BE190" s="229">
        <f>IF(N190="základní",J190,0)</f>
        <v>0</v>
      </c>
      <c r="BF190" s="229">
        <f>IF(N190="snížená",J190,0)</f>
        <v>0</v>
      </c>
      <c r="BG190" s="229">
        <f>IF(N190="zákl. přenesená",J190,0)</f>
        <v>0</v>
      </c>
      <c r="BH190" s="229">
        <f>IF(N190="sníž. přenesená",J190,0)</f>
        <v>0</v>
      </c>
      <c r="BI190" s="229">
        <f>IF(N190="nulová",J190,0)</f>
        <v>0</v>
      </c>
      <c r="BJ190" s="14" t="s">
        <v>83</v>
      </c>
      <c r="BK190" s="229">
        <f>ROUND(I190*H190,2)</f>
        <v>0</v>
      </c>
      <c r="BL190" s="14" t="s">
        <v>716</v>
      </c>
      <c r="BM190" s="228" t="s">
        <v>725</v>
      </c>
    </row>
    <row r="191" s="2" customFormat="1" ht="6.96" customHeight="1">
      <c r="A191" s="35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41"/>
      <c r="M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</row>
  </sheetData>
  <sheetProtection sheet="1" autoFilter="0" formatColumns="0" formatRows="0" objects="1" scenarios="1" spinCount="100000" saltValue="+Rrwoc6U6DwT0JET11cXYivO+PUFiyUdfoIbL0j86nftGZOPbMFOgLSHkWur+Mr57+P8iQyNkbZw25kw3eyvLA==" hashValue="t4uRCdfOMC7q1MBwzuu4fj9Qiy39LtwOHTPf4HrH3GwDk4Uz8/khndLzyMaGl1rwXu/DmcbKcOVCdKRB7CKrJA==" algorithmName="SHA-512" password="F695"/>
  <autoFilter ref="C123:K190"/>
  <mergeCells count="9">
    <mergeCell ref="E7:H7"/>
    <mergeCell ref="E9:H9"/>
    <mergeCell ref="E18:H18"/>
    <mergeCell ref="E27:H27"/>
    <mergeCell ref="E85:H85"/>
    <mergeCell ref="E87:H87"/>
    <mergeCell ref="E114:H114"/>
    <mergeCell ref="E116:H116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4" t="s">
        <v>91</v>
      </c>
    </row>
    <row r="3" s="1" customFormat="1" ht="6.96" customHeight="1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7"/>
      <c r="AT3" s="14" t="s">
        <v>85</v>
      </c>
    </row>
    <row r="4" s="1" customFormat="1" ht="24.96" customHeight="1">
      <c r="B4" s="17"/>
      <c r="D4" s="135" t="s">
        <v>101</v>
      </c>
      <c r="L4" s="17"/>
      <c r="M4" s="136" t="s">
        <v>10</v>
      </c>
      <c r="AT4" s="14" t="s">
        <v>4</v>
      </c>
    </row>
    <row r="5" s="1" customFormat="1" ht="6.96" customHeight="1">
      <c r="B5" s="17"/>
      <c r="L5" s="17"/>
    </row>
    <row r="6" s="1" customFormat="1" ht="12" customHeight="1">
      <c r="B6" s="17"/>
      <c r="D6" s="137" t="s">
        <v>16</v>
      </c>
      <c r="L6" s="17"/>
    </row>
    <row r="7" s="1" customFormat="1" ht="16.5" customHeight="1">
      <c r="B7" s="17"/>
      <c r="E7" s="138" t="str">
        <f>'Rekapitulace stavby'!K6</f>
        <v>Forestina Horaždovice- UT, OPZ</v>
      </c>
      <c r="F7" s="137"/>
      <c r="G7" s="137"/>
      <c r="H7" s="137"/>
      <c r="L7" s="17"/>
    </row>
    <row r="8" s="2" customFormat="1" ht="12" customHeight="1">
      <c r="A8" s="35"/>
      <c r="B8" s="41"/>
      <c r="C8" s="35"/>
      <c r="D8" s="137" t="s">
        <v>102</v>
      </c>
      <c r="E8" s="35"/>
      <c r="F8" s="35"/>
      <c r="G8" s="35"/>
      <c r="H8" s="35"/>
      <c r="I8" s="35"/>
      <c r="J8" s="35"/>
      <c r="K8" s="35"/>
      <c r="L8" s="6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="2" customFormat="1" ht="16.5" customHeight="1">
      <c r="A9" s="35"/>
      <c r="B9" s="41"/>
      <c r="C9" s="35"/>
      <c r="D9" s="35"/>
      <c r="E9" s="139" t="s">
        <v>726</v>
      </c>
      <c r="F9" s="35"/>
      <c r="G9" s="35"/>
      <c r="H9" s="35"/>
      <c r="I9" s="35"/>
      <c r="J9" s="35"/>
      <c r="K9" s="35"/>
      <c r="L9" s="6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="2" customFormat="1">
      <c r="A10" s="35"/>
      <c r="B10" s="41"/>
      <c r="C10" s="35"/>
      <c r="D10" s="35"/>
      <c r="E10" s="35"/>
      <c r="F10" s="35"/>
      <c r="G10" s="35"/>
      <c r="H10" s="35"/>
      <c r="I10" s="35"/>
      <c r="J10" s="35"/>
      <c r="K10" s="35"/>
      <c r="L10" s="6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="2" customFormat="1" ht="12" customHeight="1">
      <c r="A11" s="35"/>
      <c r="B11" s="41"/>
      <c r="C11" s="35"/>
      <c r="D11" s="137" t="s">
        <v>18</v>
      </c>
      <c r="E11" s="35"/>
      <c r="F11" s="140" t="s">
        <v>1</v>
      </c>
      <c r="G11" s="35"/>
      <c r="H11" s="35"/>
      <c r="I11" s="137" t="s">
        <v>19</v>
      </c>
      <c r="J11" s="140" t="s">
        <v>1</v>
      </c>
      <c r="K11" s="35"/>
      <c r="L11" s="6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="2" customFormat="1" ht="12" customHeight="1">
      <c r="A12" s="35"/>
      <c r="B12" s="41"/>
      <c r="C12" s="35"/>
      <c r="D12" s="137" t="s">
        <v>20</v>
      </c>
      <c r="E12" s="35"/>
      <c r="F12" s="140" t="s">
        <v>21</v>
      </c>
      <c r="G12" s="35"/>
      <c r="H12" s="35"/>
      <c r="I12" s="137" t="s">
        <v>22</v>
      </c>
      <c r="J12" s="141" t="str">
        <f>'Rekapitulace stavby'!AN8</f>
        <v>10. 6. 2025</v>
      </c>
      <c r="K12" s="35"/>
      <c r="L12" s="6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="2" customFormat="1" ht="10.8" customHeight="1">
      <c r="A13" s="35"/>
      <c r="B13" s="41"/>
      <c r="C13" s="35"/>
      <c r="D13" s="35"/>
      <c r="E13" s="35"/>
      <c r="F13" s="35"/>
      <c r="G13" s="35"/>
      <c r="H13" s="35"/>
      <c r="I13" s="35"/>
      <c r="J13" s="35"/>
      <c r="K13" s="35"/>
      <c r="L13" s="6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="2" customFormat="1" ht="12" customHeight="1">
      <c r="A14" s="35"/>
      <c r="B14" s="41"/>
      <c r="C14" s="35"/>
      <c r="D14" s="137" t="s">
        <v>24</v>
      </c>
      <c r="E14" s="35"/>
      <c r="F14" s="35"/>
      <c r="G14" s="35"/>
      <c r="H14" s="35"/>
      <c r="I14" s="137" t="s">
        <v>25</v>
      </c>
      <c r="J14" s="140" t="s">
        <v>1</v>
      </c>
      <c r="K14" s="35"/>
      <c r="L14" s="6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="2" customFormat="1" ht="18" customHeight="1">
      <c r="A15" s="35"/>
      <c r="B15" s="41"/>
      <c r="C15" s="35"/>
      <c r="D15" s="35"/>
      <c r="E15" s="140" t="s">
        <v>26</v>
      </c>
      <c r="F15" s="35"/>
      <c r="G15" s="35"/>
      <c r="H15" s="35"/>
      <c r="I15" s="137" t="s">
        <v>27</v>
      </c>
      <c r="J15" s="140" t="s">
        <v>1</v>
      </c>
      <c r="K15" s="35"/>
      <c r="L15" s="6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="2" customFormat="1" ht="6.96" customHeight="1">
      <c r="A16" s="35"/>
      <c r="B16" s="41"/>
      <c r="C16" s="35"/>
      <c r="D16" s="35"/>
      <c r="E16" s="35"/>
      <c r="F16" s="35"/>
      <c r="G16" s="35"/>
      <c r="H16" s="35"/>
      <c r="I16" s="35"/>
      <c r="J16" s="35"/>
      <c r="K16" s="35"/>
      <c r="L16" s="6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="2" customFormat="1" ht="12" customHeight="1">
      <c r="A17" s="35"/>
      <c r="B17" s="41"/>
      <c r="C17" s="35"/>
      <c r="D17" s="137" t="s">
        <v>28</v>
      </c>
      <c r="E17" s="35"/>
      <c r="F17" s="35"/>
      <c r="G17" s="35"/>
      <c r="H17" s="35"/>
      <c r="I17" s="137" t="s">
        <v>25</v>
      </c>
      <c r="J17" s="30" t="str">
        <f>'Rekapitulace stavby'!AN13</f>
        <v>Vyplň údaj</v>
      </c>
      <c r="K17" s="35"/>
      <c r="L17" s="6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="2" customFormat="1" ht="18" customHeight="1">
      <c r="A18" s="35"/>
      <c r="B18" s="41"/>
      <c r="C18" s="35"/>
      <c r="D18" s="35"/>
      <c r="E18" s="30" t="str">
        <f>'Rekapitulace stavby'!E14</f>
        <v>Vyplň údaj</v>
      </c>
      <c r="F18" s="140"/>
      <c r="G18" s="140"/>
      <c r="H18" s="140"/>
      <c r="I18" s="137" t="s">
        <v>27</v>
      </c>
      <c r="J18" s="30" t="str">
        <f>'Rekapitulace stavby'!AN14</f>
        <v>Vyplň údaj</v>
      </c>
      <c r="K18" s="35"/>
      <c r="L18" s="6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="2" customFormat="1" ht="6.96" customHeight="1">
      <c r="A19" s="35"/>
      <c r="B19" s="41"/>
      <c r="C19" s="35"/>
      <c r="D19" s="35"/>
      <c r="E19" s="35"/>
      <c r="F19" s="35"/>
      <c r="G19" s="35"/>
      <c r="H19" s="35"/>
      <c r="I19" s="35"/>
      <c r="J19" s="35"/>
      <c r="K19" s="35"/>
      <c r="L19" s="6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="2" customFormat="1" ht="12" customHeight="1">
      <c r="A20" s="35"/>
      <c r="B20" s="41"/>
      <c r="C20" s="35"/>
      <c r="D20" s="137" t="s">
        <v>30</v>
      </c>
      <c r="E20" s="35"/>
      <c r="F20" s="35"/>
      <c r="G20" s="35"/>
      <c r="H20" s="35"/>
      <c r="I20" s="137" t="s">
        <v>25</v>
      </c>
      <c r="J20" s="140" t="s">
        <v>1</v>
      </c>
      <c r="K20" s="35"/>
      <c r="L20" s="6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="2" customFormat="1" ht="18" customHeight="1">
      <c r="A21" s="35"/>
      <c r="B21" s="41"/>
      <c r="C21" s="35"/>
      <c r="D21" s="35"/>
      <c r="E21" s="140" t="s">
        <v>26</v>
      </c>
      <c r="F21" s="35"/>
      <c r="G21" s="35"/>
      <c r="H21" s="35"/>
      <c r="I21" s="137" t="s">
        <v>27</v>
      </c>
      <c r="J21" s="140" t="s">
        <v>1</v>
      </c>
      <c r="K21" s="35"/>
      <c r="L21" s="6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="2" customFormat="1" ht="6.96" customHeight="1">
      <c r="A22" s="35"/>
      <c r="B22" s="41"/>
      <c r="C22" s="35"/>
      <c r="D22" s="35"/>
      <c r="E22" s="35"/>
      <c r="F22" s="35"/>
      <c r="G22" s="35"/>
      <c r="H22" s="35"/>
      <c r="I22" s="35"/>
      <c r="J22" s="35"/>
      <c r="K22" s="35"/>
      <c r="L22" s="6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="2" customFormat="1" ht="12" customHeight="1">
      <c r="A23" s="35"/>
      <c r="B23" s="41"/>
      <c r="C23" s="35"/>
      <c r="D23" s="137" t="s">
        <v>32</v>
      </c>
      <c r="E23" s="35"/>
      <c r="F23" s="35"/>
      <c r="G23" s="35"/>
      <c r="H23" s="35"/>
      <c r="I23" s="137" t="s">
        <v>25</v>
      </c>
      <c r="J23" s="140" t="s">
        <v>1</v>
      </c>
      <c r="K23" s="35"/>
      <c r="L23" s="6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="2" customFormat="1" ht="18" customHeight="1">
      <c r="A24" s="35"/>
      <c r="B24" s="41"/>
      <c r="C24" s="35"/>
      <c r="D24" s="35"/>
      <c r="E24" s="140" t="s">
        <v>33</v>
      </c>
      <c r="F24" s="35"/>
      <c r="G24" s="35"/>
      <c r="H24" s="35"/>
      <c r="I24" s="137" t="s">
        <v>27</v>
      </c>
      <c r="J24" s="140" t="s">
        <v>1</v>
      </c>
      <c r="K24" s="35"/>
      <c r="L24" s="6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="2" customFormat="1" ht="6.96" customHeight="1">
      <c r="A25" s="35"/>
      <c r="B25" s="41"/>
      <c r="C25" s="35"/>
      <c r="D25" s="35"/>
      <c r="E25" s="35"/>
      <c r="F25" s="35"/>
      <c r="G25" s="35"/>
      <c r="H25" s="35"/>
      <c r="I25" s="35"/>
      <c r="J25" s="35"/>
      <c r="K25" s="35"/>
      <c r="L25" s="6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="2" customFormat="1" ht="12" customHeight="1">
      <c r="A26" s="35"/>
      <c r="B26" s="41"/>
      <c r="C26" s="35"/>
      <c r="D26" s="137" t="s">
        <v>34</v>
      </c>
      <c r="E26" s="35"/>
      <c r="F26" s="35"/>
      <c r="G26" s="35"/>
      <c r="H26" s="35"/>
      <c r="I26" s="35"/>
      <c r="J26" s="35"/>
      <c r="K26" s="35"/>
      <c r="L26" s="6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="8" customFormat="1" ht="16.5" customHeight="1">
      <c r="A27" s="142"/>
      <c r="B27" s="143"/>
      <c r="C27" s="142"/>
      <c r="D27" s="142"/>
      <c r="E27" s="144" t="s">
        <v>1</v>
      </c>
      <c r="F27" s="144"/>
      <c r="G27" s="144"/>
      <c r="H27" s="144"/>
      <c r="I27" s="142"/>
      <c r="J27" s="142"/>
      <c r="K27" s="142"/>
      <c r="L27" s="145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="2" customFormat="1" ht="6.96" customHeight="1">
      <c r="A28" s="35"/>
      <c r="B28" s="41"/>
      <c r="C28" s="35"/>
      <c r="D28" s="35"/>
      <c r="E28" s="35"/>
      <c r="F28" s="35"/>
      <c r="G28" s="35"/>
      <c r="H28" s="35"/>
      <c r="I28" s="35"/>
      <c r="J28" s="35"/>
      <c r="K28" s="35"/>
      <c r="L28" s="6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="2" customFormat="1" ht="6.96" customHeight="1">
      <c r="A29" s="35"/>
      <c r="B29" s="41"/>
      <c r="C29" s="35"/>
      <c r="D29" s="146"/>
      <c r="E29" s="146"/>
      <c r="F29" s="146"/>
      <c r="G29" s="146"/>
      <c r="H29" s="146"/>
      <c r="I29" s="146"/>
      <c r="J29" s="146"/>
      <c r="K29" s="146"/>
      <c r="L29" s="6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="2" customFormat="1" ht="25.44" customHeight="1">
      <c r="A30" s="35"/>
      <c r="B30" s="41"/>
      <c r="C30" s="35"/>
      <c r="D30" s="147" t="s">
        <v>35</v>
      </c>
      <c r="E30" s="35"/>
      <c r="F30" s="35"/>
      <c r="G30" s="35"/>
      <c r="H30" s="35"/>
      <c r="I30" s="35"/>
      <c r="J30" s="148">
        <f>ROUND(J118, 2)</f>
        <v>0</v>
      </c>
      <c r="K30" s="35"/>
      <c r="L30" s="6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="2" customFormat="1" ht="6.96" customHeight="1">
      <c r="A31" s="35"/>
      <c r="B31" s="41"/>
      <c r="C31" s="35"/>
      <c r="D31" s="146"/>
      <c r="E31" s="146"/>
      <c r="F31" s="146"/>
      <c r="G31" s="146"/>
      <c r="H31" s="146"/>
      <c r="I31" s="146"/>
      <c r="J31" s="146"/>
      <c r="K31" s="146"/>
      <c r="L31" s="6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="2" customFormat="1" ht="14.4" customHeight="1">
      <c r="A32" s="35"/>
      <c r="B32" s="41"/>
      <c r="C32" s="35"/>
      <c r="D32" s="35"/>
      <c r="E32" s="35"/>
      <c r="F32" s="149" t="s">
        <v>37</v>
      </c>
      <c r="G32" s="35"/>
      <c r="H32" s="35"/>
      <c r="I32" s="149" t="s">
        <v>36</v>
      </c>
      <c r="J32" s="149" t="s">
        <v>38</v>
      </c>
      <c r="K32" s="35"/>
      <c r="L32" s="6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="2" customFormat="1" ht="14.4" customHeight="1">
      <c r="A33" s="35"/>
      <c r="B33" s="41"/>
      <c r="C33" s="35"/>
      <c r="D33" s="150" t="s">
        <v>39</v>
      </c>
      <c r="E33" s="137" t="s">
        <v>40</v>
      </c>
      <c r="F33" s="151">
        <f>ROUND((SUM(BE118:BE146)),  2)</f>
        <v>0</v>
      </c>
      <c r="G33" s="35"/>
      <c r="H33" s="35"/>
      <c r="I33" s="152">
        <v>0.20999999999999999</v>
      </c>
      <c r="J33" s="151">
        <f>ROUND(((SUM(BE118:BE146))*I33),  2)</f>
        <v>0</v>
      </c>
      <c r="K33" s="35"/>
      <c r="L33" s="6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="2" customFormat="1" ht="14.4" customHeight="1">
      <c r="A34" s="35"/>
      <c r="B34" s="41"/>
      <c r="C34" s="35"/>
      <c r="D34" s="35"/>
      <c r="E34" s="137" t="s">
        <v>41</v>
      </c>
      <c r="F34" s="151">
        <f>ROUND((SUM(BF118:BF146)),  2)</f>
        <v>0</v>
      </c>
      <c r="G34" s="35"/>
      <c r="H34" s="35"/>
      <c r="I34" s="152">
        <v>0.12</v>
      </c>
      <c r="J34" s="151">
        <f>ROUND(((SUM(BF118:BF146))*I34),  2)</f>
        <v>0</v>
      </c>
      <c r="K34" s="35"/>
      <c r="L34" s="6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hidden="1" s="2" customFormat="1" ht="14.4" customHeight="1">
      <c r="A35" s="35"/>
      <c r="B35" s="41"/>
      <c r="C35" s="35"/>
      <c r="D35" s="35"/>
      <c r="E35" s="137" t="s">
        <v>42</v>
      </c>
      <c r="F35" s="151">
        <f>ROUND((SUM(BG118:BG146)),  2)</f>
        <v>0</v>
      </c>
      <c r="G35" s="35"/>
      <c r="H35" s="35"/>
      <c r="I35" s="152">
        <v>0.20999999999999999</v>
      </c>
      <c r="J35" s="151">
        <f>0</f>
        <v>0</v>
      </c>
      <c r="K35" s="35"/>
      <c r="L35" s="6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hidden="1" s="2" customFormat="1" ht="14.4" customHeight="1">
      <c r="A36" s="35"/>
      <c r="B36" s="41"/>
      <c r="C36" s="35"/>
      <c r="D36" s="35"/>
      <c r="E36" s="137" t="s">
        <v>43</v>
      </c>
      <c r="F36" s="151">
        <f>ROUND((SUM(BH118:BH146)),  2)</f>
        <v>0</v>
      </c>
      <c r="G36" s="35"/>
      <c r="H36" s="35"/>
      <c r="I36" s="152">
        <v>0.12</v>
      </c>
      <c r="J36" s="151">
        <f>0</f>
        <v>0</v>
      </c>
      <c r="K36" s="35"/>
      <c r="L36" s="6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hidden="1" s="2" customFormat="1" ht="14.4" customHeight="1">
      <c r="A37" s="35"/>
      <c r="B37" s="41"/>
      <c r="C37" s="35"/>
      <c r="D37" s="35"/>
      <c r="E37" s="137" t="s">
        <v>44</v>
      </c>
      <c r="F37" s="151">
        <f>ROUND((SUM(BI118:BI146)),  2)</f>
        <v>0</v>
      </c>
      <c r="G37" s="35"/>
      <c r="H37" s="35"/>
      <c r="I37" s="152">
        <v>0</v>
      </c>
      <c r="J37" s="151">
        <f>0</f>
        <v>0</v>
      </c>
      <c r="K37" s="35"/>
      <c r="L37" s="6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="2" customFormat="1" ht="6.96" customHeight="1">
      <c r="A38" s="35"/>
      <c r="B38" s="41"/>
      <c r="C38" s="35"/>
      <c r="D38" s="35"/>
      <c r="E38" s="35"/>
      <c r="F38" s="35"/>
      <c r="G38" s="35"/>
      <c r="H38" s="35"/>
      <c r="I38" s="35"/>
      <c r="J38" s="35"/>
      <c r="K38" s="35"/>
      <c r="L38" s="6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="2" customFormat="1" ht="25.44" customHeight="1">
      <c r="A39" s="35"/>
      <c r="B39" s="41"/>
      <c r="C39" s="153"/>
      <c r="D39" s="154" t="s">
        <v>45</v>
      </c>
      <c r="E39" s="155"/>
      <c r="F39" s="155"/>
      <c r="G39" s="156" t="s">
        <v>46</v>
      </c>
      <c r="H39" s="157" t="s">
        <v>47</v>
      </c>
      <c r="I39" s="155"/>
      <c r="J39" s="158">
        <f>SUM(J30:J37)</f>
        <v>0</v>
      </c>
      <c r="K39" s="159"/>
      <c r="L39" s="6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="2" customFormat="1" ht="14.4" customHeight="1">
      <c r="A40" s="35"/>
      <c r="B40" s="41"/>
      <c r="C40" s="35"/>
      <c r="D40" s="35"/>
      <c r="E40" s="35"/>
      <c r="F40" s="35"/>
      <c r="G40" s="35"/>
      <c r="H40" s="35"/>
      <c r="I40" s="35"/>
      <c r="J40" s="35"/>
      <c r="K40" s="35"/>
      <c r="L40" s="6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="1" customFormat="1" ht="14.4" customHeight="1">
      <c r="B41" s="17"/>
      <c r="L41" s="17"/>
    </row>
    <row r="42" s="1" customFormat="1" ht="14.4" customHeight="1">
      <c r="B42" s="17"/>
      <c r="L42" s="17"/>
    </row>
    <row r="43" s="1" customFormat="1" ht="14.4" customHeight="1">
      <c r="B43" s="17"/>
      <c r="L43" s="17"/>
    </row>
    <row r="44" s="1" customFormat="1" ht="14.4" customHeight="1">
      <c r="B44" s="17"/>
      <c r="L44" s="17"/>
    </row>
    <row r="45" s="1" customFormat="1" ht="14.4" customHeight="1">
      <c r="B45" s="17"/>
      <c r="L45" s="17"/>
    </row>
    <row r="46" s="1" customFormat="1" ht="14.4" customHeight="1">
      <c r="B46" s="17"/>
      <c r="L46" s="17"/>
    </row>
    <row r="47" s="1" customFormat="1" ht="14.4" customHeight="1">
      <c r="B47" s="17"/>
      <c r="L47" s="17"/>
    </row>
    <row r="48" s="1" customFormat="1" ht="14.4" customHeight="1">
      <c r="B48" s="17"/>
      <c r="L48" s="17"/>
    </row>
    <row r="49" s="1" customFormat="1" ht="14.4" customHeight="1">
      <c r="B49" s="17"/>
      <c r="L49" s="17"/>
    </row>
    <row r="50" s="2" customFormat="1" ht="14.4" customHeight="1">
      <c r="B50" s="60"/>
      <c r="D50" s="160" t="s">
        <v>48</v>
      </c>
      <c r="E50" s="161"/>
      <c r="F50" s="161"/>
      <c r="G50" s="160" t="s">
        <v>49</v>
      </c>
      <c r="H50" s="161"/>
      <c r="I50" s="161"/>
      <c r="J50" s="161"/>
      <c r="K50" s="161"/>
      <c r="L50" s="60"/>
    </row>
    <row r="51">
      <c r="B51" s="17"/>
      <c r="L51" s="17"/>
    </row>
    <row r="52">
      <c r="B52" s="17"/>
      <c r="L52" s="17"/>
    </row>
    <row r="53">
      <c r="B53" s="17"/>
      <c r="L53" s="17"/>
    </row>
    <row r="54">
      <c r="B54" s="17"/>
      <c r="L54" s="17"/>
    </row>
    <row r="55">
      <c r="B55" s="17"/>
      <c r="L55" s="17"/>
    </row>
    <row r="56">
      <c r="B56" s="17"/>
      <c r="L56" s="17"/>
    </row>
    <row r="57">
      <c r="B57" s="17"/>
      <c r="L57" s="17"/>
    </row>
    <row r="58">
      <c r="B58" s="17"/>
      <c r="L58" s="17"/>
    </row>
    <row r="59">
      <c r="B59" s="17"/>
      <c r="L59" s="17"/>
    </row>
    <row r="60">
      <c r="B60" s="17"/>
      <c r="L60" s="17"/>
    </row>
    <row r="61" s="2" customFormat="1">
      <c r="A61" s="35"/>
      <c r="B61" s="41"/>
      <c r="C61" s="35"/>
      <c r="D61" s="162" t="s">
        <v>50</v>
      </c>
      <c r="E61" s="163"/>
      <c r="F61" s="164" t="s">
        <v>51</v>
      </c>
      <c r="G61" s="162" t="s">
        <v>50</v>
      </c>
      <c r="H61" s="163"/>
      <c r="I61" s="163"/>
      <c r="J61" s="165" t="s">
        <v>51</v>
      </c>
      <c r="K61" s="163"/>
      <c r="L61" s="6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>
      <c r="B62" s="17"/>
      <c r="L62" s="17"/>
    </row>
    <row r="63">
      <c r="B63" s="17"/>
      <c r="L63" s="17"/>
    </row>
    <row r="64">
      <c r="B64" s="17"/>
      <c r="L64" s="17"/>
    </row>
    <row r="65" s="2" customFormat="1">
      <c r="A65" s="35"/>
      <c r="B65" s="41"/>
      <c r="C65" s="35"/>
      <c r="D65" s="160" t="s">
        <v>52</v>
      </c>
      <c r="E65" s="166"/>
      <c r="F65" s="166"/>
      <c r="G65" s="160" t="s">
        <v>53</v>
      </c>
      <c r="H65" s="166"/>
      <c r="I65" s="166"/>
      <c r="J65" s="166"/>
      <c r="K65" s="166"/>
      <c r="L65" s="6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>
      <c r="B66" s="17"/>
      <c r="L66" s="17"/>
    </row>
    <row r="67">
      <c r="B67" s="17"/>
      <c r="L67" s="17"/>
    </row>
    <row r="68">
      <c r="B68" s="17"/>
      <c r="L68" s="17"/>
    </row>
    <row r="69">
      <c r="B69" s="17"/>
      <c r="L69" s="17"/>
    </row>
    <row r="70">
      <c r="B70" s="17"/>
      <c r="L70" s="17"/>
    </row>
    <row r="71">
      <c r="B71" s="17"/>
      <c r="L71" s="17"/>
    </row>
    <row r="72">
      <c r="B72" s="17"/>
      <c r="L72" s="17"/>
    </row>
    <row r="73">
      <c r="B73" s="17"/>
      <c r="L73" s="17"/>
    </row>
    <row r="74">
      <c r="B74" s="17"/>
      <c r="L74" s="17"/>
    </row>
    <row r="75">
      <c r="B75" s="17"/>
      <c r="L75" s="17"/>
    </row>
    <row r="76" s="2" customFormat="1">
      <c r="A76" s="35"/>
      <c r="B76" s="41"/>
      <c r="C76" s="35"/>
      <c r="D76" s="162" t="s">
        <v>50</v>
      </c>
      <c r="E76" s="163"/>
      <c r="F76" s="164" t="s">
        <v>51</v>
      </c>
      <c r="G76" s="162" t="s">
        <v>50</v>
      </c>
      <c r="H76" s="163"/>
      <c r="I76" s="163"/>
      <c r="J76" s="165" t="s">
        <v>51</v>
      </c>
      <c r="K76" s="163"/>
      <c r="L76" s="6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="2" customFormat="1" ht="14.4" customHeight="1">
      <c r="A77" s="35"/>
      <c r="B77" s="167"/>
      <c r="C77" s="168"/>
      <c r="D77" s="168"/>
      <c r="E77" s="168"/>
      <c r="F77" s="168"/>
      <c r="G77" s="168"/>
      <c r="H77" s="168"/>
      <c r="I77" s="168"/>
      <c r="J77" s="168"/>
      <c r="K77" s="168"/>
      <c r="L77" s="6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81" s="2" customFormat="1" ht="6.96" customHeight="1">
      <c r="A81" s="35"/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6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="2" customFormat="1" ht="24.96" customHeight="1">
      <c r="A82" s="35"/>
      <c r="B82" s="36"/>
      <c r="C82" s="20" t="s">
        <v>104</v>
      </c>
      <c r="D82" s="37"/>
      <c r="E82" s="37"/>
      <c r="F82" s="37"/>
      <c r="G82" s="37"/>
      <c r="H82" s="37"/>
      <c r="I82" s="37"/>
      <c r="J82" s="37"/>
      <c r="K82" s="37"/>
      <c r="L82" s="6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="2" customFormat="1" ht="6.96" customHeight="1">
      <c r="A83" s="35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6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="2" customFormat="1" ht="12" customHeight="1">
      <c r="A84" s="35"/>
      <c r="B84" s="36"/>
      <c r="C84" s="29" t="s">
        <v>16</v>
      </c>
      <c r="D84" s="37"/>
      <c r="E84" s="37"/>
      <c r="F84" s="37"/>
      <c r="G84" s="37"/>
      <c r="H84" s="37"/>
      <c r="I84" s="37"/>
      <c r="J84" s="37"/>
      <c r="K84" s="37"/>
      <c r="L84" s="6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="2" customFormat="1" ht="16.5" customHeight="1">
      <c r="A85" s="35"/>
      <c r="B85" s="36"/>
      <c r="C85" s="37"/>
      <c r="D85" s="37"/>
      <c r="E85" s="171" t="str">
        <f>E7</f>
        <v>Forestina Horaždovice- UT, OPZ</v>
      </c>
      <c r="F85" s="29"/>
      <c r="G85" s="29"/>
      <c r="H85" s="29"/>
      <c r="I85" s="37"/>
      <c r="J85" s="37"/>
      <c r="K85" s="37"/>
      <c r="L85" s="6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="2" customFormat="1" ht="12" customHeight="1">
      <c r="A86" s="35"/>
      <c r="B86" s="36"/>
      <c r="C86" s="29" t="s">
        <v>102</v>
      </c>
      <c r="D86" s="37"/>
      <c r="E86" s="37"/>
      <c r="F86" s="37"/>
      <c r="G86" s="37"/>
      <c r="H86" s="37"/>
      <c r="I86" s="37"/>
      <c r="J86" s="37"/>
      <c r="K86" s="37"/>
      <c r="L86" s="6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="2" customFormat="1" ht="16.5" customHeight="1">
      <c r="A87" s="35"/>
      <c r="B87" s="36"/>
      <c r="C87" s="37"/>
      <c r="D87" s="37"/>
      <c r="E87" s="73" t="str">
        <f>E9</f>
        <v>04 - OPZ-hala</v>
      </c>
      <c r="F87" s="37"/>
      <c r="G87" s="37"/>
      <c r="H87" s="37"/>
      <c r="I87" s="37"/>
      <c r="J87" s="37"/>
      <c r="K87" s="37"/>
      <c r="L87" s="6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="2" customFormat="1" ht="6.96" customHeight="1">
      <c r="A88" s="35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6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="2" customFormat="1" ht="12" customHeight="1">
      <c r="A89" s="35"/>
      <c r="B89" s="36"/>
      <c r="C89" s="29" t="s">
        <v>20</v>
      </c>
      <c r="D89" s="37"/>
      <c r="E89" s="37"/>
      <c r="F89" s="24" t="str">
        <f>F12</f>
        <v>Horaždovice</v>
      </c>
      <c r="G89" s="37"/>
      <c r="H89" s="37"/>
      <c r="I89" s="29" t="s">
        <v>22</v>
      </c>
      <c r="J89" s="76" t="str">
        <f>IF(J12="","",J12)</f>
        <v>10. 6. 2025</v>
      </c>
      <c r="K89" s="37"/>
      <c r="L89" s="6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="2" customFormat="1" ht="6.96" customHeight="1">
      <c r="A90" s="35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6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="2" customFormat="1" ht="15.15" customHeight="1">
      <c r="A91" s="35"/>
      <c r="B91" s="36"/>
      <c r="C91" s="29" t="s">
        <v>24</v>
      </c>
      <c r="D91" s="37"/>
      <c r="E91" s="37"/>
      <c r="F91" s="24" t="str">
        <f>E15</f>
        <v xml:space="preserve"> </v>
      </c>
      <c r="G91" s="37"/>
      <c r="H91" s="37"/>
      <c r="I91" s="29" t="s">
        <v>30</v>
      </c>
      <c r="J91" s="33" t="str">
        <f>E21</f>
        <v xml:space="preserve"> </v>
      </c>
      <c r="K91" s="37"/>
      <c r="L91" s="6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="2" customFormat="1" ht="15.15" customHeight="1">
      <c r="A92" s="35"/>
      <c r="B92" s="36"/>
      <c r="C92" s="29" t="s">
        <v>28</v>
      </c>
      <c r="D92" s="37"/>
      <c r="E92" s="37"/>
      <c r="F92" s="24" t="str">
        <f>IF(E18="","",E18)</f>
        <v>Vyplň údaj</v>
      </c>
      <c r="G92" s="37"/>
      <c r="H92" s="37"/>
      <c r="I92" s="29" t="s">
        <v>32</v>
      </c>
      <c r="J92" s="33" t="str">
        <f>E24</f>
        <v xml:space="preserve">Ing. pavel Míka </v>
      </c>
      <c r="K92" s="37"/>
      <c r="L92" s="6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="2" customFormat="1" ht="10.32" customHeight="1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6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="2" customFormat="1" ht="29.28" customHeight="1">
      <c r="A94" s="35"/>
      <c r="B94" s="36"/>
      <c r="C94" s="172" t="s">
        <v>105</v>
      </c>
      <c r="D94" s="173"/>
      <c r="E94" s="173"/>
      <c r="F94" s="173"/>
      <c r="G94" s="173"/>
      <c r="H94" s="173"/>
      <c r="I94" s="173"/>
      <c r="J94" s="174" t="s">
        <v>106</v>
      </c>
      <c r="K94" s="173"/>
      <c r="L94" s="6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="2" customFormat="1" ht="10.32" customHeight="1">
      <c r="A95" s="35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6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="2" customFormat="1" ht="22.8" customHeight="1">
      <c r="A96" s="35"/>
      <c r="B96" s="36"/>
      <c r="C96" s="175" t="s">
        <v>107</v>
      </c>
      <c r="D96" s="37"/>
      <c r="E96" s="37"/>
      <c r="F96" s="37"/>
      <c r="G96" s="37"/>
      <c r="H96" s="37"/>
      <c r="I96" s="37"/>
      <c r="J96" s="107">
        <f>J118</f>
        <v>0</v>
      </c>
      <c r="K96" s="37"/>
      <c r="L96" s="6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U96" s="14" t="s">
        <v>108</v>
      </c>
    </row>
    <row r="97" s="9" customFormat="1" ht="24.96" customHeight="1">
      <c r="A97" s="9"/>
      <c r="B97" s="176"/>
      <c r="C97" s="177"/>
      <c r="D97" s="178" t="s">
        <v>109</v>
      </c>
      <c r="E97" s="179"/>
      <c r="F97" s="179"/>
      <c r="G97" s="179"/>
      <c r="H97" s="179"/>
      <c r="I97" s="179"/>
      <c r="J97" s="180">
        <f>J119</f>
        <v>0</v>
      </c>
      <c r="K97" s="177"/>
      <c r="L97" s="181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2"/>
      <c r="C98" s="183"/>
      <c r="D98" s="184" t="s">
        <v>727</v>
      </c>
      <c r="E98" s="185"/>
      <c r="F98" s="185"/>
      <c r="G98" s="185"/>
      <c r="H98" s="185"/>
      <c r="I98" s="185"/>
      <c r="J98" s="186">
        <f>J120</f>
        <v>0</v>
      </c>
      <c r="K98" s="183"/>
      <c r="L98" s="187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2" customFormat="1" ht="21.84" customHeight="1">
      <c r="A99" s="35"/>
      <c r="B99" s="36"/>
      <c r="C99" s="37"/>
      <c r="D99" s="37"/>
      <c r="E99" s="37"/>
      <c r="F99" s="37"/>
      <c r="G99" s="37"/>
      <c r="H99" s="37"/>
      <c r="I99" s="37"/>
      <c r="J99" s="37"/>
      <c r="K99" s="37"/>
      <c r="L99" s="60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</row>
    <row r="100" s="2" customFormat="1" ht="6.96" customHeight="1">
      <c r="A100" s="35"/>
      <c r="B100" s="63"/>
      <c r="C100" s="64"/>
      <c r="D100" s="64"/>
      <c r="E100" s="64"/>
      <c r="F100" s="64"/>
      <c r="G100" s="64"/>
      <c r="H100" s="64"/>
      <c r="I100" s="64"/>
      <c r="J100" s="64"/>
      <c r="K100" s="64"/>
      <c r="L100" s="60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</row>
    <row r="104" s="2" customFormat="1" ht="6.96" customHeight="1">
      <c r="A104" s="35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0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5" s="2" customFormat="1" ht="24.96" customHeight="1">
      <c r="A105" s="35"/>
      <c r="B105" s="36"/>
      <c r="C105" s="20" t="s">
        <v>116</v>
      </c>
      <c r="D105" s="37"/>
      <c r="E105" s="37"/>
      <c r="F105" s="37"/>
      <c r="G105" s="37"/>
      <c r="H105" s="37"/>
      <c r="I105" s="37"/>
      <c r="J105" s="37"/>
      <c r="K105" s="37"/>
      <c r="L105" s="60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  <row r="106" s="2" customFormat="1" ht="6.96" customHeight="1">
      <c r="A106" s="35"/>
      <c r="B106" s="36"/>
      <c r="C106" s="37"/>
      <c r="D106" s="37"/>
      <c r="E106" s="37"/>
      <c r="F106" s="37"/>
      <c r="G106" s="37"/>
      <c r="H106" s="37"/>
      <c r="I106" s="37"/>
      <c r="J106" s="37"/>
      <c r="K106" s="37"/>
      <c r="L106" s="60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</row>
    <row r="107" s="2" customFormat="1" ht="12" customHeight="1">
      <c r="A107" s="35"/>
      <c r="B107" s="36"/>
      <c r="C107" s="29" t="s">
        <v>16</v>
      </c>
      <c r="D107" s="37"/>
      <c r="E107" s="37"/>
      <c r="F107" s="37"/>
      <c r="G107" s="37"/>
      <c r="H107" s="37"/>
      <c r="I107" s="37"/>
      <c r="J107" s="37"/>
      <c r="K107" s="37"/>
      <c r="L107" s="60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</row>
    <row r="108" s="2" customFormat="1" ht="16.5" customHeight="1">
      <c r="A108" s="35"/>
      <c r="B108" s="36"/>
      <c r="C108" s="37"/>
      <c r="D108" s="37"/>
      <c r="E108" s="171" t="str">
        <f>E7</f>
        <v>Forestina Horaždovice- UT, OPZ</v>
      </c>
      <c r="F108" s="29"/>
      <c r="G108" s="29"/>
      <c r="H108" s="29"/>
      <c r="I108" s="37"/>
      <c r="J108" s="37"/>
      <c r="K108" s="37"/>
      <c r="L108" s="60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</row>
    <row r="109" s="2" customFormat="1" ht="12" customHeight="1">
      <c r="A109" s="35"/>
      <c r="B109" s="36"/>
      <c r="C109" s="29" t="s">
        <v>102</v>
      </c>
      <c r="D109" s="37"/>
      <c r="E109" s="37"/>
      <c r="F109" s="37"/>
      <c r="G109" s="37"/>
      <c r="H109" s="37"/>
      <c r="I109" s="37"/>
      <c r="J109" s="37"/>
      <c r="K109" s="37"/>
      <c r="L109" s="6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</row>
    <row r="110" s="2" customFormat="1" ht="16.5" customHeight="1">
      <c r="A110" s="35"/>
      <c r="B110" s="36"/>
      <c r="C110" s="37"/>
      <c r="D110" s="37"/>
      <c r="E110" s="73" t="str">
        <f>E9</f>
        <v>04 - OPZ-hala</v>
      </c>
      <c r="F110" s="37"/>
      <c r="G110" s="37"/>
      <c r="H110" s="37"/>
      <c r="I110" s="37"/>
      <c r="J110" s="37"/>
      <c r="K110" s="37"/>
      <c r="L110" s="6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 s="2" customFormat="1" ht="6.96" customHeight="1">
      <c r="A111" s="35"/>
      <c r="B111" s="36"/>
      <c r="C111" s="37"/>
      <c r="D111" s="37"/>
      <c r="E111" s="37"/>
      <c r="F111" s="37"/>
      <c r="G111" s="37"/>
      <c r="H111" s="37"/>
      <c r="I111" s="37"/>
      <c r="J111" s="37"/>
      <c r="K111" s="37"/>
      <c r="L111" s="6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 s="2" customFormat="1" ht="12" customHeight="1">
      <c r="A112" s="35"/>
      <c r="B112" s="36"/>
      <c r="C112" s="29" t="s">
        <v>20</v>
      </c>
      <c r="D112" s="37"/>
      <c r="E112" s="37"/>
      <c r="F112" s="24" t="str">
        <f>F12</f>
        <v>Horaždovice</v>
      </c>
      <c r="G112" s="37"/>
      <c r="H112" s="37"/>
      <c r="I112" s="29" t="s">
        <v>22</v>
      </c>
      <c r="J112" s="76" t="str">
        <f>IF(J12="","",J12)</f>
        <v>10. 6. 2025</v>
      </c>
      <c r="K112" s="37"/>
      <c r="L112" s="6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 s="2" customFormat="1" ht="6.96" customHeight="1">
      <c r="A113" s="35"/>
      <c r="B113" s="36"/>
      <c r="C113" s="37"/>
      <c r="D113" s="37"/>
      <c r="E113" s="37"/>
      <c r="F113" s="37"/>
      <c r="G113" s="37"/>
      <c r="H113" s="37"/>
      <c r="I113" s="37"/>
      <c r="J113" s="37"/>
      <c r="K113" s="37"/>
      <c r="L113" s="6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 s="2" customFormat="1" ht="15.15" customHeight="1">
      <c r="A114" s="35"/>
      <c r="B114" s="36"/>
      <c r="C114" s="29" t="s">
        <v>24</v>
      </c>
      <c r="D114" s="37"/>
      <c r="E114" s="37"/>
      <c r="F114" s="24" t="str">
        <f>E15</f>
        <v xml:space="preserve"> </v>
      </c>
      <c r="G114" s="37"/>
      <c r="H114" s="37"/>
      <c r="I114" s="29" t="s">
        <v>30</v>
      </c>
      <c r="J114" s="33" t="str">
        <f>E21</f>
        <v xml:space="preserve"> </v>
      </c>
      <c r="K114" s="37"/>
      <c r="L114" s="6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 s="2" customFormat="1" ht="15.15" customHeight="1">
      <c r="A115" s="35"/>
      <c r="B115" s="36"/>
      <c r="C115" s="29" t="s">
        <v>28</v>
      </c>
      <c r="D115" s="37"/>
      <c r="E115" s="37"/>
      <c r="F115" s="24" t="str">
        <f>IF(E18="","",E18)</f>
        <v>Vyplň údaj</v>
      </c>
      <c r="G115" s="37"/>
      <c r="H115" s="37"/>
      <c r="I115" s="29" t="s">
        <v>32</v>
      </c>
      <c r="J115" s="33" t="str">
        <f>E24</f>
        <v xml:space="preserve">Ing. pavel Míka </v>
      </c>
      <c r="K115" s="37"/>
      <c r="L115" s="6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 s="2" customFormat="1" ht="10.32" customHeight="1">
      <c r="A116" s="35"/>
      <c r="B116" s="36"/>
      <c r="C116" s="37"/>
      <c r="D116" s="37"/>
      <c r="E116" s="37"/>
      <c r="F116" s="37"/>
      <c r="G116" s="37"/>
      <c r="H116" s="37"/>
      <c r="I116" s="37"/>
      <c r="J116" s="37"/>
      <c r="K116" s="37"/>
      <c r="L116" s="6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="11" customFormat="1" ht="29.28" customHeight="1">
      <c r="A117" s="188"/>
      <c r="B117" s="189"/>
      <c r="C117" s="190" t="s">
        <v>117</v>
      </c>
      <c r="D117" s="191" t="s">
        <v>60</v>
      </c>
      <c r="E117" s="191" t="s">
        <v>56</v>
      </c>
      <c r="F117" s="191" t="s">
        <v>57</v>
      </c>
      <c r="G117" s="191" t="s">
        <v>118</v>
      </c>
      <c r="H117" s="191" t="s">
        <v>119</v>
      </c>
      <c r="I117" s="191" t="s">
        <v>120</v>
      </c>
      <c r="J117" s="192" t="s">
        <v>106</v>
      </c>
      <c r="K117" s="193" t="s">
        <v>121</v>
      </c>
      <c r="L117" s="194"/>
      <c r="M117" s="97" t="s">
        <v>1</v>
      </c>
      <c r="N117" s="98" t="s">
        <v>39</v>
      </c>
      <c r="O117" s="98" t="s">
        <v>122</v>
      </c>
      <c r="P117" s="98" t="s">
        <v>123</v>
      </c>
      <c r="Q117" s="98" t="s">
        <v>124</v>
      </c>
      <c r="R117" s="98" t="s">
        <v>125</v>
      </c>
      <c r="S117" s="98" t="s">
        <v>126</v>
      </c>
      <c r="T117" s="99" t="s">
        <v>127</v>
      </c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</row>
    <row r="118" s="2" customFormat="1" ht="22.8" customHeight="1">
      <c r="A118" s="35"/>
      <c r="B118" s="36"/>
      <c r="C118" s="104" t="s">
        <v>128</v>
      </c>
      <c r="D118" s="37"/>
      <c r="E118" s="37"/>
      <c r="F118" s="37"/>
      <c r="G118" s="37"/>
      <c r="H118" s="37"/>
      <c r="I118" s="37"/>
      <c r="J118" s="195">
        <f>BK118</f>
        <v>0</v>
      </c>
      <c r="K118" s="37"/>
      <c r="L118" s="41"/>
      <c r="M118" s="100"/>
      <c r="N118" s="196"/>
      <c r="O118" s="101"/>
      <c r="P118" s="197">
        <f>P119</f>
        <v>0</v>
      </c>
      <c r="Q118" s="101"/>
      <c r="R118" s="197">
        <f>R119</f>
        <v>1.6158799999999995</v>
      </c>
      <c r="S118" s="101"/>
      <c r="T118" s="198">
        <f>T119</f>
        <v>0</v>
      </c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T118" s="14" t="s">
        <v>74</v>
      </c>
      <c r="AU118" s="14" t="s">
        <v>108</v>
      </c>
      <c r="BK118" s="199">
        <f>BK119</f>
        <v>0</v>
      </c>
    </row>
    <row r="119" s="12" customFormat="1" ht="25.92" customHeight="1">
      <c r="A119" s="12"/>
      <c r="B119" s="200"/>
      <c r="C119" s="201"/>
      <c r="D119" s="202" t="s">
        <v>74</v>
      </c>
      <c r="E119" s="203" t="s">
        <v>129</v>
      </c>
      <c r="F119" s="203" t="s">
        <v>130</v>
      </c>
      <c r="G119" s="201"/>
      <c r="H119" s="201"/>
      <c r="I119" s="204"/>
      <c r="J119" s="205">
        <f>BK119</f>
        <v>0</v>
      </c>
      <c r="K119" s="201"/>
      <c r="L119" s="206"/>
      <c r="M119" s="207"/>
      <c r="N119" s="208"/>
      <c r="O119" s="208"/>
      <c r="P119" s="209">
        <f>P120</f>
        <v>0</v>
      </c>
      <c r="Q119" s="208"/>
      <c r="R119" s="209">
        <f>R120</f>
        <v>1.6158799999999995</v>
      </c>
      <c r="S119" s="208"/>
      <c r="T119" s="210">
        <f>T120</f>
        <v>0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R119" s="211" t="s">
        <v>85</v>
      </c>
      <c r="AT119" s="212" t="s">
        <v>74</v>
      </c>
      <c r="AU119" s="212" t="s">
        <v>75</v>
      </c>
      <c r="AY119" s="211" t="s">
        <v>131</v>
      </c>
      <c r="BK119" s="213">
        <f>BK120</f>
        <v>0</v>
      </c>
    </row>
    <row r="120" s="12" customFormat="1" ht="22.8" customHeight="1">
      <c r="A120" s="12"/>
      <c r="B120" s="200"/>
      <c r="C120" s="201"/>
      <c r="D120" s="202" t="s">
        <v>74</v>
      </c>
      <c r="E120" s="214" t="s">
        <v>728</v>
      </c>
      <c r="F120" s="214" t="s">
        <v>729</v>
      </c>
      <c r="G120" s="201"/>
      <c r="H120" s="201"/>
      <c r="I120" s="204"/>
      <c r="J120" s="215">
        <f>BK120</f>
        <v>0</v>
      </c>
      <c r="K120" s="201"/>
      <c r="L120" s="206"/>
      <c r="M120" s="207"/>
      <c r="N120" s="208"/>
      <c r="O120" s="208"/>
      <c r="P120" s="209">
        <f>SUM(P121:P146)</f>
        <v>0</v>
      </c>
      <c r="Q120" s="208"/>
      <c r="R120" s="209">
        <f>SUM(R121:R146)</f>
        <v>1.6158799999999995</v>
      </c>
      <c r="S120" s="208"/>
      <c r="T120" s="210">
        <f>SUM(T121:T146)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1" t="s">
        <v>85</v>
      </c>
      <c r="AT120" s="212" t="s">
        <v>74</v>
      </c>
      <c r="AU120" s="212" t="s">
        <v>83</v>
      </c>
      <c r="AY120" s="211" t="s">
        <v>131</v>
      </c>
      <c r="BK120" s="213">
        <f>SUM(BK121:BK146)</f>
        <v>0</v>
      </c>
    </row>
    <row r="121" s="2" customFormat="1" ht="24.15" customHeight="1">
      <c r="A121" s="35"/>
      <c r="B121" s="36"/>
      <c r="C121" s="216" t="s">
        <v>606</v>
      </c>
      <c r="D121" s="216" t="s">
        <v>134</v>
      </c>
      <c r="E121" s="217" t="s">
        <v>730</v>
      </c>
      <c r="F121" s="218" t="s">
        <v>731</v>
      </c>
      <c r="G121" s="219" t="s">
        <v>142</v>
      </c>
      <c r="H121" s="220">
        <v>230</v>
      </c>
      <c r="I121" s="221"/>
      <c r="J121" s="222">
        <f>ROUND(I121*H121,2)</f>
        <v>0</v>
      </c>
      <c r="K121" s="223"/>
      <c r="L121" s="41"/>
      <c r="M121" s="224" t="s">
        <v>1</v>
      </c>
      <c r="N121" s="225" t="s">
        <v>40</v>
      </c>
      <c r="O121" s="88"/>
      <c r="P121" s="226">
        <f>O121*H121</f>
        <v>0</v>
      </c>
      <c r="Q121" s="226">
        <v>0.0027699999999999999</v>
      </c>
      <c r="R121" s="226">
        <f>Q121*H121</f>
        <v>0.6371</v>
      </c>
      <c r="S121" s="226">
        <v>0</v>
      </c>
      <c r="T121" s="227">
        <f>S121*H121</f>
        <v>0</v>
      </c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R121" s="228" t="s">
        <v>138</v>
      </c>
      <c r="AT121" s="228" t="s">
        <v>134</v>
      </c>
      <c r="AU121" s="228" t="s">
        <v>85</v>
      </c>
      <c r="AY121" s="14" t="s">
        <v>131</v>
      </c>
      <c r="BE121" s="229">
        <f>IF(N121="základní",J121,0)</f>
        <v>0</v>
      </c>
      <c r="BF121" s="229">
        <f>IF(N121="snížená",J121,0)</f>
        <v>0</v>
      </c>
      <c r="BG121" s="229">
        <f>IF(N121="zákl. přenesená",J121,0)</f>
        <v>0</v>
      </c>
      <c r="BH121" s="229">
        <f>IF(N121="sníž. přenesená",J121,0)</f>
        <v>0</v>
      </c>
      <c r="BI121" s="229">
        <f>IF(N121="nulová",J121,0)</f>
        <v>0</v>
      </c>
      <c r="BJ121" s="14" t="s">
        <v>83</v>
      </c>
      <c r="BK121" s="229">
        <f>ROUND(I121*H121,2)</f>
        <v>0</v>
      </c>
      <c r="BL121" s="14" t="s">
        <v>138</v>
      </c>
      <c r="BM121" s="228" t="s">
        <v>732</v>
      </c>
    </row>
    <row r="122" s="2" customFormat="1" ht="24.15" customHeight="1">
      <c r="A122" s="35"/>
      <c r="B122" s="36"/>
      <c r="C122" s="216" t="s">
        <v>610</v>
      </c>
      <c r="D122" s="216" t="s">
        <v>134</v>
      </c>
      <c r="E122" s="217" t="s">
        <v>733</v>
      </c>
      <c r="F122" s="218" t="s">
        <v>734</v>
      </c>
      <c r="G122" s="219" t="s">
        <v>142</v>
      </c>
      <c r="H122" s="220">
        <v>16</v>
      </c>
      <c r="I122" s="221"/>
      <c r="J122" s="222">
        <f>ROUND(I122*H122,2)</f>
        <v>0</v>
      </c>
      <c r="K122" s="223"/>
      <c r="L122" s="41"/>
      <c r="M122" s="224" t="s">
        <v>1</v>
      </c>
      <c r="N122" s="225" t="s">
        <v>40</v>
      </c>
      <c r="O122" s="88"/>
      <c r="P122" s="226">
        <f>O122*H122</f>
        <v>0</v>
      </c>
      <c r="Q122" s="226">
        <v>0.00365</v>
      </c>
      <c r="R122" s="226">
        <f>Q122*H122</f>
        <v>0.058400000000000001</v>
      </c>
      <c r="S122" s="226">
        <v>0</v>
      </c>
      <c r="T122" s="227">
        <f>S122*H122</f>
        <v>0</v>
      </c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R122" s="228" t="s">
        <v>138</v>
      </c>
      <c r="AT122" s="228" t="s">
        <v>134</v>
      </c>
      <c r="AU122" s="228" t="s">
        <v>85</v>
      </c>
      <c r="AY122" s="14" t="s">
        <v>131</v>
      </c>
      <c r="BE122" s="229">
        <f>IF(N122="základní",J122,0)</f>
        <v>0</v>
      </c>
      <c r="BF122" s="229">
        <f>IF(N122="snížená",J122,0)</f>
        <v>0</v>
      </c>
      <c r="BG122" s="229">
        <f>IF(N122="zákl. přenesená",J122,0)</f>
        <v>0</v>
      </c>
      <c r="BH122" s="229">
        <f>IF(N122="sníž. přenesená",J122,0)</f>
        <v>0</v>
      </c>
      <c r="BI122" s="229">
        <f>IF(N122="nulová",J122,0)</f>
        <v>0</v>
      </c>
      <c r="BJ122" s="14" t="s">
        <v>83</v>
      </c>
      <c r="BK122" s="229">
        <f>ROUND(I122*H122,2)</f>
        <v>0</v>
      </c>
      <c r="BL122" s="14" t="s">
        <v>138</v>
      </c>
      <c r="BM122" s="228" t="s">
        <v>735</v>
      </c>
    </row>
    <row r="123" s="2" customFormat="1" ht="24.15" customHeight="1">
      <c r="A123" s="35"/>
      <c r="B123" s="36"/>
      <c r="C123" s="216" t="s">
        <v>612</v>
      </c>
      <c r="D123" s="216" t="s">
        <v>134</v>
      </c>
      <c r="E123" s="217" t="s">
        <v>736</v>
      </c>
      <c r="F123" s="218" t="s">
        <v>737</v>
      </c>
      <c r="G123" s="219" t="s">
        <v>142</v>
      </c>
      <c r="H123" s="220">
        <v>40</v>
      </c>
      <c r="I123" s="221"/>
      <c r="J123" s="222">
        <f>ROUND(I123*H123,2)</f>
        <v>0</v>
      </c>
      <c r="K123" s="223"/>
      <c r="L123" s="41"/>
      <c r="M123" s="224" t="s">
        <v>1</v>
      </c>
      <c r="N123" s="225" t="s">
        <v>40</v>
      </c>
      <c r="O123" s="88"/>
      <c r="P123" s="226">
        <f>O123*H123</f>
        <v>0</v>
      </c>
      <c r="Q123" s="226">
        <v>0.00428</v>
      </c>
      <c r="R123" s="226">
        <f>Q123*H123</f>
        <v>0.17119999999999999</v>
      </c>
      <c r="S123" s="226">
        <v>0</v>
      </c>
      <c r="T123" s="227">
        <f>S123*H123</f>
        <v>0</v>
      </c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R123" s="228" t="s">
        <v>138</v>
      </c>
      <c r="AT123" s="228" t="s">
        <v>134</v>
      </c>
      <c r="AU123" s="228" t="s">
        <v>85</v>
      </c>
      <c r="AY123" s="14" t="s">
        <v>131</v>
      </c>
      <c r="BE123" s="229">
        <f>IF(N123="základní",J123,0)</f>
        <v>0</v>
      </c>
      <c r="BF123" s="229">
        <f>IF(N123="snížená",J123,0)</f>
        <v>0</v>
      </c>
      <c r="BG123" s="229">
        <f>IF(N123="zákl. přenesená",J123,0)</f>
        <v>0</v>
      </c>
      <c r="BH123" s="229">
        <f>IF(N123="sníž. přenesená",J123,0)</f>
        <v>0</v>
      </c>
      <c r="BI123" s="229">
        <f>IF(N123="nulová",J123,0)</f>
        <v>0</v>
      </c>
      <c r="BJ123" s="14" t="s">
        <v>83</v>
      </c>
      <c r="BK123" s="229">
        <f>ROUND(I123*H123,2)</f>
        <v>0</v>
      </c>
      <c r="BL123" s="14" t="s">
        <v>138</v>
      </c>
      <c r="BM123" s="228" t="s">
        <v>738</v>
      </c>
    </row>
    <row r="124" s="2" customFormat="1" ht="24.15" customHeight="1">
      <c r="A124" s="35"/>
      <c r="B124" s="36"/>
      <c r="C124" s="216" t="s">
        <v>262</v>
      </c>
      <c r="D124" s="216" t="s">
        <v>134</v>
      </c>
      <c r="E124" s="217" t="s">
        <v>739</v>
      </c>
      <c r="F124" s="218" t="s">
        <v>740</v>
      </c>
      <c r="G124" s="219" t="s">
        <v>142</v>
      </c>
      <c r="H124" s="220">
        <v>50</v>
      </c>
      <c r="I124" s="221"/>
      <c r="J124" s="222">
        <f>ROUND(I124*H124,2)</f>
        <v>0</v>
      </c>
      <c r="K124" s="223"/>
      <c r="L124" s="41"/>
      <c r="M124" s="224" t="s">
        <v>1</v>
      </c>
      <c r="N124" s="225" t="s">
        <v>40</v>
      </c>
      <c r="O124" s="88"/>
      <c r="P124" s="226">
        <f>O124*H124</f>
        <v>0</v>
      </c>
      <c r="Q124" s="226">
        <v>0.0060200000000000002</v>
      </c>
      <c r="R124" s="226">
        <f>Q124*H124</f>
        <v>0.30099999999999999</v>
      </c>
      <c r="S124" s="226">
        <v>0</v>
      </c>
      <c r="T124" s="227">
        <f>S124*H124</f>
        <v>0</v>
      </c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R124" s="228" t="s">
        <v>138</v>
      </c>
      <c r="AT124" s="228" t="s">
        <v>134</v>
      </c>
      <c r="AU124" s="228" t="s">
        <v>85</v>
      </c>
      <c r="AY124" s="14" t="s">
        <v>131</v>
      </c>
      <c r="BE124" s="229">
        <f>IF(N124="základní",J124,0)</f>
        <v>0</v>
      </c>
      <c r="BF124" s="229">
        <f>IF(N124="snížená",J124,0)</f>
        <v>0</v>
      </c>
      <c r="BG124" s="229">
        <f>IF(N124="zákl. přenesená",J124,0)</f>
        <v>0</v>
      </c>
      <c r="BH124" s="229">
        <f>IF(N124="sníž. přenesená",J124,0)</f>
        <v>0</v>
      </c>
      <c r="BI124" s="229">
        <f>IF(N124="nulová",J124,0)</f>
        <v>0</v>
      </c>
      <c r="BJ124" s="14" t="s">
        <v>83</v>
      </c>
      <c r="BK124" s="229">
        <f>ROUND(I124*H124,2)</f>
        <v>0</v>
      </c>
      <c r="BL124" s="14" t="s">
        <v>138</v>
      </c>
      <c r="BM124" s="228" t="s">
        <v>741</v>
      </c>
    </row>
    <row r="125" s="2" customFormat="1" ht="33" customHeight="1">
      <c r="A125" s="35"/>
      <c r="B125" s="36"/>
      <c r="C125" s="216" t="s">
        <v>626</v>
      </c>
      <c r="D125" s="216" t="s">
        <v>134</v>
      </c>
      <c r="E125" s="217" t="s">
        <v>742</v>
      </c>
      <c r="F125" s="218" t="s">
        <v>743</v>
      </c>
      <c r="G125" s="219" t="s">
        <v>142</v>
      </c>
      <c r="H125" s="220">
        <v>50</v>
      </c>
      <c r="I125" s="221"/>
      <c r="J125" s="222">
        <f>ROUND(I125*H125,2)</f>
        <v>0</v>
      </c>
      <c r="K125" s="223"/>
      <c r="L125" s="41"/>
      <c r="M125" s="224" t="s">
        <v>1</v>
      </c>
      <c r="N125" s="225" t="s">
        <v>40</v>
      </c>
      <c r="O125" s="88"/>
      <c r="P125" s="226">
        <f>O125*H125</f>
        <v>0</v>
      </c>
      <c r="Q125" s="226">
        <v>0.0067999999999999996</v>
      </c>
      <c r="R125" s="226">
        <f>Q125*H125</f>
        <v>0.33999999999999997</v>
      </c>
      <c r="S125" s="226">
        <v>0</v>
      </c>
      <c r="T125" s="227">
        <f>S125*H125</f>
        <v>0</v>
      </c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R125" s="228" t="s">
        <v>138</v>
      </c>
      <c r="AT125" s="228" t="s">
        <v>134</v>
      </c>
      <c r="AU125" s="228" t="s">
        <v>85</v>
      </c>
      <c r="AY125" s="14" t="s">
        <v>131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4" t="s">
        <v>83</v>
      </c>
      <c r="BK125" s="229">
        <f>ROUND(I125*H125,2)</f>
        <v>0</v>
      </c>
      <c r="BL125" s="14" t="s">
        <v>138</v>
      </c>
      <c r="BM125" s="228" t="s">
        <v>744</v>
      </c>
    </row>
    <row r="126" s="2" customFormat="1" ht="37.8" customHeight="1">
      <c r="A126" s="35"/>
      <c r="B126" s="36"/>
      <c r="C126" s="216" t="s">
        <v>745</v>
      </c>
      <c r="D126" s="216" t="s">
        <v>134</v>
      </c>
      <c r="E126" s="217" t="s">
        <v>746</v>
      </c>
      <c r="F126" s="218" t="s">
        <v>747</v>
      </c>
      <c r="G126" s="219" t="s">
        <v>185</v>
      </c>
      <c r="H126" s="220">
        <v>2</v>
      </c>
      <c r="I126" s="221"/>
      <c r="J126" s="222">
        <f>ROUND(I126*H126,2)</f>
        <v>0</v>
      </c>
      <c r="K126" s="223"/>
      <c r="L126" s="41"/>
      <c r="M126" s="224" t="s">
        <v>1</v>
      </c>
      <c r="N126" s="225" t="s">
        <v>40</v>
      </c>
      <c r="O126" s="88"/>
      <c r="P126" s="226">
        <f>O126*H126</f>
        <v>0</v>
      </c>
      <c r="Q126" s="226">
        <v>0.0017600000000000001</v>
      </c>
      <c r="R126" s="226">
        <f>Q126*H126</f>
        <v>0.0035200000000000001</v>
      </c>
      <c r="S126" s="226">
        <v>0</v>
      </c>
      <c r="T126" s="227">
        <f>S126*H126</f>
        <v>0</v>
      </c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R126" s="228" t="s">
        <v>138</v>
      </c>
      <c r="AT126" s="228" t="s">
        <v>134</v>
      </c>
      <c r="AU126" s="228" t="s">
        <v>85</v>
      </c>
      <c r="AY126" s="14" t="s">
        <v>131</v>
      </c>
      <c r="BE126" s="229">
        <f>IF(N126="základní",J126,0)</f>
        <v>0</v>
      </c>
      <c r="BF126" s="229">
        <f>IF(N126="snížená",J126,0)</f>
        <v>0</v>
      </c>
      <c r="BG126" s="229">
        <f>IF(N126="zákl. přenesená",J126,0)</f>
        <v>0</v>
      </c>
      <c r="BH126" s="229">
        <f>IF(N126="sníž. přenesená",J126,0)</f>
        <v>0</v>
      </c>
      <c r="BI126" s="229">
        <f>IF(N126="nulová",J126,0)</f>
        <v>0</v>
      </c>
      <c r="BJ126" s="14" t="s">
        <v>83</v>
      </c>
      <c r="BK126" s="229">
        <f>ROUND(I126*H126,2)</f>
        <v>0</v>
      </c>
      <c r="BL126" s="14" t="s">
        <v>138</v>
      </c>
      <c r="BM126" s="228" t="s">
        <v>748</v>
      </c>
    </row>
    <row r="127" s="2" customFormat="1" ht="24.15" customHeight="1">
      <c r="A127" s="35"/>
      <c r="B127" s="36"/>
      <c r="C127" s="216" t="s">
        <v>83</v>
      </c>
      <c r="D127" s="216" t="s">
        <v>134</v>
      </c>
      <c r="E127" s="217" t="s">
        <v>749</v>
      </c>
      <c r="F127" s="218" t="s">
        <v>750</v>
      </c>
      <c r="G127" s="219" t="s">
        <v>142</v>
      </c>
      <c r="H127" s="220">
        <v>1</v>
      </c>
      <c r="I127" s="221"/>
      <c r="J127" s="222">
        <f>ROUND(I127*H127,2)</f>
        <v>0</v>
      </c>
      <c r="K127" s="223"/>
      <c r="L127" s="41"/>
      <c r="M127" s="224" t="s">
        <v>1</v>
      </c>
      <c r="N127" s="225" t="s">
        <v>40</v>
      </c>
      <c r="O127" s="88"/>
      <c r="P127" s="226">
        <f>O127*H127</f>
        <v>0</v>
      </c>
      <c r="Q127" s="226">
        <v>0.0065300000000000002</v>
      </c>
      <c r="R127" s="226">
        <f>Q127*H127</f>
        <v>0.0065300000000000002</v>
      </c>
      <c r="S127" s="226">
        <v>0</v>
      </c>
      <c r="T127" s="227">
        <f>S127*H127</f>
        <v>0</v>
      </c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R127" s="228" t="s">
        <v>138</v>
      </c>
      <c r="AT127" s="228" t="s">
        <v>134</v>
      </c>
      <c r="AU127" s="228" t="s">
        <v>85</v>
      </c>
      <c r="AY127" s="14" t="s">
        <v>131</v>
      </c>
      <c r="BE127" s="229">
        <f>IF(N127="základní",J127,0)</f>
        <v>0</v>
      </c>
      <c r="BF127" s="229">
        <f>IF(N127="snížená",J127,0)</f>
        <v>0</v>
      </c>
      <c r="BG127" s="229">
        <f>IF(N127="zákl. přenesená",J127,0)</f>
        <v>0</v>
      </c>
      <c r="BH127" s="229">
        <f>IF(N127="sníž. přenesená",J127,0)</f>
        <v>0</v>
      </c>
      <c r="BI127" s="229">
        <f>IF(N127="nulová",J127,0)</f>
        <v>0</v>
      </c>
      <c r="BJ127" s="14" t="s">
        <v>83</v>
      </c>
      <c r="BK127" s="229">
        <f>ROUND(I127*H127,2)</f>
        <v>0</v>
      </c>
      <c r="BL127" s="14" t="s">
        <v>138</v>
      </c>
      <c r="BM127" s="228" t="s">
        <v>751</v>
      </c>
    </row>
    <row r="128" s="2" customFormat="1" ht="24.15" customHeight="1">
      <c r="A128" s="35"/>
      <c r="B128" s="36"/>
      <c r="C128" s="216" t="s">
        <v>85</v>
      </c>
      <c r="D128" s="216" t="s">
        <v>134</v>
      </c>
      <c r="E128" s="217" t="s">
        <v>752</v>
      </c>
      <c r="F128" s="218" t="s">
        <v>753</v>
      </c>
      <c r="G128" s="219" t="s">
        <v>180</v>
      </c>
      <c r="H128" s="220">
        <v>1</v>
      </c>
      <c r="I128" s="221"/>
      <c r="J128" s="222">
        <f>ROUND(I128*H128,2)</f>
        <v>0</v>
      </c>
      <c r="K128" s="223"/>
      <c r="L128" s="41"/>
      <c r="M128" s="224" t="s">
        <v>1</v>
      </c>
      <c r="N128" s="225" t="s">
        <v>40</v>
      </c>
      <c r="O128" s="88"/>
      <c r="P128" s="226">
        <f>O128*H128</f>
        <v>0</v>
      </c>
      <c r="Q128" s="226">
        <v>0.0050000000000000001</v>
      </c>
      <c r="R128" s="226">
        <f>Q128*H128</f>
        <v>0.0050000000000000001</v>
      </c>
      <c r="S128" s="226">
        <v>0</v>
      </c>
      <c r="T128" s="227">
        <f>S128*H128</f>
        <v>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R128" s="228" t="s">
        <v>138</v>
      </c>
      <c r="AT128" s="228" t="s">
        <v>134</v>
      </c>
      <c r="AU128" s="228" t="s">
        <v>85</v>
      </c>
      <c r="AY128" s="14" t="s">
        <v>131</v>
      </c>
      <c r="BE128" s="229">
        <f>IF(N128="základní",J128,0)</f>
        <v>0</v>
      </c>
      <c r="BF128" s="229">
        <f>IF(N128="snížená",J128,0)</f>
        <v>0</v>
      </c>
      <c r="BG128" s="229">
        <f>IF(N128="zákl. přenesená",J128,0)</f>
        <v>0</v>
      </c>
      <c r="BH128" s="229">
        <f>IF(N128="sníž. přenesená",J128,0)</f>
        <v>0</v>
      </c>
      <c r="BI128" s="229">
        <f>IF(N128="nulová",J128,0)</f>
        <v>0</v>
      </c>
      <c r="BJ128" s="14" t="s">
        <v>83</v>
      </c>
      <c r="BK128" s="229">
        <f>ROUND(I128*H128,2)</f>
        <v>0</v>
      </c>
      <c r="BL128" s="14" t="s">
        <v>138</v>
      </c>
      <c r="BM128" s="228" t="s">
        <v>754</v>
      </c>
    </row>
    <row r="129" s="2" customFormat="1" ht="16.5" customHeight="1">
      <c r="A129" s="35"/>
      <c r="B129" s="36"/>
      <c r="C129" s="216" t="s">
        <v>144</v>
      </c>
      <c r="D129" s="216" t="s">
        <v>134</v>
      </c>
      <c r="E129" s="217" t="s">
        <v>755</v>
      </c>
      <c r="F129" s="218" t="s">
        <v>756</v>
      </c>
      <c r="G129" s="219" t="s">
        <v>180</v>
      </c>
      <c r="H129" s="220">
        <v>1</v>
      </c>
      <c r="I129" s="221"/>
      <c r="J129" s="222">
        <f>ROUND(I129*H129,2)</f>
        <v>0</v>
      </c>
      <c r="K129" s="223"/>
      <c r="L129" s="41"/>
      <c r="M129" s="224" t="s">
        <v>1</v>
      </c>
      <c r="N129" s="225" t="s">
        <v>40</v>
      </c>
      <c r="O129" s="88"/>
      <c r="P129" s="226">
        <f>O129*H129</f>
        <v>0</v>
      </c>
      <c r="Q129" s="226">
        <v>0.00147</v>
      </c>
      <c r="R129" s="226">
        <f>Q129*H129</f>
        <v>0.00147</v>
      </c>
      <c r="S129" s="226">
        <v>0</v>
      </c>
      <c r="T129" s="227">
        <f>S129*H129</f>
        <v>0</v>
      </c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R129" s="228" t="s">
        <v>138</v>
      </c>
      <c r="AT129" s="228" t="s">
        <v>134</v>
      </c>
      <c r="AU129" s="228" t="s">
        <v>85</v>
      </c>
      <c r="AY129" s="14" t="s">
        <v>131</v>
      </c>
      <c r="BE129" s="229">
        <f>IF(N129="základní",J129,0)</f>
        <v>0</v>
      </c>
      <c r="BF129" s="229">
        <f>IF(N129="snížená",J129,0)</f>
        <v>0</v>
      </c>
      <c r="BG129" s="229">
        <f>IF(N129="zákl. přenesená",J129,0)</f>
        <v>0</v>
      </c>
      <c r="BH129" s="229">
        <f>IF(N129="sníž. přenesená",J129,0)</f>
        <v>0</v>
      </c>
      <c r="BI129" s="229">
        <f>IF(N129="nulová",J129,0)</f>
        <v>0</v>
      </c>
      <c r="BJ129" s="14" t="s">
        <v>83</v>
      </c>
      <c r="BK129" s="229">
        <f>ROUND(I129*H129,2)</f>
        <v>0</v>
      </c>
      <c r="BL129" s="14" t="s">
        <v>138</v>
      </c>
      <c r="BM129" s="228" t="s">
        <v>757</v>
      </c>
    </row>
    <row r="130" s="2" customFormat="1" ht="37.8" customHeight="1">
      <c r="A130" s="35"/>
      <c r="B130" s="36"/>
      <c r="C130" s="216" t="s">
        <v>154</v>
      </c>
      <c r="D130" s="216" t="s">
        <v>134</v>
      </c>
      <c r="E130" s="217" t="s">
        <v>758</v>
      </c>
      <c r="F130" s="218" t="s">
        <v>759</v>
      </c>
      <c r="G130" s="219" t="s">
        <v>180</v>
      </c>
      <c r="H130" s="220">
        <v>11</v>
      </c>
      <c r="I130" s="221"/>
      <c r="J130" s="222">
        <f>ROUND(I130*H130,2)</f>
        <v>0</v>
      </c>
      <c r="K130" s="223"/>
      <c r="L130" s="41"/>
      <c r="M130" s="224" t="s">
        <v>1</v>
      </c>
      <c r="N130" s="225" t="s">
        <v>40</v>
      </c>
      <c r="O130" s="88"/>
      <c r="P130" s="226">
        <f>O130*H130</f>
        <v>0</v>
      </c>
      <c r="Q130" s="226">
        <v>0.00679</v>
      </c>
      <c r="R130" s="226">
        <f>Q130*H130</f>
        <v>0.074690000000000006</v>
      </c>
      <c r="S130" s="226">
        <v>0</v>
      </c>
      <c r="T130" s="227">
        <f>S130*H130</f>
        <v>0</v>
      </c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R130" s="228" t="s">
        <v>138</v>
      </c>
      <c r="AT130" s="228" t="s">
        <v>134</v>
      </c>
      <c r="AU130" s="228" t="s">
        <v>85</v>
      </c>
      <c r="AY130" s="14" t="s">
        <v>131</v>
      </c>
      <c r="BE130" s="229">
        <f>IF(N130="základní",J130,0)</f>
        <v>0</v>
      </c>
      <c r="BF130" s="229">
        <f>IF(N130="snížená",J130,0)</f>
        <v>0</v>
      </c>
      <c r="BG130" s="229">
        <f>IF(N130="zákl. přenesená",J130,0)</f>
        <v>0</v>
      </c>
      <c r="BH130" s="229">
        <f>IF(N130="sníž. přenesená",J130,0)</f>
        <v>0</v>
      </c>
      <c r="BI130" s="229">
        <f>IF(N130="nulová",J130,0)</f>
        <v>0</v>
      </c>
      <c r="BJ130" s="14" t="s">
        <v>83</v>
      </c>
      <c r="BK130" s="229">
        <f>ROUND(I130*H130,2)</f>
        <v>0</v>
      </c>
      <c r="BL130" s="14" t="s">
        <v>138</v>
      </c>
      <c r="BM130" s="228" t="s">
        <v>760</v>
      </c>
    </row>
    <row r="131" s="2" customFormat="1" ht="37.8" customHeight="1">
      <c r="A131" s="35"/>
      <c r="B131" s="36"/>
      <c r="C131" s="216" t="s">
        <v>158</v>
      </c>
      <c r="D131" s="216" t="s">
        <v>134</v>
      </c>
      <c r="E131" s="217" t="s">
        <v>761</v>
      </c>
      <c r="F131" s="218" t="s">
        <v>762</v>
      </c>
      <c r="G131" s="219" t="s">
        <v>185</v>
      </c>
      <c r="H131" s="220">
        <v>11</v>
      </c>
      <c r="I131" s="221"/>
      <c r="J131" s="222">
        <f>ROUND(I131*H131,2)</f>
        <v>0</v>
      </c>
      <c r="K131" s="223"/>
      <c r="L131" s="41"/>
      <c r="M131" s="224" t="s">
        <v>1</v>
      </c>
      <c r="N131" s="225" t="s">
        <v>40</v>
      </c>
      <c r="O131" s="88"/>
      <c r="P131" s="226">
        <f>O131*H131</f>
        <v>0</v>
      </c>
      <c r="Q131" s="226">
        <v>0.00012999999999999999</v>
      </c>
      <c r="R131" s="226">
        <f>Q131*H131</f>
        <v>0.0014299999999999999</v>
      </c>
      <c r="S131" s="226">
        <v>0</v>
      </c>
      <c r="T131" s="227">
        <f>S131*H131</f>
        <v>0</v>
      </c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R131" s="228" t="s">
        <v>138</v>
      </c>
      <c r="AT131" s="228" t="s">
        <v>134</v>
      </c>
      <c r="AU131" s="228" t="s">
        <v>85</v>
      </c>
      <c r="AY131" s="14" t="s">
        <v>131</v>
      </c>
      <c r="BE131" s="229">
        <f>IF(N131="základní",J131,0)</f>
        <v>0</v>
      </c>
      <c r="BF131" s="229">
        <f>IF(N131="snížená",J131,0)</f>
        <v>0</v>
      </c>
      <c r="BG131" s="229">
        <f>IF(N131="zákl. přenesená",J131,0)</f>
        <v>0</v>
      </c>
      <c r="BH131" s="229">
        <f>IF(N131="sníž. přenesená",J131,0)</f>
        <v>0</v>
      </c>
      <c r="BI131" s="229">
        <f>IF(N131="nulová",J131,0)</f>
        <v>0</v>
      </c>
      <c r="BJ131" s="14" t="s">
        <v>83</v>
      </c>
      <c r="BK131" s="229">
        <f>ROUND(I131*H131,2)</f>
        <v>0</v>
      </c>
      <c r="BL131" s="14" t="s">
        <v>138</v>
      </c>
      <c r="BM131" s="228" t="s">
        <v>763</v>
      </c>
    </row>
    <row r="132" s="2" customFormat="1" ht="37.8" customHeight="1">
      <c r="A132" s="35"/>
      <c r="B132" s="36"/>
      <c r="C132" s="216" t="s">
        <v>162</v>
      </c>
      <c r="D132" s="216" t="s">
        <v>134</v>
      </c>
      <c r="E132" s="217" t="s">
        <v>764</v>
      </c>
      <c r="F132" s="218" t="s">
        <v>765</v>
      </c>
      <c r="G132" s="219" t="s">
        <v>185</v>
      </c>
      <c r="H132" s="220">
        <v>11</v>
      </c>
      <c r="I132" s="221"/>
      <c r="J132" s="222">
        <f>ROUND(I132*H132,2)</f>
        <v>0</v>
      </c>
      <c r="K132" s="223"/>
      <c r="L132" s="41"/>
      <c r="M132" s="224" t="s">
        <v>1</v>
      </c>
      <c r="N132" s="225" t="s">
        <v>40</v>
      </c>
      <c r="O132" s="88"/>
      <c r="P132" s="226">
        <f>O132*H132</f>
        <v>0</v>
      </c>
      <c r="Q132" s="226">
        <v>0</v>
      </c>
      <c r="R132" s="226">
        <f>Q132*H132</f>
        <v>0</v>
      </c>
      <c r="S132" s="226">
        <v>0</v>
      </c>
      <c r="T132" s="227">
        <f>S132*H132</f>
        <v>0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R132" s="228" t="s">
        <v>138</v>
      </c>
      <c r="AT132" s="228" t="s">
        <v>134</v>
      </c>
      <c r="AU132" s="228" t="s">
        <v>85</v>
      </c>
      <c r="AY132" s="14" t="s">
        <v>131</v>
      </c>
      <c r="BE132" s="229">
        <f>IF(N132="základní",J132,0)</f>
        <v>0</v>
      </c>
      <c r="BF132" s="229">
        <f>IF(N132="snížená",J132,0)</f>
        <v>0</v>
      </c>
      <c r="BG132" s="229">
        <f>IF(N132="zákl. přenesená",J132,0)</f>
        <v>0</v>
      </c>
      <c r="BH132" s="229">
        <f>IF(N132="sníž. přenesená",J132,0)</f>
        <v>0</v>
      </c>
      <c r="BI132" s="229">
        <f>IF(N132="nulová",J132,0)</f>
        <v>0</v>
      </c>
      <c r="BJ132" s="14" t="s">
        <v>83</v>
      </c>
      <c r="BK132" s="229">
        <f>ROUND(I132*H132,2)</f>
        <v>0</v>
      </c>
      <c r="BL132" s="14" t="s">
        <v>138</v>
      </c>
      <c r="BM132" s="228" t="s">
        <v>766</v>
      </c>
    </row>
    <row r="133" s="2" customFormat="1" ht="24.15" customHeight="1">
      <c r="A133" s="35"/>
      <c r="B133" s="36"/>
      <c r="C133" s="216" t="s">
        <v>166</v>
      </c>
      <c r="D133" s="216" t="s">
        <v>134</v>
      </c>
      <c r="E133" s="217" t="s">
        <v>767</v>
      </c>
      <c r="F133" s="218" t="s">
        <v>768</v>
      </c>
      <c r="G133" s="219" t="s">
        <v>142</v>
      </c>
      <c r="H133" s="220">
        <v>386</v>
      </c>
      <c r="I133" s="221"/>
      <c r="J133" s="222">
        <f>ROUND(I133*H133,2)</f>
        <v>0</v>
      </c>
      <c r="K133" s="223"/>
      <c r="L133" s="41"/>
      <c r="M133" s="224" t="s">
        <v>1</v>
      </c>
      <c r="N133" s="225" t="s">
        <v>40</v>
      </c>
      <c r="O133" s="88"/>
      <c r="P133" s="226">
        <f>O133*H133</f>
        <v>0</v>
      </c>
      <c r="Q133" s="226">
        <v>0</v>
      </c>
      <c r="R133" s="226">
        <f>Q133*H133</f>
        <v>0</v>
      </c>
      <c r="S133" s="226">
        <v>0</v>
      </c>
      <c r="T133" s="227">
        <f>S133*H133</f>
        <v>0</v>
      </c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R133" s="228" t="s">
        <v>138</v>
      </c>
      <c r="AT133" s="228" t="s">
        <v>134</v>
      </c>
      <c r="AU133" s="228" t="s">
        <v>85</v>
      </c>
      <c r="AY133" s="14" t="s">
        <v>131</v>
      </c>
      <c r="BE133" s="229">
        <f>IF(N133="základní",J133,0)</f>
        <v>0</v>
      </c>
      <c r="BF133" s="229">
        <f>IF(N133="snížená",J133,0)</f>
        <v>0</v>
      </c>
      <c r="BG133" s="229">
        <f>IF(N133="zákl. přenesená",J133,0)</f>
        <v>0</v>
      </c>
      <c r="BH133" s="229">
        <f>IF(N133="sníž. přenesená",J133,0)</f>
        <v>0</v>
      </c>
      <c r="BI133" s="229">
        <f>IF(N133="nulová",J133,0)</f>
        <v>0</v>
      </c>
      <c r="BJ133" s="14" t="s">
        <v>83</v>
      </c>
      <c r="BK133" s="229">
        <f>ROUND(I133*H133,2)</f>
        <v>0</v>
      </c>
      <c r="BL133" s="14" t="s">
        <v>138</v>
      </c>
      <c r="BM133" s="228" t="s">
        <v>769</v>
      </c>
    </row>
    <row r="134" s="2" customFormat="1" ht="24.15" customHeight="1">
      <c r="A134" s="35"/>
      <c r="B134" s="36"/>
      <c r="C134" s="216" t="s">
        <v>170</v>
      </c>
      <c r="D134" s="216" t="s">
        <v>134</v>
      </c>
      <c r="E134" s="217" t="s">
        <v>770</v>
      </c>
      <c r="F134" s="218" t="s">
        <v>771</v>
      </c>
      <c r="G134" s="219" t="s">
        <v>185</v>
      </c>
      <c r="H134" s="220">
        <v>2</v>
      </c>
      <c r="I134" s="221"/>
      <c r="J134" s="222">
        <f>ROUND(I134*H134,2)</f>
        <v>0</v>
      </c>
      <c r="K134" s="223"/>
      <c r="L134" s="41"/>
      <c r="M134" s="224" t="s">
        <v>1</v>
      </c>
      <c r="N134" s="225" t="s">
        <v>40</v>
      </c>
      <c r="O134" s="88"/>
      <c r="P134" s="226">
        <f>O134*H134</f>
        <v>0</v>
      </c>
      <c r="Q134" s="226">
        <v>0</v>
      </c>
      <c r="R134" s="226">
        <f>Q134*H134</f>
        <v>0</v>
      </c>
      <c r="S134" s="226">
        <v>0</v>
      </c>
      <c r="T134" s="227">
        <f>S134*H134</f>
        <v>0</v>
      </c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R134" s="228" t="s">
        <v>138</v>
      </c>
      <c r="AT134" s="228" t="s">
        <v>134</v>
      </c>
      <c r="AU134" s="228" t="s">
        <v>85</v>
      </c>
      <c r="AY134" s="14" t="s">
        <v>131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4" t="s">
        <v>83</v>
      </c>
      <c r="BK134" s="229">
        <f>ROUND(I134*H134,2)</f>
        <v>0</v>
      </c>
      <c r="BL134" s="14" t="s">
        <v>138</v>
      </c>
      <c r="BM134" s="228" t="s">
        <v>772</v>
      </c>
    </row>
    <row r="135" s="2" customFormat="1" ht="24.15" customHeight="1">
      <c r="A135" s="35"/>
      <c r="B135" s="36"/>
      <c r="C135" s="216" t="s">
        <v>177</v>
      </c>
      <c r="D135" s="216" t="s">
        <v>134</v>
      </c>
      <c r="E135" s="217" t="s">
        <v>773</v>
      </c>
      <c r="F135" s="218" t="s">
        <v>774</v>
      </c>
      <c r="G135" s="219" t="s">
        <v>185</v>
      </c>
      <c r="H135" s="220">
        <v>11</v>
      </c>
      <c r="I135" s="221"/>
      <c r="J135" s="222">
        <f>ROUND(I135*H135,2)</f>
        <v>0</v>
      </c>
      <c r="K135" s="223"/>
      <c r="L135" s="41"/>
      <c r="M135" s="224" t="s">
        <v>1</v>
      </c>
      <c r="N135" s="225" t="s">
        <v>40</v>
      </c>
      <c r="O135" s="88"/>
      <c r="P135" s="226">
        <f>O135*H135</f>
        <v>0</v>
      </c>
      <c r="Q135" s="226">
        <v>0.00018000000000000001</v>
      </c>
      <c r="R135" s="226">
        <f>Q135*H135</f>
        <v>0.00198</v>
      </c>
      <c r="S135" s="226">
        <v>0</v>
      </c>
      <c r="T135" s="227">
        <f>S135*H135</f>
        <v>0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R135" s="228" t="s">
        <v>138</v>
      </c>
      <c r="AT135" s="228" t="s">
        <v>134</v>
      </c>
      <c r="AU135" s="228" t="s">
        <v>85</v>
      </c>
      <c r="AY135" s="14" t="s">
        <v>131</v>
      </c>
      <c r="BE135" s="229">
        <f>IF(N135="základní",J135,0)</f>
        <v>0</v>
      </c>
      <c r="BF135" s="229">
        <f>IF(N135="snížená",J135,0)</f>
        <v>0</v>
      </c>
      <c r="BG135" s="229">
        <f>IF(N135="zákl. přenesená",J135,0)</f>
        <v>0</v>
      </c>
      <c r="BH135" s="229">
        <f>IF(N135="sníž. přenesená",J135,0)</f>
        <v>0</v>
      </c>
      <c r="BI135" s="229">
        <f>IF(N135="nulová",J135,0)</f>
        <v>0</v>
      </c>
      <c r="BJ135" s="14" t="s">
        <v>83</v>
      </c>
      <c r="BK135" s="229">
        <f>ROUND(I135*H135,2)</f>
        <v>0</v>
      </c>
      <c r="BL135" s="14" t="s">
        <v>138</v>
      </c>
      <c r="BM135" s="228" t="s">
        <v>775</v>
      </c>
    </row>
    <row r="136" s="2" customFormat="1" ht="52.2" customHeight="1">
      <c r="A136" s="35"/>
      <c r="B136" s="36"/>
      <c r="C136" s="230" t="s">
        <v>182</v>
      </c>
      <c r="D136" s="230" t="s">
        <v>145</v>
      </c>
      <c r="E136" s="231" t="s">
        <v>776</v>
      </c>
      <c r="F136" s="232" t="s">
        <v>777</v>
      </c>
      <c r="G136" s="233" t="s">
        <v>185</v>
      </c>
      <c r="H136" s="234">
        <v>1</v>
      </c>
      <c r="I136" s="235"/>
      <c r="J136" s="236">
        <f>ROUND(I136*H136,2)</f>
        <v>0</v>
      </c>
      <c r="K136" s="237"/>
      <c r="L136" s="238"/>
      <c r="M136" s="239" t="s">
        <v>1</v>
      </c>
      <c r="N136" s="240" t="s">
        <v>40</v>
      </c>
      <c r="O136" s="88"/>
      <c r="P136" s="226">
        <f>O136*H136</f>
        <v>0</v>
      </c>
      <c r="Q136" s="226">
        <v>0.00064999999999999997</v>
      </c>
      <c r="R136" s="226">
        <f>Q136*H136</f>
        <v>0.00064999999999999997</v>
      </c>
      <c r="S136" s="226">
        <v>0</v>
      </c>
      <c r="T136" s="227">
        <f>S136*H136</f>
        <v>0</v>
      </c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R136" s="228" t="s">
        <v>148</v>
      </c>
      <c r="AT136" s="228" t="s">
        <v>145</v>
      </c>
      <c r="AU136" s="228" t="s">
        <v>85</v>
      </c>
      <c r="AY136" s="14" t="s">
        <v>131</v>
      </c>
      <c r="BE136" s="229">
        <f>IF(N136="základní",J136,0)</f>
        <v>0</v>
      </c>
      <c r="BF136" s="229">
        <f>IF(N136="snížená",J136,0)</f>
        <v>0</v>
      </c>
      <c r="BG136" s="229">
        <f>IF(N136="zákl. přenesená",J136,0)</f>
        <v>0</v>
      </c>
      <c r="BH136" s="229">
        <f>IF(N136="sníž. přenesená",J136,0)</f>
        <v>0</v>
      </c>
      <c r="BI136" s="229">
        <f>IF(N136="nulová",J136,0)</f>
        <v>0</v>
      </c>
      <c r="BJ136" s="14" t="s">
        <v>83</v>
      </c>
      <c r="BK136" s="229">
        <f>ROUND(I136*H136,2)</f>
        <v>0</v>
      </c>
      <c r="BL136" s="14" t="s">
        <v>138</v>
      </c>
      <c r="BM136" s="228" t="s">
        <v>778</v>
      </c>
    </row>
    <row r="137" s="2" customFormat="1" ht="33" customHeight="1">
      <c r="A137" s="35"/>
      <c r="B137" s="36"/>
      <c r="C137" s="230" t="s">
        <v>8</v>
      </c>
      <c r="D137" s="230" t="s">
        <v>145</v>
      </c>
      <c r="E137" s="231" t="s">
        <v>779</v>
      </c>
      <c r="F137" s="232" t="s">
        <v>780</v>
      </c>
      <c r="G137" s="233" t="s">
        <v>185</v>
      </c>
      <c r="H137" s="234">
        <v>1</v>
      </c>
      <c r="I137" s="235"/>
      <c r="J137" s="236">
        <f>ROUND(I137*H137,2)</f>
        <v>0</v>
      </c>
      <c r="K137" s="237"/>
      <c r="L137" s="238"/>
      <c r="M137" s="239" t="s">
        <v>1</v>
      </c>
      <c r="N137" s="240" t="s">
        <v>40</v>
      </c>
      <c r="O137" s="88"/>
      <c r="P137" s="226">
        <f>O137*H137</f>
        <v>0</v>
      </c>
      <c r="Q137" s="226">
        <v>0.00050000000000000001</v>
      </c>
      <c r="R137" s="226">
        <f>Q137*H137</f>
        <v>0.00050000000000000001</v>
      </c>
      <c r="S137" s="226">
        <v>0</v>
      </c>
      <c r="T137" s="227">
        <f>S137*H137</f>
        <v>0</v>
      </c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R137" s="228" t="s">
        <v>148</v>
      </c>
      <c r="AT137" s="228" t="s">
        <v>145</v>
      </c>
      <c r="AU137" s="228" t="s">
        <v>85</v>
      </c>
      <c r="AY137" s="14" t="s">
        <v>131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4" t="s">
        <v>83</v>
      </c>
      <c r="BK137" s="229">
        <f>ROUND(I137*H137,2)</f>
        <v>0</v>
      </c>
      <c r="BL137" s="14" t="s">
        <v>138</v>
      </c>
      <c r="BM137" s="228" t="s">
        <v>781</v>
      </c>
    </row>
    <row r="138" s="2" customFormat="1" ht="16.5" customHeight="1">
      <c r="A138" s="35"/>
      <c r="B138" s="36"/>
      <c r="C138" s="230" t="s">
        <v>191</v>
      </c>
      <c r="D138" s="230" t="s">
        <v>145</v>
      </c>
      <c r="E138" s="231" t="s">
        <v>782</v>
      </c>
      <c r="F138" s="232" t="s">
        <v>783</v>
      </c>
      <c r="G138" s="233" t="s">
        <v>185</v>
      </c>
      <c r="H138" s="234">
        <v>1</v>
      </c>
      <c r="I138" s="235"/>
      <c r="J138" s="236">
        <f>ROUND(I138*H138,2)</f>
        <v>0</v>
      </c>
      <c r="K138" s="237"/>
      <c r="L138" s="238"/>
      <c r="M138" s="239" t="s">
        <v>1</v>
      </c>
      <c r="N138" s="240" t="s">
        <v>40</v>
      </c>
      <c r="O138" s="88"/>
      <c r="P138" s="226">
        <f>O138*H138</f>
        <v>0</v>
      </c>
      <c r="Q138" s="226">
        <v>0.00059999999999999995</v>
      </c>
      <c r="R138" s="226">
        <f>Q138*H138</f>
        <v>0.00059999999999999995</v>
      </c>
      <c r="S138" s="226">
        <v>0</v>
      </c>
      <c r="T138" s="227">
        <f>S138*H138</f>
        <v>0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R138" s="228" t="s">
        <v>148</v>
      </c>
      <c r="AT138" s="228" t="s">
        <v>145</v>
      </c>
      <c r="AU138" s="228" t="s">
        <v>85</v>
      </c>
      <c r="AY138" s="14" t="s">
        <v>131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4" t="s">
        <v>83</v>
      </c>
      <c r="BK138" s="229">
        <f>ROUND(I138*H138,2)</f>
        <v>0</v>
      </c>
      <c r="BL138" s="14" t="s">
        <v>138</v>
      </c>
      <c r="BM138" s="228" t="s">
        <v>784</v>
      </c>
    </row>
    <row r="139" s="2" customFormat="1" ht="33" customHeight="1">
      <c r="A139" s="35"/>
      <c r="B139" s="36"/>
      <c r="C139" s="216" t="s">
        <v>195</v>
      </c>
      <c r="D139" s="216" t="s">
        <v>134</v>
      </c>
      <c r="E139" s="217" t="s">
        <v>785</v>
      </c>
      <c r="F139" s="218" t="s">
        <v>786</v>
      </c>
      <c r="G139" s="219" t="s">
        <v>185</v>
      </c>
      <c r="H139" s="220">
        <v>11</v>
      </c>
      <c r="I139" s="221"/>
      <c r="J139" s="222">
        <f>ROUND(I139*H139,2)</f>
        <v>0</v>
      </c>
      <c r="K139" s="223"/>
      <c r="L139" s="41"/>
      <c r="M139" s="224" t="s">
        <v>1</v>
      </c>
      <c r="N139" s="225" t="s">
        <v>40</v>
      </c>
      <c r="O139" s="88"/>
      <c r="P139" s="226">
        <f>O139*H139</f>
        <v>0</v>
      </c>
      <c r="Q139" s="226">
        <v>0.00024000000000000001</v>
      </c>
      <c r="R139" s="226">
        <f>Q139*H139</f>
        <v>0.00264</v>
      </c>
      <c r="S139" s="226">
        <v>0</v>
      </c>
      <c r="T139" s="227">
        <f>S139*H139</f>
        <v>0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R139" s="228" t="s">
        <v>138</v>
      </c>
      <c r="AT139" s="228" t="s">
        <v>134</v>
      </c>
      <c r="AU139" s="228" t="s">
        <v>85</v>
      </c>
      <c r="AY139" s="14" t="s">
        <v>131</v>
      </c>
      <c r="BE139" s="229">
        <f>IF(N139="základní",J139,0)</f>
        <v>0</v>
      </c>
      <c r="BF139" s="229">
        <f>IF(N139="snížená",J139,0)</f>
        <v>0</v>
      </c>
      <c r="BG139" s="229">
        <f>IF(N139="zákl. přenesená",J139,0)</f>
        <v>0</v>
      </c>
      <c r="BH139" s="229">
        <f>IF(N139="sníž. přenesená",J139,0)</f>
        <v>0</v>
      </c>
      <c r="BI139" s="229">
        <f>IF(N139="nulová",J139,0)</f>
        <v>0</v>
      </c>
      <c r="BJ139" s="14" t="s">
        <v>83</v>
      </c>
      <c r="BK139" s="229">
        <f>ROUND(I139*H139,2)</f>
        <v>0</v>
      </c>
      <c r="BL139" s="14" t="s">
        <v>138</v>
      </c>
      <c r="BM139" s="228" t="s">
        <v>787</v>
      </c>
    </row>
    <row r="140" s="2" customFormat="1" ht="33" customHeight="1">
      <c r="A140" s="35"/>
      <c r="B140" s="36"/>
      <c r="C140" s="216" t="s">
        <v>252</v>
      </c>
      <c r="D140" s="216" t="s">
        <v>134</v>
      </c>
      <c r="E140" s="217" t="s">
        <v>788</v>
      </c>
      <c r="F140" s="218" t="s">
        <v>789</v>
      </c>
      <c r="G140" s="219" t="s">
        <v>185</v>
      </c>
      <c r="H140" s="220">
        <v>11</v>
      </c>
      <c r="I140" s="221"/>
      <c r="J140" s="222">
        <f>ROUND(I140*H140,2)</f>
        <v>0</v>
      </c>
      <c r="K140" s="223"/>
      <c r="L140" s="41"/>
      <c r="M140" s="224" t="s">
        <v>1</v>
      </c>
      <c r="N140" s="225" t="s">
        <v>40</v>
      </c>
      <c r="O140" s="88"/>
      <c r="P140" s="226">
        <f>O140*H140</f>
        <v>0</v>
      </c>
      <c r="Q140" s="226">
        <v>0.00060999999999999997</v>
      </c>
      <c r="R140" s="226">
        <f>Q140*H140</f>
        <v>0.0067099999999999998</v>
      </c>
      <c r="S140" s="226">
        <v>0</v>
      </c>
      <c r="T140" s="227">
        <f>S140*H140</f>
        <v>0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R140" s="228" t="s">
        <v>138</v>
      </c>
      <c r="AT140" s="228" t="s">
        <v>134</v>
      </c>
      <c r="AU140" s="228" t="s">
        <v>85</v>
      </c>
      <c r="AY140" s="14" t="s">
        <v>131</v>
      </c>
      <c r="BE140" s="229">
        <f>IF(N140="základní",J140,0)</f>
        <v>0</v>
      </c>
      <c r="BF140" s="229">
        <f>IF(N140="snížená",J140,0)</f>
        <v>0</v>
      </c>
      <c r="BG140" s="229">
        <f>IF(N140="zákl. přenesená",J140,0)</f>
        <v>0</v>
      </c>
      <c r="BH140" s="229">
        <f>IF(N140="sníž. přenesená",J140,0)</f>
        <v>0</v>
      </c>
      <c r="BI140" s="229">
        <f>IF(N140="nulová",J140,0)</f>
        <v>0</v>
      </c>
      <c r="BJ140" s="14" t="s">
        <v>83</v>
      </c>
      <c r="BK140" s="229">
        <f>ROUND(I140*H140,2)</f>
        <v>0</v>
      </c>
      <c r="BL140" s="14" t="s">
        <v>138</v>
      </c>
      <c r="BM140" s="228" t="s">
        <v>790</v>
      </c>
    </row>
    <row r="141" s="2" customFormat="1" ht="37.8" customHeight="1">
      <c r="A141" s="35"/>
      <c r="B141" s="36"/>
      <c r="C141" s="216" t="s">
        <v>138</v>
      </c>
      <c r="D141" s="216" t="s">
        <v>134</v>
      </c>
      <c r="E141" s="217" t="s">
        <v>791</v>
      </c>
      <c r="F141" s="218" t="s">
        <v>792</v>
      </c>
      <c r="G141" s="219" t="s">
        <v>180</v>
      </c>
      <c r="H141" s="220">
        <v>1</v>
      </c>
      <c r="I141" s="221"/>
      <c r="J141" s="222">
        <f>ROUND(I141*H141,2)</f>
        <v>0</v>
      </c>
      <c r="K141" s="223"/>
      <c r="L141" s="41"/>
      <c r="M141" s="224" t="s">
        <v>1</v>
      </c>
      <c r="N141" s="225" t="s">
        <v>40</v>
      </c>
      <c r="O141" s="88"/>
      <c r="P141" s="226">
        <f>O141*H141</f>
        <v>0</v>
      </c>
      <c r="Q141" s="226">
        <v>0</v>
      </c>
      <c r="R141" s="226">
        <f>Q141*H141</f>
        <v>0</v>
      </c>
      <c r="S141" s="226">
        <v>0</v>
      </c>
      <c r="T141" s="227">
        <f>S141*H141</f>
        <v>0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R141" s="228" t="s">
        <v>138</v>
      </c>
      <c r="AT141" s="228" t="s">
        <v>134</v>
      </c>
      <c r="AU141" s="228" t="s">
        <v>85</v>
      </c>
      <c r="AY141" s="14" t="s">
        <v>131</v>
      </c>
      <c r="BE141" s="229">
        <f>IF(N141="základní",J141,0)</f>
        <v>0</v>
      </c>
      <c r="BF141" s="229">
        <f>IF(N141="snížená",J141,0)</f>
        <v>0</v>
      </c>
      <c r="BG141" s="229">
        <f>IF(N141="zákl. přenesená",J141,0)</f>
        <v>0</v>
      </c>
      <c r="BH141" s="229">
        <f>IF(N141="sníž. přenesená",J141,0)</f>
        <v>0</v>
      </c>
      <c r="BI141" s="229">
        <f>IF(N141="nulová",J141,0)</f>
        <v>0</v>
      </c>
      <c r="BJ141" s="14" t="s">
        <v>83</v>
      </c>
      <c r="BK141" s="229">
        <f>ROUND(I141*H141,2)</f>
        <v>0</v>
      </c>
      <c r="BL141" s="14" t="s">
        <v>138</v>
      </c>
      <c r="BM141" s="228" t="s">
        <v>793</v>
      </c>
    </row>
    <row r="142" s="2" customFormat="1" ht="44.25" customHeight="1">
      <c r="A142" s="35"/>
      <c r="B142" s="36"/>
      <c r="C142" s="230" t="s">
        <v>259</v>
      </c>
      <c r="D142" s="230" t="s">
        <v>145</v>
      </c>
      <c r="E142" s="231" t="s">
        <v>794</v>
      </c>
      <c r="F142" s="232" t="s">
        <v>795</v>
      </c>
      <c r="G142" s="233" t="s">
        <v>1</v>
      </c>
      <c r="H142" s="234">
        <v>1</v>
      </c>
      <c r="I142" s="235"/>
      <c r="J142" s="236">
        <f>ROUND(I142*H142,2)</f>
        <v>0</v>
      </c>
      <c r="K142" s="237"/>
      <c r="L142" s="238"/>
      <c r="M142" s="239" t="s">
        <v>1</v>
      </c>
      <c r="N142" s="240" t="s">
        <v>40</v>
      </c>
      <c r="O142" s="88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R142" s="228" t="s">
        <v>148</v>
      </c>
      <c r="AT142" s="228" t="s">
        <v>145</v>
      </c>
      <c r="AU142" s="228" t="s">
        <v>85</v>
      </c>
      <c r="AY142" s="14" t="s">
        <v>131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4" t="s">
        <v>83</v>
      </c>
      <c r="BK142" s="229">
        <f>ROUND(I142*H142,2)</f>
        <v>0</v>
      </c>
      <c r="BL142" s="14" t="s">
        <v>138</v>
      </c>
      <c r="BM142" s="228" t="s">
        <v>796</v>
      </c>
    </row>
    <row r="143" s="2" customFormat="1" ht="21.75" customHeight="1">
      <c r="A143" s="35"/>
      <c r="B143" s="36"/>
      <c r="C143" s="230" t="s">
        <v>593</v>
      </c>
      <c r="D143" s="230" t="s">
        <v>145</v>
      </c>
      <c r="E143" s="231" t="s">
        <v>797</v>
      </c>
      <c r="F143" s="232" t="s">
        <v>798</v>
      </c>
      <c r="G143" s="233" t="s">
        <v>185</v>
      </c>
      <c r="H143" s="234">
        <v>2</v>
      </c>
      <c r="I143" s="235"/>
      <c r="J143" s="236">
        <f>ROUND(I143*H143,2)</f>
        <v>0</v>
      </c>
      <c r="K143" s="237"/>
      <c r="L143" s="238"/>
      <c r="M143" s="239" t="s">
        <v>1</v>
      </c>
      <c r="N143" s="240" t="s">
        <v>40</v>
      </c>
      <c r="O143" s="88"/>
      <c r="P143" s="226">
        <f>O143*H143</f>
        <v>0</v>
      </c>
      <c r="Q143" s="226">
        <v>0.00115</v>
      </c>
      <c r="R143" s="226">
        <f>Q143*H143</f>
        <v>0.0023</v>
      </c>
      <c r="S143" s="226">
        <v>0</v>
      </c>
      <c r="T143" s="227">
        <f>S143*H143</f>
        <v>0</v>
      </c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R143" s="228" t="s">
        <v>148</v>
      </c>
      <c r="AT143" s="228" t="s">
        <v>145</v>
      </c>
      <c r="AU143" s="228" t="s">
        <v>85</v>
      </c>
      <c r="AY143" s="14" t="s">
        <v>131</v>
      </c>
      <c r="BE143" s="229">
        <f>IF(N143="základní",J143,0)</f>
        <v>0</v>
      </c>
      <c r="BF143" s="229">
        <f>IF(N143="snížená",J143,0)</f>
        <v>0</v>
      </c>
      <c r="BG143" s="229">
        <f>IF(N143="zákl. přenesená",J143,0)</f>
        <v>0</v>
      </c>
      <c r="BH143" s="229">
        <f>IF(N143="sníž. přenesená",J143,0)</f>
        <v>0</v>
      </c>
      <c r="BI143" s="229">
        <f>IF(N143="nulová",J143,0)</f>
        <v>0</v>
      </c>
      <c r="BJ143" s="14" t="s">
        <v>83</v>
      </c>
      <c r="BK143" s="229">
        <f>ROUND(I143*H143,2)</f>
        <v>0</v>
      </c>
      <c r="BL143" s="14" t="s">
        <v>138</v>
      </c>
      <c r="BM143" s="228" t="s">
        <v>799</v>
      </c>
    </row>
    <row r="144" s="2" customFormat="1" ht="24.15" customHeight="1">
      <c r="A144" s="35"/>
      <c r="B144" s="36"/>
      <c r="C144" s="216" t="s">
        <v>597</v>
      </c>
      <c r="D144" s="216" t="s">
        <v>134</v>
      </c>
      <c r="E144" s="217" t="s">
        <v>800</v>
      </c>
      <c r="F144" s="218" t="s">
        <v>801</v>
      </c>
      <c r="G144" s="219" t="s">
        <v>185</v>
      </c>
      <c r="H144" s="220">
        <v>1</v>
      </c>
      <c r="I144" s="221"/>
      <c r="J144" s="222">
        <f>ROUND(I144*H144,2)</f>
        <v>0</v>
      </c>
      <c r="K144" s="223"/>
      <c r="L144" s="41"/>
      <c r="M144" s="224" t="s">
        <v>1</v>
      </c>
      <c r="N144" s="225" t="s">
        <v>40</v>
      </c>
      <c r="O144" s="88"/>
      <c r="P144" s="226">
        <f>O144*H144</f>
        <v>0</v>
      </c>
      <c r="Q144" s="226">
        <v>0</v>
      </c>
      <c r="R144" s="226">
        <f>Q144*H144</f>
        <v>0</v>
      </c>
      <c r="S144" s="226">
        <v>0</v>
      </c>
      <c r="T144" s="227">
        <f>S144*H144</f>
        <v>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R144" s="228" t="s">
        <v>138</v>
      </c>
      <c r="AT144" s="228" t="s">
        <v>134</v>
      </c>
      <c r="AU144" s="228" t="s">
        <v>85</v>
      </c>
      <c r="AY144" s="14" t="s">
        <v>131</v>
      </c>
      <c r="BE144" s="229">
        <f>IF(N144="základní",J144,0)</f>
        <v>0</v>
      </c>
      <c r="BF144" s="229">
        <f>IF(N144="snížená",J144,0)</f>
        <v>0</v>
      </c>
      <c r="BG144" s="229">
        <f>IF(N144="zákl. přenesená",J144,0)</f>
        <v>0</v>
      </c>
      <c r="BH144" s="229">
        <f>IF(N144="sníž. přenesená",J144,0)</f>
        <v>0</v>
      </c>
      <c r="BI144" s="229">
        <f>IF(N144="nulová",J144,0)</f>
        <v>0</v>
      </c>
      <c r="BJ144" s="14" t="s">
        <v>83</v>
      </c>
      <c r="BK144" s="229">
        <f>ROUND(I144*H144,2)</f>
        <v>0</v>
      </c>
      <c r="BL144" s="14" t="s">
        <v>138</v>
      </c>
      <c r="BM144" s="228" t="s">
        <v>802</v>
      </c>
    </row>
    <row r="145" s="2" customFormat="1" ht="37.8" customHeight="1">
      <c r="A145" s="35"/>
      <c r="B145" s="36"/>
      <c r="C145" s="216" t="s">
        <v>601</v>
      </c>
      <c r="D145" s="216" t="s">
        <v>134</v>
      </c>
      <c r="E145" s="217" t="s">
        <v>803</v>
      </c>
      <c r="F145" s="218" t="s">
        <v>804</v>
      </c>
      <c r="G145" s="219" t="s">
        <v>185</v>
      </c>
      <c r="H145" s="220">
        <v>1</v>
      </c>
      <c r="I145" s="221"/>
      <c r="J145" s="222">
        <f>ROUND(I145*H145,2)</f>
        <v>0</v>
      </c>
      <c r="K145" s="223"/>
      <c r="L145" s="41"/>
      <c r="M145" s="224" t="s">
        <v>1</v>
      </c>
      <c r="N145" s="225" t="s">
        <v>40</v>
      </c>
      <c r="O145" s="88"/>
      <c r="P145" s="226">
        <f>O145*H145</f>
        <v>0</v>
      </c>
      <c r="Q145" s="226">
        <v>0.00016000000000000001</v>
      </c>
      <c r="R145" s="226">
        <f>Q145*H145</f>
        <v>0.00016000000000000001</v>
      </c>
      <c r="S145" s="226">
        <v>0</v>
      </c>
      <c r="T145" s="227">
        <f>S145*H145</f>
        <v>0</v>
      </c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R145" s="228" t="s">
        <v>138</v>
      </c>
      <c r="AT145" s="228" t="s">
        <v>134</v>
      </c>
      <c r="AU145" s="228" t="s">
        <v>85</v>
      </c>
      <c r="AY145" s="14" t="s">
        <v>131</v>
      </c>
      <c r="BE145" s="229">
        <f>IF(N145="základní",J145,0)</f>
        <v>0</v>
      </c>
      <c r="BF145" s="229">
        <f>IF(N145="snížená",J145,0)</f>
        <v>0</v>
      </c>
      <c r="BG145" s="229">
        <f>IF(N145="zákl. přenesená",J145,0)</f>
        <v>0</v>
      </c>
      <c r="BH145" s="229">
        <f>IF(N145="sníž. přenesená",J145,0)</f>
        <v>0</v>
      </c>
      <c r="BI145" s="229">
        <f>IF(N145="nulová",J145,0)</f>
        <v>0</v>
      </c>
      <c r="BJ145" s="14" t="s">
        <v>83</v>
      </c>
      <c r="BK145" s="229">
        <f>ROUND(I145*H145,2)</f>
        <v>0</v>
      </c>
      <c r="BL145" s="14" t="s">
        <v>138</v>
      </c>
      <c r="BM145" s="228" t="s">
        <v>805</v>
      </c>
    </row>
    <row r="146" s="2" customFormat="1" ht="44.25" customHeight="1">
      <c r="A146" s="35"/>
      <c r="B146" s="36"/>
      <c r="C146" s="216" t="s">
        <v>806</v>
      </c>
      <c r="D146" s="216" t="s">
        <v>134</v>
      </c>
      <c r="E146" s="217" t="s">
        <v>807</v>
      </c>
      <c r="F146" s="218" t="s">
        <v>808</v>
      </c>
      <c r="G146" s="219" t="s">
        <v>173</v>
      </c>
      <c r="H146" s="241"/>
      <c r="I146" s="221"/>
      <c r="J146" s="222">
        <f>ROUND(I146*H146,2)</f>
        <v>0</v>
      </c>
      <c r="K146" s="223"/>
      <c r="L146" s="41"/>
      <c r="M146" s="242" t="s">
        <v>1</v>
      </c>
      <c r="N146" s="243" t="s">
        <v>40</v>
      </c>
      <c r="O146" s="244"/>
      <c r="P146" s="245">
        <f>O146*H146</f>
        <v>0</v>
      </c>
      <c r="Q146" s="245">
        <v>0</v>
      </c>
      <c r="R146" s="245">
        <f>Q146*H146</f>
        <v>0</v>
      </c>
      <c r="S146" s="245">
        <v>0</v>
      </c>
      <c r="T146" s="246">
        <f>S146*H146</f>
        <v>0</v>
      </c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R146" s="228" t="s">
        <v>138</v>
      </c>
      <c r="AT146" s="228" t="s">
        <v>134</v>
      </c>
      <c r="AU146" s="228" t="s">
        <v>85</v>
      </c>
      <c r="AY146" s="14" t="s">
        <v>131</v>
      </c>
      <c r="BE146" s="229">
        <f>IF(N146="základní",J146,0)</f>
        <v>0</v>
      </c>
      <c r="BF146" s="229">
        <f>IF(N146="snížená",J146,0)</f>
        <v>0</v>
      </c>
      <c r="BG146" s="229">
        <f>IF(N146="zákl. přenesená",J146,0)</f>
        <v>0</v>
      </c>
      <c r="BH146" s="229">
        <f>IF(N146="sníž. přenesená",J146,0)</f>
        <v>0</v>
      </c>
      <c r="BI146" s="229">
        <f>IF(N146="nulová",J146,0)</f>
        <v>0</v>
      </c>
      <c r="BJ146" s="14" t="s">
        <v>83</v>
      </c>
      <c r="BK146" s="229">
        <f>ROUND(I146*H146,2)</f>
        <v>0</v>
      </c>
      <c r="BL146" s="14" t="s">
        <v>138</v>
      </c>
      <c r="BM146" s="228" t="s">
        <v>809</v>
      </c>
    </row>
    <row r="147" s="2" customFormat="1" ht="6.96" customHeight="1">
      <c r="A147" s="35"/>
      <c r="B147" s="63"/>
      <c r="C147" s="64"/>
      <c r="D147" s="64"/>
      <c r="E147" s="64"/>
      <c r="F147" s="64"/>
      <c r="G147" s="64"/>
      <c r="H147" s="64"/>
      <c r="I147" s="64"/>
      <c r="J147" s="64"/>
      <c r="K147" s="64"/>
      <c r="L147" s="41"/>
      <c r="M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</row>
  </sheetData>
  <sheetProtection sheet="1" autoFilter="0" formatColumns="0" formatRows="0" objects="1" scenarios="1" spinCount="100000" saltValue="iYJM6RElAdsPqc7HPgqu2A2kCEGXgz1ZNtiTgWlYmyqAA5ABlTRs62iJezGrmAVF6n+Aphco3VbOWRJJwXaH1Q==" hashValue="q/9hPLdNVxZ29Pti5Fb33JX8bWD9uYQ/Aw6erP9yx5QVbDTemTaIvQqrEqx7kBo3cSM7T8PL2cOOb30Vvmkm+A==" algorithmName="SHA-512" password="F695"/>
  <autoFilter ref="C117:K146"/>
  <mergeCells count="9">
    <mergeCell ref="E7:H7"/>
    <mergeCell ref="E9:H9"/>
    <mergeCell ref="E18:H18"/>
    <mergeCell ref="E27:H27"/>
    <mergeCell ref="E85:H85"/>
    <mergeCell ref="E87:H87"/>
    <mergeCell ref="E108:H108"/>
    <mergeCell ref="E110:H110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4" t="s">
        <v>94</v>
      </c>
    </row>
    <row r="3" s="1" customFormat="1" ht="6.96" customHeight="1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7"/>
      <c r="AT3" s="14" t="s">
        <v>85</v>
      </c>
    </row>
    <row r="4" s="1" customFormat="1" ht="24.96" customHeight="1">
      <c r="B4" s="17"/>
      <c r="D4" s="135" t="s">
        <v>101</v>
      </c>
      <c r="L4" s="17"/>
      <c r="M4" s="136" t="s">
        <v>10</v>
      </c>
      <c r="AT4" s="14" t="s">
        <v>4</v>
      </c>
    </row>
    <row r="5" s="1" customFormat="1" ht="6.96" customHeight="1">
      <c r="B5" s="17"/>
      <c r="L5" s="17"/>
    </row>
    <row r="6" s="1" customFormat="1" ht="12" customHeight="1">
      <c r="B6" s="17"/>
      <c r="D6" s="137" t="s">
        <v>16</v>
      </c>
      <c r="L6" s="17"/>
    </row>
    <row r="7" s="1" customFormat="1" ht="16.5" customHeight="1">
      <c r="B7" s="17"/>
      <c r="E7" s="138" t="str">
        <f>'Rekapitulace stavby'!K6</f>
        <v>Forestina Horaždovice- UT, OPZ</v>
      </c>
      <c r="F7" s="137"/>
      <c r="G7" s="137"/>
      <c r="H7" s="137"/>
      <c r="L7" s="17"/>
    </row>
    <row r="8" s="2" customFormat="1" ht="12" customHeight="1">
      <c r="A8" s="35"/>
      <c r="B8" s="41"/>
      <c r="C8" s="35"/>
      <c r="D8" s="137" t="s">
        <v>102</v>
      </c>
      <c r="E8" s="35"/>
      <c r="F8" s="35"/>
      <c r="G8" s="35"/>
      <c r="H8" s="35"/>
      <c r="I8" s="35"/>
      <c r="J8" s="35"/>
      <c r="K8" s="35"/>
      <c r="L8" s="6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="2" customFormat="1" ht="16.5" customHeight="1">
      <c r="A9" s="35"/>
      <c r="B9" s="41"/>
      <c r="C9" s="35"/>
      <c r="D9" s="35"/>
      <c r="E9" s="139" t="s">
        <v>810</v>
      </c>
      <c r="F9" s="35"/>
      <c r="G9" s="35"/>
      <c r="H9" s="35"/>
      <c r="I9" s="35"/>
      <c r="J9" s="35"/>
      <c r="K9" s="35"/>
      <c r="L9" s="6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="2" customFormat="1">
      <c r="A10" s="35"/>
      <c r="B10" s="41"/>
      <c r="C10" s="35"/>
      <c r="D10" s="35"/>
      <c r="E10" s="35"/>
      <c r="F10" s="35"/>
      <c r="G10" s="35"/>
      <c r="H10" s="35"/>
      <c r="I10" s="35"/>
      <c r="J10" s="35"/>
      <c r="K10" s="35"/>
      <c r="L10" s="6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="2" customFormat="1" ht="12" customHeight="1">
      <c r="A11" s="35"/>
      <c r="B11" s="41"/>
      <c r="C11" s="35"/>
      <c r="D11" s="137" t="s">
        <v>18</v>
      </c>
      <c r="E11" s="35"/>
      <c r="F11" s="140" t="s">
        <v>1</v>
      </c>
      <c r="G11" s="35"/>
      <c r="H11" s="35"/>
      <c r="I11" s="137" t="s">
        <v>19</v>
      </c>
      <c r="J11" s="140" t="s">
        <v>1</v>
      </c>
      <c r="K11" s="35"/>
      <c r="L11" s="6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="2" customFormat="1" ht="12" customHeight="1">
      <c r="A12" s="35"/>
      <c r="B12" s="41"/>
      <c r="C12" s="35"/>
      <c r="D12" s="137" t="s">
        <v>20</v>
      </c>
      <c r="E12" s="35"/>
      <c r="F12" s="140" t="s">
        <v>21</v>
      </c>
      <c r="G12" s="35"/>
      <c r="H12" s="35"/>
      <c r="I12" s="137" t="s">
        <v>22</v>
      </c>
      <c r="J12" s="141" t="str">
        <f>'Rekapitulace stavby'!AN8</f>
        <v>10. 6. 2025</v>
      </c>
      <c r="K12" s="35"/>
      <c r="L12" s="6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="2" customFormat="1" ht="10.8" customHeight="1">
      <c r="A13" s="35"/>
      <c r="B13" s="41"/>
      <c r="C13" s="35"/>
      <c r="D13" s="35"/>
      <c r="E13" s="35"/>
      <c r="F13" s="35"/>
      <c r="G13" s="35"/>
      <c r="H13" s="35"/>
      <c r="I13" s="35"/>
      <c r="J13" s="35"/>
      <c r="K13" s="35"/>
      <c r="L13" s="6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="2" customFormat="1" ht="12" customHeight="1">
      <c r="A14" s="35"/>
      <c r="B14" s="41"/>
      <c r="C14" s="35"/>
      <c r="D14" s="137" t="s">
        <v>24</v>
      </c>
      <c r="E14" s="35"/>
      <c r="F14" s="35"/>
      <c r="G14" s="35"/>
      <c r="H14" s="35"/>
      <c r="I14" s="137" t="s">
        <v>25</v>
      </c>
      <c r="J14" s="140" t="s">
        <v>1</v>
      </c>
      <c r="K14" s="35"/>
      <c r="L14" s="6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="2" customFormat="1" ht="18" customHeight="1">
      <c r="A15" s="35"/>
      <c r="B15" s="41"/>
      <c r="C15" s="35"/>
      <c r="D15" s="35"/>
      <c r="E15" s="140" t="s">
        <v>26</v>
      </c>
      <c r="F15" s="35"/>
      <c r="G15" s="35"/>
      <c r="H15" s="35"/>
      <c r="I15" s="137" t="s">
        <v>27</v>
      </c>
      <c r="J15" s="140" t="s">
        <v>1</v>
      </c>
      <c r="K15" s="35"/>
      <c r="L15" s="6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="2" customFormat="1" ht="6.96" customHeight="1">
      <c r="A16" s="35"/>
      <c r="B16" s="41"/>
      <c r="C16" s="35"/>
      <c r="D16" s="35"/>
      <c r="E16" s="35"/>
      <c r="F16" s="35"/>
      <c r="G16" s="35"/>
      <c r="H16" s="35"/>
      <c r="I16" s="35"/>
      <c r="J16" s="35"/>
      <c r="K16" s="35"/>
      <c r="L16" s="6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="2" customFormat="1" ht="12" customHeight="1">
      <c r="A17" s="35"/>
      <c r="B17" s="41"/>
      <c r="C17" s="35"/>
      <c r="D17" s="137" t="s">
        <v>28</v>
      </c>
      <c r="E17" s="35"/>
      <c r="F17" s="35"/>
      <c r="G17" s="35"/>
      <c r="H17" s="35"/>
      <c r="I17" s="137" t="s">
        <v>25</v>
      </c>
      <c r="J17" s="30" t="str">
        <f>'Rekapitulace stavby'!AN13</f>
        <v>Vyplň údaj</v>
      </c>
      <c r="K17" s="35"/>
      <c r="L17" s="6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="2" customFormat="1" ht="18" customHeight="1">
      <c r="A18" s="35"/>
      <c r="B18" s="41"/>
      <c r="C18" s="35"/>
      <c r="D18" s="35"/>
      <c r="E18" s="30" t="str">
        <f>'Rekapitulace stavby'!E14</f>
        <v>Vyplň údaj</v>
      </c>
      <c r="F18" s="140"/>
      <c r="G18" s="140"/>
      <c r="H18" s="140"/>
      <c r="I18" s="137" t="s">
        <v>27</v>
      </c>
      <c r="J18" s="30" t="str">
        <f>'Rekapitulace stavby'!AN14</f>
        <v>Vyplň údaj</v>
      </c>
      <c r="K18" s="35"/>
      <c r="L18" s="6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="2" customFormat="1" ht="6.96" customHeight="1">
      <c r="A19" s="35"/>
      <c r="B19" s="41"/>
      <c r="C19" s="35"/>
      <c r="D19" s="35"/>
      <c r="E19" s="35"/>
      <c r="F19" s="35"/>
      <c r="G19" s="35"/>
      <c r="H19" s="35"/>
      <c r="I19" s="35"/>
      <c r="J19" s="35"/>
      <c r="K19" s="35"/>
      <c r="L19" s="6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="2" customFormat="1" ht="12" customHeight="1">
      <c r="A20" s="35"/>
      <c r="B20" s="41"/>
      <c r="C20" s="35"/>
      <c r="D20" s="137" t="s">
        <v>30</v>
      </c>
      <c r="E20" s="35"/>
      <c r="F20" s="35"/>
      <c r="G20" s="35"/>
      <c r="H20" s="35"/>
      <c r="I20" s="137" t="s">
        <v>25</v>
      </c>
      <c r="J20" s="140" t="s">
        <v>1</v>
      </c>
      <c r="K20" s="35"/>
      <c r="L20" s="6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="2" customFormat="1" ht="18" customHeight="1">
      <c r="A21" s="35"/>
      <c r="B21" s="41"/>
      <c r="C21" s="35"/>
      <c r="D21" s="35"/>
      <c r="E21" s="140" t="s">
        <v>26</v>
      </c>
      <c r="F21" s="35"/>
      <c r="G21" s="35"/>
      <c r="H21" s="35"/>
      <c r="I21" s="137" t="s">
        <v>27</v>
      </c>
      <c r="J21" s="140" t="s">
        <v>1</v>
      </c>
      <c r="K21" s="35"/>
      <c r="L21" s="6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="2" customFormat="1" ht="6.96" customHeight="1">
      <c r="A22" s="35"/>
      <c r="B22" s="41"/>
      <c r="C22" s="35"/>
      <c r="D22" s="35"/>
      <c r="E22" s="35"/>
      <c r="F22" s="35"/>
      <c r="G22" s="35"/>
      <c r="H22" s="35"/>
      <c r="I22" s="35"/>
      <c r="J22" s="35"/>
      <c r="K22" s="35"/>
      <c r="L22" s="6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="2" customFormat="1" ht="12" customHeight="1">
      <c r="A23" s="35"/>
      <c r="B23" s="41"/>
      <c r="C23" s="35"/>
      <c r="D23" s="137" t="s">
        <v>32</v>
      </c>
      <c r="E23" s="35"/>
      <c r="F23" s="35"/>
      <c r="G23" s="35"/>
      <c r="H23" s="35"/>
      <c r="I23" s="137" t="s">
        <v>25</v>
      </c>
      <c r="J23" s="140" t="s">
        <v>1</v>
      </c>
      <c r="K23" s="35"/>
      <c r="L23" s="6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="2" customFormat="1" ht="18" customHeight="1">
      <c r="A24" s="35"/>
      <c r="B24" s="41"/>
      <c r="C24" s="35"/>
      <c r="D24" s="35"/>
      <c r="E24" s="140" t="s">
        <v>33</v>
      </c>
      <c r="F24" s="35"/>
      <c r="G24" s="35"/>
      <c r="H24" s="35"/>
      <c r="I24" s="137" t="s">
        <v>27</v>
      </c>
      <c r="J24" s="140" t="s">
        <v>1</v>
      </c>
      <c r="K24" s="35"/>
      <c r="L24" s="6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="2" customFormat="1" ht="6.96" customHeight="1">
      <c r="A25" s="35"/>
      <c r="B25" s="41"/>
      <c r="C25" s="35"/>
      <c r="D25" s="35"/>
      <c r="E25" s="35"/>
      <c r="F25" s="35"/>
      <c r="G25" s="35"/>
      <c r="H25" s="35"/>
      <c r="I25" s="35"/>
      <c r="J25" s="35"/>
      <c r="K25" s="35"/>
      <c r="L25" s="6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="2" customFormat="1" ht="12" customHeight="1">
      <c r="A26" s="35"/>
      <c r="B26" s="41"/>
      <c r="C26" s="35"/>
      <c r="D26" s="137" t="s">
        <v>34</v>
      </c>
      <c r="E26" s="35"/>
      <c r="F26" s="35"/>
      <c r="G26" s="35"/>
      <c r="H26" s="35"/>
      <c r="I26" s="35"/>
      <c r="J26" s="35"/>
      <c r="K26" s="35"/>
      <c r="L26" s="6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="8" customFormat="1" ht="16.5" customHeight="1">
      <c r="A27" s="142"/>
      <c r="B27" s="143"/>
      <c r="C27" s="142"/>
      <c r="D27" s="142"/>
      <c r="E27" s="144" t="s">
        <v>1</v>
      </c>
      <c r="F27" s="144"/>
      <c r="G27" s="144"/>
      <c r="H27" s="144"/>
      <c r="I27" s="142"/>
      <c r="J27" s="142"/>
      <c r="K27" s="142"/>
      <c r="L27" s="145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="2" customFormat="1" ht="6.96" customHeight="1">
      <c r="A28" s="35"/>
      <c r="B28" s="41"/>
      <c r="C28" s="35"/>
      <c r="D28" s="35"/>
      <c r="E28" s="35"/>
      <c r="F28" s="35"/>
      <c r="G28" s="35"/>
      <c r="H28" s="35"/>
      <c r="I28" s="35"/>
      <c r="J28" s="35"/>
      <c r="K28" s="35"/>
      <c r="L28" s="6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="2" customFormat="1" ht="6.96" customHeight="1">
      <c r="A29" s="35"/>
      <c r="B29" s="41"/>
      <c r="C29" s="35"/>
      <c r="D29" s="146"/>
      <c r="E29" s="146"/>
      <c r="F29" s="146"/>
      <c r="G29" s="146"/>
      <c r="H29" s="146"/>
      <c r="I29" s="146"/>
      <c r="J29" s="146"/>
      <c r="K29" s="146"/>
      <c r="L29" s="6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="2" customFormat="1" ht="25.44" customHeight="1">
      <c r="A30" s="35"/>
      <c r="B30" s="41"/>
      <c r="C30" s="35"/>
      <c r="D30" s="147" t="s">
        <v>35</v>
      </c>
      <c r="E30" s="35"/>
      <c r="F30" s="35"/>
      <c r="G30" s="35"/>
      <c r="H30" s="35"/>
      <c r="I30" s="35"/>
      <c r="J30" s="148">
        <f>ROUND(J121, 2)</f>
        <v>0</v>
      </c>
      <c r="K30" s="35"/>
      <c r="L30" s="6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="2" customFormat="1" ht="6.96" customHeight="1">
      <c r="A31" s="35"/>
      <c r="B31" s="41"/>
      <c r="C31" s="35"/>
      <c r="D31" s="146"/>
      <c r="E31" s="146"/>
      <c r="F31" s="146"/>
      <c r="G31" s="146"/>
      <c r="H31" s="146"/>
      <c r="I31" s="146"/>
      <c r="J31" s="146"/>
      <c r="K31" s="146"/>
      <c r="L31" s="6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="2" customFormat="1" ht="14.4" customHeight="1">
      <c r="A32" s="35"/>
      <c r="B32" s="41"/>
      <c r="C32" s="35"/>
      <c r="D32" s="35"/>
      <c r="E32" s="35"/>
      <c r="F32" s="149" t="s">
        <v>37</v>
      </c>
      <c r="G32" s="35"/>
      <c r="H32" s="35"/>
      <c r="I32" s="149" t="s">
        <v>36</v>
      </c>
      <c r="J32" s="149" t="s">
        <v>38</v>
      </c>
      <c r="K32" s="35"/>
      <c r="L32" s="6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="2" customFormat="1" ht="14.4" customHeight="1">
      <c r="A33" s="35"/>
      <c r="B33" s="41"/>
      <c r="C33" s="35"/>
      <c r="D33" s="150" t="s">
        <v>39</v>
      </c>
      <c r="E33" s="137" t="s">
        <v>40</v>
      </c>
      <c r="F33" s="151">
        <f>ROUND((SUM(BE121:BE152)),  2)</f>
        <v>0</v>
      </c>
      <c r="G33" s="35"/>
      <c r="H33" s="35"/>
      <c r="I33" s="152">
        <v>0.20999999999999999</v>
      </c>
      <c r="J33" s="151">
        <f>ROUND(((SUM(BE121:BE152))*I33),  2)</f>
        <v>0</v>
      </c>
      <c r="K33" s="35"/>
      <c r="L33" s="6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="2" customFormat="1" ht="14.4" customHeight="1">
      <c r="A34" s="35"/>
      <c r="B34" s="41"/>
      <c r="C34" s="35"/>
      <c r="D34" s="35"/>
      <c r="E34" s="137" t="s">
        <v>41</v>
      </c>
      <c r="F34" s="151">
        <f>ROUND((SUM(BF121:BF152)),  2)</f>
        <v>0</v>
      </c>
      <c r="G34" s="35"/>
      <c r="H34" s="35"/>
      <c r="I34" s="152">
        <v>0.12</v>
      </c>
      <c r="J34" s="151">
        <f>ROUND(((SUM(BF121:BF152))*I34),  2)</f>
        <v>0</v>
      </c>
      <c r="K34" s="35"/>
      <c r="L34" s="6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hidden="1" s="2" customFormat="1" ht="14.4" customHeight="1">
      <c r="A35" s="35"/>
      <c r="B35" s="41"/>
      <c r="C35" s="35"/>
      <c r="D35" s="35"/>
      <c r="E35" s="137" t="s">
        <v>42</v>
      </c>
      <c r="F35" s="151">
        <f>ROUND((SUM(BG121:BG152)),  2)</f>
        <v>0</v>
      </c>
      <c r="G35" s="35"/>
      <c r="H35" s="35"/>
      <c r="I35" s="152">
        <v>0.20999999999999999</v>
      </c>
      <c r="J35" s="151">
        <f>0</f>
        <v>0</v>
      </c>
      <c r="K35" s="35"/>
      <c r="L35" s="6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hidden="1" s="2" customFormat="1" ht="14.4" customHeight="1">
      <c r="A36" s="35"/>
      <c r="B36" s="41"/>
      <c r="C36" s="35"/>
      <c r="D36" s="35"/>
      <c r="E36" s="137" t="s">
        <v>43</v>
      </c>
      <c r="F36" s="151">
        <f>ROUND((SUM(BH121:BH152)),  2)</f>
        <v>0</v>
      </c>
      <c r="G36" s="35"/>
      <c r="H36" s="35"/>
      <c r="I36" s="152">
        <v>0.12</v>
      </c>
      <c r="J36" s="151">
        <f>0</f>
        <v>0</v>
      </c>
      <c r="K36" s="35"/>
      <c r="L36" s="6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hidden="1" s="2" customFormat="1" ht="14.4" customHeight="1">
      <c r="A37" s="35"/>
      <c r="B37" s="41"/>
      <c r="C37" s="35"/>
      <c r="D37" s="35"/>
      <c r="E37" s="137" t="s">
        <v>44</v>
      </c>
      <c r="F37" s="151">
        <f>ROUND((SUM(BI121:BI152)),  2)</f>
        <v>0</v>
      </c>
      <c r="G37" s="35"/>
      <c r="H37" s="35"/>
      <c r="I37" s="152">
        <v>0</v>
      </c>
      <c r="J37" s="151">
        <f>0</f>
        <v>0</v>
      </c>
      <c r="K37" s="35"/>
      <c r="L37" s="6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="2" customFormat="1" ht="6.96" customHeight="1">
      <c r="A38" s="35"/>
      <c r="B38" s="41"/>
      <c r="C38" s="35"/>
      <c r="D38" s="35"/>
      <c r="E38" s="35"/>
      <c r="F38" s="35"/>
      <c r="G38" s="35"/>
      <c r="H38" s="35"/>
      <c r="I38" s="35"/>
      <c r="J38" s="35"/>
      <c r="K38" s="35"/>
      <c r="L38" s="6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="2" customFormat="1" ht="25.44" customHeight="1">
      <c r="A39" s="35"/>
      <c r="B39" s="41"/>
      <c r="C39" s="153"/>
      <c r="D39" s="154" t="s">
        <v>45</v>
      </c>
      <c r="E39" s="155"/>
      <c r="F39" s="155"/>
      <c r="G39" s="156" t="s">
        <v>46</v>
      </c>
      <c r="H39" s="157" t="s">
        <v>47</v>
      </c>
      <c r="I39" s="155"/>
      <c r="J39" s="158">
        <f>SUM(J30:J37)</f>
        <v>0</v>
      </c>
      <c r="K39" s="159"/>
      <c r="L39" s="6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="2" customFormat="1" ht="14.4" customHeight="1">
      <c r="A40" s="35"/>
      <c r="B40" s="41"/>
      <c r="C40" s="35"/>
      <c r="D40" s="35"/>
      <c r="E40" s="35"/>
      <c r="F40" s="35"/>
      <c r="G40" s="35"/>
      <c r="H40" s="35"/>
      <c r="I40" s="35"/>
      <c r="J40" s="35"/>
      <c r="K40" s="35"/>
      <c r="L40" s="6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="1" customFormat="1" ht="14.4" customHeight="1">
      <c r="B41" s="17"/>
      <c r="L41" s="17"/>
    </row>
    <row r="42" s="1" customFormat="1" ht="14.4" customHeight="1">
      <c r="B42" s="17"/>
      <c r="L42" s="17"/>
    </row>
    <row r="43" s="1" customFormat="1" ht="14.4" customHeight="1">
      <c r="B43" s="17"/>
      <c r="L43" s="17"/>
    </row>
    <row r="44" s="1" customFormat="1" ht="14.4" customHeight="1">
      <c r="B44" s="17"/>
      <c r="L44" s="17"/>
    </row>
    <row r="45" s="1" customFormat="1" ht="14.4" customHeight="1">
      <c r="B45" s="17"/>
      <c r="L45" s="17"/>
    </row>
    <row r="46" s="1" customFormat="1" ht="14.4" customHeight="1">
      <c r="B46" s="17"/>
      <c r="L46" s="17"/>
    </row>
    <row r="47" s="1" customFormat="1" ht="14.4" customHeight="1">
      <c r="B47" s="17"/>
      <c r="L47" s="17"/>
    </row>
    <row r="48" s="1" customFormat="1" ht="14.4" customHeight="1">
      <c r="B48" s="17"/>
      <c r="L48" s="17"/>
    </row>
    <row r="49" s="1" customFormat="1" ht="14.4" customHeight="1">
      <c r="B49" s="17"/>
      <c r="L49" s="17"/>
    </row>
    <row r="50" s="2" customFormat="1" ht="14.4" customHeight="1">
      <c r="B50" s="60"/>
      <c r="D50" s="160" t="s">
        <v>48</v>
      </c>
      <c r="E50" s="161"/>
      <c r="F50" s="161"/>
      <c r="G50" s="160" t="s">
        <v>49</v>
      </c>
      <c r="H50" s="161"/>
      <c r="I50" s="161"/>
      <c r="J50" s="161"/>
      <c r="K50" s="161"/>
      <c r="L50" s="60"/>
    </row>
    <row r="51">
      <c r="B51" s="17"/>
      <c r="L51" s="17"/>
    </row>
    <row r="52">
      <c r="B52" s="17"/>
      <c r="L52" s="17"/>
    </row>
    <row r="53">
      <c r="B53" s="17"/>
      <c r="L53" s="17"/>
    </row>
    <row r="54">
      <c r="B54" s="17"/>
      <c r="L54" s="17"/>
    </row>
    <row r="55">
      <c r="B55" s="17"/>
      <c r="L55" s="17"/>
    </row>
    <row r="56">
      <c r="B56" s="17"/>
      <c r="L56" s="17"/>
    </row>
    <row r="57">
      <c r="B57" s="17"/>
      <c r="L57" s="17"/>
    </row>
    <row r="58">
      <c r="B58" s="17"/>
      <c r="L58" s="17"/>
    </row>
    <row r="59">
      <c r="B59" s="17"/>
      <c r="L59" s="17"/>
    </row>
    <row r="60">
      <c r="B60" s="17"/>
      <c r="L60" s="17"/>
    </row>
    <row r="61" s="2" customFormat="1">
      <c r="A61" s="35"/>
      <c r="B61" s="41"/>
      <c r="C61" s="35"/>
      <c r="D61" s="162" t="s">
        <v>50</v>
      </c>
      <c r="E61" s="163"/>
      <c r="F61" s="164" t="s">
        <v>51</v>
      </c>
      <c r="G61" s="162" t="s">
        <v>50</v>
      </c>
      <c r="H61" s="163"/>
      <c r="I61" s="163"/>
      <c r="J61" s="165" t="s">
        <v>51</v>
      </c>
      <c r="K61" s="163"/>
      <c r="L61" s="6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>
      <c r="B62" s="17"/>
      <c r="L62" s="17"/>
    </row>
    <row r="63">
      <c r="B63" s="17"/>
      <c r="L63" s="17"/>
    </row>
    <row r="64">
      <c r="B64" s="17"/>
      <c r="L64" s="17"/>
    </row>
    <row r="65" s="2" customFormat="1">
      <c r="A65" s="35"/>
      <c r="B65" s="41"/>
      <c r="C65" s="35"/>
      <c r="D65" s="160" t="s">
        <v>52</v>
      </c>
      <c r="E65" s="166"/>
      <c r="F65" s="166"/>
      <c r="G65" s="160" t="s">
        <v>53</v>
      </c>
      <c r="H65" s="166"/>
      <c r="I65" s="166"/>
      <c r="J65" s="166"/>
      <c r="K65" s="166"/>
      <c r="L65" s="6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>
      <c r="B66" s="17"/>
      <c r="L66" s="17"/>
    </row>
    <row r="67">
      <c r="B67" s="17"/>
      <c r="L67" s="17"/>
    </row>
    <row r="68">
      <c r="B68" s="17"/>
      <c r="L68" s="17"/>
    </row>
    <row r="69">
      <c r="B69" s="17"/>
      <c r="L69" s="17"/>
    </row>
    <row r="70">
      <c r="B70" s="17"/>
      <c r="L70" s="17"/>
    </row>
    <row r="71">
      <c r="B71" s="17"/>
      <c r="L71" s="17"/>
    </row>
    <row r="72">
      <c r="B72" s="17"/>
      <c r="L72" s="17"/>
    </row>
    <row r="73">
      <c r="B73" s="17"/>
      <c r="L73" s="17"/>
    </row>
    <row r="74">
      <c r="B74" s="17"/>
      <c r="L74" s="17"/>
    </row>
    <row r="75">
      <c r="B75" s="17"/>
      <c r="L75" s="17"/>
    </row>
    <row r="76" s="2" customFormat="1">
      <c r="A76" s="35"/>
      <c r="B76" s="41"/>
      <c r="C76" s="35"/>
      <c r="D76" s="162" t="s">
        <v>50</v>
      </c>
      <c r="E76" s="163"/>
      <c r="F76" s="164" t="s">
        <v>51</v>
      </c>
      <c r="G76" s="162" t="s">
        <v>50</v>
      </c>
      <c r="H76" s="163"/>
      <c r="I76" s="163"/>
      <c r="J76" s="165" t="s">
        <v>51</v>
      </c>
      <c r="K76" s="163"/>
      <c r="L76" s="6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="2" customFormat="1" ht="14.4" customHeight="1">
      <c r="A77" s="35"/>
      <c r="B77" s="167"/>
      <c r="C77" s="168"/>
      <c r="D77" s="168"/>
      <c r="E77" s="168"/>
      <c r="F77" s="168"/>
      <c r="G77" s="168"/>
      <c r="H77" s="168"/>
      <c r="I77" s="168"/>
      <c r="J77" s="168"/>
      <c r="K77" s="168"/>
      <c r="L77" s="6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81" s="2" customFormat="1" ht="6.96" customHeight="1">
      <c r="A81" s="35"/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6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="2" customFormat="1" ht="24.96" customHeight="1">
      <c r="A82" s="35"/>
      <c r="B82" s="36"/>
      <c r="C82" s="20" t="s">
        <v>104</v>
      </c>
      <c r="D82" s="37"/>
      <c r="E82" s="37"/>
      <c r="F82" s="37"/>
      <c r="G82" s="37"/>
      <c r="H82" s="37"/>
      <c r="I82" s="37"/>
      <c r="J82" s="37"/>
      <c r="K82" s="37"/>
      <c r="L82" s="6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="2" customFormat="1" ht="6.96" customHeight="1">
      <c r="A83" s="35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6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="2" customFormat="1" ht="12" customHeight="1">
      <c r="A84" s="35"/>
      <c r="B84" s="36"/>
      <c r="C84" s="29" t="s">
        <v>16</v>
      </c>
      <c r="D84" s="37"/>
      <c r="E84" s="37"/>
      <c r="F84" s="37"/>
      <c r="G84" s="37"/>
      <c r="H84" s="37"/>
      <c r="I84" s="37"/>
      <c r="J84" s="37"/>
      <c r="K84" s="37"/>
      <c r="L84" s="6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="2" customFormat="1" ht="16.5" customHeight="1">
      <c r="A85" s="35"/>
      <c r="B85" s="36"/>
      <c r="C85" s="37"/>
      <c r="D85" s="37"/>
      <c r="E85" s="171" t="str">
        <f>E7</f>
        <v>Forestina Horaždovice- UT, OPZ</v>
      </c>
      <c r="F85" s="29"/>
      <c r="G85" s="29"/>
      <c r="H85" s="29"/>
      <c r="I85" s="37"/>
      <c r="J85" s="37"/>
      <c r="K85" s="37"/>
      <c r="L85" s="6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="2" customFormat="1" ht="12" customHeight="1">
      <c r="A86" s="35"/>
      <c r="B86" s="36"/>
      <c r="C86" s="29" t="s">
        <v>102</v>
      </c>
      <c r="D86" s="37"/>
      <c r="E86" s="37"/>
      <c r="F86" s="37"/>
      <c r="G86" s="37"/>
      <c r="H86" s="37"/>
      <c r="I86" s="37"/>
      <c r="J86" s="37"/>
      <c r="K86" s="37"/>
      <c r="L86" s="6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="2" customFormat="1" ht="16.5" customHeight="1">
      <c r="A87" s="35"/>
      <c r="B87" s="36"/>
      <c r="C87" s="37"/>
      <c r="D87" s="37"/>
      <c r="E87" s="73" t="str">
        <f>E9</f>
        <v>03 - STL plynovody</v>
      </c>
      <c r="F87" s="37"/>
      <c r="G87" s="37"/>
      <c r="H87" s="37"/>
      <c r="I87" s="37"/>
      <c r="J87" s="37"/>
      <c r="K87" s="37"/>
      <c r="L87" s="6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="2" customFormat="1" ht="6.96" customHeight="1">
      <c r="A88" s="35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6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="2" customFormat="1" ht="12" customHeight="1">
      <c r="A89" s="35"/>
      <c r="B89" s="36"/>
      <c r="C89" s="29" t="s">
        <v>20</v>
      </c>
      <c r="D89" s="37"/>
      <c r="E89" s="37"/>
      <c r="F89" s="24" t="str">
        <f>F12</f>
        <v>Horaždovice</v>
      </c>
      <c r="G89" s="37"/>
      <c r="H89" s="37"/>
      <c r="I89" s="29" t="s">
        <v>22</v>
      </c>
      <c r="J89" s="76" t="str">
        <f>IF(J12="","",J12)</f>
        <v>10. 6. 2025</v>
      </c>
      <c r="K89" s="37"/>
      <c r="L89" s="6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="2" customFormat="1" ht="6.96" customHeight="1">
      <c r="A90" s="35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6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="2" customFormat="1" ht="15.15" customHeight="1">
      <c r="A91" s="35"/>
      <c r="B91" s="36"/>
      <c r="C91" s="29" t="s">
        <v>24</v>
      </c>
      <c r="D91" s="37"/>
      <c r="E91" s="37"/>
      <c r="F91" s="24" t="str">
        <f>E15</f>
        <v xml:space="preserve"> </v>
      </c>
      <c r="G91" s="37"/>
      <c r="H91" s="37"/>
      <c r="I91" s="29" t="s">
        <v>30</v>
      </c>
      <c r="J91" s="33" t="str">
        <f>E21</f>
        <v xml:space="preserve"> </v>
      </c>
      <c r="K91" s="37"/>
      <c r="L91" s="6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="2" customFormat="1" ht="15.15" customHeight="1">
      <c r="A92" s="35"/>
      <c r="B92" s="36"/>
      <c r="C92" s="29" t="s">
        <v>28</v>
      </c>
      <c r="D92" s="37"/>
      <c r="E92" s="37"/>
      <c r="F92" s="24" t="str">
        <f>IF(E18="","",E18)</f>
        <v>Vyplň údaj</v>
      </c>
      <c r="G92" s="37"/>
      <c r="H92" s="37"/>
      <c r="I92" s="29" t="s">
        <v>32</v>
      </c>
      <c r="J92" s="33" t="str">
        <f>E24</f>
        <v xml:space="preserve">Ing. pavel Míka </v>
      </c>
      <c r="K92" s="37"/>
      <c r="L92" s="6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="2" customFormat="1" ht="10.32" customHeight="1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6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="2" customFormat="1" ht="29.28" customHeight="1">
      <c r="A94" s="35"/>
      <c r="B94" s="36"/>
      <c r="C94" s="172" t="s">
        <v>105</v>
      </c>
      <c r="D94" s="173"/>
      <c r="E94" s="173"/>
      <c r="F94" s="173"/>
      <c r="G94" s="173"/>
      <c r="H94" s="173"/>
      <c r="I94" s="173"/>
      <c r="J94" s="174" t="s">
        <v>106</v>
      </c>
      <c r="K94" s="173"/>
      <c r="L94" s="6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="2" customFormat="1" ht="10.32" customHeight="1">
      <c r="A95" s="35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6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="2" customFormat="1" ht="22.8" customHeight="1">
      <c r="A96" s="35"/>
      <c r="B96" s="36"/>
      <c r="C96" s="175" t="s">
        <v>107</v>
      </c>
      <c r="D96" s="37"/>
      <c r="E96" s="37"/>
      <c r="F96" s="37"/>
      <c r="G96" s="37"/>
      <c r="H96" s="37"/>
      <c r="I96" s="37"/>
      <c r="J96" s="107">
        <f>J121</f>
        <v>0</v>
      </c>
      <c r="K96" s="37"/>
      <c r="L96" s="6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U96" s="14" t="s">
        <v>108</v>
      </c>
    </row>
    <row r="97" s="9" customFormat="1" ht="24.96" customHeight="1">
      <c r="A97" s="9"/>
      <c r="B97" s="176"/>
      <c r="C97" s="177"/>
      <c r="D97" s="178" t="s">
        <v>811</v>
      </c>
      <c r="E97" s="179"/>
      <c r="F97" s="179"/>
      <c r="G97" s="179"/>
      <c r="H97" s="179"/>
      <c r="I97" s="179"/>
      <c r="J97" s="180">
        <f>J122</f>
        <v>0</v>
      </c>
      <c r="K97" s="177"/>
      <c r="L97" s="181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2"/>
      <c r="C98" s="183"/>
      <c r="D98" s="184" t="s">
        <v>812</v>
      </c>
      <c r="E98" s="185"/>
      <c r="F98" s="185"/>
      <c r="G98" s="185"/>
      <c r="H98" s="185"/>
      <c r="I98" s="185"/>
      <c r="J98" s="186">
        <f>J123</f>
        <v>0</v>
      </c>
      <c r="K98" s="183"/>
      <c r="L98" s="187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9" customFormat="1" ht="24.96" customHeight="1">
      <c r="A99" s="9"/>
      <c r="B99" s="176"/>
      <c r="C99" s="177"/>
      <c r="D99" s="178" t="s">
        <v>813</v>
      </c>
      <c r="E99" s="179"/>
      <c r="F99" s="179"/>
      <c r="G99" s="179"/>
      <c r="H99" s="179"/>
      <c r="I99" s="179"/>
      <c r="J99" s="180">
        <f>J130</f>
        <v>0</v>
      </c>
      <c r="K99" s="177"/>
      <c r="L99" s="181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="10" customFormat="1" ht="19.92" customHeight="1">
      <c r="A100" s="10"/>
      <c r="B100" s="182"/>
      <c r="C100" s="183"/>
      <c r="D100" s="184" t="s">
        <v>814</v>
      </c>
      <c r="E100" s="185"/>
      <c r="F100" s="185"/>
      <c r="G100" s="185"/>
      <c r="H100" s="185"/>
      <c r="I100" s="185"/>
      <c r="J100" s="186">
        <f>J131</f>
        <v>0</v>
      </c>
      <c r="K100" s="183"/>
      <c r="L100" s="187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9" customFormat="1" ht="24.96" customHeight="1">
      <c r="A101" s="9"/>
      <c r="B101" s="176"/>
      <c r="C101" s="177"/>
      <c r="D101" s="178" t="s">
        <v>815</v>
      </c>
      <c r="E101" s="179"/>
      <c r="F101" s="179"/>
      <c r="G101" s="179"/>
      <c r="H101" s="179"/>
      <c r="I101" s="179"/>
      <c r="J101" s="180">
        <f>J150</f>
        <v>0</v>
      </c>
      <c r="K101" s="177"/>
      <c r="L101" s="181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="2" customFormat="1" ht="21.84" customHeight="1">
      <c r="A102" s="35"/>
      <c r="B102" s="36"/>
      <c r="C102" s="37"/>
      <c r="D102" s="37"/>
      <c r="E102" s="37"/>
      <c r="F102" s="37"/>
      <c r="G102" s="37"/>
      <c r="H102" s="37"/>
      <c r="I102" s="37"/>
      <c r="J102" s="37"/>
      <c r="K102" s="37"/>
      <c r="L102" s="60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</row>
    <row r="103" s="2" customFormat="1" ht="6.96" customHeight="1">
      <c r="A103" s="35"/>
      <c r="B103" s="63"/>
      <c r="C103" s="64"/>
      <c r="D103" s="64"/>
      <c r="E103" s="64"/>
      <c r="F103" s="64"/>
      <c r="G103" s="64"/>
      <c r="H103" s="64"/>
      <c r="I103" s="64"/>
      <c r="J103" s="64"/>
      <c r="K103" s="64"/>
      <c r="L103" s="60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7" s="2" customFormat="1" ht="6.96" customHeight="1">
      <c r="A107" s="35"/>
      <c r="B107" s="65"/>
      <c r="C107" s="66"/>
      <c r="D107" s="66"/>
      <c r="E107" s="66"/>
      <c r="F107" s="66"/>
      <c r="G107" s="66"/>
      <c r="H107" s="66"/>
      <c r="I107" s="66"/>
      <c r="J107" s="66"/>
      <c r="K107" s="66"/>
      <c r="L107" s="60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</row>
    <row r="108" s="2" customFormat="1" ht="24.96" customHeight="1">
      <c r="A108" s="35"/>
      <c r="B108" s="36"/>
      <c r="C108" s="20" t="s">
        <v>116</v>
      </c>
      <c r="D108" s="37"/>
      <c r="E108" s="37"/>
      <c r="F108" s="37"/>
      <c r="G108" s="37"/>
      <c r="H108" s="37"/>
      <c r="I108" s="37"/>
      <c r="J108" s="37"/>
      <c r="K108" s="37"/>
      <c r="L108" s="60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</row>
    <row r="109" s="2" customFormat="1" ht="6.96" customHeight="1">
      <c r="A109" s="35"/>
      <c r="B109" s="36"/>
      <c r="C109" s="37"/>
      <c r="D109" s="37"/>
      <c r="E109" s="37"/>
      <c r="F109" s="37"/>
      <c r="G109" s="37"/>
      <c r="H109" s="37"/>
      <c r="I109" s="37"/>
      <c r="J109" s="37"/>
      <c r="K109" s="37"/>
      <c r="L109" s="6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</row>
    <row r="110" s="2" customFormat="1" ht="12" customHeight="1">
      <c r="A110" s="35"/>
      <c r="B110" s="36"/>
      <c r="C110" s="29" t="s">
        <v>16</v>
      </c>
      <c r="D110" s="37"/>
      <c r="E110" s="37"/>
      <c r="F110" s="37"/>
      <c r="G110" s="37"/>
      <c r="H110" s="37"/>
      <c r="I110" s="37"/>
      <c r="J110" s="37"/>
      <c r="K110" s="37"/>
      <c r="L110" s="6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 s="2" customFormat="1" ht="16.5" customHeight="1">
      <c r="A111" s="35"/>
      <c r="B111" s="36"/>
      <c r="C111" s="37"/>
      <c r="D111" s="37"/>
      <c r="E111" s="171" t="str">
        <f>E7</f>
        <v>Forestina Horaždovice- UT, OPZ</v>
      </c>
      <c r="F111" s="29"/>
      <c r="G111" s="29"/>
      <c r="H111" s="29"/>
      <c r="I111" s="37"/>
      <c r="J111" s="37"/>
      <c r="K111" s="37"/>
      <c r="L111" s="6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 s="2" customFormat="1" ht="12" customHeight="1">
      <c r="A112" s="35"/>
      <c r="B112" s="36"/>
      <c r="C112" s="29" t="s">
        <v>102</v>
      </c>
      <c r="D112" s="37"/>
      <c r="E112" s="37"/>
      <c r="F112" s="37"/>
      <c r="G112" s="37"/>
      <c r="H112" s="37"/>
      <c r="I112" s="37"/>
      <c r="J112" s="37"/>
      <c r="K112" s="37"/>
      <c r="L112" s="6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 s="2" customFormat="1" ht="16.5" customHeight="1">
      <c r="A113" s="35"/>
      <c r="B113" s="36"/>
      <c r="C113" s="37"/>
      <c r="D113" s="37"/>
      <c r="E113" s="73" t="str">
        <f>E9</f>
        <v>03 - STL plynovody</v>
      </c>
      <c r="F113" s="37"/>
      <c r="G113" s="37"/>
      <c r="H113" s="37"/>
      <c r="I113" s="37"/>
      <c r="J113" s="37"/>
      <c r="K113" s="37"/>
      <c r="L113" s="6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 s="2" customFormat="1" ht="6.96" customHeight="1">
      <c r="A114" s="35"/>
      <c r="B114" s="36"/>
      <c r="C114" s="37"/>
      <c r="D114" s="37"/>
      <c r="E114" s="37"/>
      <c r="F114" s="37"/>
      <c r="G114" s="37"/>
      <c r="H114" s="37"/>
      <c r="I114" s="37"/>
      <c r="J114" s="37"/>
      <c r="K114" s="37"/>
      <c r="L114" s="6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 s="2" customFormat="1" ht="12" customHeight="1">
      <c r="A115" s="35"/>
      <c r="B115" s="36"/>
      <c r="C115" s="29" t="s">
        <v>20</v>
      </c>
      <c r="D115" s="37"/>
      <c r="E115" s="37"/>
      <c r="F115" s="24" t="str">
        <f>F12</f>
        <v>Horaždovice</v>
      </c>
      <c r="G115" s="37"/>
      <c r="H115" s="37"/>
      <c r="I115" s="29" t="s">
        <v>22</v>
      </c>
      <c r="J115" s="76" t="str">
        <f>IF(J12="","",J12)</f>
        <v>10. 6. 2025</v>
      </c>
      <c r="K115" s="37"/>
      <c r="L115" s="6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 s="2" customFormat="1" ht="6.96" customHeight="1">
      <c r="A116" s="35"/>
      <c r="B116" s="36"/>
      <c r="C116" s="37"/>
      <c r="D116" s="37"/>
      <c r="E116" s="37"/>
      <c r="F116" s="37"/>
      <c r="G116" s="37"/>
      <c r="H116" s="37"/>
      <c r="I116" s="37"/>
      <c r="J116" s="37"/>
      <c r="K116" s="37"/>
      <c r="L116" s="6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="2" customFormat="1" ht="15.15" customHeight="1">
      <c r="A117" s="35"/>
      <c r="B117" s="36"/>
      <c r="C117" s="29" t="s">
        <v>24</v>
      </c>
      <c r="D117" s="37"/>
      <c r="E117" s="37"/>
      <c r="F117" s="24" t="str">
        <f>E15</f>
        <v xml:space="preserve"> </v>
      </c>
      <c r="G117" s="37"/>
      <c r="H117" s="37"/>
      <c r="I117" s="29" t="s">
        <v>30</v>
      </c>
      <c r="J117" s="33" t="str">
        <f>E21</f>
        <v xml:space="preserve"> </v>
      </c>
      <c r="K117" s="37"/>
      <c r="L117" s="60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="2" customFormat="1" ht="15.15" customHeight="1">
      <c r="A118" s="35"/>
      <c r="B118" s="36"/>
      <c r="C118" s="29" t="s">
        <v>28</v>
      </c>
      <c r="D118" s="37"/>
      <c r="E118" s="37"/>
      <c r="F118" s="24" t="str">
        <f>IF(E18="","",E18)</f>
        <v>Vyplň údaj</v>
      </c>
      <c r="G118" s="37"/>
      <c r="H118" s="37"/>
      <c r="I118" s="29" t="s">
        <v>32</v>
      </c>
      <c r="J118" s="33" t="str">
        <f>E24</f>
        <v xml:space="preserve">Ing. pavel Míka </v>
      </c>
      <c r="K118" s="37"/>
      <c r="L118" s="60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</row>
    <row r="119" s="2" customFormat="1" ht="10.32" customHeight="1">
      <c r="A119" s="35"/>
      <c r="B119" s="36"/>
      <c r="C119" s="37"/>
      <c r="D119" s="37"/>
      <c r="E119" s="37"/>
      <c r="F119" s="37"/>
      <c r="G119" s="37"/>
      <c r="H119" s="37"/>
      <c r="I119" s="37"/>
      <c r="J119" s="37"/>
      <c r="K119" s="37"/>
      <c r="L119" s="60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</row>
    <row r="120" s="11" customFormat="1" ht="29.28" customHeight="1">
      <c r="A120" s="188"/>
      <c r="B120" s="189"/>
      <c r="C120" s="190" t="s">
        <v>117</v>
      </c>
      <c r="D120" s="191" t="s">
        <v>60</v>
      </c>
      <c r="E120" s="191" t="s">
        <v>56</v>
      </c>
      <c r="F120" s="191" t="s">
        <v>57</v>
      </c>
      <c r="G120" s="191" t="s">
        <v>118</v>
      </c>
      <c r="H120" s="191" t="s">
        <v>119</v>
      </c>
      <c r="I120" s="191" t="s">
        <v>120</v>
      </c>
      <c r="J120" s="192" t="s">
        <v>106</v>
      </c>
      <c r="K120" s="193" t="s">
        <v>121</v>
      </c>
      <c r="L120" s="194"/>
      <c r="M120" s="97" t="s">
        <v>1</v>
      </c>
      <c r="N120" s="98" t="s">
        <v>39</v>
      </c>
      <c r="O120" s="98" t="s">
        <v>122</v>
      </c>
      <c r="P120" s="98" t="s">
        <v>123</v>
      </c>
      <c r="Q120" s="98" t="s">
        <v>124</v>
      </c>
      <c r="R120" s="98" t="s">
        <v>125</v>
      </c>
      <c r="S120" s="98" t="s">
        <v>126</v>
      </c>
      <c r="T120" s="99" t="s">
        <v>127</v>
      </c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</row>
    <row r="121" s="2" customFormat="1" ht="22.8" customHeight="1">
      <c r="A121" s="35"/>
      <c r="B121" s="36"/>
      <c r="C121" s="104" t="s">
        <v>128</v>
      </c>
      <c r="D121" s="37"/>
      <c r="E121" s="37"/>
      <c r="F121" s="37"/>
      <c r="G121" s="37"/>
      <c r="H121" s="37"/>
      <c r="I121" s="37"/>
      <c r="J121" s="195">
        <f>BK121</f>
        <v>0</v>
      </c>
      <c r="K121" s="37"/>
      <c r="L121" s="41"/>
      <c r="M121" s="100"/>
      <c r="N121" s="196"/>
      <c r="O121" s="101"/>
      <c r="P121" s="197">
        <f>P122+P130+P150</f>
        <v>0</v>
      </c>
      <c r="Q121" s="101"/>
      <c r="R121" s="197">
        <f>R122+R130+R150</f>
        <v>80.120859999999993</v>
      </c>
      <c r="S121" s="101"/>
      <c r="T121" s="198">
        <f>T122+T130+T150</f>
        <v>0</v>
      </c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T121" s="14" t="s">
        <v>74</v>
      </c>
      <c r="AU121" s="14" t="s">
        <v>108</v>
      </c>
      <c r="BK121" s="199">
        <f>BK122+BK130+BK150</f>
        <v>0</v>
      </c>
    </row>
    <row r="122" s="12" customFormat="1" ht="25.92" customHeight="1">
      <c r="A122" s="12"/>
      <c r="B122" s="200"/>
      <c r="C122" s="201"/>
      <c r="D122" s="202" t="s">
        <v>74</v>
      </c>
      <c r="E122" s="203" t="s">
        <v>816</v>
      </c>
      <c r="F122" s="203" t="s">
        <v>817</v>
      </c>
      <c r="G122" s="201"/>
      <c r="H122" s="201"/>
      <c r="I122" s="204"/>
      <c r="J122" s="205">
        <f>BK122</f>
        <v>0</v>
      </c>
      <c r="K122" s="201"/>
      <c r="L122" s="206"/>
      <c r="M122" s="207"/>
      <c r="N122" s="208"/>
      <c r="O122" s="208"/>
      <c r="P122" s="209">
        <f>P123</f>
        <v>0</v>
      </c>
      <c r="Q122" s="208"/>
      <c r="R122" s="209">
        <f>R123</f>
        <v>80</v>
      </c>
      <c r="S122" s="208"/>
      <c r="T122" s="210">
        <f>T123</f>
        <v>0</v>
      </c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R122" s="211" t="s">
        <v>83</v>
      </c>
      <c r="AT122" s="212" t="s">
        <v>74</v>
      </c>
      <c r="AU122" s="212" t="s">
        <v>75</v>
      </c>
      <c r="AY122" s="211" t="s">
        <v>131</v>
      </c>
      <c r="BK122" s="213">
        <f>BK123</f>
        <v>0</v>
      </c>
    </row>
    <row r="123" s="12" customFormat="1" ht="22.8" customHeight="1">
      <c r="A123" s="12"/>
      <c r="B123" s="200"/>
      <c r="C123" s="201"/>
      <c r="D123" s="202" t="s">
        <v>74</v>
      </c>
      <c r="E123" s="214" t="s">
        <v>83</v>
      </c>
      <c r="F123" s="214" t="s">
        <v>818</v>
      </c>
      <c r="G123" s="201"/>
      <c r="H123" s="201"/>
      <c r="I123" s="204"/>
      <c r="J123" s="215">
        <f>BK123</f>
        <v>0</v>
      </c>
      <c r="K123" s="201"/>
      <c r="L123" s="206"/>
      <c r="M123" s="207"/>
      <c r="N123" s="208"/>
      <c r="O123" s="208"/>
      <c r="P123" s="209">
        <f>SUM(P124:P129)</f>
        <v>0</v>
      </c>
      <c r="Q123" s="208"/>
      <c r="R123" s="209">
        <f>SUM(R124:R129)</f>
        <v>80</v>
      </c>
      <c r="S123" s="208"/>
      <c r="T123" s="210">
        <f>SUM(T124:T129)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1" t="s">
        <v>83</v>
      </c>
      <c r="AT123" s="212" t="s">
        <v>74</v>
      </c>
      <c r="AU123" s="212" t="s">
        <v>83</v>
      </c>
      <c r="AY123" s="211" t="s">
        <v>131</v>
      </c>
      <c r="BK123" s="213">
        <f>SUM(BK124:BK129)</f>
        <v>0</v>
      </c>
    </row>
    <row r="124" s="2" customFormat="1" ht="44.25" customHeight="1">
      <c r="A124" s="35"/>
      <c r="B124" s="36"/>
      <c r="C124" s="216" t="s">
        <v>745</v>
      </c>
      <c r="D124" s="216" t="s">
        <v>134</v>
      </c>
      <c r="E124" s="217" t="s">
        <v>819</v>
      </c>
      <c r="F124" s="218" t="s">
        <v>820</v>
      </c>
      <c r="G124" s="219" t="s">
        <v>821</v>
      </c>
      <c r="H124" s="220">
        <v>135</v>
      </c>
      <c r="I124" s="221"/>
      <c r="J124" s="222">
        <f>ROUND(I124*H124,2)</f>
        <v>0</v>
      </c>
      <c r="K124" s="223"/>
      <c r="L124" s="41"/>
      <c r="M124" s="224" t="s">
        <v>1</v>
      </c>
      <c r="N124" s="225" t="s">
        <v>40</v>
      </c>
      <c r="O124" s="88"/>
      <c r="P124" s="226">
        <f>O124*H124</f>
        <v>0</v>
      </c>
      <c r="Q124" s="226">
        <v>0</v>
      </c>
      <c r="R124" s="226">
        <f>Q124*H124</f>
        <v>0</v>
      </c>
      <c r="S124" s="226">
        <v>0</v>
      </c>
      <c r="T124" s="227">
        <f>S124*H124</f>
        <v>0</v>
      </c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R124" s="228" t="s">
        <v>150</v>
      </c>
      <c r="AT124" s="228" t="s">
        <v>134</v>
      </c>
      <c r="AU124" s="228" t="s">
        <v>85</v>
      </c>
      <c r="AY124" s="14" t="s">
        <v>131</v>
      </c>
      <c r="BE124" s="229">
        <f>IF(N124="základní",J124,0)</f>
        <v>0</v>
      </c>
      <c r="BF124" s="229">
        <f>IF(N124="snížená",J124,0)</f>
        <v>0</v>
      </c>
      <c r="BG124" s="229">
        <f>IF(N124="zákl. přenesená",J124,0)</f>
        <v>0</v>
      </c>
      <c r="BH124" s="229">
        <f>IF(N124="sníž. přenesená",J124,0)</f>
        <v>0</v>
      </c>
      <c r="BI124" s="229">
        <f>IF(N124="nulová",J124,0)</f>
        <v>0</v>
      </c>
      <c r="BJ124" s="14" t="s">
        <v>83</v>
      </c>
      <c r="BK124" s="229">
        <f>ROUND(I124*H124,2)</f>
        <v>0</v>
      </c>
      <c r="BL124" s="14" t="s">
        <v>150</v>
      </c>
      <c r="BM124" s="228" t="s">
        <v>822</v>
      </c>
    </row>
    <row r="125" s="2" customFormat="1" ht="66.75" customHeight="1">
      <c r="A125" s="35"/>
      <c r="B125" s="36"/>
      <c r="C125" s="216" t="s">
        <v>606</v>
      </c>
      <c r="D125" s="216" t="s">
        <v>134</v>
      </c>
      <c r="E125" s="217" t="s">
        <v>823</v>
      </c>
      <c r="F125" s="218" t="s">
        <v>824</v>
      </c>
      <c r="G125" s="219" t="s">
        <v>821</v>
      </c>
      <c r="H125" s="220">
        <v>135</v>
      </c>
      <c r="I125" s="221"/>
      <c r="J125" s="222">
        <f>ROUND(I125*H125,2)</f>
        <v>0</v>
      </c>
      <c r="K125" s="223"/>
      <c r="L125" s="41"/>
      <c r="M125" s="224" t="s">
        <v>1</v>
      </c>
      <c r="N125" s="225" t="s">
        <v>40</v>
      </c>
      <c r="O125" s="88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R125" s="228" t="s">
        <v>150</v>
      </c>
      <c r="AT125" s="228" t="s">
        <v>134</v>
      </c>
      <c r="AU125" s="228" t="s">
        <v>85</v>
      </c>
      <c r="AY125" s="14" t="s">
        <v>131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4" t="s">
        <v>83</v>
      </c>
      <c r="BK125" s="229">
        <f>ROUND(I125*H125,2)</f>
        <v>0</v>
      </c>
      <c r="BL125" s="14" t="s">
        <v>150</v>
      </c>
      <c r="BM125" s="228" t="s">
        <v>825</v>
      </c>
    </row>
    <row r="126" s="2" customFormat="1" ht="62.7" customHeight="1">
      <c r="A126" s="35"/>
      <c r="B126" s="36"/>
      <c r="C126" s="216" t="s">
        <v>610</v>
      </c>
      <c r="D126" s="216" t="s">
        <v>134</v>
      </c>
      <c r="E126" s="217" t="s">
        <v>826</v>
      </c>
      <c r="F126" s="218" t="s">
        <v>827</v>
      </c>
      <c r="G126" s="219" t="s">
        <v>821</v>
      </c>
      <c r="H126" s="220">
        <v>135</v>
      </c>
      <c r="I126" s="221"/>
      <c r="J126" s="222">
        <f>ROUND(I126*H126,2)</f>
        <v>0</v>
      </c>
      <c r="K126" s="223"/>
      <c r="L126" s="41"/>
      <c r="M126" s="224" t="s">
        <v>1</v>
      </c>
      <c r="N126" s="225" t="s">
        <v>40</v>
      </c>
      <c r="O126" s="88"/>
      <c r="P126" s="226">
        <f>O126*H126</f>
        <v>0</v>
      </c>
      <c r="Q126" s="226">
        <v>0</v>
      </c>
      <c r="R126" s="226">
        <f>Q126*H126</f>
        <v>0</v>
      </c>
      <c r="S126" s="226">
        <v>0</v>
      </c>
      <c r="T126" s="227">
        <f>S126*H126</f>
        <v>0</v>
      </c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R126" s="228" t="s">
        <v>150</v>
      </c>
      <c r="AT126" s="228" t="s">
        <v>134</v>
      </c>
      <c r="AU126" s="228" t="s">
        <v>85</v>
      </c>
      <c r="AY126" s="14" t="s">
        <v>131</v>
      </c>
      <c r="BE126" s="229">
        <f>IF(N126="základní",J126,0)</f>
        <v>0</v>
      </c>
      <c r="BF126" s="229">
        <f>IF(N126="snížená",J126,0)</f>
        <v>0</v>
      </c>
      <c r="BG126" s="229">
        <f>IF(N126="zákl. přenesená",J126,0)</f>
        <v>0</v>
      </c>
      <c r="BH126" s="229">
        <f>IF(N126="sníž. přenesená",J126,0)</f>
        <v>0</v>
      </c>
      <c r="BI126" s="229">
        <f>IF(N126="nulová",J126,0)</f>
        <v>0</v>
      </c>
      <c r="BJ126" s="14" t="s">
        <v>83</v>
      </c>
      <c r="BK126" s="229">
        <f>ROUND(I126*H126,2)</f>
        <v>0</v>
      </c>
      <c r="BL126" s="14" t="s">
        <v>150</v>
      </c>
      <c r="BM126" s="228" t="s">
        <v>828</v>
      </c>
    </row>
    <row r="127" s="2" customFormat="1" ht="44.25" customHeight="1">
      <c r="A127" s="35"/>
      <c r="B127" s="36"/>
      <c r="C127" s="216" t="s">
        <v>612</v>
      </c>
      <c r="D127" s="216" t="s">
        <v>134</v>
      </c>
      <c r="E127" s="217" t="s">
        <v>829</v>
      </c>
      <c r="F127" s="218" t="s">
        <v>830</v>
      </c>
      <c r="G127" s="219" t="s">
        <v>821</v>
      </c>
      <c r="H127" s="220">
        <v>95</v>
      </c>
      <c r="I127" s="221"/>
      <c r="J127" s="222">
        <f>ROUND(I127*H127,2)</f>
        <v>0</v>
      </c>
      <c r="K127" s="223"/>
      <c r="L127" s="41"/>
      <c r="M127" s="224" t="s">
        <v>1</v>
      </c>
      <c r="N127" s="225" t="s">
        <v>40</v>
      </c>
      <c r="O127" s="88"/>
      <c r="P127" s="226">
        <f>O127*H127</f>
        <v>0</v>
      </c>
      <c r="Q127" s="226">
        <v>0</v>
      </c>
      <c r="R127" s="226">
        <f>Q127*H127</f>
        <v>0</v>
      </c>
      <c r="S127" s="226">
        <v>0</v>
      </c>
      <c r="T127" s="227">
        <f>S127*H127</f>
        <v>0</v>
      </c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R127" s="228" t="s">
        <v>150</v>
      </c>
      <c r="AT127" s="228" t="s">
        <v>134</v>
      </c>
      <c r="AU127" s="228" t="s">
        <v>85</v>
      </c>
      <c r="AY127" s="14" t="s">
        <v>131</v>
      </c>
      <c r="BE127" s="229">
        <f>IF(N127="základní",J127,0)</f>
        <v>0</v>
      </c>
      <c r="BF127" s="229">
        <f>IF(N127="snížená",J127,0)</f>
        <v>0</v>
      </c>
      <c r="BG127" s="229">
        <f>IF(N127="zákl. přenesená",J127,0)</f>
        <v>0</v>
      </c>
      <c r="BH127" s="229">
        <f>IF(N127="sníž. přenesená",J127,0)</f>
        <v>0</v>
      </c>
      <c r="BI127" s="229">
        <f>IF(N127="nulová",J127,0)</f>
        <v>0</v>
      </c>
      <c r="BJ127" s="14" t="s">
        <v>83</v>
      </c>
      <c r="BK127" s="229">
        <f>ROUND(I127*H127,2)</f>
        <v>0</v>
      </c>
      <c r="BL127" s="14" t="s">
        <v>150</v>
      </c>
      <c r="BM127" s="228" t="s">
        <v>831</v>
      </c>
    </row>
    <row r="128" s="2" customFormat="1" ht="66.75" customHeight="1">
      <c r="A128" s="35"/>
      <c r="B128" s="36"/>
      <c r="C128" s="216" t="s">
        <v>262</v>
      </c>
      <c r="D128" s="216" t="s">
        <v>134</v>
      </c>
      <c r="E128" s="217" t="s">
        <v>832</v>
      </c>
      <c r="F128" s="218" t="s">
        <v>833</v>
      </c>
      <c r="G128" s="219" t="s">
        <v>821</v>
      </c>
      <c r="H128" s="220">
        <v>40</v>
      </c>
      <c r="I128" s="221"/>
      <c r="J128" s="222">
        <f>ROUND(I128*H128,2)</f>
        <v>0</v>
      </c>
      <c r="K128" s="223"/>
      <c r="L128" s="41"/>
      <c r="M128" s="224" t="s">
        <v>1</v>
      </c>
      <c r="N128" s="225" t="s">
        <v>40</v>
      </c>
      <c r="O128" s="88"/>
      <c r="P128" s="226">
        <f>O128*H128</f>
        <v>0</v>
      </c>
      <c r="Q128" s="226">
        <v>0</v>
      </c>
      <c r="R128" s="226">
        <f>Q128*H128</f>
        <v>0</v>
      </c>
      <c r="S128" s="226">
        <v>0</v>
      </c>
      <c r="T128" s="227">
        <f>S128*H128</f>
        <v>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R128" s="228" t="s">
        <v>150</v>
      </c>
      <c r="AT128" s="228" t="s">
        <v>134</v>
      </c>
      <c r="AU128" s="228" t="s">
        <v>85</v>
      </c>
      <c r="AY128" s="14" t="s">
        <v>131</v>
      </c>
      <c r="BE128" s="229">
        <f>IF(N128="základní",J128,0)</f>
        <v>0</v>
      </c>
      <c r="BF128" s="229">
        <f>IF(N128="snížená",J128,0)</f>
        <v>0</v>
      </c>
      <c r="BG128" s="229">
        <f>IF(N128="zákl. přenesená",J128,0)</f>
        <v>0</v>
      </c>
      <c r="BH128" s="229">
        <f>IF(N128="sníž. přenesená",J128,0)</f>
        <v>0</v>
      </c>
      <c r="BI128" s="229">
        <f>IF(N128="nulová",J128,0)</f>
        <v>0</v>
      </c>
      <c r="BJ128" s="14" t="s">
        <v>83</v>
      </c>
      <c r="BK128" s="229">
        <f>ROUND(I128*H128,2)</f>
        <v>0</v>
      </c>
      <c r="BL128" s="14" t="s">
        <v>150</v>
      </c>
      <c r="BM128" s="228" t="s">
        <v>834</v>
      </c>
    </row>
    <row r="129" s="2" customFormat="1" ht="16.5" customHeight="1">
      <c r="A129" s="35"/>
      <c r="B129" s="36"/>
      <c r="C129" s="230" t="s">
        <v>626</v>
      </c>
      <c r="D129" s="230" t="s">
        <v>145</v>
      </c>
      <c r="E129" s="231" t="s">
        <v>835</v>
      </c>
      <c r="F129" s="232" t="s">
        <v>836</v>
      </c>
      <c r="G129" s="233" t="s">
        <v>693</v>
      </c>
      <c r="H129" s="234">
        <v>80</v>
      </c>
      <c r="I129" s="235"/>
      <c r="J129" s="236">
        <f>ROUND(I129*H129,2)</f>
        <v>0</v>
      </c>
      <c r="K129" s="237"/>
      <c r="L129" s="238"/>
      <c r="M129" s="239" t="s">
        <v>1</v>
      </c>
      <c r="N129" s="240" t="s">
        <v>40</v>
      </c>
      <c r="O129" s="88"/>
      <c r="P129" s="226">
        <f>O129*H129</f>
        <v>0</v>
      </c>
      <c r="Q129" s="226">
        <v>1</v>
      </c>
      <c r="R129" s="226">
        <f>Q129*H129</f>
        <v>80</v>
      </c>
      <c r="S129" s="226">
        <v>0</v>
      </c>
      <c r="T129" s="227">
        <f>S129*H129</f>
        <v>0</v>
      </c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R129" s="228" t="s">
        <v>166</v>
      </c>
      <c r="AT129" s="228" t="s">
        <v>145</v>
      </c>
      <c r="AU129" s="228" t="s">
        <v>85</v>
      </c>
      <c r="AY129" s="14" t="s">
        <v>131</v>
      </c>
      <c r="BE129" s="229">
        <f>IF(N129="základní",J129,0)</f>
        <v>0</v>
      </c>
      <c r="BF129" s="229">
        <f>IF(N129="snížená",J129,0)</f>
        <v>0</v>
      </c>
      <c r="BG129" s="229">
        <f>IF(N129="zákl. přenesená",J129,0)</f>
        <v>0</v>
      </c>
      <c r="BH129" s="229">
        <f>IF(N129="sníž. přenesená",J129,0)</f>
        <v>0</v>
      </c>
      <c r="BI129" s="229">
        <f>IF(N129="nulová",J129,0)</f>
        <v>0</v>
      </c>
      <c r="BJ129" s="14" t="s">
        <v>83</v>
      </c>
      <c r="BK129" s="229">
        <f>ROUND(I129*H129,2)</f>
        <v>0</v>
      </c>
      <c r="BL129" s="14" t="s">
        <v>150</v>
      </c>
      <c r="BM129" s="228" t="s">
        <v>837</v>
      </c>
    </row>
    <row r="130" s="12" customFormat="1" ht="25.92" customHeight="1">
      <c r="A130" s="12"/>
      <c r="B130" s="200"/>
      <c r="C130" s="201"/>
      <c r="D130" s="202" t="s">
        <v>74</v>
      </c>
      <c r="E130" s="203" t="s">
        <v>145</v>
      </c>
      <c r="F130" s="203" t="s">
        <v>838</v>
      </c>
      <c r="G130" s="201"/>
      <c r="H130" s="201"/>
      <c r="I130" s="204"/>
      <c r="J130" s="205">
        <f>BK130</f>
        <v>0</v>
      </c>
      <c r="K130" s="201"/>
      <c r="L130" s="206"/>
      <c r="M130" s="207"/>
      <c r="N130" s="208"/>
      <c r="O130" s="208"/>
      <c r="P130" s="209">
        <f>P131</f>
        <v>0</v>
      </c>
      <c r="Q130" s="208"/>
      <c r="R130" s="209">
        <f>R131</f>
        <v>0.12086</v>
      </c>
      <c r="S130" s="208"/>
      <c r="T130" s="210">
        <f>T131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11" t="s">
        <v>144</v>
      </c>
      <c r="AT130" s="212" t="s">
        <v>74</v>
      </c>
      <c r="AU130" s="212" t="s">
        <v>75</v>
      </c>
      <c r="AY130" s="211" t="s">
        <v>131</v>
      </c>
      <c r="BK130" s="213">
        <f>BK131</f>
        <v>0</v>
      </c>
    </row>
    <row r="131" s="12" customFormat="1" ht="22.8" customHeight="1">
      <c r="A131" s="12"/>
      <c r="B131" s="200"/>
      <c r="C131" s="201"/>
      <c r="D131" s="202" t="s">
        <v>74</v>
      </c>
      <c r="E131" s="214" t="s">
        <v>839</v>
      </c>
      <c r="F131" s="214" t="s">
        <v>840</v>
      </c>
      <c r="G131" s="201"/>
      <c r="H131" s="201"/>
      <c r="I131" s="204"/>
      <c r="J131" s="215">
        <f>BK131</f>
        <v>0</v>
      </c>
      <c r="K131" s="201"/>
      <c r="L131" s="206"/>
      <c r="M131" s="207"/>
      <c r="N131" s="208"/>
      <c r="O131" s="208"/>
      <c r="P131" s="209">
        <f>SUM(P132:P149)</f>
        <v>0</v>
      </c>
      <c r="Q131" s="208"/>
      <c r="R131" s="209">
        <f>SUM(R132:R149)</f>
        <v>0.12086</v>
      </c>
      <c r="S131" s="208"/>
      <c r="T131" s="210">
        <f>SUM(T132:T149)</f>
        <v>0</v>
      </c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R131" s="211" t="s">
        <v>144</v>
      </c>
      <c r="AT131" s="212" t="s">
        <v>74</v>
      </c>
      <c r="AU131" s="212" t="s">
        <v>83</v>
      </c>
      <c r="AY131" s="211" t="s">
        <v>131</v>
      </c>
      <c r="BK131" s="213">
        <f>SUM(BK132:BK149)</f>
        <v>0</v>
      </c>
    </row>
    <row r="132" s="2" customFormat="1" ht="24.15" customHeight="1">
      <c r="A132" s="35"/>
      <c r="B132" s="36"/>
      <c r="C132" s="230" t="s">
        <v>83</v>
      </c>
      <c r="D132" s="230" t="s">
        <v>145</v>
      </c>
      <c r="E132" s="231" t="s">
        <v>841</v>
      </c>
      <c r="F132" s="232" t="s">
        <v>842</v>
      </c>
      <c r="G132" s="233" t="s">
        <v>189</v>
      </c>
      <c r="H132" s="234">
        <v>1</v>
      </c>
      <c r="I132" s="235"/>
      <c r="J132" s="236">
        <f>ROUND(I132*H132,2)</f>
        <v>0</v>
      </c>
      <c r="K132" s="237"/>
      <c r="L132" s="238"/>
      <c r="M132" s="239" t="s">
        <v>1</v>
      </c>
      <c r="N132" s="240" t="s">
        <v>40</v>
      </c>
      <c r="O132" s="88"/>
      <c r="P132" s="226">
        <f>O132*H132</f>
        <v>0</v>
      </c>
      <c r="Q132" s="226">
        <v>0.00027999999999999998</v>
      </c>
      <c r="R132" s="226">
        <f>Q132*H132</f>
        <v>0.00027999999999999998</v>
      </c>
      <c r="S132" s="226">
        <v>0</v>
      </c>
      <c r="T132" s="227">
        <f>S132*H132</f>
        <v>0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R132" s="228" t="s">
        <v>843</v>
      </c>
      <c r="AT132" s="228" t="s">
        <v>145</v>
      </c>
      <c r="AU132" s="228" t="s">
        <v>85</v>
      </c>
      <c r="AY132" s="14" t="s">
        <v>131</v>
      </c>
      <c r="BE132" s="229">
        <f>IF(N132="základní",J132,0)</f>
        <v>0</v>
      </c>
      <c r="BF132" s="229">
        <f>IF(N132="snížená",J132,0)</f>
        <v>0</v>
      </c>
      <c r="BG132" s="229">
        <f>IF(N132="zákl. přenesená",J132,0)</f>
        <v>0</v>
      </c>
      <c r="BH132" s="229">
        <f>IF(N132="sníž. přenesená",J132,0)</f>
        <v>0</v>
      </c>
      <c r="BI132" s="229">
        <f>IF(N132="nulová",J132,0)</f>
        <v>0</v>
      </c>
      <c r="BJ132" s="14" t="s">
        <v>83</v>
      </c>
      <c r="BK132" s="229">
        <f>ROUND(I132*H132,2)</f>
        <v>0</v>
      </c>
      <c r="BL132" s="14" t="s">
        <v>843</v>
      </c>
      <c r="BM132" s="228" t="s">
        <v>844</v>
      </c>
    </row>
    <row r="133" s="2" customFormat="1" ht="24.15" customHeight="1">
      <c r="A133" s="35"/>
      <c r="B133" s="36"/>
      <c r="C133" s="216" t="s">
        <v>158</v>
      </c>
      <c r="D133" s="216" t="s">
        <v>134</v>
      </c>
      <c r="E133" s="217" t="s">
        <v>845</v>
      </c>
      <c r="F133" s="218" t="s">
        <v>846</v>
      </c>
      <c r="G133" s="219" t="s">
        <v>142</v>
      </c>
      <c r="H133" s="220">
        <v>3</v>
      </c>
      <c r="I133" s="221"/>
      <c r="J133" s="222">
        <f>ROUND(I133*H133,2)</f>
        <v>0</v>
      </c>
      <c r="K133" s="223"/>
      <c r="L133" s="41"/>
      <c r="M133" s="224" t="s">
        <v>1</v>
      </c>
      <c r="N133" s="225" t="s">
        <v>40</v>
      </c>
      <c r="O133" s="88"/>
      <c r="P133" s="226">
        <f>O133*H133</f>
        <v>0</v>
      </c>
      <c r="Q133" s="226">
        <v>0</v>
      </c>
      <c r="R133" s="226">
        <f>Q133*H133</f>
        <v>0</v>
      </c>
      <c r="S133" s="226">
        <v>0</v>
      </c>
      <c r="T133" s="227">
        <f>S133*H133</f>
        <v>0</v>
      </c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R133" s="228" t="s">
        <v>343</v>
      </c>
      <c r="AT133" s="228" t="s">
        <v>134</v>
      </c>
      <c r="AU133" s="228" t="s">
        <v>85</v>
      </c>
      <c r="AY133" s="14" t="s">
        <v>131</v>
      </c>
      <c r="BE133" s="229">
        <f>IF(N133="základní",J133,0)</f>
        <v>0</v>
      </c>
      <c r="BF133" s="229">
        <f>IF(N133="snížená",J133,0)</f>
        <v>0</v>
      </c>
      <c r="BG133" s="229">
        <f>IF(N133="zákl. přenesená",J133,0)</f>
        <v>0</v>
      </c>
      <c r="BH133" s="229">
        <f>IF(N133="sníž. přenesená",J133,0)</f>
        <v>0</v>
      </c>
      <c r="BI133" s="229">
        <f>IF(N133="nulová",J133,0)</f>
        <v>0</v>
      </c>
      <c r="BJ133" s="14" t="s">
        <v>83</v>
      </c>
      <c r="BK133" s="229">
        <f>ROUND(I133*H133,2)</f>
        <v>0</v>
      </c>
      <c r="BL133" s="14" t="s">
        <v>343</v>
      </c>
      <c r="BM133" s="228" t="s">
        <v>847</v>
      </c>
    </row>
    <row r="134" s="2" customFormat="1" ht="33" customHeight="1">
      <c r="A134" s="35"/>
      <c r="B134" s="36"/>
      <c r="C134" s="216" t="s">
        <v>162</v>
      </c>
      <c r="D134" s="216" t="s">
        <v>134</v>
      </c>
      <c r="E134" s="217" t="s">
        <v>848</v>
      </c>
      <c r="F134" s="218" t="s">
        <v>849</v>
      </c>
      <c r="G134" s="219" t="s">
        <v>142</v>
      </c>
      <c r="H134" s="220">
        <v>3</v>
      </c>
      <c r="I134" s="221"/>
      <c r="J134" s="222">
        <f>ROUND(I134*H134,2)</f>
        <v>0</v>
      </c>
      <c r="K134" s="223"/>
      <c r="L134" s="41"/>
      <c r="M134" s="224" t="s">
        <v>1</v>
      </c>
      <c r="N134" s="225" t="s">
        <v>40</v>
      </c>
      <c r="O134" s="88"/>
      <c r="P134" s="226">
        <f>O134*H134</f>
        <v>0</v>
      </c>
      <c r="Q134" s="226">
        <v>0</v>
      </c>
      <c r="R134" s="226">
        <f>Q134*H134</f>
        <v>0</v>
      </c>
      <c r="S134" s="226">
        <v>0</v>
      </c>
      <c r="T134" s="227">
        <f>S134*H134</f>
        <v>0</v>
      </c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R134" s="228" t="s">
        <v>343</v>
      </c>
      <c r="AT134" s="228" t="s">
        <v>134</v>
      </c>
      <c r="AU134" s="228" t="s">
        <v>85</v>
      </c>
      <c r="AY134" s="14" t="s">
        <v>131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4" t="s">
        <v>83</v>
      </c>
      <c r="BK134" s="229">
        <f>ROUND(I134*H134,2)</f>
        <v>0</v>
      </c>
      <c r="BL134" s="14" t="s">
        <v>343</v>
      </c>
      <c r="BM134" s="228" t="s">
        <v>850</v>
      </c>
    </row>
    <row r="135" s="2" customFormat="1" ht="24.15" customHeight="1">
      <c r="A135" s="35"/>
      <c r="B135" s="36"/>
      <c r="C135" s="216" t="s">
        <v>166</v>
      </c>
      <c r="D135" s="216" t="s">
        <v>134</v>
      </c>
      <c r="E135" s="217" t="s">
        <v>851</v>
      </c>
      <c r="F135" s="218" t="s">
        <v>852</v>
      </c>
      <c r="G135" s="219" t="s">
        <v>185</v>
      </c>
      <c r="H135" s="220">
        <v>2</v>
      </c>
      <c r="I135" s="221"/>
      <c r="J135" s="222">
        <f>ROUND(I135*H135,2)</f>
        <v>0</v>
      </c>
      <c r="K135" s="223"/>
      <c r="L135" s="41"/>
      <c r="M135" s="224" t="s">
        <v>1</v>
      </c>
      <c r="N135" s="225" t="s">
        <v>40</v>
      </c>
      <c r="O135" s="88"/>
      <c r="P135" s="226">
        <f>O135*H135</f>
        <v>0</v>
      </c>
      <c r="Q135" s="226">
        <v>0</v>
      </c>
      <c r="R135" s="226">
        <f>Q135*H135</f>
        <v>0</v>
      </c>
      <c r="S135" s="226">
        <v>0</v>
      </c>
      <c r="T135" s="227">
        <f>S135*H135</f>
        <v>0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R135" s="228" t="s">
        <v>343</v>
      </c>
      <c r="AT135" s="228" t="s">
        <v>134</v>
      </c>
      <c r="AU135" s="228" t="s">
        <v>85</v>
      </c>
      <c r="AY135" s="14" t="s">
        <v>131</v>
      </c>
      <c r="BE135" s="229">
        <f>IF(N135="základní",J135,0)</f>
        <v>0</v>
      </c>
      <c r="BF135" s="229">
        <f>IF(N135="snížená",J135,0)</f>
        <v>0</v>
      </c>
      <c r="BG135" s="229">
        <f>IF(N135="zákl. přenesená",J135,0)</f>
        <v>0</v>
      </c>
      <c r="BH135" s="229">
        <f>IF(N135="sníž. přenesená",J135,0)</f>
        <v>0</v>
      </c>
      <c r="BI135" s="229">
        <f>IF(N135="nulová",J135,0)</f>
        <v>0</v>
      </c>
      <c r="BJ135" s="14" t="s">
        <v>83</v>
      </c>
      <c r="BK135" s="229">
        <f>ROUND(I135*H135,2)</f>
        <v>0</v>
      </c>
      <c r="BL135" s="14" t="s">
        <v>343</v>
      </c>
      <c r="BM135" s="228" t="s">
        <v>853</v>
      </c>
    </row>
    <row r="136" s="2" customFormat="1" ht="45" customHeight="1">
      <c r="A136" s="35"/>
      <c r="B136" s="36"/>
      <c r="C136" s="230" t="s">
        <v>170</v>
      </c>
      <c r="D136" s="230" t="s">
        <v>145</v>
      </c>
      <c r="E136" s="231" t="s">
        <v>854</v>
      </c>
      <c r="F136" s="232" t="s">
        <v>855</v>
      </c>
      <c r="G136" s="233" t="s">
        <v>203</v>
      </c>
      <c r="H136" s="234">
        <v>1</v>
      </c>
      <c r="I136" s="235"/>
      <c r="J136" s="236">
        <f>ROUND(I136*H136,2)</f>
        <v>0</v>
      </c>
      <c r="K136" s="237"/>
      <c r="L136" s="238"/>
      <c r="M136" s="239" t="s">
        <v>1</v>
      </c>
      <c r="N136" s="240" t="s">
        <v>40</v>
      </c>
      <c r="O136" s="88"/>
      <c r="P136" s="226">
        <f>O136*H136</f>
        <v>0</v>
      </c>
      <c r="Q136" s="226">
        <v>0.00012999999999999999</v>
      </c>
      <c r="R136" s="226">
        <f>Q136*H136</f>
        <v>0.00012999999999999999</v>
      </c>
      <c r="S136" s="226">
        <v>0</v>
      </c>
      <c r="T136" s="227">
        <f>S136*H136</f>
        <v>0</v>
      </c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R136" s="228" t="s">
        <v>843</v>
      </c>
      <c r="AT136" s="228" t="s">
        <v>145</v>
      </c>
      <c r="AU136" s="228" t="s">
        <v>85</v>
      </c>
      <c r="AY136" s="14" t="s">
        <v>131</v>
      </c>
      <c r="BE136" s="229">
        <f>IF(N136="základní",J136,0)</f>
        <v>0</v>
      </c>
      <c r="BF136" s="229">
        <f>IF(N136="snížená",J136,0)</f>
        <v>0</v>
      </c>
      <c r="BG136" s="229">
        <f>IF(N136="zákl. přenesená",J136,0)</f>
        <v>0</v>
      </c>
      <c r="BH136" s="229">
        <f>IF(N136="sníž. přenesená",J136,0)</f>
        <v>0</v>
      </c>
      <c r="BI136" s="229">
        <f>IF(N136="nulová",J136,0)</f>
        <v>0</v>
      </c>
      <c r="BJ136" s="14" t="s">
        <v>83</v>
      </c>
      <c r="BK136" s="229">
        <f>ROUND(I136*H136,2)</f>
        <v>0</v>
      </c>
      <c r="BL136" s="14" t="s">
        <v>843</v>
      </c>
      <c r="BM136" s="228" t="s">
        <v>856</v>
      </c>
    </row>
    <row r="137" s="2" customFormat="1" ht="37.8" customHeight="1">
      <c r="A137" s="35"/>
      <c r="B137" s="36"/>
      <c r="C137" s="216" t="s">
        <v>85</v>
      </c>
      <c r="D137" s="216" t="s">
        <v>134</v>
      </c>
      <c r="E137" s="217" t="s">
        <v>857</v>
      </c>
      <c r="F137" s="218" t="s">
        <v>858</v>
      </c>
      <c r="G137" s="219" t="s">
        <v>142</v>
      </c>
      <c r="H137" s="220">
        <v>55</v>
      </c>
      <c r="I137" s="221"/>
      <c r="J137" s="222">
        <f>ROUND(I137*H137,2)</f>
        <v>0</v>
      </c>
      <c r="K137" s="223"/>
      <c r="L137" s="41"/>
      <c r="M137" s="224" t="s">
        <v>1</v>
      </c>
      <c r="N137" s="225" t="s">
        <v>40</v>
      </c>
      <c r="O137" s="88"/>
      <c r="P137" s="226">
        <f>O137*H137</f>
        <v>0</v>
      </c>
      <c r="Q137" s="226">
        <v>0</v>
      </c>
      <c r="R137" s="226">
        <f>Q137*H137</f>
        <v>0</v>
      </c>
      <c r="S137" s="226">
        <v>0</v>
      </c>
      <c r="T137" s="227">
        <f>S137*H137</f>
        <v>0</v>
      </c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R137" s="228" t="s">
        <v>343</v>
      </c>
      <c r="AT137" s="228" t="s">
        <v>134</v>
      </c>
      <c r="AU137" s="228" t="s">
        <v>85</v>
      </c>
      <c r="AY137" s="14" t="s">
        <v>131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4" t="s">
        <v>83</v>
      </c>
      <c r="BK137" s="229">
        <f>ROUND(I137*H137,2)</f>
        <v>0</v>
      </c>
      <c r="BL137" s="14" t="s">
        <v>343</v>
      </c>
      <c r="BM137" s="228" t="s">
        <v>859</v>
      </c>
    </row>
    <row r="138" s="2" customFormat="1" ht="24.15" customHeight="1">
      <c r="A138" s="35"/>
      <c r="B138" s="36"/>
      <c r="C138" s="230" t="s">
        <v>144</v>
      </c>
      <c r="D138" s="230" t="s">
        <v>145</v>
      </c>
      <c r="E138" s="231" t="s">
        <v>860</v>
      </c>
      <c r="F138" s="232" t="s">
        <v>861</v>
      </c>
      <c r="G138" s="233" t="s">
        <v>142</v>
      </c>
      <c r="H138" s="234">
        <v>55</v>
      </c>
      <c r="I138" s="235"/>
      <c r="J138" s="236">
        <f>ROUND(I138*H138,2)</f>
        <v>0</v>
      </c>
      <c r="K138" s="237"/>
      <c r="L138" s="238"/>
      <c r="M138" s="239" t="s">
        <v>1</v>
      </c>
      <c r="N138" s="240" t="s">
        <v>40</v>
      </c>
      <c r="O138" s="88"/>
      <c r="P138" s="226">
        <f>O138*H138</f>
        <v>0</v>
      </c>
      <c r="Q138" s="226">
        <v>0.00027999999999999998</v>
      </c>
      <c r="R138" s="226">
        <f>Q138*H138</f>
        <v>0.015399999999999999</v>
      </c>
      <c r="S138" s="226">
        <v>0</v>
      </c>
      <c r="T138" s="227">
        <f>S138*H138</f>
        <v>0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R138" s="228" t="s">
        <v>843</v>
      </c>
      <c r="AT138" s="228" t="s">
        <v>145</v>
      </c>
      <c r="AU138" s="228" t="s">
        <v>85</v>
      </c>
      <c r="AY138" s="14" t="s">
        <v>131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4" t="s">
        <v>83</v>
      </c>
      <c r="BK138" s="229">
        <f>ROUND(I138*H138,2)</f>
        <v>0</v>
      </c>
      <c r="BL138" s="14" t="s">
        <v>843</v>
      </c>
      <c r="BM138" s="228" t="s">
        <v>862</v>
      </c>
    </row>
    <row r="139" s="2" customFormat="1" ht="37.8" customHeight="1">
      <c r="A139" s="35"/>
      <c r="B139" s="36"/>
      <c r="C139" s="216" t="s">
        <v>259</v>
      </c>
      <c r="D139" s="216" t="s">
        <v>134</v>
      </c>
      <c r="E139" s="217" t="s">
        <v>863</v>
      </c>
      <c r="F139" s="218" t="s">
        <v>864</v>
      </c>
      <c r="G139" s="219" t="s">
        <v>142</v>
      </c>
      <c r="H139" s="220">
        <v>95</v>
      </c>
      <c r="I139" s="221"/>
      <c r="J139" s="222">
        <f>ROUND(I139*H139,2)</f>
        <v>0</v>
      </c>
      <c r="K139" s="223"/>
      <c r="L139" s="41"/>
      <c r="M139" s="224" t="s">
        <v>1</v>
      </c>
      <c r="N139" s="225" t="s">
        <v>40</v>
      </c>
      <c r="O139" s="88"/>
      <c r="P139" s="226">
        <f>O139*H139</f>
        <v>0</v>
      </c>
      <c r="Q139" s="226">
        <v>0</v>
      </c>
      <c r="R139" s="226">
        <f>Q139*H139</f>
        <v>0</v>
      </c>
      <c r="S139" s="226">
        <v>0</v>
      </c>
      <c r="T139" s="227">
        <f>S139*H139</f>
        <v>0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R139" s="228" t="s">
        <v>343</v>
      </c>
      <c r="AT139" s="228" t="s">
        <v>134</v>
      </c>
      <c r="AU139" s="228" t="s">
        <v>85</v>
      </c>
      <c r="AY139" s="14" t="s">
        <v>131</v>
      </c>
      <c r="BE139" s="229">
        <f>IF(N139="základní",J139,0)</f>
        <v>0</v>
      </c>
      <c r="BF139" s="229">
        <f>IF(N139="snížená",J139,0)</f>
        <v>0</v>
      </c>
      <c r="BG139" s="229">
        <f>IF(N139="zákl. přenesená",J139,0)</f>
        <v>0</v>
      </c>
      <c r="BH139" s="229">
        <f>IF(N139="sníž. přenesená",J139,0)</f>
        <v>0</v>
      </c>
      <c r="BI139" s="229">
        <f>IF(N139="nulová",J139,0)</f>
        <v>0</v>
      </c>
      <c r="BJ139" s="14" t="s">
        <v>83</v>
      </c>
      <c r="BK139" s="229">
        <f>ROUND(I139*H139,2)</f>
        <v>0</v>
      </c>
      <c r="BL139" s="14" t="s">
        <v>343</v>
      </c>
      <c r="BM139" s="228" t="s">
        <v>865</v>
      </c>
    </row>
    <row r="140" s="2" customFormat="1" ht="24.15" customHeight="1">
      <c r="A140" s="35"/>
      <c r="B140" s="36"/>
      <c r="C140" s="230" t="s">
        <v>593</v>
      </c>
      <c r="D140" s="230" t="s">
        <v>145</v>
      </c>
      <c r="E140" s="231" t="s">
        <v>866</v>
      </c>
      <c r="F140" s="232" t="s">
        <v>867</v>
      </c>
      <c r="G140" s="233" t="s">
        <v>142</v>
      </c>
      <c r="H140" s="234">
        <v>95</v>
      </c>
      <c r="I140" s="235"/>
      <c r="J140" s="236">
        <f>ROUND(I140*H140,2)</f>
        <v>0</v>
      </c>
      <c r="K140" s="237"/>
      <c r="L140" s="238"/>
      <c r="M140" s="239" t="s">
        <v>1</v>
      </c>
      <c r="N140" s="240" t="s">
        <v>40</v>
      </c>
      <c r="O140" s="88"/>
      <c r="P140" s="226">
        <f>O140*H140</f>
        <v>0</v>
      </c>
      <c r="Q140" s="226">
        <v>0.00067000000000000002</v>
      </c>
      <c r="R140" s="226">
        <f>Q140*H140</f>
        <v>0.063649999999999998</v>
      </c>
      <c r="S140" s="226">
        <v>0</v>
      </c>
      <c r="T140" s="227">
        <f>S140*H140</f>
        <v>0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R140" s="228" t="s">
        <v>843</v>
      </c>
      <c r="AT140" s="228" t="s">
        <v>145</v>
      </c>
      <c r="AU140" s="228" t="s">
        <v>85</v>
      </c>
      <c r="AY140" s="14" t="s">
        <v>131</v>
      </c>
      <c r="BE140" s="229">
        <f>IF(N140="základní",J140,0)</f>
        <v>0</v>
      </c>
      <c r="BF140" s="229">
        <f>IF(N140="snížená",J140,0)</f>
        <v>0</v>
      </c>
      <c r="BG140" s="229">
        <f>IF(N140="zákl. přenesená",J140,0)</f>
        <v>0</v>
      </c>
      <c r="BH140" s="229">
        <f>IF(N140="sníž. přenesená",J140,0)</f>
        <v>0</v>
      </c>
      <c r="BI140" s="229">
        <f>IF(N140="nulová",J140,0)</f>
        <v>0</v>
      </c>
      <c r="BJ140" s="14" t="s">
        <v>83</v>
      </c>
      <c r="BK140" s="229">
        <f>ROUND(I140*H140,2)</f>
        <v>0</v>
      </c>
      <c r="BL140" s="14" t="s">
        <v>843</v>
      </c>
      <c r="BM140" s="228" t="s">
        <v>868</v>
      </c>
    </row>
    <row r="141" s="2" customFormat="1" ht="37.8" customHeight="1">
      <c r="A141" s="35"/>
      <c r="B141" s="36"/>
      <c r="C141" s="216" t="s">
        <v>150</v>
      </c>
      <c r="D141" s="216" t="s">
        <v>134</v>
      </c>
      <c r="E141" s="217" t="s">
        <v>869</v>
      </c>
      <c r="F141" s="218" t="s">
        <v>870</v>
      </c>
      <c r="G141" s="219" t="s">
        <v>185</v>
      </c>
      <c r="H141" s="220">
        <v>2</v>
      </c>
      <c r="I141" s="221"/>
      <c r="J141" s="222">
        <f>ROUND(I141*H141,2)</f>
        <v>0</v>
      </c>
      <c r="K141" s="223"/>
      <c r="L141" s="41"/>
      <c r="M141" s="224" t="s">
        <v>1</v>
      </c>
      <c r="N141" s="225" t="s">
        <v>40</v>
      </c>
      <c r="O141" s="88"/>
      <c r="P141" s="226">
        <f>O141*H141</f>
        <v>0</v>
      </c>
      <c r="Q141" s="226">
        <v>0</v>
      </c>
      <c r="R141" s="226">
        <f>Q141*H141</f>
        <v>0</v>
      </c>
      <c r="S141" s="226">
        <v>0</v>
      </c>
      <c r="T141" s="227">
        <f>S141*H141</f>
        <v>0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R141" s="228" t="s">
        <v>343</v>
      </c>
      <c r="AT141" s="228" t="s">
        <v>134</v>
      </c>
      <c r="AU141" s="228" t="s">
        <v>85</v>
      </c>
      <c r="AY141" s="14" t="s">
        <v>131</v>
      </c>
      <c r="BE141" s="229">
        <f>IF(N141="základní",J141,0)</f>
        <v>0</v>
      </c>
      <c r="BF141" s="229">
        <f>IF(N141="snížená",J141,0)</f>
        <v>0</v>
      </c>
      <c r="BG141" s="229">
        <f>IF(N141="zákl. přenesená",J141,0)</f>
        <v>0</v>
      </c>
      <c r="BH141" s="229">
        <f>IF(N141="sníž. přenesená",J141,0)</f>
        <v>0</v>
      </c>
      <c r="BI141" s="229">
        <f>IF(N141="nulová",J141,0)</f>
        <v>0</v>
      </c>
      <c r="BJ141" s="14" t="s">
        <v>83</v>
      </c>
      <c r="BK141" s="229">
        <f>ROUND(I141*H141,2)</f>
        <v>0</v>
      </c>
      <c r="BL141" s="14" t="s">
        <v>343</v>
      </c>
      <c r="BM141" s="228" t="s">
        <v>871</v>
      </c>
    </row>
    <row r="142" s="2" customFormat="1" ht="16.5" customHeight="1">
      <c r="A142" s="35"/>
      <c r="B142" s="36"/>
      <c r="C142" s="230" t="s">
        <v>154</v>
      </c>
      <c r="D142" s="230" t="s">
        <v>145</v>
      </c>
      <c r="E142" s="231" t="s">
        <v>872</v>
      </c>
      <c r="F142" s="232" t="s">
        <v>873</v>
      </c>
      <c r="G142" s="233" t="s">
        <v>185</v>
      </c>
      <c r="H142" s="234">
        <v>1</v>
      </c>
      <c r="I142" s="235"/>
      <c r="J142" s="236">
        <f>ROUND(I142*H142,2)</f>
        <v>0</v>
      </c>
      <c r="K142" s="237"/>
      <c r="L142" s="238"/>
      <c r="M142" s="239" t="s">
        <v>1</v>
      </c>
      <c r="N142" s="240" t="s">
        <v>40</v>
      </c>
      <c r="O142" s="88"/>
      <c r="P142" s="226">
        <f>O142*H142</f>
        <v>0</v>
      </c>
      <c r="Q142" s="226">
        <v>8.0000000000000007E-05</v>
      </c>
      <c r="R142" s="226">
        <f>Q142*H142</f>
        <v>8.0000000000000007E-05</v>
      </c>
      <c r="S142" s="226">
        <v>0</v>
      </c>
      <c r="T142" s="227">
        <f>S142*H142</f>
        <v>0</v>
      </c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R142" s="228" t="s">
        <v>843</v>
      </c>
      <c r="AT142" s="228" t="s">
        <v>145</v>
      </c>
      <c r="AU142" s="228" t="s">
        <v>85</v>
      </c>
      <c r="AY142" s="14" t="s">
        <v>131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4" t="s">
        <v>83</v>
      </c>
      <c r="BK142" s="229">
        <f>ROUND(I142*H142,2)</f>
        <v>0</v>
      </c>
      <c r="BL142" s="14" t="s">
        <v>843</v>
      </c>
      <c r="BM142" s="228" t="s">
        <v>874</v>
      </c>
    </row>
    <row r="143" s="2" customFormat="1" ht="37.8" customHeight="1">
      <c r="A143" s="35"/>
      <c r="B143" s="36"/>
      <c r="C143" s="216" t="s">
        <v>597</v>
      </c>
      <c r="D143" s="216" t="s">
        <v>134</v>
      </c>
      <c r="E143" s="217" t="s">
        <v>875</v>
      </c>
      <c r="F143" s="218" t="s">
        <v>876</v>
      </c>
      <c r="G143" s="219" t="s">
        <v>185</v>
      </c>
      <c r="H143" s="220">
        <v>2</v>
      </c>
      <c r="I143" s="221"/>
      <c r="J143" s="222">
        <f>ROUND(I143*H143,2)</f>
        <v>0</v>
      </c>
      <c r="K143" s="223"/>
      <c r="L143" s="41"/>
      <c r="M143" s="224" t="s">
        <v>1</v>
      </c>
      <c r="N143" s="225" t="s">
        <v>40</v>
      </c>
      <c r="O143" s="88"/>
      <c r="P143" s="226">
        <f>O143*H143</f>
        <v>0</v>
      </c>
      <c r="Q143" s="226">
        <v>0</v>
      </c>
      <c r="R143" s="226">
        <f>Q143*H143</f>
        <v>0</v>
      </c>
      <c r="S143" s="226">
        <v>0</v>
      </c>
      <c r="T143" s="227">
        <f>S143*H143</f>
        <v>0</v>
      </c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R143" s="228" t="s">
        <v>343</v>
      </c>
      <c r="AT143" s="228" t="s">
        <v>134</v>
      </c>
      <c r="AU143" s="228" t="s">
        <v>85</v>
      </c>
      <c r="AY143" s="14" t="s">
        <v>131</v>
      </c>
      <c r="BE143" s="229">
        <f>IF(N143="základní",J143,0)</f>
        <v>0</v>
      </c>
      <c r="BF143" s="229">
        <f>IF(N143="snížená",J143,0)</f>
        <v>0</v>
      </c>
      <c r="BG143" s="229">
        <f>IF(N143="zákl. přenesená",J143,0)</f>
        <v>0</v>
      </c>
      <c r="BH143" s="229">
        <f>IF(N143="sníž. přenesená",J143,0)</f>
        <v>0</v>
      </c>
      <c r="BI143" s="229">
        <f>IF(N143="nulová",J143,0)</f>
        <v>0</v>
      </c>
      <c r="BJ143" s="14" t="s">
        <v>83</v>
      </c>
      <c r="BK143" s="229">
        <f>ROUND(I143*H143,2)</f>
        <v>0</v>
      </c>
      <c r="BL143" s="14" t="s">
        <v>343</v>
      </c>
      <c r="BM143" s="228" t="s">
        <v>877</v>
      </c>
    </row>
    <row r="144" s="2" customFormat="1" ht="16.5" customHeight="1">
      <c r="A144" s="35"/>
      <c r="B144" s="36"/>
      <c r="C144" s="230" t="s">
        <v>601</v>
      </c>
      <c r="D144" s="230" t="s">
        <v>145</v>
      </c>
      <c r="E144" s="231" t="s">
        <v>878</v>
      </c>
      <c r="F144" s="232" t="s">
        <v>879</v>
      </c>
      <c r="G144" s="233" t="s">
        <v>185</v>
      </c>
      <c r="H144" s="234">
        <v>2</v>
      </c>
      <c r="I144" s="235"/>
      <c r="J144" s="236">
        <f>ROUND(I144*H144,2)</f>
        <v>0</v>
      </c>
      <c r="K144" s="237"/>
      <c r="L144" s="238"/>
      <c r="M144" s="239" t="s">
        <v>1</v>
      </c>
      <c r="N144" s="240" t="s">
        <v>40</v>
      </c>
      <c r="O144" s="88"/>
      <c r="P144" s="226">
        <f>O144*H144</f>
        <v>0</v>
      </c>
      <c r="Q144" s="226">
        <v>0.00040999999999999999</v>
      </c>
      <c r="R144" s="226">
        <f>Q144*H144</f>
        <v>0.00081999999999999998</v>
      </c>
      <c r="S144" s="226">
        <v>0</v>
      </c>
      <c r="T144" s="227">
        <f>S144*H144</f>
        <v>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R144" s="228" t="s">
        <v>843</v>
      </c>
      <c r="AT144" s="228" t="s">
        <v>145</v>
      </c>
      <c r="AU144" s="228" t="s">
        <v>85</v>
      </c>
      <c r="AY144" s="14" t="s">
        <v>131</v>
      </c>
      <c r="BE144" s="229">
        <f>IF(N144="základní",J144,0)</f>
        <v>0</v>
      </c>
      <c r="BF144" s="229">
        <f>IF(N144="snížená",J144,0)</f>
        <v>0</v>
      </c>
      <c r="BG144" s="229">
        <f>IF(N144="zákl. přenesená",J144,0)</f>
        <v>0</v>
      </c>
      <c r="BH144" s="229">
        <f>IF(N144="sníž. přenesená",J144,0)</f>
        <v>0</v>
      </c>
      <c r="BI144" s="229">
        <f>IF(N144="nulová",J144,0)</f>
        <v>0</v>
      </c>
      <c r="BJ144" s="14" t="s">
        <v>83</v>
      </c>
      <c r="BK144" s="229">
        <f>ROUND(I144*H144,2)</f>
        <v>0</v>
      </c>
      <c r="BL144" s="14" t="s">
        <v>843</v>
      </c>
      <c r="BM144" s="228" t="s">
        <v>880</v>
      </c>
    </row>
    <row r="145" s="2" customFormat="1" ht="24.15" customHeight="1">
      <c r="A145" s="35"/>
      <c r="B145" s="36"/>
      <c r="C145" s="216" t="s">
        <v>177</v>
      </c>
      <c r="D145" s="216" t="s">
        <v>134</v>
      </c>
      <c r="E145" s="217" t="s">
        <v>881</v>
      </c>
      <c r="F145" s="218" t="s">
        <v>882</v>
      </c>
      <c r="G145" s="219" t="s">
        <v>142</v>
      </c>
      <c r="H145" s="220">
        <v>150</v>
      </c>
      <c r="I145" s="221"/>
      <c r="J145" s="222">
        <f>ROUND(I145*H145,2)</f>
        <v>0</v>
      </c>
      <c r="K145" s="223"/>
      <c r="L145" s="41"/>
      <c r="M145" s="224" t="s">
        <v>1</v>
      </c>
      <c r="N145" s="225" t="s">
        <v>40</v>
      </c>
      <c r="O145" s="88"/>
      <c r="P145" s="226">
        <f>O145*H145</f>
        <v>0</v>
      </c>
      <c r="Q145" s="226">
        <v>1.0000000000000001E-05</v>
      </c>
      <c r="R145" s="226">
        <f>Q145*H145</f>
        <v>0.0015</v>
      </c>
      <c r="S145" s="226">
        <v>0</v>
      </c>
      <c r="T145" s="227">
        <f>S145*H145</f>
        <v>0</v>
      </c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R145" s="228" t="s">
        <v>343</v>
      </c>
      <c r="AT145" s="228" t="s">
        <v>134</v>
      </c>
      <c r="AU145" s="228" t="s">
        <v>85</v>
      </c>
      <c r="AY145" s="14" t="s">
        <v>131</v>
      </c>
      <c r="BE145" s="229">
        <f>IF(N145="základní",J145,0)</f>
        <v>0</v>
      </c>
      <c r="BF145" s="229">
        <f>IF(N145="snížená",J145,0)</f>
        <v>0</v>
      </c>
      <c r="BG145" s="229">
        <f>IF(N145="zákl. přenesená",J145,0)</f>
        <v>0</v>
      </c>
      <c r="BH145" s="229">
        <f>IF(N145="sníž. přenesená",J145,0)</f>
        <v>0</v>
      </c>
      <c r="BI145" s="229">
        <f>IF(N145="nulová",J145,0)</f>
        <v>0</v>
      </c>
      <c r="BJ145" s="14" t="s">
        <v>83</v>
      </c>
      <c r="BK145" s="229">
        <f>ROUND(I145*H145,2)</f>
        <v>0</v>
      </c>
      <c r="BL145" s="14" t="s">
        <v>343</v>
      </c>
      <c r="BM145" s="228" t="s">
        <v>883</v>
      </c>
    </row>
    <row r="146" s="2" customFormat="1" ht="21.75" customHeight="1">
      <c r="A146" s="35"/>
      <c r="B146" s="36"/>
      <c r="C146" s="216" t="s">
        <v>182</v>
      </c>
      <c r="D146" s="216" t="s">
        <v>134</v>
      </c>
      <c r="E146" s="217" t="s">
        <v>884</v>
      </c>
      <c r="F146" s="218" t="s">
        <v>885</v>
      </c>
      <c r="G146" s="219" t="s">
        <v>142</v>
      </c>
      <c r="H146" s="220">
        <v>150</v>
      </c>
      <c r="I146" s="221"/>
      <c r="J146" s="222">
        <f>ROUND(I146*H146,2)</f>
        <v>0</v>
      </c>
      <c r="K146" s="223"/>
      <c r="L146" s="41"/>
      <c r="M146" s="224" t="s">
        <v>1</v>
      </c>
      <c r="N146" s="225" t="s">
        <v>40</v>
      </c>
      <c r="O146" s="88"/>
      <c r="P146" s="226">
        <f>O146*H146</f>
        <v>0</v>
      </c>
      <c r="Q146" s="226">
        <v>0</v>
      </c>
      <c r="R146" s="226">
        <f>Q146*H146</f>
        <v>0</v>
      </c>
      <c r="S146" s="226">
        <v>0</v>
      </c>
      <c r="T146" s="227">
        <f>S146*H146</f>
        <v>0</v>
      </c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R146" s="228" t="s">
        <v>343</v>
      </c>
      <c r="AT146" s="228" t="s">
        <v>134</v>
      </c>
      <c r="AU146" s="228" t="s">
        <v>85</v>
      </c>
      <c r="AY146" s="14" t="s">
        <v>131</v>
      </c>
      <c r="BE146" s="229">
        <f>IF(N146="základní",J146,0)</f>
        <v>0</v>
      </c>
      <c r="BF146" s="229">
        <f>IF(N146="snížená",J146,0)</f>
        <v>0</v>
      </c>
      <c r="BG146" s="229">
        <f>IF(N146="zákl. přenesená",J146,0)</f>
        <v>0</v>
      </c>
      <c r="BH146" s="229">
        <f>IF(N146="sníž. přenesená",J146,0)</f>
        <v>0</v>
      </c>
      <c r="BI146" s="229">
        <f>IF(N146="nulová",J146,0)</f>
        <v>0</v>
      </c>
      <c r="BJ146" s="14" t="s">
        <v>83</v>
      </c>
      <c r="BK146" s="229">
        <f>ROUND(I146*H146,2)</f>
        <v>0</v>
      </c>
      <c r="BL146" s="14" t="s">
        <v>343</v>
      </c>
      <c r="BM146" s="228" t="s">
        <v>886</v>
      </c>
    </row>
    <row r="147" s="2" customFormat="1" ht="21.75" customHeight="1">
      <c r="A147" s="35"/>
      <c r="B147" s="36"/>
      <c r="C147" s="216" t="s">
        <v>8</v>
      </c>
      <c r="D147" s="216" t="s">
        <v>134</v>
      </c>
      <c r="E147" s="217" t="s">
        <v>887</v>
      </c>
      <c r="F147" s="218" t="s">
        <v>888</v>
      </c>
      <c r="G147" s="219" t="s">
        <v>142</v>
      </c>
      <c r="H147" s="220">
        <v>150</v>
      </c>
      <c r="I147" s="221"/>
      <c r="J147" s="222">
        <f>ROUND(I147*H147,2)</f>
        <v>0</v>
      </c>
      <c r="K147" s="223"/>
      <c r="L147" s="41"/>
      <c r="M147" s="224" t="s">
        <v>1</v>
      </c>
      <c r="N147" s="225" t="s">
        <v>40</v>
      </c>
      <c r="O147" s="88"/>
      <c r="P147" s="226">
        <f>O147*H147</f>
        <v>0</v>
      </c>
      <c r="Q147" s="226">
        <v>0.00019000000000000001</v>
      </c>
      <c r="R147" s="226">
        <f>Q147*H147</f>
        <v>0.028500000000000001</v>
      </c>
      <c r="S147" s="226">
        <v>0</v>
      </c>
      <c r="T147" s="227">
        <f>S147*H147</f>
        <v>0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R147" s="228" t="s">
        <v>150</v>
      </c>
      <c r="AT147" s="228" t="s">
        <v>134</v>
      </c>
      <c r="AU147" s="228" t="s">
        <v>85</v>
      </c>
      <c r="AY147" s="14" t="s">
        <v>131</v>
      </c>
      <c r="BE147" s="229">
        <f>IF(N147="základní",J147,0)</f>
        <v>0</v>
      </c>
      <c r="BF147" s="229">
        <f>IF(N147="snížená",J147,0)</f>
        <v>0</v>
      </c>
      <c r="BG147" s="229">
        <f>IF(N147="zákl. přenesená",J147,0)</f>
        <v>0</v>
      </c>
      <c r="BH147" s="229">
        <f>IF(N147="sníž. přenesená",J147,0)</f>
        <v>0</v>
      </c>
      <c r="BI147" s="229">
        <f>IF(N147="nulová",J147,0)</f>
        <v>0</v>
      </c>
      <c r="BJ147" s="14" t="s">
        <v>83</v>
      </c>
      <c r="BK147" s="229">
        <f>ROUND(I147*H147,2)</f>
        <v>0</v>
      </c>
      <c r="BL147" s="14" t="s">
        <v>150</v>
      </c>
      <c r="BM147" s="228" t="s">
        <v>889</v>
      </c>
    </row>
    <row r="148" s="2" customFormat="1" ht="21.75" customHeight="1">
      <c r="A148" s="35"/>
      <c r="B148" s="36"/>
      <c r="C148" s="216" t="s">
        <v>191</v>
      </c>
      <c r="D148" s="216" t="s">
        <v>134</v>
      </c>
      <c r="E148" s="217" t="s">
        <v>890</v>
      </c>
      <c r="F148" s="218" t="s">
        <v>891</v>
      </c>
      <c r="G148" s="219" t="s">
        <v>142</v>
      </c>
      <c r="H148" s="220">
        <v>150</v>
      </c>
      <c r="I148" s="221"/>
      <c r="J148" s="222">
        <f>ROUND(I148*H148,2)</f>
        <v>0</v>
      </c>
      <c r="K148" s="223"/>
      <c r="L148" s="41"/>
      <c r="M148" s="224" t="s">
        <v>1</v>
      </c>
      <c r="N148" s="225" t="s">
        <v>40</v>
      </c>
      <c r="O148" s="88"/>
      <c r="P148" s="226">
        <f>O148*H148</f>
        <v>0</v>
      </c>
      <c r="Q148" s="226">
        <v>6.9999999999999994E-05</v>
      </c>
      <c r="R148" s="226">
        <f>Q148*H148</f>
        <v>0.010499999999999999</v>
      </c>
      <c r="S148" s="226">
        <v>0</v>
      </c>
      <c r="T148" s="227">
        <f>S148*H148</f>
        <v>0</v>
      </c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R148" s="228" t="s">
        <v>150</v>
      </c>
      <c r="AT148" s="228" t="s">
        <v>134</v>
      </c>
      <c r="AU148" s="228" t="s">
        <v>85</v>
      </c>
      <c r="AY148" s="14" t="s">
        <v>131</v>
      </c>
      <c r="BE148" s="229">
        <f>IF(N148="základní",J148,0)</f>
        <v>0</v>
      </c>
      <c r="BF148" s="229">
        <f>IF(N148="snížená",J148,0)</f>
        <v>0</v>
      </c>
      <c r="BG148" s="229">
        <f>IF(N148="zákl. přenesená",J148,0)</f>
        <v>0</v>
      </c>
      <c r="BH148" s="229">
        <f>IF(N148="sníž. přenesená",J148,0)</f>
        <v>0</v>
      </c>
      <c r="BI148" s="229">
        <f>IF(N148="nulová",J148,0)</f>
        <v>0</v>
      </c>
      <c r="BJ148" s="14" t="s">
        <v>83</v>
      </c>
      <c r="BK148" s="229">
        <f>ROUND(I148*H148,2)</f>
        <v>0</v>
      </c>
      <c r="BL148" s="14" t="s">
        <v>150</v>
      </c>
      <c r="BM148" s="228" t="s">
        <v>892</v>
      </c>
    </row>
    <row r="149" s="2" customFormat="1" ht="49.05" customHeight="1">
      <c r="A149" s="35"/>
      <c r="B149" s="36"/>
      <c r="C149" s="216" t="s">
        <v>195</v>
      </c>
      <c r="D149" s="216" t="s">
        <v>134</v>
      </c>
      <c r="E149" s="217" t="s">
        <v>893</v>
      </c>
      <c r="F149" s="218" t="s">
        <v>894</v>
      </c>
      <c r="G149" s="219" t="s">
        <v>693</v>
      </c>
      <c r="H149" s="220">
        <v>0.5</v>
      </c>
      <c r="I149" s="221"/>
      <c r="J149" s="222">
        <f>ROUND(I149*H149,2)</f>
        <v>0</v>
      </c>
      <c r="K149" s="223"/>
      <c r="L149" s="41"/>
      <c r="M149" s="224" t="s">
        <v>1</v>
      </c>
      <c r="N149" s="225" t="s">
        <v>40</v>
      </c>
      <c r="O149" s="88"/>
      <c r="P149" s="226">
        <f>O149*H149</f>
        <v>0</v>
      </c>
      <c r="Q149" s="226">
        <v>0</v>
      </c>
      <c r="R149" s="226">
        <f>Q149*H149</f>
        <v>0</v>
      </c>
      <c r="S149" s="226">
        <v>0</v>
      </c>
      <c r="T149" s="227">
        <f>S149*H149</f>
        <v>0</v>
      </c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R149" s="228" t="s">
        <v>150</v>
      </c>
      <c r="AT149" s="228" t="s">
        <v>134</v>
      </c>
      <c r="AU149" s="228" t="s">
        <v>85</v>
      </c>
      <c r="AY149" s="14" t="s">
        <v>131</v>
      </c>
      <c r="BE149" s="229">
        <f>IF(N149="základní",J149,0)</f>
        <v>0</v>
      </c>
      <c r="BF149" s="229">
        <f>IF(N149="snížená",J149,0)</f>
        <v>0</v>
      </c>
      <c r="BG149" s="229">
        <f>IF(N149="zákl. přenesená",J149,0)</f>
        <v>0</v>
      </c>
      <c r="BH149" s="229">
        <f>IF(N149="sníž. přenesená",J149,0)</f>
        <v>0</v>
      </c>
      <c r="BI149" s="229">
        <f>IF(N149="nulová",J149,0)</f>
        <v>0</v>
      </c>
      <c r="BJ149" s="14" t="s">
        <v>83</v>
      </c>
      <c r="BK149" s="229">
        <f>ROUND(I149*H149,2)</f>
        <v>0</v>
      </c>
      <c r="BL149" s="14" t="s">
        <v>150</v>
      </c>
      <c r="BM149" s="228" t="s">
        <v>895</v>
      </c>
    </row>
    <row r="150" s="12" customFormat="1" ht="25.92" customHeight="1">
      <c r="A150" s="12"/>
      <c r="B150" s="200"/>
      <c r="C150" s="201"/>
      <c r="D150" s="202" t="s">
        <v>74</v>
      </c>
      <c r="E150" s="203" t="s">
        <v>712</v>
      </c>
      <c r="F150" s="203" t="s">
        <v>896</v>
      </c>
      <c r="G150" s="201"/>
      <c r="H150" s="201"/>
      <c r="I150" s="204"/>
      <c r="J150" s="205">
        <f>BK150</f>
        <v>0</v>
      </c>
      <c r="K150" s="201"/>
      <c r="L150" s="206"/>
      <c r="M150" s="207"/>
      <c r="N150" s="208"/>
      <c r="O150" s="208"/>
      <c r="P150" s="209">
        <f>SUM(P151:P152)</f>
        <v>0</v>
      </c>
      <c r="Q150" s="208"/>
      <c r="R150" s="209">
        <f>SUM(R151:R152)</f>
        <v>0</v>
      </c>
      <c r="S150" s="208"/>
      <c r="T150" s="210">
        <f>SUM(T151:T152)</f>
        <v>0</v>
      </c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R150" s="211" t="s">
        <v>150</v>
      </c>
      <c r="AT150" s="212" t="s">
        <v>74</v>
      </c>
      <c r="AU150" s="212" t="s">
        <v>75</v>
      </c>
      <c r="AY150" s="211" t="s">
        <v>131</v>
      </c>
      <c r="BK150" s="213">
        <f>SUM(BK151:BK152)</f>
        <v>0</v>
      </c>
    </row>
    <row r="151" s="2" customFormat="1" ht="24.15" customHeight="1">
      <c r="A151" s="35"/>
      <c r="B151" s="36"/>
      <c r="C151" s="216" t="s">
        <v>252</v>
      </c>
      <c r="D151" s="216" t="s">
        <v>134</v>
      </c>
      <c r="E151" s="217" t="s">
        <v>897</v>
      </c>
      <c r="F151" s="218" t="s">
        <v>898</v>
      </c>
      <c r="G151" s="219" t="s">
        <v>899</v>
      </c>
      <c r="H151" s="220">
        <v>12</v>
      </c>
      <c r="I151" s="221"/>
      <c r="J151" s="222">
        <f>ROUND(I151*H151,2)</f>
        <v>0</v>
      </c>
      <c r="K151" s="223"/>
      <c r="L151" s="41"/>
      <c r="M151" s="224" t="s">
        <v>1</v>
      </c>
      <c r="N151" s="225" t="s">
        <v>40</v>
      </c>
      <c r="O151" s="88"/>
      <c r="P151" s="226">
        <f>O151*H151</f>
        <v>0</v>
      </c>
      <c r="Q151" s="226">
        <v>0</v>
      </c>
      <c r="R151" s="226">
        <f>Q151*H151</f>
        <v>0</v>
      </c>
      <c r="S151" s="226">
        <v>0</v>
      </c>
      <c r="T151" s="227">
        <f>S151*H151</f>
        <v>0</v>
      </c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R151" s="228" t="s">
        <v>716</v>
      </c>
      <c r="AT151" s="228" t="s">
        <v>134</v>
      </c>
      <c r="AU151" s="228" t="s">
        <v>83</v>
      </c>
      <c r="AY151" s="14" t="s">
        <v>131</v>
      </c>
      <c r="BE151" s="229">
        <f>IF(N151="základní",J151,0)</f>
        <v>0</v>
      </c>
      <c r="BF151" s="229">
        <f>IF(N151="snížená",J151,0)</f>
        <v>0</v>
      </c>
      <c r="BG151" s="229">
        <f>IF(N151="zákl. přenesená",J151,0)</f>
        <v>0</v>
      </c>
      <c r="BH151" s="229">
        <f>IF(N151="sníž. přenesená",J151,0)</f>
        <v>0</v>
      </c>
      <c r="BI151" s="229">
        <f>IF(N151="nulová",J151,0)</f>
        <v>0</v>
      </c>
      <c r="BJ151" s="14" t="s">
        <v>83</v>
      </c>
      <c r="BK151" s="229">
        <f>ROUND(I151*H151,2)</f>
        <v>0</v>
      </c>
      <c r="BL151" s="14" t="s">
        <v>716</v>
      </c>
      <c r="BM151" s="228" t="s">
        <v>900</v>
      </c>
    </row>
    <row r="152" s="2" customFormat="1" ht="24.15" customHeight="1">
      <c r="A152" s="35"/>
      <c r="B152" s="36"/>
      <c r="C152" s="216" t="s">
        <v>138</v>
      </c>
      <c r="D152" s="216" t="s">
        <v>134</v>
      </c>
      <c r="E152" s="217" t="s">
        <v>901</v>
      </c>
      <c r="F152" s="218" t="s">
        <v>902</v>
      </c>
      <c r="G152" s="219" t="s">
        <v>198</v>
      </c>
      <c r="H152" s="220">
        <v>1</v>
      </c>
      <c r="I152" s="221"/>
      <c r="J152" s="222">
        <f>ROUND(I152*H152,2)</f>
        <v>0</v>
      </c>
      <c r="K152" s="223"/>
      <c r="L152" s="41"/>
      <c r="M152" s="242" t="s">
        <v>1</v>
      </c>
      <c r="N152" s="243" t="s">
        <v>40</v>
      </c>
      <c r="O152" s="244"/>
      <c r="P152" s="245">
        <f>O152*H152</f>
        <v>0</v>
      </c>
      <c r="Q152" s="245">
        <v>0</v>
      </c>
      <c r="R152" s="245">
        <f>Q152*H152</f>
        <v>0</v>
      </c>
      <c r="S152" s="245">
        <v>0</v>
      </c>
      <c r="T152" s="246">
        <f>S152*H152</f>
        <v>0</v>
      </c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R152" s="228" t="s">
        <v>716</v>
      </c>
      <c r="AT152" s="228" t="s">
        <v>134</v>
      </c>
      <c r="AU152" s="228" t="s">
        <v>83</v>
      </c>
      <c r="AY152" s="14" t="s">
        <v>131</v>
      </c>
      <c r="BE152" s="229">
        <f>IF(N152="základní",J152,0)</f>
        <v>0</v>
      </c>
      <c r="BF152" s="229">
        <f>IF(N152="snížená",J152,0)</f>
        <v>0</v>
      </c>
      <c r="BG152" s="229">
        <f>IF(N152="zákl. přenesená",J152,0)</f>
        <v>0</v>
      </c>
      <c r="BH152" s="229">
        <f>IF(N152="sníž. přenesená",J152,0)</f>
        <v>0</v>
      </c>
      <c r="BI152" s="229">
        <f>IF(N152="nulová",J152,0)</f>
        <v>0</v>
      </c>
      <c r="BJ152" s="14" t="s">
        <v>83</v>
      </c>
      <c r="BK152" s="229">
        <f>ROUND(I152*H152,2)</f>
        <v>0</v>
      </c>
      <c r="BL152" s="14" t="s">
        <v>716</v>
      </c>
      <c r="BM152" s="228" t="s">
        <v>903</v>
      </c>
    </row>
    <row r="153" s="2" customFormat="1" ht="6.96" customHeight="1">
      <c r="A153" s="35"/>
      <c r="B153" s="63"/>
      <c r="C153" s="64"/>
      <c r="D153" s="64"/>
      <c r="E153" s="64"/>
      <c r="F153" s="64"/>
      <c r="G153" s="64"/>
      <c r="H153" s="64"/>
      <c r="I153" s="64"/>
      <c r="J153" s="64"/>
      <c r="K153" s="64"/>
      <c r="L153" s="41"/>
      <c r="M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</row>
  </sheetData>
  <sheetProtection sheet="1" autoFilter="0" formatColumns="0" formatRows="0" objects="1" scenarios="1" spinCount="100000" saltValue="JV4nsCJ3ognLuhg8pWc9YDbt1g8wusTn9ZFRLzDAN71V4CDkk968FFNPaumR77VQJbKcgl/ELQ+3Ofqxx7vyyg==" hashValue="lG1IZx0Z/lfmMboESGA1QyFTXjhMtUUxBGufupJ8LaCqsnkbSkG9QS0ZAWsniv/wDkBCCIftUlQW/AMlsBx1DA==" algorithmName="SHA-512" password="F695"/>
  <autoFilter ref="C120:K152"/>
  <mergeCells count="9">
    <mergeCell ref="E7:H7"/>
    <mergeCell ref="E9:H9"/>
    <mergeCell ref="E18:H18"/>
    <mergeCell ref="E27:H27"/>
    <mergeCell ref="E85:H85"/>
    <mergeCell ref="E87:H87"/>
    <mergeCell ref="E111:H111"/>
    <mergeCell ref="E113:H113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4" t="s">
        <v>97</v>
      </c>
    </row>
    <row r="3" s="1" customFormat="1" ht="6.96" customHeight="1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7"/>
      <c r="AT3" s="14" t="s">
        <v>85</v>
      </c>
    </row>
    <row r="4" s="1" customFormat="1" ht="24.96" customHeight="1">
      <c r="B4" s="17"/>
      <c r="D4" s="135" t="s">
        <v>101</v>
      </c>
      <c r="L4" s="17"/>
      <c r="M4" s="136" t="s">
        <v>10</v>
      </c>
      <c r="AT4" s="14" t="s">
        <v>4</v>
      </c>
    </row>
    <row r="5" s="1" customFormat="1" ht="6.96" customHeight="1">
      <c r="B5" s="17"/>
      <c r="L5" s="17"/>
    </row>
    <row r="6" s="1" customFormat="1" ht="12" customHeight="1">
      <c r="B6" s="17"/>
      <c r="D6" s="137" t="s">
        <v>16</v>
      </c>
      <c r="L6" s="17"/>
    </row>
    <row r="7" s="1" customFormat="1" ht="16.5" customHeight="1">
      <c r="B7" s="17"/>
      <c r="E7" s="138" t="str">
        <f>'Rekapitulace stavby'!K6</f>
        <v>Forestina Horaždovice- UT, OPZ</v>
      </c>
      <c r="F7" s="137"/>
      <c r="G7" s="137"/>
      <c r="H7" s="137"/>
      <c r="L7" s="17"/>
    </row>
    <row r="8" s="2" customFormat="1" ht="12" customHeight="1">
      <c r="A8" s="35"/>
      <c r="B8" s="41"/>
      <c r="C8" s="35"/>
      <c r="D8" s="137" t="s">
        <v>102</v>
      </c>
      <c r="E8" s="35"/>
      <c r="F8" s="35"/>
      <c r="G8" s="35"/>
      <c r="H8" s="35"/>
      <c r="I8" s="35"/>
      <c r="J8" s="35"/>
      <c r="K8" s="35"/>
      <c r="L8" s="6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="2" customFormat="1" ht="16.5" customHeight="1">
      <c r="A9" s="35"/>
      <c r="B9" s="41"/>
      <c r="C9" s="35"/>
      <c r="D9" s="35"/>
      <c r="E9" s="139" t="s">
        <v>904</v>
      </c>
      <c r="F9" s="35"/>
      <c r="G9" s="35"/>
      <c r="H9" s="35"/>
      <c r="I9" s="35"/>
      <c r="J9" s="35"/>
      <c r="K9" s="35"/>
      <c r="L9" s="6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="2" customFormat="1">
      <c r="A10" s="35"/>
      <c r="B10" s="41"/>
      <c r="C10" s="35"/>
      <c r="D10" s="35"/>
      <c r="E10" s="35"/>
      <c r="F10" s="35"/>
      <c r="G10" s="35"/>
      <c r="H10" s="35"/>
      <c r="I10" s="35"/>
      <c r="J10" s="35"/>
      <c r="K10" s="35"/>
      <c r="L10" s="6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="2" customFormat="1" ht="12" customHeight="1">
      <c r="A11" s="35"/>
      <c r="B11" s="41"/>
      <c r="C11" s="35"/>
      <c r="D11" s="137" t="s">
        <v>18</v>
      </c>
      <c r="E11" s="35"/>
      <c r="F11" s="140" t="s">
        <v>1</v>
      </c>
      <c r="G11" s="35"/>
      <c r="H11" s="35"/>
      <c r="I11" s="137" t="s">
        <v>19</v>
      </c>
      <c r="J11" s="140" t="s">
        <v>1</v>
      </c>
      <c r="K11" s="35"/>
      <c r="L11" s="6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="2" customFormat="1" ht="12" customHeight="1">
      <c r="A12" s="35"/>
      <c r="B12" s="41"/>
      <c r="C12" s="35"/>
      <c r="D12" s="137" t="s">
        <v>20</v>
      </c>
      <c r="E12" s="35"/>
      <c r="F12" s="140" t="s">
        <v>21</v>
      </c>
      <c r="G12" s="35"/>
      <c r="H12" s="35"/>
      <c r="I12" s="137" t="s">
        <v>22</v>
      </c>
      <c r="J12" s="141" t="str">
        <f>'Rekapitulace stavby'!AN8</f>
        <v>10. 6. 2025</v>
      </c>
      <c r="K12" s="35"/>
      <c r="L12" s="6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="2" customFormat="1" ht="10.8" customHeight="1">
      <c r="A13" s="35"/>
      <c r="B13" s="41"/>
      <c r="C13" s="35"/>
      <c r="D13" s="35"/>
      <c r="E13" s="35"/>
      <c r="F13" s="35"/>
      <c r="G13" s="35"/>
      <c r="H13" s="35"/>
      <c r="I13" s="35"/>
      <c r="J13" s="35"/>
      <c r="K13" s="35"/>
      <c r="L13" s="6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="2" customFormat="1" ht="12" customHeight="1">
      <c r="A14" s="35"/>
      <c r="B14" s="41"/>
      <c r="C14" s="35"/>
      <c r="D14" s="137" t="s">
        <v>24</v>
      </c>
      <c r="E14" s="35"/>
      <c r="F14" s="35"/>
      <c r="G14" s="35"/>
      <c r="H14" s="35"/>
      <c r="I14" s="137" t="s">
        <v>25</v>
      </c>
      <c r="J14" s="140" t="s">
        <v>1</v>
      </c>
      <c r="K14" s="35"/>
      <c r="L14" s="6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="2" customFormat="1" ht="18" customHeight="1">
      <c r="A15" s="35"/>
      <c r="B15" s="41"/>
      <c r="C15" s="35"/>
      <c r="D15" s="35"/>
      <c r="E15" s="140" t="s">
        <v>26</v>
      </c>
      <c r="F15" s="35"/>
      <c r="G15" s="35"/>
      <c r="H15" s="35"/>
      <c r="I15" s="137" t="s">
        <v>27</v>
      </c>
      <c r="J15" s="140" t="s">
        <v>1</v>
      </c>
      <c r="K15" s="35"/>
      <c r="L15" s="6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="2" customFormat="1" ht="6.96" customHeight="1">
      <c r="A16" s="35"/>
      <c r="B16" s="41"/>
      <c r="C16" s="35"/>
      <c r="D16" s="35"/>
      <c r="E16" s="35"/>
      <c r="F16" s="35"/>
      <c r="G16" s="35"/>
      <c r="H16" s="35"/>
      <c r="I16" s="35"/>
      <c r="J16" s="35"/>
      <c r="K16" s="35"/>
      <c r="L16" s="6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="2" customFormat="1" ht="12" customHeight="1">
      <c r="A17" s="35"/>
      <c r="B17" s="41"/>
      <c r="C17" s="35"/>
      <c r="D17" s="137" t="s">
        <v>28</v>
      </c>
      <c r="E17" s="35"/>
      <c r="F17" s="35"/>
      <c r="G17" s="35"/>
      <c r="H17" s="35"/>
      <c r="I17" s="137" t="s">
        <v>25</v>
      </c>
      <c r="J17" s="30" t="str">
        <f>'Rekapitulace stavby'!AN13</f>
        <v>Vyplň údaj</v>
      </c>
      <c r="K17" s="35"/>
      <c r="L17" s="6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="2" customFormat="1" ht="18" customHeight="1">
      <c r="A18" s="35"/>
      <c r="B18" s="41"/>
      <c r="C18" s="35"/>
      <c r="D18" s="35"/>
      <c r="E18" s="30" t="str">
        <f>'Rekapitulace stavby'!E14</f>
        <v>Vyplň údaj</v>
      </c>
      <c r="F18" s="140"/>
      <c r="G18" s="140"/>
      <c r="H18" s="140"/>
      <c r="I18" s="137" t="s">
        <v>27</v>
      </c>
      <c r="J18" s="30" t="str">
        <f>'Rekapitulace stavby'!AN14</f>
        <v>Vyplň údaj</v>
      </c>
      <c r="K18" s="35"/>
      <c r="L18" s="6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="2" customFormat="1" ht="6.96" customHeight="1">
      <c r="A19" s="35"/>
      <c r="B19" s="41"/>
      <c r="C19" s="35"/>
      <c r="D19" s="35"/>
      <c r="E19" s="35"/>
      <c r="F19" s="35"/>
      <c r="G19" s="35"/>
      <c r="H19" s="35"/>
      <c r="I19" s="35"/>
      <c r="J19" s="35"/>
      <c r="K19" s="35"/>
      <c r="L19" s="6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="2" customFormat="1" ht="12" customHeight="1">
      <c r="A20" s="35"/>
      <c r="B20" s="41"/>
      <c r="C20" s="35"/>
      <c r="D20" s="137" t="s">
        <v>30</v>
      </c>
      <c r="E20" s="35"/>
      <c r="F20" s="35"/>
      <c r="G20" s="35"/>
      <c r="H20" s="35"/>
      <c r="I20" s="137" t="s">
        <v>25</v>
      </c>
      <c r="J20" s="140" t="s">
        <v>1</v>
      </c>
      <c r="K20" s="35"/>
      <c r="L20" s="6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="2" customFormat="1" ht="18" customHeight="1">
      <c r="A21" s="35"/>
      <c r="B21" s="41"/>
      <c r="C21" s="35"/>
      <c r="D21" s="35"/>
      <c r="E21" s="140" t="s">
        <v>26</v>
      </c>
      <c r="F21" s="35"/>
      <c r="G21" s="35"/>
      <c r="H21" s="35"/>
      <c r="I21" s="137" t="s">
        <v>27</v>
      </c>
      <c r="J21" s="140" t="s">
        <v>1</v>
      </c>
      <c r="K21" s="35"/>
      <c r="L21" s="6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="2" customFormat="1" ht="6.96" customHeight="1">
      <c r="A22" s="35"/>
      <c r="B22" s="41"/>
      <c r="C22" s="35"/>
      <c r="D22" s="35"/>
      <c r="E22" s="35"/>
      <c r="F22" s="35"/>
      <c r="G22" s="35"/>
      <c r="H22" s="35"/>
      <c r="I22" s="35"/>
      <c r="J22" s="35"/>
      <c r="K22" s="35"/>
      <c r="L22" s="6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="2" customFormat="1" ht="12" customHeight="1">
      <c r="A23" s="35"/>
      <c r="B23" s="41"/>
      <c r="C23" s="35"/>
      <c r="D23" s="137" t="s">
        <v>32</v>
      </c>
      <c r="E23" s="35"/>
      <c r="F23" s="35"/>
      <c r="G23" s="35"/>
      <c r="H23" s="35"/>
      <c r="I23" s="137" t="s">
        <v>25</v>
      </c>
      <c r="J23" s="140" t="s">
        <v>1</v>
      </c>
      <c r="K23" s="35"/>
      <c r="L23" s="6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="2" customFormat="1" ht="18" customHeight="1">
      <c r="A24" s="35"/>
      <c r="B24" s="41"/>
      <c r="C24" s="35"/>
      <c r="D24" s="35"/>
      <c r="E24" s="140" t="s">
        <v>33</v>
      </c>
      <c r="F24" s="35"/>
      <c r="G24" s="35"/>
      <c r="H24" s="35"/>
      <c r="I24" s="137" t="s">
        <v>27</v>
      </c>
      <c r="J24" s="140" t="s">
        <v>1</v>
      </c>
      <c r="K24" s="35"/>
      <c r="L24" s="6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="2" customFormat="1" ht="6.96" customHeight="1">
      <c r="A25" s="35"/>
      <c r="B25" s="41"/>
      <c r="C25" s="35"/>
      <c r="D25" s="35"/>
      <c r="E25" s="35"/>
      <c r="F25" s="35"/>
      <c r="G25" s="35"/>
      <c r="H25" s="35"/>
      <c r="I25" s="35"/>
      <c r="J25" s="35"/>
      <c r="K25" s="35"/>
      <c r="L25" s="6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="2" customFormat="1" ht="12" customHeight="1">
      <c r="A26" s="35"/>
      <c r="B26" s="41"/>
      <c r="C26" s="35"/>
      <c r="D26" s="137" t="s">
        <v>34</v>
      </c>
      <c r="E26" s="35"/>
      <c r="F26" s="35"/>
      <c r="G26" s="35"/>
      <c r="H26" s="35"/>
      <c r="I26" s="35"/>
      <c r="J26" s="35"/>
      <c r="K26" s="35"/>
      <c r="L26" s="6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="8" customFormat="1" ht="16.5" customHeight="1">
      <c r="A27" s="142"/>
      <c r="B27" s="143"/>
      <c r="C27" s="142"/>
      <c r="D27" s="142"/>
      <c r="E27" s="144" t="s">
        <v>1</v>
      </c>
      <c r="F27" s="144"/>
      <c r="G27" s="144"/>
      <c r="H27" s="144"/>
      <c r="I27" s="142"/>
      <c r="J27" s="142"/>
      <c r="K27" s="142"/>
      <c r="L27" s="145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="2" customFormat="1" ht="6.96" customHeight="1">
      <c r="A28" s="35"/>
      <c r="B28" s="41"/>
      <c r="C28" s="35"/>
      <c r="D28" s="35"/>
      <c r="E28" s="35"/>
      <c r="F28" s="35"/>
      <c r="G28" s="35"/>
      <c r="H28" s="35"/>
      <c r="I28" s="35"/>
      <c r="J28" s="35"/>
      <c r="K28" s="35"/>
      <c r="L28" s="6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="2" customFormat="1" ht="6.96" customHeight="1">
      <c r="A29" s="35"/>
      <c r="B29" s="41"/>
      <c r="C29" s="35"/>
      <c r="D29" s="146"/>
      <c r="E29" s="146"/>
      <c r="F29" s="146"/>
      <c r="G29" s="146"/>
      <c r="H29" s="146"/>
      <c r="I29" s="146"/>
      <c r="J29" s="146"/>
      <c r="K29" s="146"/>
      <c r="L29" s="6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="2" customFormat="1" ht="25.44" customHeight="1">
      <c r="A30" s="35"/>
      <c r="B30" s="41"/>
      <c r="C30" s="35"/>
      <c r="D30" s="147" t="s">
        <v>35</v>
      </c>
      <c r="E30" s="35"/>
      <c r="F30" s="35"/>
      <c r="G30" s="35"/>
      <c r="H30" s="35"/>
      <c r="I30" s="35"/>
      <c r="J30" s="148">
        <f>ROUND(J119, 2)</f>
        <v>0</v>
      </c>
      <c r="K30" s="35"/>
      <c r="L30" s="6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="2" customFormat="1" ht="6.96" customHeight="1">
      <c r="A31" s="35"/>
      <c r="B31" s="41"/>
      <c r="C31" s="35"/>
      <c r="D31" s="146"/>
      <c r="E31" s="146"/>
      <c r="F31" s="146"/>
      <c r="G31" s="146"/>
      <c r="H31" s="146"/>
      <c r="I31" s="146"/>
      <c r="J31" s="146"/>
      <c r="K31" s="146"/>
      <c r="L31" s="6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="2" customFormat="1" ht="14.4" customHeight="1">
      <c r="A32" s="35"/>
      <c r="B32" s="41"/>
      <c r="C32" s="35"/>
      <c r="D32" s="35"/>
      <c r="E32" s="35"/>
      <c r="F32" s="149" t="s">
        <v>37</v>
      </c>
      <c r="G32" s="35"/>
      <c r="H32" s="35"/>
      <c r="I32" s="149" t="s">
        <v>36</v>
      </c>
      <c r="J32" s="149" t="s">
        <v>38</v>
      </c>
      <c r="K32" s="35"/>
      <c r="L32" s="6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="2" customFormat="1" ht="14.4" customHeight="1">
      <c r="A33" s="35"/>
      <c r="B33" s="41"/>
      <c r="C33" s="35"/>
      <c r="D33" s="150" t="s">
        <v>39</v>
      </c>
      <c r="E33" s="137" t="s">
        <v>40</v>
      </c>
      <c r="F33" s="151">
        <f>ROUND((SUM(BE119:BE144)),  2)</f>
        <v>0</v>
      </c>
      <c r="G33" s="35"/>
      <c r="H33" s="35"/>
      <c r="I33" s="152">
        <v>0.20999999999999999</v>
      </c>
      <c r="J33" s="151">
        <f>ROUND(((SUM(BE119:BE144))*I33),  2)</f>
        <v>0</v>
      </c>
      <c r="K33" s="35"/>
      <c r="L33" s="6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="2" customFormat="1" ht="14.4" customHeight="1">
      <c r="A34" s="35"/>
      <c r="B34" s="41"/>
      <c r="C34" s="35"/>
      <c r="D34" s="35"/>
      <c r="E34" s="137" t="s">
        <v>41</v>
      </c>
      <c r="F34" s="151">
        <f>ROUND((SUM(BF119:BF144)),  2)</f>
        <v>0</v>
      </c>
      <c r="G34" s="35"/>
      <c r="H34" s="35"/>
      <c r="I34" s="152">
        <v>0.12</v>
      </c>
      <c r="J34" s="151">
        <f>ROUND(((SUM(BF119:BF144))*I34),  2)</f>
        <v>0</v>
      </c>
      <c r="K34" s="35"/>
      <c r="L34" s="6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hidden="1" s="2" customFormat="1" ht="14.4" customHeight="1">
      <c r="A35" s="35"/>
      <c r="B35" s="41"/>
      <c r="C35" s="35"/>
      <c r="D35" s="35"/>
      <c r="E35" s="137" t="s">
        <v>42</v>
      </c>
      <c r="F35" s="151">
        <f>ROUND((SUM(BG119:BG144)),  2)</f>
        <v>0</v>
      </c>
      <c r="G35" s="35"/>
      <c r="H35" s="35"/>
      <c r="I35" s="152">
        <v>0.20999999999999999</v>
      </c>
      <c r="J35" s="151">
        <f>0</f>
        <v>0</v>
      </c>
      <c r="K35" s="35"/>
      <c r="L35" s="6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hidden="1" s="2" customFormat="1" ht="14.4" customHeight="1">
      <c r="A36" s="35"/>
      <c r="B36" s="41"/>
      <c r="C36" s="35"/>
      <c r="D36" s="35"/>
      <c r="E36" s="137" t="s">
        <v>43</v>
      </c>
      <c r="F36" s="151">
        <f>ROUND((SUM(BH119:BH144)),  2)</f>
        <v>0</v>
      </c>
      <c r="G36" s="35"/>
      <c r="H36" s="35"/>
      <c r="I36" s="152">
        <v>0.12</v>
      </c>
      <c r="J36" s="151">
        <f>0</f>
        <v>0</v>
      </c>
      <c r="K36" s="35"/>
      <c r="L36" s="6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hidden="1" s="2" customFormat="1" ht="14.4" customHeight="1">
      <c r="A37" s="35"/>
      <c r="B37" s="41"/>
      <c r="C37" s="35"/>
      <c r="D37" s="35"/>
      <c r="E37" s="137" t="s">
        <v>44</v>
      </c>
      <c r="F37" s="151">
        <f>ROUND((SUM(BI119:BI144)),  2)</f>
        <v>0</v>
      </c>
      <c r="G37" s="35"/>
      <c r="H37" s="35"/>
      <c r="I37" s="152">
        <v>0</v>
      </c>
      <c r="J37" s="151">
        <f>0</f>
        <v>0</v>
      </c>
      <c r="K37" s="35"/>
      <c r="L37" s="6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="2" customFormat="1" ht="6.96" customHeight="1">
      <c r="A38" s="35"/>
      <c r="B38" s="41"/>
      <c r="C38" s="35"/>
      <c r="D38" s="35"/>
      <c r="E38" s="35"/>
      <c r="F38" s="35"/>
      <c r="G38" s="35"/>
      <c r="H38" s="35"/>
      <c r="I38" s="35"/>
      <c r="J38" s="35"/>
      <c r="K38" s="35"/>
      <c r="L38" s="6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="2" customFormat="1" ht="25.44" customHeight="1">
      <c r="A39" s="35"/>
      <c r="B39" s="41"/>
      <c r="C39" s="153"/>
      <c r="D39" s="154" t="s">
        <v>45</v>
      </c>
      <c r="E39" s="155"/>
      <c r="F39" s="155"/>
      <c r="G39" s="156" t="s">
        <v>46</v>
      </c>
      <c r="H39" s="157" t="s">
        <v>47</v>
      </c>
      <c r="I39" s="155"/>
      <c r="J39" s="158">
        <f>SUM(J30:J37)</f>
        <v>0</v>
      </c>
      <c r="K39" s="159"/>
      <c r="L39" s="6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="2" customFormat="1" ht="14.4" customHeight="1">
      <c r="A40" s="35"/>
      <c r="B40" s="41"/>
      <c r="C40" s="35"/>
      <c r="D40" s="35"/>
      <c r="E40" s="35"/>
      <c r="F40" s="35"/>
      <c r="G40" s="35"/>
      <c r="H40" s="35"/>
      <c r="I40" s="35"/>
      <c r="J40" s="35"/>
      <c r="K40" s="35"/>
      <c r="L40" s="6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="1" customFormat="1" ht="14.4" customHeight="1">
      <c r="B41" s="17"/>
      <c r="L41" s="17"/>
    </row>
    <row r="42" s="1" customFormat="1" ht="14.4" customHeight="1">
      <c r="B42" s="17"/>
      <c r="L42" s="17"/>
    </row>
    <row r="43" s="1" customFormat="1" ht="14.4" customHeight="1">
      <c r="B43" s="17"/>
      <c r="L43" s="17"/>
    </row>
    <row r="44" s="1" customFormat="1" ht="14.4" customHeight="1">
      <c r="B44" s="17"/>
      <c r="L44" s="17"/>
    </row>
    <row r="45" s="1" customFormat="1" ht="14.4" customHeight="1">
      <c r="B45" s="17"/>
      <c r="L45" s="17"/>
    </row>
    <row r="46" s="1" customFormat="1" ht="14.4" customHeight="1">
      <c r="B46" s="17"/>
      <c r="L46" s="17"/>
    </row>
    <row r="47" s="1" customFormat="1" ht="14.4" customHeight="1">
      <c r="B47" s="17"/>
      <c r="L47" s="17"/>
    </row>
    <row r="48" s="1" customFormat="1" ht="14.4" customHeight="1">
      <c r="B48" s="17"/>
      <c r="L48" s="17"/>
    </row>
    <row r="49" s="1" customFormat="1" ht="14.4" customHeight="1">
      <c r="B49" s="17"/>
      <c r="L49" s="17"/>
    </row>
    <row r="50" s="2" customFormat="1" ht="14.4" customHeight="1">
      <c r="B50" s="60"/>
      <c r="D50" s="160" t="s">
        <v>48</v>
      </c>
      <c r="E50" s="161"/>
      <c r="F50" s="161"/>
      <c r="G50" s="160" t="s">
        <v>49</v>
      </c>
      <c r="H50" s="161"/>
      <c r="I50" s="161"/>
      <c r="J50" s="161"/>
      <c r="K50" s="161"/>
      <c r="L50" s="60"/>
    </row>
    <row r="51">
      <c r="B51" s="17"/>
      <c r="L51" s="17"/>
    </row>
    <row r="52">
      <c r="B52" s="17"/>
      <c r="L52" s="17"/>
    </row>
    <row r="53">
      <c r="B53" s="17"/>
      <c r="L53" s="17"/>
    </row>
    <row r="54">
      <c r="B54" s="17"/>
      <c r="L54" s="17"/>
    </row>
    <row r="55">
      <c r="B55" s="17"/>
      <c r="L55" s="17"/>
    </row>
    <row r="56">
      <c r="B56" s="17"/>
      <c r="L56" s="17"/>
    </row>
    <row r="57">
      <c r="B57" s="17"/>
      <c r="L57" s="17"/>
    </row>
    <row r="58">
      <c r="B58" s="17"/>
      <c r="L58" s="17"/>
    </row>
    <row r="59">
      <c r="B59" s="17"/>
      <c r="L59" s="17"/>
    </row>
    <row r="60">
      <c r="B60" s="17"/>
      <c r="L60" s="17"/>
    </row>
    <row r="61" s="2" customFormat="1">
      <c r="A61" s="35"/>
      <c r="B61" s="41"/>
      <c r="C61" s="35"/>
      <c r="D61" s="162" t="s">
        <v>50</v>
      </c>
      <c r="E61" s="163"/>
      <c r="F61" s="164" t="s">
        <v>51</v>
      </c>
      <c r="G61" s="162" t="s">
        <v>50</v>
      </c>
      <c r="H61" s="163"/>
      <c r="I61" s="163"/>
      <c r="J61" s="165" t="s">
        <v>51</v>
      </c>
      <c r="K61" s="163"/>
      <c r="L61" s="6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>
      <c r="B62" s="17"/>
      <c r="L62" s="17"/>
    </row>
    <row r="63">
      <c r="B63" s="17"/>
      <c r="L63" s="17"/>
    </row>
    <row r="64">
      <c r="B64" s="17"/>
      <c r="L64" s="17"/>
    </row>
    <row r="65" s="2" customFormat="1">
      <c r="A65" s="35"/>
      <c r="B65" s="41"/>
      <c r="C65" s="35"/>
      <c r="D65" s="160" t="s">
        <v>52</v>
      </c>
      <c r="E65" s="166"/>
      <c r="F65" s="166"/>
      <c r="G65" s="160" t="s">
        <v>53</v>
      </c>
      <c r="H65" s="166"/>
      <c r="I65" s="166"/>
      <c r="J65" s="166"/>
      <c r="K65" s="166"/>
      <c r="L65" s="6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>
      <c r="B66" s="17"/>
      <c r="L66" s="17"/>
    </row>
    <row r="67">
      <c r="B67" s="17"/>
      <c r="L67" s="17"/>
    </row>
    <row r="68">
      <c r="B68" s="17"/>
      <c r="L68" s="17"/>
    </row>
    <row r="69">
      <c r="B69" s="17"/>
      <c r="L69" s="17"/>
    </row>
    <row r="70">
      <c r="B70" s="17"/>
      <c r="L70" s="17"/>
    </row>
    <row r="71">
      <c r="B71" s="17"/>
      <c r="L71" s="17"/>
    </row>
    <row r="72">
      <c r="B72" s="17"/>
      <c r="L72" s="17"/>
    </row>
    <row r="73">
      <c r="B73" s="17"/>
      <c r="L73" s="17"/>
    </row>
    <row r="74">
      <c r="B74" s="17"/>
      <c r="L74" s="17"/>
    </row>
    <row r="75">
      <c r="B75" s="17"/>
      <c r="L75" s="17"/>
    </row>
    <row r="76" s="2" customFormat="1">
      <c r="A76" s="35"/>
      <c r="B76" s="41"/>
      <c r="C76" s="35"/>
      <c r="D76" s="162" t="s">
        <v>50</v>
      </c>
      <c r="E76" s="163"/>
      <c r="F76" s="164" t="s">
        <v>51</v>
      </c>
      <c r="G76" s="162" t="s">
        <v>50</v>
      </c>
      <c r="H76" s="163"/>
      <c r="I76" s="163"/>
      <c r="J76" s="165" t="s">
        <v>51</v>
      </c>
      <c r="K76" s="163"/>
      <c r="L76" s="6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="2" customFormat="1" ht="14.4" customHeight="1">
      <c r="A77" s="35"/>
      <c r="B77" s="167"/>
      <c r="C77" s="168"/>
      <c r="D77" s="168"/>
      <c r="E77" s="168"/>
      <c r="F77" s="168"/>
      <c r="G77" s="168"/>
      <c r="H77" s="168"/>
      <c r="I77" s="168"/>
      <c r="J77" s="168"/>
      <c r="K77" s="168"/>
      <c r="L77" s="6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81" s="2" customFormat="1" ht="6.96" customHeight="1">
      <c r="A81" s="35"/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6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="2" customFormat="1" ht="24.96" customHeight="1">
      <c r="A82" s="35"/>
      <c r="B82" s="36"/>
      <c r="C82" s="20" t="s">
        <v>104</v>
      </c>
      <c r="D82" s="37"/>
      <c r="E82" s="37"/>
      <c r="F82" s="37"/>
      <c r="G82" s="37"/>
      <c r="H82" s="37"/>
      <c r="I82" s="37"/>
      <c r="J82" s="37"/>
      <c r="K82" s="37"/>
      <c r="L82" s="6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="2" customFormat="1" ht="6.96" customHeight="1">
      <c r="A83" s="35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6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="2" customFormat="1" ht="12" customHeight="1">
      <c r="A84" s="35"/>
      <c r="B84" s="36"/>
      <c r="C84" s="29" t="s">
        <v>16</v>
      </c>
      <c r="D84" s="37"/>
      <c r="E84" s="37"/>
      <c r="F84" s="37"/>
      <c r="G84" s="37"/>
      <c r="H84" s="37"/>
      <c r="I84" s="37"/>
      <c r="J84" s="37"/>
      <c r="K84" s="37"/>
      <c r="L84" s="6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="2" customFormat="1" ht="16.5" customHeight="1">
      <c r="A85" s="35"/>
      <c r="B85" s="36"/>
      <c r="C85" s="37"/>
      <c r="D85" s="37"/>
      <c r="E85" s="171" t="str">
        <f>E7</f>
        <v>Forestina Horaždovice- UT, OPZ</v>
      </c>
      <c r="F85" s="29"/>
      <c r="G85" s="29"/>
      <c r="H85" s="29"/>
      <c r="I85" s="37"/>
      <c r="J85" s="37"/>
      <c r="K85" s="37"/>
      <c r="L85" s="6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="2" customFormat="1" ht="12" customHeight="1">
      <c r="A86" s="35"/>
      <c r="B86" s="36"/>
      <c r="C86" s="29" t="s">
        <v>102</v>
      </c>
      <c r="D86" s="37"/>
      <c r="E86" s="37"/>
      <c r="F86" s="37"/>
      <c r="G86" s="37"/>
      <c r="H86" s="37"/>
      <c r="I86" s="37"/>
      <c r="J86" s="37"/>
      <c r="K86" s="37"/>
      <c r="L86" s="6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="2" customFormat="1" ht="16.5" customHeight="1">
      <c r="A87" s="35"/>
      <c r="B87" s="36"/>
      <c r="C87" s="37"/>
      <c r="D87" s="37"/>
      <c r="E87" s="73" t="str">
        <f>E9</f>
        <v>05 - OPZ-kotelna</v>
      </c>
      <c r="F87" s="37"/>
      <c r="G87" s="37"/>
      <c r="H87" s="37"/>
      <c r="I87" s="37"/>
      <c r="J87" s="37"/>
      <c r="K87" s="37"/>
      <c r="L87" s="6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="2" customFormat="1" ht="6.96" customHeight="1">
      <c r="A88" s="35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6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="2" customFormat="1" ht="12" customHeight="1">
      <c r="A89" s="35"/>
      <c r="B89" s="36"/>
      <c r="C89" s="29" t="s">
        <v>20</v>
      </c>
      <c r="D89" s="37"/>
      <c r="E89" s="37"/>
      <c r="F89" s="24" t="str">
        <f>F12</f>
        <v>Horaždovice</v>
      </c>
      <c r="G89" s="37"/>
      <c r="H89" s="37"/>
      <c r="I89" s="29" t="s">
        <v>22</v>
      </c>
      <c r="J89" s="76" t="str">
        <f>IF(J12="","",J12)</f>
        <v>10. 6. 2025</v>
      </c>
      <c r="K89" s="37"/>
      <c r="L89" s="6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="2" customFormat="1" ht="6.96" customHeight="1">
      <c r="A90" s="35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6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="2" customFormat="1" ht="15.15" customHeight="1">
      <c r="A91" s="35"/>
      <c r="B91" s="36"/>
      <c r="C91" s="29" t="s">
        <v>24</v>
      </c>
      <c r="D91" s="37"/>
      <c r="E91" s="37"/>
      <c r="F91" s="24" t="str">
        <f>E15</f>
        <v xml:space="preserve"> </v>
      </c>
      <c r="G91" s="37"/>
      <c r="H91" s="37"/>
      <c r="I91" s="29" t="s">
        <v>30</v>
      </c>
      <c r="J91" s="33" t="str">
        <f>E21</f>
        <v xml:space="preserve"> </v>
      </c>
      <c r="K91" s="37"/>
      <c r="L91" s="6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="2" customFormat="1" ht="15.15" customHeight="1">
      <c r="A92" s="35"/>
      <c r="B92" s="36"/>
      <c r="C92" s="29" t="s">
        <v>28</v>
      </c>
      <c r="D92" s="37"/>
      <c r="E92" s="37"/>
      <c r="F92" s="24" t="str">
        <f>IF(E18="","",E18)</f>
        <v>Vyplň údaj</v>
      </c>
      <c r="G92" s="37"/>
      <c r="H92" s="37"/>
      <c r="I92" s="29" t="s">
        <v>32</v>
      </c>
      <c r="J92" s="33" t="str">
        <f>E24</f>
        <v xml:space="preserve">Ing. pavel Míka </v>
      </c>
      <c r="K92" s="37"/>
      <c r="L92" s="6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="2" customFormat="1" ht="10.32" customHeight="1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6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="2" customFormat="1" ht="29.28" customHeight="1">
      <c r="A94" s="35"/>
      <c r="B94" s="36"/>
      <c r="C94" s="172" t="s">
        <v>105</v>
      </c>
      <c r="D94" s="173"/>
      <c r="E94" s="173"/>
      <c r="F94" s="173"/>
      <c r="G94" s="173"/>
      <c r="H94" s="173"/>
      <c r="I94" s="173"/>
      <c r="J94" s="174" t="s">
        <v>106</v>
      </c>
      <c r="K94" s="173"/>
      <c r="L94" s="6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="2" customFormat="1" ht="10.32" customHeight="1">
      <c r="A95" s="35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6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="2" customFormat="1" ht="22.8" customHeight="1">
      <c r="A96" s="35"/>
      <c r="B96" s="36"/>
      <c r="C96" s="175" t="s">
        <v>107</v>
      </c>
      <c r="D96" s="37"/>
      <c r="E96" s="37"/>
      <c r="F96" s="37"/>
      <c r="G96" s="37"/>
      <c r="H96" s="37"/>
      <c r="I96" s="37"/>
      <c r="J96" s="107">
        <f>J119</f>
        <v>0</v>
      </c>
      <c r="K96" s="37"/>
      <c r="L96" s="6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U96" s="14" t="s">
        <v>108</v>
      </c>
    </row>
    <row r="97" s="9" customFormat="1" ht="24.96" customHeight="1">
      <c r="A97" s="9"/>
      <c r="B97" s="176"/>
      <c r="C97" s="177"/>
      <c r="D97" s="178" t="s">
        <v>109</v>
      </c>
      <c r="E97" s="179"/>
      <c r="F97" s="179"/>
      <c r="G97" s="179"/>
      <c r="H97" s="179"/>
      <c r="I97" s="179"/>
      <c r="J97" s="180">
        <f>J120</f>
        <v>0</v>
      </c>
      <c r="K97" s="177"/>
      <c r="L97" s="181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2"/>
      <c r="C98" s="183"/>
      <c r="D98" s="184" t="s">
        <v>727</v>
      </c>
      <c r="E98" s="185"/>
      <c r="F98" s="185"/>
      <c r="G98" s="185"/>
      <c r="H98" s="185"/>
      <c r="I98" s="185"/>
      <c r="J98" s="186">
        <f>J121</f>
        <v>0</v>
      </c>
      <c r="K98" s="183"/>
      <c r="L98" s="187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9" customFormat="1" ht="24.96" customHeight="1">
      <c r="A99" s="9"/>
      <c r="B99" s="176"/>
      <c r="C99" s="177"/>
      <c r="D99" s="178" t="s">
        <v>815</v>
      </c>
      <c r="E99" s="179"/>
      <c r="F99" s="179"/>
      <c r="G99" s="179"/>
      <c r="H99" s="179"/>
      <c r="I99" s="179"/>
      <c r="J99" s="180">
        <f>J143</f>
        <v>0</v>
      </c>
      <c r="K99" s="177"/>
      <c r="L99" s="181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="2" customFormat="1" ht="21.84" customHeight="1">
      <c r="A100" s="35"/>
      <c r="B100" s="36"/>
      <c r="C100" s="37"/>
      <c r="D100" s="37"/>
      <c r="E100" s="37"/>
      <c r="F100" s="37"/>
      <c r="G100" s="37"/>
      <c r="H100" s="37"/>
      <c r="I100" s="37"/>
      <c r="J100" s="37"/>
      <c r="K100" s="37"/>
      <c r="L100" s="60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</row>
    <row r="101" s="2" customFormat="1" ht="6.96" customHeight="1">
      <c r="A101" s="35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0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</row>
    <row r="105" s="2" customFormat="1" ht="6.96" customHeight="1">
      <c r="A105" s="35"/>
      <c r="B105" s="65"/>
      <c r="C105" s="66"/>
      <c r="D105" s="66"/>
      <c r="E105" s="66"/>
      <c r="F105" s="66"/>
      <c r="G105" s="66"/>
      <c r="H105" s="66"/>
      <c r="I105" s="66"/>
      <c r="J105" s="66"/>
      <c r="K105" s="66"/>
      <c r="L105" s="60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</row>
    <row r="106" s="2" customFormat="1" ht="24.96" customHeight="1">
      <c r="A106" s="35"/>
      <c r="B106" s="36"/>
      <c r="C106" s="20" t="s">
        <v>116</v>
      </c>
      <c r="D106" s="37"/>
      <c r="E106" s="37"/>
      <c r="F106" s="37"/>
      <c r="G106" s="37"/>
      <c r="H106" s="37"/>
      <c r="I106" s="37"/>
      <c r="J106" s="37"/>
      <c r="K106" s="37"/>
      <c r="L106" s="60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</row>
    <row r="107" s="2" customFormat="1" ht="6.96" customHeight="1">
      <c r="A107" s="35"/>
      <c r="B107" s="36"/>
      <c r="C107" s="37"/>
      <c r="D107" s="37"/>
      <c r="E107" s="37"/>
      <c r="F107" s="37"/>
      <c r="G107" s="37"/>
      <c r="H107" s="37"/>
      <c r="I107" s="37"/>
      <c r="J107" s="37"/>
      <c r="K107" s="37"/>
      <c r="L107" s="60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</row>
    <row r="108" s="2" customFormat="1" ht="12" customHeight="1">
      <c r="A108" s="35"/>
      <c r="B108" s="36"/>
      <c r="C108" s="29" t="s">
        <v>16</v>
      </c>
      <c r="D108" s="37"/>
      <c r="E108" s="37"/>
      <c r="F108" s="37"/>
      <c r="G108" s="37"/>
      <c r="H108" s="37"/>
      <c r="I108" s="37"/>
      <c r="J108" s="37"/>
      <c r="K108" s="37"/>
      <c r="L108" s="60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</row>
    <row r="109" s="2" customFormat="1" ht="16.5" customHeight="1">
      <c r="A109" s="35"/>
      <c r="B109" s="36"/>
      <c r="C109" s="37"/>
      <c r="D109" s="37"/>
      <c r="E109" s="171" t="str">
        <f>E7</f>
        <v>Forestina Horaždovice- UT, OPZ</v>
      </c>
      <c r="F109" s="29"/>
      <c r="G109" s="29"/>
      <c r="H109" s="29"/>
      <c r="I109" s="37"/>
      <c r="J109" s="37"/>
      <c r="K109" s="37"/>
      <c r="L109" s="6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</row>
    <row r="110" s="2" customFormat="1" ht="12" customHeight="1">
      <c r="A110" s="35"/>
      <c r="B110" s="36"/>
      <c r="C110" s="29" t="s">
        <v>102</v>
      </c>
      <c r="D110" s="37"/>
      <c r="E110" s="37"/>
      <c r="F110" s="37"/>
      <c r="G110" s="37"/>
      <c r="H110" s="37"/>
      <c r="I110" s="37"/>
      <c r="J110" s="37"/>
      <c r="K110" s="37"/>
      <c r="L110" s="6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 s="2" customFormat="1" ht="16.5" customHeight="1">
      <c r="A111" s="35"/>
      <c r="B111" s="36"/>
      <c r="C111" s="37"/>
      <c r="D111" s="37"/>
      <c r="E111" s="73" t="str">
        <f>E9</f>
        <v>05 - OPZ-kotelna</v>
      </c>
      <c r="F111" s="37"/>
      <c r="G111" s="37"/>
      <c r="H111" s="37"/>
      <c r="I111" s="37"/>
      <c r="J111" s="37"/>
      <c r="K111" s="37"/>
      <c r="L111" s="6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 s="2" customFormat="1" ht="6.96" customHeight="1">
      <c r="A112" s="35"/>
      <c r="B112" s="36"/>
      <c r="C112" s="37"/>
      <c r="D112" s="37"/>
      <c r="E112" s="37"/>
      <c r="F112" s="37"/>
      <c r="G112" s="37"/>
      <c r="H112" s="37"/>
      <c r="I112" s="37"/>
      <c r="J112" s="37"/>
      <c r="K112" s="37"/>
      <c r="L112" s="6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 s="2" customFormat="1" ht="12" customHeight="1">
      <c r="A113" s="35"/>
      <c r="B113" s="36"/>
      <c r="C113" s="29" t="s">
        <v>20</v>
      </c>
      <c r="D113" s="37"/>
      <c r="E113" s="37"/>
      <c r="F113" s="24" t="str">
        <f>F12</f>
        <v>Horaždovice</v>
      </c>
      <c r="G113" s="37"/>
      <c r="H113" s="37"/>
      <c r="I113" s="29" t="s">
        <v>22</v>
      </c>
      <c r="J113" s="76" t="str">
        <f>IF(J12="","",J12)</f>
        <v>10. 6. 2025</v>
      </c>
      <c r="K113" s="37"/>
      <c r="L113" s="6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 s="2" customFormat="1" ht="6.96" customHeight="1">
      <c r="A114" s="35"/>
      <c r="B114" s="36"/>
      <c r="C114" s="37"/>
      <c r="D114" s="37"/>
      <c r="E114" s="37"/>
      <c r="F114" s="37"/>
      <c r="G114" s="37"/>
      <c r="H114" s="37"/>
      <c r="I114" s="37"/>
      <c r="J114" s="37"/>
      <c r="K114" s="37"/>
      <c r="L114" s="6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 s="2" customFormat="1" ht="15.15" customHeight="1">
      <c r="A115" s="35"/>
      <c r="B115" s="36"/>
      <c r="C115" s="29" t="s">
        <v>24</v>
      </c>
      <c r="D115" s="37"/>
      <c r="E115" s="37"/>
      <c r="F115" s="24" t="str">
        <f>E15</f>
        <v xml:space="preserve"> </v>
      </c>
      <c r="G115" s="37"/>
      <c r="H115" s="37"/>
      <c r="I115" s="29" t="s">
        <v>30</v>
      </c>
      <c r="J115" s="33" t="str">
        <f>E21</f>
        <v xml:space="preserve"> </v>
      </c>
      <c r="K115" s="37"/>
      <c r="L115" s="6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 s="2" customFormat="1" ht="15.15" customHeight="1">
      <c r="A116" s="35"/>
      <c r="B116" s="36"/>
      <c r="C116" s="29" t="s">
        <v>28</v>
      </c>
      <c r="D116" s="37"/>
      <c r="E116" s="37"/>
      <c r="F116" s="24" t="str">
        <f>IF(E18="","",E18)</f>
        <v>Vyplň údaj</v>
      </c>
      <c r="G116" s="37"/>
      <c r="H116" s="37"/>
      <c r="I116" s="29" t="s">
        <v>32</v>
      </c>
      <c r="J116" s="33" t="str">
        <f>E24</f>
        <v xml:space="preserve">Ing. pavel Míka </v>
      </c>
      <c r="K116" s="37"/>
      <c r="L116" s="6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="2" customFormat="1" ht="10.32" customHeight="1">
      <c r="A117" s="35"/>
      <c r="B117" s="36"/>
      <c r="C117" s="37"/>
      <c r="D117" s="37"/>
      <c r="E117" s="37"/>
      <c r="F117" s="37"/>
      <c r="G117" s="37"/>
      <c r="H117" s="37"/>
      <c r="I117" s="37"/>
      <c r="J117" s="37"/>
      <c r="K117" s="37"/>
      <c r="L117" s="60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="11" customFormat="1" ht="29.28" customHeight="1">
      <c r="A118" s="188"/>
      <c r="B118" s="189"/>
      <c r="C118" s="190" t="s">
        <v>117</v>
      </c>
      <c r="D118" s="191" t="s">
        <v>60</v>
      </c>
      <c r="E118" s="191" t="s">
        <v>56</v>
      </c>
      <c r="F118" s="191" t="s">
        <v>57</v>
      </c>
      <c r="G118" s="191" t="s">
        <v>118</v>
      </c>
      <c r="H118" s="191" t="s">
        <v>119</v>
      </c>
      <c r="I118" s="191" t="s">
        <v>120</v>
      </c>
      <c r="J118" s="192" t="s">
        <v>106</v>
      </c>
      <c r="K118" s="193" t="s">
        <v>121</v>
      </c>
      <c r="L118" s="194"/>
      <c r="M118" s="97" t="s">
        <v>1</v>
      </c>
      <c r="N118" s="98" t="s">
        <v>39</v>
      </c>
      <c r="O118" s="98" t="s">
        <v>122</v>
      </c>
      <c r="P118" s="98" t="s">
        <v>123</v>
      </c>
      <c r="Q118" s="98" t="s">
        <v>124</v>
      </c>
      <c r="R118" s="98" t="s">
        <v>125</v>
      </c>
      <c r="S118" s="98" t="s">
        <v>126</v>
      </c>
      <c r="T118" s="99" t="s">
        <v>127</v>
      </c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</row>
    <row r="119" s="2" customFormat="1" ht="22.8" customHeight="1">
      <c r="A119" s="35"/>
      <c r="B119" s="36"/>
      <c r="C119" s="104" t="s">
        <v>128</v>
      </c>
      <c r="D119" s="37"/>
      <c r="E119" s="37"/>
      <c r="F119" s="37"/>
      <c r="G119" s="37"/>
      <c r="H119" s="37"/>
      <c r="I119" s="37"/>
      <c r="J119" s="195">
        <f>BK119</f>
        <v>0</v>
      </c>
      <c r="K119" s="37"/>
      <c r="L119" s="41"/>
      <c r="M119" s="100"/>
      <c r="N119" s="196"/>
      <c r="O119" s="101"/>
      <c r="P119" s="197">
        <f>P120+P143</f>
        <v>0</v>
      </c>
      <c r="Q119" s="101"/>
      <c r="R119" s="197">
        <f>R120+R143</f>
        <v>0.19843999999999998</v>
      </c>
      <c r="S119" s="101"/>
      <c r="T119" s="198">
        <f>T120+T143</f>
        <v>0</v>
      </c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T119" s="14" t="s">
        <v>74</v>
      </c>
      <c r="AU119" s="14" t="s">
        <v>108</v>
      </c>
      <c r="BK119" s="199">
        <f>BK120+BK143</f>
        <v>0</v>
      </c>
    </row>
    <row r="120" s="12" customFormat="1" ht="25.92" customHeight="1">
      <c r="A120" s="12"/>
      <c r="B120" s="200"/>
      <c r="C120" s="201"/>
      <c r="D120" s="202" t="s">
        <v>74</v>
      </c>
      <c r="E120" s="203" t="s">
        <v>129</v>
      </c>
      <c r="F120" s="203" t="s">
        <v>130</v>
      </c>
      <c r="G120" s="201"/>
      <c r="H120" s="201"/>
      <c r="I120" s="204"/>
      <c r="J120" s="205">
        <f>BK120</f>
        <v>0</v>
      </c>
      <c r="K120" s="201"/>
      <c r="L120" s="206"/>
      <c r="M120" s="207"/>
      <c r="N120" s="208"/>
      <c r="O120" s="208"/>
      <c r="P120" s="209">
        <f>P121</f>
        <v>0</v>
      </c>
      <c r="Q120" s="208"/>
      <c r="R120" s="209">
        <f>R121</f>
        <v>0.19843999999999998</v>
      </c>
      <c r="S120" s="208"/>
      <c r="T120" s="210">
        <f>T121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1" t="s">
        <v>85</v>
      </c>
      <c r="AT120" s="212" t="s">
        <v>74</v>
      </c>
      <c r="AU120" s="212" t="s">
        <v>75</v>
      </c>
      <c r="AY120" s="211" t="s">
        <v>131</v>
      </c>
      <c r="BK120" s="213">
        <f>BK121</f>
        <v>0</v>
      </c>
    </row>
    <row r="121" s="12" customFormat="1" ht="22.8" customHeight="1">
      <c r="A121" s="12"/>
      <c r="B121" s="200"/>
      <c r="C121" s="201"/>
      <c r="D121" s="202" t="s">
        <v>74</v>
      </c>
      <c r="E121" s="214" t="s">
        <v>728</v>
      </c>
      <c r="F121" s="214" t="s">
        <v>729</v>
      </c>
      <c r="G121" s="201"/>
      <c r="H121" s="201"/>
      <c r="I121" s="204"/>
      <c r="J121" s="215">
        <f>BK121</f>
        <v>0</v>
      </c>
      <c r="K121" s="201"/>
      <c r="L121" s="206"/>
      <c r="M121" s="207"/>
      <c r="N121" s="208"/>
      <c r="O121" s="208"/>
      <c r="P121" s="209">
        <f>SUM(P122:P142)</f>
        <v>0</v>
      </c>
      <c r="Q121" s="208"/>
      <c r="R121" s="209">
        <f>SUM(R122:R142)</f>
        <v>0.19843999999999998</v>
      </c>
      <c r="S121" s="208"/>
      <c r="T121" s="210">
        <f>SUM(T122:T142)</f>
        <v>0</v>
      </c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R121" s="211" t="s">
        <v>85</v>
      </c>
      <c r="AT121" s="212" t="s">
        <v>74</v>
      </c>
      <c r="AU121" s="212" t="s">
        <v>83</v>
      </c>
      <c r="AY121" s="211" t="s">
        <v>131</v>
      </c>
      <c r="BK121" s="213">
        <f>SUM(BK122:BK142)</f>
        <v>0</v>
      </c>
    </row>
    <row r="122" s="2" customFormat="1" ht="24.15" customHeight="1">
      <c r="A122" s="35"/>
      <c r="B122" s="36"/>
      <c r="C122" s="216" t="s">
        <v>610</v>
      </c>
      <c r="D122" s="216" t="s">
        <v>134</v>
      </c>
      <c r="E122" s="217" t="s">
        <v>736</v>
      </c>
      <c r="F122" s="218" t="s">
        <v>737</v>
      </c>
      <c r="G122" s="219" t="s">
        <v>142</v>
      </c>
      <c r="H122" s="220">
        <v>40</v>
      </c>
      <c r="I122" s="221"/>
      <c r="J122" s="222">
        <f>ROUND(I122*H122,2)</f>
        <v>0</v>
      </c>
      <c r="K122" s="223"/>
      <c r="L122" s="41"/>
      <c r="M122" s="224" t="s">
        <v>1</v>
      </c>
      <c r="N122" s="225" t="s">
        <v>40</v>
      </c>
      <c r="O122" s="88"/>
      <c r="P122" s="226">
        <f>O122*H122</f>
        <v>0</v>
      </c>
      <c r="Q122" s="226">
        <v>0.00428</v>
      </c>
      <c r="R122" s="226">
        <f>Q122*H122</f>
        <v>0.17119999999999999</v>
      </c>
      <c r="S122" s="226">
        <v>0</v>
      </c>
      <c r="T122" s="227">
        <f>S122*H122</f>
        <v>0</v>
      </c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R122" s="228" t="s">
        <v>138</v>
      </c>
      <c r="AT122" s="228" t="s">
        <v>134</v>
      </c>
      <c r="AU122" s="228" t="s">
        <v>85</v>
      </c>
      <c r="AY122" s="14" t="s">
        <v>131</v>
      </c>
      <c r="BE122" s="229">
        <f>IF(N122="základní",J122,0)</f>
        <v>0</v>
      </c>
      <c r="BF122" s="229">
        <f>IF(N122="snížená",J122,0)</f>
        <v>0</v>
      </c>
      <c r="BG122" s="229">
        <f>IF(N122="zákl. přenesená",J122,0)</f>
        <v>0</v>
      </c>
      <c r="BH122" s="229">
        <f>IF(N122="sníž. přenesená",J122,0)</f>
        <v>0</v>
      </c>
      <c r="BI122" s="229">
        <f>IF(N122="nulová",J122,0)</f>
        <v>0</v>
      </c>
      <c r="BJ122" s="14" t="s">
        <v>83</v>
      </c>
      <c r="BK122" s="229">
        <f>ROUND(I122*H122,2)</f>
        <v>0</v>
      </c>
      <c r="BL122" s="14" t="s">
        <v>138</v>
      </c>
      <c r="BM122" s="228" t="s">
        <v>905</v>
      </c>
    </row>
    <row r="123" s="2" customFormat="1" ht="24.15" customHeight="1">
      <c r="A123" s="35"/>
      <c r="B123" s="36"/>
      <c r="C123" s="216" t="s">
        <v>83</v>
      </c>
      <c r="D123" s="216" t="s">
        <v>134</v>
      </c>
      <c r="E123" s="217" t="s">
        <v>752</v>
      </c>
      <c r="F123" s="218" t="s">
        <v>753</v>
      </c>
      <c r="G123" s="219" t="s">
        <v>180</v>
      </c>
      <c r="H123" s="220">
        <v>1</v>
      </c>
      <c r="I123" s="221"/>
      <c r="J123" s="222">
        <f>ROUND(I123*H123,2)</f>
        <v>0</v>
      </c>
      <c r="K123" s="223"/>
      <c r="L123" s="41"/>
      <c r="M123" s="224" t="s">
        <v>1</v>
      </c>
      <c r="N123" s="225" t="s">
        <v>40</v>
      </c>
      <c r="O123" s="88"/>
      <c r="P123" s="226">
        <f>O123*H123</f>
        <v>0</v>
      </c>
      <c r="Q123" s="226">
        <v>0.0050000000000000001</v>
      </c>
      <c r="R123" s="226">
        <f>Q123*H123</f>
        <v>0.0050000000000000001</v>
      </c>
      <c r="S123" s="226">
        <v>0</v>
      </c>
      <c r="T123" s="227">
        <f>S123*H123</f>
        <v>0</v>
      </c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R123" s="228" t="s">
        <v>138</v>
      </c>
      <c r="AT123" s="228" t="s">
        <v>134</v>
      </c>
      <c r="AU123" s="228" t="s">
        <v>85</v>
      </c>
      <c r="AY123" s="14" t="s">
        <v>131</v>
      </c>
      <c r="BE123" s="229">
        <f>IF(N123="základní",J123,0)</f>
        <v>0</v>
      </c>
      <c r="BF123" s="229">
        <f>IF(N123="snížená",J123,0)</f>
        <v>0</v>
      </c>
      <c r="BG123" s="229">
        <f>IF(N123="zákl. přenesená",J123,0)</f>
        <v>0</v>
      </c>
      <c r="BH123" s="229">
        <f>IF(N123="sníž. přenesená",J123,0)</f>
        <v>0</v>
      </c>
      <c r="BI123" s="229">
        <f>IF(N123="nulová",J123,0)</f>
        <v>0</v>
      </c>
      <c r="BJ123" s="14" t="s">
        <v>83</v>
      </c>
      <c r="BK123" s="229">
        <f>ROUND(I123*H123,2)</f>
        <v>0</v>
      </c>
      <c r="BL123" s="14" t="s">
        <v>138</v>
      </c>
      <c r="BM123" s="228" t="s">
        <v>906</v>
      </c>
    </row>
    <row r="124" s="2" customFormat="1" ht="16.5" customHeight="1">
      <c r="A124" s="35"/>
      <c r="B124" s="36"/>
      <c r="C124" s="216" t="s">
        <v>85</v>
      </c>
      <c r="D124" s="216" t="s">
        <v>134</v>
      </c>
      <c r="E124" s="217" t="s">
        <v>755</v>
      </c>
      <c r="F124" s="218" t="s">
        <v>756</v>
      </c>
      <c r="G124" s="219" t="s">
        <v>180</v>
      </c>
      <c r="H124" s="220">
        <v>1</v>
      </c>
      <c r="I124" s="221"/>
      <c r="J124" s="222">
        <f>ROUND(I124*H124,2)</f>
        <v>0</v>
      </c>
      <c r="K124" s="223"/>
      <c r="L124" s="41"/>
      <c r="M124" s="224" t="s">
        <v>1</v>
      </c>
      <c r="N124" s="225" t="s">
        <v>40</v>
      </c>
      <c r="O124" s="88"/>
      <c r="P124" s="226">
        <f>O124*H124</f>
        <v>0</v>
      </c>
      <c r="Q124" s="226">
        <v>0.00147</v>
      </c>
      <c r="R124" s="226">
        <f>Q124*H124</f>
        <v>0.00147</v>
      </c>
      <c r="S124" s="226">
        <v>0</v>
      </c>
      <c r="T124" s="227">
        <f>S124*H124</f>
        <v>0</v>
      </c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R124" s="228" t="s">
        <v>138</v>
      </c>
      <c r="AT124" s="228" t="s">
        <v>134</v>
      </c>
      <c r="AU124" s="228" t="s">
        <v>85</v>
      </c>
      <c r="AY124" s="14" t="s">
        <v>131</v>
      </c>
      <c r="BE124" s="229">
        <f>IF(N124="základní",J124,0)</f>
        <v>0</v>
      </c>
      <c r="BF124" s="229">
        <f>IF(N124="snížená",J124,0)</f>
        <v>0</v>
      </c>
      <c r="BG124" s="229">
        <f>IF(N124="zákl. přenesená",J124,0)</f>
        <v>0</v>
      </c>
      <c r="BH124" s="229">
        <f>IF(N124="sníž. přenesená",J124,0)</f>
        <v>0</v>
      </c>
      <c r="BI124" s="229">
        <f>IF(N124="nulová",J124,0)</f>
        <v>0</v>
      </c>
      <c r="BJ124" s="14" t="s">
        <v>83</v>
      </c>
      <c r="BK124" s="229">
        <f>ROUND(I124*H124,2)</f>
        <v>0</v>
      </c>
      <c r="BL124" s="14" t="s">
        <v>138</v>
      </c>
      <c r="BM124" s="228" t="s">
        <v>907</v>
      </c>
    </row>
    <row r="125" s="2" customFormat="1" ht="37.8" customHeight="1">
      <c r="A125" s="35"/>
      <c r="B125" s="36"/>
      <c r="C125" s="216" t="s">
        <v>150</v>
      </c>
      <c r="D125" s="216" t="s">
        <v>134</v>
      </c>
      <c r="E125" s="217" t="s">
        <v>758</v>
      </c>
      <c r="F125" s="218" t="s">
        <v>759</v>
      </c>
      <c r="G125" s="219" t="s">
        <v>180</v>
      </c>
      <c r="H125" s="220">
        <v>2</v>
      </c>
      <c r="I125" s="221"/>
      <c r="J125" s="222">
        <f>ROUND(I125*H125,2)</f>
        <v>0</v>
      </c>
      <c r="K125" s="223"/>
      <c r="L125" s="41"/>
      <c r="M125" s="224" t="s">
        <v>1</v>
      </c>
      <c r="N125" s="225" t="s">
        <v>40</v>
      </c>
      <c r="O125" s="88"/>
      <c r="P125" s="226">
        <f>O125*H125</f>
        <v>0</v>
      </c>
      <c r="Q125" s="226">
        <v>0.00679</v>
      </c>
      <c r="R125" s="226">
        <f>Q125*H125</f>
        <v>0.01358</v>
      </c>
      <c r="S125" s="226">
        <v>0</v>
      </c>
      <c r="T125" s="227">
        <f>S125*H125</f>
        <v>0</v>
      </c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R125" s="228" t="s">
        <v>138</v>
      </c>
      <c r="AT125" s="228" t="s">
        <v>134</v>
      </c>
      <c r="AU125" s="228" t="s">
        <v>85</v>
      </c>
      <c r="AY125" s="14" t="s">
        <v>131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4" t="s">
        <v>83</v>
      </c>
      <c r="BK125" s="229">
        <f>ROUND(I125*H125,2)</f>
        <v>0</v>
      </c>
      <c r="BL125" s="14" t="s">
        <v>138</v>
      </c>
      <c r="BM125" s="228" t="s">
        <v>908</v>
      </c>
    </row>
    <row r="126" s="2" customFormat="1" ht="37.8" customHeight="1">
      <c r="A126" s="35"/>
      <c r="B126" s="36"/>
      <c r="C126" s="216" t="s">
        <v>154</v>
      </c>
      <c r="D126" s="216" t="s">
        <v>134</v>
      </c>
      <c r="E126" s="217" t="s">
        <v>761</v>
      </c>
      <c r="F126" s="218" t="s">
        <v>762</v>
      </c>
      <c r="G126" s="219" t="s">
        <v>185</v>
      </c>
      <c r="H126" s="220">
        <v>1</v>
      </c>
      <c r="I126" s="221"/>
      <c r="J126" s="222">
        <f>ROUND(I126*H126,2)</f>
        <v>0</v>
      </c>
      <c r="K126" s="223"/>
      <c r="L126" s="41"/>
      <c r="M126" s="224" t="s">
        <v>1</v>
      </c>
      <c r="N126" s="225" t="s">
        <v>40</v>
      </c>
      <c r="O126" s="88"/>
      <c r="P126" s="226">
        <f>O126*H126</f>
        <v>0</v>
      </c>
      <c r="Q126" s="226">
        <v>0.00012999999999999999</v>
      </c>
      <c r="R126" s="226">
        <f>Q126*H126</f>
        <v>0.00012999999999999999</v>
      </c>
      <c r="S126" s="226">
        <v>0</v>
      </c>
      <c r="T126" s="227">
        <f>S126*H126</f>
        <v>0</v>
      </c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R126" s="228" t="s">
        <v>138</v>
      </c>
      <c r="AT126" s="228" t="s">
        <v>134</v>
      </c>
      <c r="AU126" s="228" t="s">
        <v>85</v>
      </c>
      <c r="AY126" s="14" t="s">
        <v>131</v>
      </c>
      <c r="BE126" s="229">
        <f>IF(N126="základní",J126,0)</f>
        <v>0</v>
      </c>
      <c r="BF126" s="229">
        <f>IF(N126="snížená",J126,0)</f>
        <v>0</v>
      </c>
      <c r="BG126" s="229">
        <f>IF(N126="zákl. přenesená",J126,0)</f>
        <v>0</v>
      </c>
      <c r="BH126" s="229">
        <f>IF(N126="sníž. přenesená",J126,0)</f>
        <v>0</v>
      </c>
      <c r="BI126" s="229">
        <f>IF(N126="nulová",J126,0)</f>
        <v>0</v>
      </c>
      <c r="BJ126" s="14" t="s">
        <v>83</v>
      </c>
      <c r="BK126" s="229">
        <f>ROUND(I126*H126,2)</f>
        <v>0</v>
      </c>
      <c r="BL126" s="14" t="s">
        <v>138</v>
      </c>
      <c r="BM126" s="228" t="s">
        <v>909</v>
      </c>
    </row>
    <row r="127" s="2" customFormat="1" ht="37.8" customHeight="1">
      <c r="A127" s="35"/>
      <c r="B127" s="36"/>
      <c r="C127" s="216" t="s">
        <v>158</v>
      </c>
      <c r="D127" s="216" t="s">
        <v>134</v>
      </c>
      <c r="E127" s="217" t="s">
        <v>764</v>
      </c>
      <c r="F127" s="218" t="s">
        <v>765</v>
      </c>
      <c r="G127" s="219" t="s">
        <v>185</v>
      </c>
      <c r="H127" s="220">
        <v>2</v>
      </c>
      <c r="I127" s="221"/>
      <c r="J127" s="222">
        <f>ROUND(I127*H127,2)</f>
        <v>0</v>
      </c>
      <c r="K127" s="223"/>
      <c r="L127" s="41"/>
      <c r="M127" s="224" t="s">
        <v>1</v>
      </c>
      <c r="N127" s="225" t="s">
        <v>40</v>
      </c>
      <c r="O127" s="88"/>
      <c r="P127" s="226">
        <f>O127*H127</f>
        <v>0</v>
      </c>
      <c r="Q127" s="226">
        <v>0</v>
      </c>
      <c r="R127" s="226">
        <f>Q127*H127</f>
        <v>0</v>
      </c>
      <c r="S127" s="226">
        <v>0</v>
      </c>
      <c r="T127" s="227">
        <f>S127*H127</f>
        <v>0</v>
      </c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R127" s="228" t="s">
        <v>138</v>
      </c>
      <c r="AT127" s="228" t="s">
        <v>134</v>
      </c>
      <c r="AU127" s="228" t="s">
        <v>85</v>
      </c>
      <c r="AY127" s="14" t="s">
        <v>131</v>
      </c>
      <c r="BE127" s="229">
        <f>IF(N127="základní",J127,0)</f>
        <v>0</v>
      </c>
      <c r="BF127" s="229">
        <f>IF(N127="snížená",J127,0)</f>
        <v>0</v>
      </c>
      <c r="BG127" s="229">
        <f>IF(N127="zákl. přenesená",J127,0)</f>
        <v>0</v>
      </c>
      <c r="BH127" s="229">
        <f>IF(N127="sníž. přenesená",J127,0)</f>
        <v>0</v>
      </c>
      <c r="BI127" s="229">
        <f>IF(N127="nulová",J127,0)</f>
        <v>0</v>
      </c>
      <c r="BJ127" s="14" t="s">
        <v>83</v>
      </c>
      <c r="BK127" s="229">
        <f>ROUND(I127*H127,2)</f>
        <v>0</v>
      </c>
      <c r="BL127" s="14" t="s">
        <v>138</v>
      </c>
      <c r="BM127" s="228" t="s">
        <v>910</v>
      </c>
    </row>
    <row r="128" s="2" customFormat="1" ht="24.15" customHeight="1">
      <c r="A128" s="35"/>
      <c r="B128" s="36"/>
      <c r="C128" s="216" t="s">
        <v>162</v>
      </c>
      <c r="D128" s="216" t="s">
        <v>134</v>
      </c>
      <c r="E128" s="217" t="s">
        <v>767</v>
      </c>
      <c r="F128" s="218" t="s">
        <v>768</v>
      </c>
      <c r="G128" s="219" t="s">
        <v>142</v>
      </c>
      <c r="H128" s="220">
        <v>45</v>
      </c>
      <c r="I128" s="221"/>
      <c r="J128" s="222">
        <f>ROUND(I128*H128,2)</f>
        <v>0</v>
      </c>
      <c r="K128" s="223"/>
      <c r="L128" s="41"/>
      <c r="M128" s="224" t="s">
        <v>1</v>
      </c>
      <c r="N128" s="225" t="s">
        <v>40</v>
      </c>
      <c r="O128" s="88"/>
      <c r="P128" s="226">
        <f>O128*H128</f>
        <v>0</v>
      </c>
      <c r="Q128" s="226">
        <v>0</v>
      </c>
      <c r="R128" s="226">
        <f>Q128*H128</f>
        <v>0</v>
      </c>
      <c r="S128" s="226">
        <v>0</v>
      </c>
      <c r="T128" s="227">
        <f>S128*H128</f>
        <v>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R128" s="228" t="s">
        <v>138</v>
      </c>
      <c r="AT128" s="228" t="s">
        <v>134</v>
      </c>
      <c r="AU128" s="228" t="s">
        <v>85</v>
      </c>
      <c r="AY128" s="14" t="s">
        <v>131</v>
      </c>
      <c r="BE128" s="229">
        <f>IF(N128="základní",J128,0)</f>
        <v>0</v>
      </c>
      <c r="BF128" s="229">
        <f>IF(N128="snížená",J128,0)</f>
        <v>0</v>
      </c>
      <c r="BG128" s="229">
        <f>IF(N128="zákl. přenesená",J128,0)</f>
        <v>0</v>
      </c>
      <c r="BH128" s="229">
        <f>IF(N128="sníž. přenesená",J128,0)</f>
        <v>0</v>
      </c>
      <c r="BI128" s="229">
        <f>IF(N128="nulová",J128,0)</f>
        <v>0</v>
      </c>
      <c r="BJ128" s="14" t="s">
        <v>83</v>
      </c>
      <c r="BK128" s="229">
        <f>ROUND(I128*H128,2)</f>
        <v>0</v>
      </c>
      <c r="BL128" s="14" t="s">
        <v>138</v>
      </c>
      <c r="BM128" s="228" t="s">
        <v>911</v>
      </c>
    </row>
    <row r="129" s="2" customFormat="1" ht="24.15" customHeight="1">
      <c r="A129" s="35"/>
      <c r="B129" s="36"/>
      <c r="C129" s="216" t="s">
        <v>166</v>
      </c>
      <c r="D129" s="216" t="s">
        <v>134</v>
      </c>
      <c r="E129" s="217" t="s">
        <v>770</v>
      </c>
      <c r="F129" s="218" t="s">
        <v>771</v>
      </c>
      <c r="G129" s="219" t="s">
        <v>185</v>
      </c>
      <c r="H129" s="220">
        <v>2</v>
      </c>
      <c r="I129" s="221"/>
      <c r="J129" s="222">
        <f>ROUND(I129*H129,2)</f>
        <v>0</v>
      </c>
      <c r="K129" s="223"/>
      <c r="L129" s="41"/>
      <c r="M129" s="224" t="s">
        <v>1</v>
      </c>
      <c r="N129" s="225" t="s">
        <v>40</v>
      </c>
      <c r="O129" s="88"/>
      <c r="P129" s="226">
        <f>O129*H129</f>
        <v>0</v>
      </c>
      <c r="Q129" s="226">
        <v>0</v>
      </c>
      <c r="R129" s="226">
        <f>Q129*H129</f>
        <v>0</v>
      </c>
      <c r="S129" s="226">
        <v>0</v>
      </c>
      <c r="T129" s="227">
        <f>S129*H129</f>
        <v>0</v>
      </c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R129" s="228" t="s">
        <v>138</v>
      </c>
      <c r="AT129" s="228" t="s">
        <v>134</v>
      </c>
      <c r="AU129" s="228" t="s">
        <v>85</v>
      </c>
      <c r="AY129" s="14" t="s">
        <v>131</v>
      </c>
      <c r="BE129" s="229">
        <f>IF(N129="základní",J129,0)</f>
        <v>0</v>
      </c>
      <c r="BF129" s="229">
        <f>IF(N129="snížená",J129,0)</f>
        <v>0</v>
      </c>
      <c r="BG129" s="229">
        <f>IF(N129="zákl. přenesená",J129,0)</f>
        <v>0</v>
      </c>
      <c r="BH129" s="229">
        <f>IF(N129="sníž. přenesená",J129,0)</f>
        <v>0</v>
      </c>
      <c r="BI129" s="229">
        <f>IF(N129="nulová",J129,0)</f>
        <v>0</v>
      </c>
      <c r="BJ129" s="14" t="s">
        <v>83</v>
      </c>
      <c r="BK129" s="229">
        <f>ROUND(I129*H129,2)</f>
        <v>0</v>
      </c>
      <c r="BL129" s="14" t="s">
        <v>138</v>
      </c>
      <c r="BM129" s="228" t="s">
        <v>912</v>
      </c>
    </row>
    <row r="130" s="2" customFormat="1" ht="24.15" customHeight="1">
      <c r="A130" s="35"/>
      <c r="B130" s="36"/>
      <c r="C130" s="216" t="s">
        <v>170</v>
      </c>
      <c r="D130" s="216" t="s">
        <v>134</v>
      </c>
      <c r="E130" s="217" t="s">
        <v>773</v>
      </c>
      <c r="F130" s="218" t="s">
        <v>774</v>
      </c>
      <c r="G130" s="219" t="s">
        <v>185</v>
      </c>
      <c r="H130" s="220">
        <v>1</v>
      </c>
      <c r="I130" s="221"/>
      <c r="J130" s="222">
        <f>ROUND(I130*H130,2)</f>
        <v>0</v>
      </c>
      <c r="K130" s="223"/>
      <c r="L130" s="41"/>
      <c r="M130" s="224" t="s">
        <v>1</v>
      </c>
      <c r="N130" s="225" t="s">
        <v>40</v>
      </c>
      <c r="O130" s="88"/>
      <c r="P130" s="226">
        <f>O130*H130</f>
        <v>0</v>
      </c>
      <c r="Q130" s="226">
        <v>0.00018000000000000001</v>
      </c>
      <c r="R130" s="226">
        <f>Q130*H130</f>
        <v>0.00018000000000000001</v>
      </c>
      <c r="S130" s="226">
        <v>0</v>
      </c>
      <c r="T130" s="227">
        <f>S130*H130</f>
        <v>0</v>
      </c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R130" s="228" t="s">
        <v>138</v>
      </c>
      <c r="AT130" s="228" t="s">
        <v>134</v>
      </c>
      <c r="AU130" s="228" t="s">
        <v>85</v>
      </c>
      <c r="AY130" s="14" t="s">
        <v>131</v>
      </c>
      <c r="BE130" s="229">
        <f>IF(N130="základní",J130,0)</f>
        <v>0</v>
      </c>
      <c r="BF130" s="229">
        <f>IF(N130="snížená",J130,0)</f>
        <v>0</v>
      </c>
      <c r="BG130" s="229">
        <f>IF(N130="zákl. přenesená",J130,0)</f>
        <v>0</v>
      </c>
      <c r="BH130" s="229">
        <f>IF(N130="sníž. přenesená",J130,0)</f>
        <v>0</v>
      </c>
      <c r="BI130" s="229">
        <f>IF(N130="nulová",J130,0)</f>
        <v>0</v>
      </c>
      <c r="BJ130" s="14" t="s">
        <v>83</v>
      </c>
      <c r="BK130" s="229">
        <f>ROUND(I130*H130,2)</f>
        <v>0</v>
      </c>
      <c r="BL130" s="14" t="s">
        <v>138</v>
      </c>
      <c r="BM130" s="228" t="s">
        <v>913</v>
      </c>
    </row>
    <row r="131" s="2" customFormat="1" ht="37.8" customHeight="1">
      <c r="A131" s="35"/>
      <c r="B131" s="36"/>
      <c r="C131" s="216" t="s">
        <v>177</v>
      </c>
      <c r="D131" s="216" t="s">
        <v>134</v>
      </c>
      <c r="E131" s="217" t="s">
        <v>914</v>
      </c>
      <c r="F131" s="218" t="s">
        <v>915</v>
      </c>
      <c r="G131" s="219" t="s">
        <v>180</v>
      </c>
      <c r="H131" s="220">
        <v>1</v>
      </c>
      <c r="I131" s="221"/>
      <c r="J131" s="222">
        <f>ROUND(I131*H131,2)</f>
        <v>0</v>
      </c>
      <c r="K131" s="223"/>
      <c r="L131" s="41"/>
      <c r="M131" s="224" t="s">
        <v>1</v>
      </c>
      <c r="N131" s="225" t="s">
        <v>40</v>
      </c>
      <c r="O131" s="88"/>
      <c r="P131" s="226">
        <f>O131*H131</f>
        <v>0</v>
      </c>
      <c r="Q131" s="226">
        <v>6.9999999999999994E-05</v>
      </c>
      <c r="R131" s="226">
        <f>Q131*H131</f>
        <v>6.9999999999999994E-05</v>
      </c>
      <c r="S131" s="226">
        <v>0</v>
      </c>
      <c r="T131" s="227">
        <f>S131*H131</f>
        <v>0</v>
      </c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R131" s="228" t="s">
        <v>138</v>
      </c>
      <c r="AT131" s="228" t="s">
        <v>134</v>
      </c>
      <c r="AU131" s="228" t="s">
        <v>85</v>
      </c>
      <c r="AY131" s="14" t="s">
        <v>131</v>
      </c>
      <c r="BE131" s="229">
        <f>IF(N131="základní",J131,0)</f>
        <v>0</v>
      </c>
      <c r="BF131" s="229">
        <f>IF(N131="snížená",J131,0)</f>
        <v>0</v>
      </c>
      <c r="BG131" s="229">
        <f>IF(N131="zákl. přenesená",J131,0)</f>
        <v>0</v>
      </c>
      <c r="BH131" s="229">
        <f>IF(N131="sníž. přenesená",J131,0)</f>
        <v>0</v>
      </c>
      <c r="BI131" s="229">
        <f>IF(N131="nulová",J131,0)</f>
        <v>0</v>
      </c>
      <c r="BJ131" s="14" t="s">
        <v>83</v>
      </c>
      <c r="BK131" s="229">
        <f>ROUND(I131*H131,2)</f>
        <v>0</v>
      </c>
      <c r="BL131" s="14" t="s">
        <v>138</v>
      </c>
      <c r="BM131" s="228" t="s">
        <v>916</v>
      </c>
    </row>
    <row r="132" s="2" customFormat="1" ht="52.2" customHeight="1">
      <c r="A132" s="35"/>
      <c r="B132" s="36"/>
      <c r="C132" s="230" t="s">
        <v>182</v>
      </c>
      <c r="D132" s="230" t="s">
        <v>145</v>
      </c>
      <c r="E132" s="231" t="s">
        <v>776</v>
      </c>
      <c r="F132" s="232" t="s">
        <v>777</v>
      </c>
      <c r="G132" s="233" t="s">
        <v>185</v>
      </c>
      <c r="H132" s="234">
        <v>1</v>
      </c>
      <c r="I132" s="235"/>
      <c r="J132" s="236">
        <f>ROUND(I132*H132,2)</f>
        <v>0</v>
      </c>
      <c r="K132" s="237"/>
      <c r="L132" s="238"/>
      <c r="M132" s="239" t="s">
        <v>1</v>
      </c>
      <c r="N132" s="240" t="s">
        <v>40</v>
      </c>
      <c r="O132" s="88"/>
      <c r="P132" s="226">
        <f>O132*H132</f>
        <v>0</v>
      </c>
      <c r="Q132" s="226">
        <v>0.00064999999999999997</v>
      </c>
      <c r="R132" s="226">
        <f>Q132*H132</f>
        <v>0.00064999999999999997</v>
      </c>
      <c r="S132" s="226">
        <v>0</v>
      </c>
      <c r="T132" s="227">
        <f>S132*H132</f>
        <v>0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R132" s="228" t="s">
        <v>148</v>
      </c>
      <c r="AT132" s="228" t="s">
        <v>145</v>
      </c>
      <c r="AU132" s="228" t="s">
        <v>85</v>
      </c>
      <c r="AY132" s="14" t="s">
        <v>131</v>
      </c>
      <c r="BE132" s="229">
        <f>IF(N132="základní",J132,0)</f>
        <v>0</v>
      </c>
      <c r="BF132" s="229">
        <f>IF(N132="snížená",J132,0)</f>
        <v>0</v>
      </c>
      <c r="BG132" s="229">
        <f>IF(N132="zákl. přenesená",J132,0)</f>
        <v>0</v>
      </c>
      <c r="BH132" s="229">
        <f>IF(N132="sníž. přenesená",J132,0)</f>
        <v>0</v>
      </c>
      <c r="BI132" s="229">
        <f>IF(N132="nulová",J132,0)</f>
        <v>0</v>
      </c>
      <c r="BJ132" s="14" t="s">
        <v>83</v>
      </c>
      <c r="BK132" s="229">
        <f>ROUND(I132*H132,2)</f>
        <v>0</v>
      </c>
      <c r="BL132" s="14" t="s">
        <v>138</v>
      </c>
      <c r="BM132" s="228" t="s">
        <v>917</v>
      </c>
    </row>
    <row r="133" s="2" customFormat="1" ht="33" customHeight="1">
      <c r="A133" s="35"/>
      <c r="B133" s="36"/>
      <c r="C133" s="230" t="s">
        <v>8</v>
      </c>
      <c r="D133" s="230" t="s">
        <v>145</v>
      </c>
      <c r="E133" s="231" t="s">
        <v>779</v>
      </c>
      <c r="F133" s="232" t="s">
        <v>780</v>
      </c>
      <c r="G133" s="233" t="s">
        <v>185</v>
      </c>
      <c r="H133" s="234">
        <v>1</v>
      </c>
      <c r="I133" s="235"/>
      <c r="J133" s="236">
        <f>ROUND(I133*H133,2)</f>
        <v>0</v>
      </c>
      <c r="K133" s="237"/>
      <c r="L133" s="238"/>
      <c r="M133" s="239" t="s">
        <v>1</v>
      </c>
      <c r="N133" s="240" t="s">
        <v>40</v>
      </c>
      <c r="O133" s="88"/>
      <c r="P133" s="226">
        <f>O133*H133</f>
        <v>0</v>
      </c>
      <c r="Q133" s="226">
        <v>0.00050000000000000001</v>
      </c>
      <c r="R133" s="226">
        <f>Q133*H133</f>
        <v>0.00050000000000000001</v>
      </c>
      <c r="S133" s="226">
        <v>0</v>
      </c>
      <c r="T133" s="227">
        <f>S133*H133</f>
        <v>0</v>
      </c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R133" s="228" t="s">
        <v>148</v>
      </c>
      <c r="AT133" s="228" t="s">
        <v>145</v>
      </c>
      <c r="AU133" s="228" t="s">
        <v>85</v>
      </c>
      <c r="AY133" s="14" t="s">
        <v>131</v>
      </c>
      <c r="BE133" s="229">
        <f>IF(N133="základní",J133,0)</f>
        <v>0</v>
      </c>
      <c r="BF133" s="229">
        <f>IF(N133="snížená",J133,0)</f>
        <v>0</v>
      </c>
      <c r="BG133" s="229">
        <f>IF(N133="zákl. přenesená",J133,0)</f>
        <v>0</v>
      </c>
      <c r="BH133" s="229">
        <f>IF(N133="sníž. přenesená",J133,0)</f>
        <v>0</v>
      </c>
      <c r="BI133" s="229">
        <f>IF(N133="nulová",J133,0)</f>
        <v>0</v>
      </c>
      <c r="BJ133" s="14" t="s">
        <v>83</v>
      </c>
      <c r="BK133" s="229">
        <f>ROUND(I133*H133,2)</f>
        <v>0</v>
      </c>
      <c r="BL133" s="14" t="s">
        <v>138</v>
      </c>
      <c r="BM133" s="228" t="s">
        <v>918</v>
      </c>
    </row>
    <row r="134" s="2" customFormat="1" ht="16.5" customHeight="1">
      <c r="A134" s="35"/>
      <c r="B134" s="36"/>
      <c r="C134" s="230" t="s">
        <v>191</v>
      </c>
      <c r="D134" s="230" t="s">
        <v>145</v>
      </c>
      <c r="E134" s="231" t="s">
        <v>782</v>
      </c>
      <c r="F134" s="232" t="s">
        <v>783</v>
      </c>
      <c r="G134" s="233" t="s">
        <v>185</v>
      </c>
      <c r="H134" s="234">
        <v>1</v>
      </c>
      <c r="I134" s="235"/>
      <c r="J134" s="236">
        <f>ROUND(I134*H134,2)</f>
        <v>0</v>
      </c>
      <c r="K134" s="237"/>
      <c r="L134" s="238"/>
      <c r="M134" s="239" t="s">
        <v>1</v>
      </c>
      <c r="N134" s="240" t="s">
        <v>40</v>
      </c>
      <c r="O134" s="88"/>
      <c r="P134" s="226">
        <f>O134*H134</f>
        <v>0</v>
      </c>
      <c r="Q134" s="226">
        <v>0.00059999999999999995</v>
      </c>
      <c r="R134" s="226">
        <f>Q134*H134</f>
        <v>0.00059999999999999995</v>
      </c>
      <c r="S134" s="226">
        <v>0</v>
      </c>
      <c r="T134" s="227">
        <f>S134*H134</f>
        <v>0</v>
      </c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R134" s="228" t="s">
        <v>148</v>
      </c>
      <c r="AT134" s="228" t="s">
        <v>145</v>
      </c>
      <c r="AU134" s="228" t="s">
        <v>85</v>
      </c>
      <c r="AY134" s="14" t="s">
        <v>131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4" t="s">
        <v>83</v>
      </c>
      <c r="BK134" s="229">
        <f>ROUND(I134*H134,2)</f>
        <v>0</v>
      </c>
      <c r="BL134" s="14" t="s">
        <v>138</v>
      </c>
      <c r="BM134" s="228" t="s">
        <v>919</v>
      </c>
    </row>
    <row r="135" s="2" customFormat="1" ht="33" customHeight="1">
      <c r="A135" s="35"/>
      <c r="B135" s="36"/>
      <c r="C135" s="216" t="s">
        <v>195</v>
      </c>
      <c r="D135" s="216" t="s">
        <v>134</v>
      </c>
      <c r="E135" s="217" t="s">
        <v>785</v>
      </c>
      <c r="F135" s="218" t="s">
        <v>786</v>
      </c>
      <c r="G135" s="219" t="s">
        <v>185</v>
      </c>
      <c r="H135" s="220">
        <v>1</v>
      </c>
      <c r="I135" s="221"/>
      <c r="J135" s="222">
        <f>ROUND(I135*H135,2)</f>
        <v>0</v>
      </c>
      <c r="K135" s="223"/>
      <c r="L135" s="41"/>
      <c r="M135" s="224" t="s">
        <v>1</v>
      </c>
      <c r="N135" s="225" t="s">
        <v>40</v>
      </c>
      <c r="O135" s="88"/>
      <c r="P135" s="226">
        <f>O135*H135</f>
        <v>0</v>
      </c>
      <c r="Q135" s="226">
        <v>0.00024000000000000001</v>
      </c>
      <c r="R135" s="226">
        <f>Q135*H135</f>
        <v>0.00024000000000000001</v>
      </c>
      <c r="S135" s="226">
        <v>0</v>
      </c>
      <c r="T135" s="227">
        <f>S135*H135</f>
        <v>0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R135" s="228" t="s">
        <v>138</v>
      </c>
      <c r="AT135" s="228" t="s">
        <v>134</v>
      </c>
      <c r="AU135" s="228" t="s">
        <v>85</v>
      </c>
      <c r="AY135" s="14" t="s">
        <v>131</v>
      </c>
      <c r="BE135" s="229">
        <f>IF(N135="základní",J135,0)</f>
        <v>0</v>
      </c>
      <c r="BF135" s="229">
        <f>IF(N135="snížená",J135,0)</f>
        <v>0</v>
      </c>
      <c r="BG135" s="229">
        <f>IF(N135="zákl. přenesená",J135,0)</f>
        <v>0</v>
      </c>
      <c r="BH135" s="229">
        <f>IF(N135="sníž. přenesená",J135,0)</f>
        <v>0</v>
      </c>
      <c r="BI135" s="229">
        <f>IF(N135="nulová",J135,0)</f>
        <v>0</v>
      </c>
      <c r="BJ135" s="14" t="s">
        <v>83</v>
      </c>
      <c r="BK135" s="229">
        <f>ROUND(I135*H135,2)</f>
        <v>0</v>
      </c>
      <c r="BL135" s="14" t="s">
        <v>138</v>
      </c>
      <c r="BM135" s="228" t="s">
        <v>920</v>
      </c>
    </row>
    <row r="136" s="2" customFormat="1" ht="33" customHeight="1">
      <c r="A136" s="35"/>
      <c r="B136" s="36"/>
      <c r="C136" s="216" t="s">
        <v>252</v>
      </c>
      <c r="D136" s="216" t="s">
        <v>134</v>
      </c>
      <c r="E136" s="217" t="s">
        <v>788</v>
      </c>
      <c r="F136" s="218" t="s">
        <v>789</v>
      </c>
      <c r="G136" s="219" t="s">
        <v>185</v>
      </c>
      <c r="H136" s="220">
        <v>2</v>
      </c>
      <c r="I136" s="221"/>
      <c r="J136" s="222">
        <f>ROUND(I136*H136,2)</f>
        <v>0</v>
      </c>
      <c r="K136" s="223"/>
      <c r="L136" s="41"/>
      <c r="M136" s="224" t="s">
        <v>1</v>
      </c>
      <c r="N136" s="225" t="s">
        <v>40</v>
      </c>
      <c r="O136" s="88"/>
      <c r="P136" s="226">
        <f>O136*H136</f>
        <v>0</v>
      </c>
      <c r="Q136" s="226">
        <v>0.00060999999999999997</v>
      </c>
      <c r="R136" s="226">
        <f>Q136*H136</f>
        <v>0.00122</v>
      </c>
      <c r="S136" s="226">
        <v>0</v>
      </c>
      <c r="T136" s="227">
        <f>S136*H136</f>
        <v>0</v>
      </c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R136" s="228" t="s">
        <v>138</v>
      </c>
      <c r="AT136" s="228" t="s">
        <v>134</v>
      </c>
      <c r="AU136" s="228" t="s">
        <v>85</v>
      </c>
      <c r="AY136" s="14" t="s">
        <v>131</v>
      </c>
      <c r="BE136" s="229">
        <f>IF(N136="základní",J136,0)</f>
        <v>0</v>
      </c>
      <c r="BF136" s="229">
        <f>IF(N136="snížená",J136,0)</f>
        <v>0</v>
      </c>
      <c r="BG136" s="229">
        <f>IF(N136="zákl. přenesená",J136,0)</f>
        <v>0</v>
      </c>
      <c r="BH136" s="229">
        <f>IF(N136="sníž. přenesená",J136,0)</f>
        <v>0</v>
      </c>
      <c r="BI136" s="229">
        <f>IF(N136="nulová",J136,0)</f>
        <v>0</v>
      </c>
      <c r="BJ136" s="14" t="s">
        <v>83</v>
      </c>
      <c r="BK136" s="229">
        <f>ROUND(I136*H136,2)</f>
        <v>0</v>
      </c>
      <c r="BL136" s="14" t="s">
        <v>138</v>
      </c>
      <c r="BM136" s="228" t="s">
        <v>921</v>
      </c>
    </row>
    <row r="137" s="2" customFormat="1" ht="33" customHeight="1">
      <c r="A137" s="35"/>
      <c r="B137" s="36"/>
      <c r="C137" s="216" t="s">
        <v>138</v>
      </c>
      <c r="D137" s="216" t="s">
        <v>134</v>
      </c>
      <c r="E137" s="217" t="s">
        <v>922</v>
      </c>
      <c r="F137" s="218" t="s">
        <v>923</v>
      </c>
      <c r="G137" s="219" t="s">
        <v>185</v>
      </c>
      <c r="H137" s="220">
        <v>1</v>
      </c>
      <c r="I137" s="221"/>
      <c r="J137" s="222">
        <f>ROUND(I137*H137,2)</f>
        <v>0</v>
      </c>
      <c r="K137" s="223"/>
      <c r="L137" s="41"/>
      <c r="M137" s="224" t="s">
        <v>1</v>
      </c>
      <c r="N137" s="225" t="s">
        <v>40</v>
      </c>
      <c r="O137" s="88"/>
      <c r="P137" s="226">
        <f>O137*H137</f>
        <v>0</v>
      </c>
      <c r="Q137" s="226">
        <v>0.0012999999999999999</v>
      </c>
      <c r="R137" s="226">
        <f>Q137*H137</f>
        <v>0.0012999999999999999</v>
      </c>
      <c r="S137" s="226">
        <v>0</v>
      </c>
      <c r="T137" s="227">
        <f>S137*H137</f>
        <v>0</v>
      </c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R137" s="228" t="s">
        <v>138</v>
      </c>
      <c r="AT137" s="228" t="s">
        <v>134</v>
      </c>
      <c r="AU137" s="228" t="s">
        <v>85</v>
      </c>
      <c r="AY137" s="14" t="s">
        <v>131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4" t="s">
        <v>83</v>
      </c>
      <c r="BK137" s="229">
        <f>ROUND(I137*H137,2)</f>
        <v>0</v>
      </c>
      <c r="BL137" s="14" t="s">
        <v>138</v>
      </c>
      <c r="BM137" s="228" t="s">
        <v>924</v>
      </c>
    </row>
    <row r="138" s="2" customFormat="1" ht="37.8" customHeight="1">
      <c r="A138" s="35"/>
      <c r="B138" s="36"/>
      <c r="C138" s="216" t="s">
        <v>259</v>
      </c>
      <c r="D138" s="216" t="s">
        <v>134</v>
      </c>
      <c r="E138" s="217" t="s">
        <v>791</v>
      </c>
      <c r="F138" s="218" t="s">
        <v>792</v>
      </c>
      <c r="G138" s="219" t="s">
        <v>180</v>
      </c>
      <c r="H138" s="220">
        <v>1</v>
      </c>
      <c r="I138" s="221"/>
      <c r="J138" s="222">
        <f>ROUND(I138*H138,2)</f>
        <v>0</v>
      </c>
      <c r="K138" s="223"/>
      <c r="L138" s="41"/>
      <c r="M138" s="224" t="s">
        <v>1</v>
      </c>
      <c r="N138" s="225" t="s">
        <v>40</v>
      </c>
      <c r="O138" s="88"/>
      <c r="P138" s="226">
        <f>O138*H138</f>
        <v>0</v>
      </c>
      <c r="Q138" s="226">
        <v>0</v>
      </c>
      <c r="R138" s="226">
        <f>Q138*H138</f>
        <v>0</v>
      </c>
      <c r="S138" s="226">
        <v>0</v>
      </c>
      <c r="T138" s="227">
        <f>S138*H138</f>
        <v>0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R138" s="228" t="s">
        <v>138</v>
      </c>
      <c r="AT138" s="228" t="s">
        <v>134</v>
      </c>
      <c r="AU138" s="228" t="s">
        <v>85</v>
      </c>
      <c r="AY138" s="14" t="s">
        <v>131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4" t="s">
        <v>83</v>
      </c>
      <c r="BK138" s="229">
        <f>ROUND(I138*H138,2)</f>
        <v>0</v>
      </c>
      <c r="BL138" s="14" t="s">
        <v>138</v>
      </c>
      <c r="BM138" s="228" t="s">
        <v>925</v>
      </c>
    </row>
    <row r="139" s="2" customFormat="1" ht="44.25" customHeight="1">
      <c r="A139" s="35"/>
      <c r="B139" s="36"/>
      <c r="C139" s="230" t="s">
        <v>593</v>
      </c>
      <c r="D139" s="230" t="s">
        <v>145</v>
      </c>
      <c r="E139" s="231" t="s">
        <v>794</v>
      </c>
      <c r="F139" s="232" t="s">
        <v>795</v>
      </c>
      <c r="G139" s="233" t="s">
        <v>1</v>
      </c>
      <c r="H139" s="234">
        <v>1</v>
      </c>
      <c r="I139" s="235"/>
      <c r="J139" s="236">
        <f>ROUND(I139*H139,2)</f>
        <v>0</v>
      </c>
      <c r="K139" s="237"/>
      <c r="L139" s="238"/>
      <c r="M139" s="239" t="s">
        <v>1</v>
      </c>
      <c r="N139" s="240" t="s">
        <v>40</v>
      </c>
      <c r="O139" s="88"/>
      <c r="P139" s="226">
        <f>O139*H139</f>
        <v>0</v>
      </c>
      <c r="Q139" s="226">
        <v>0</v>
      </c>
      <c r="R139" s="226">
        <f>Q139*H139</f>
        <v>0</v>
      </c>
      <c r="S139" s="226">
        <v>0</v>
      </c>
      <c r="T139" s="227">
        <f>S139*H139</f>
        <v>0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R139" s="228" t="s">
        <v>148</v>
      </c>
      <c r="AT139" s="228" t="s">
        <v>145</v>
      </c>
      <c r="AU139" s="228" t="s">
        <v>85</v>
      </c>
      <c r="AY139" s="14" t="s">
        <v>131</v>
      </c>
      <c r="BE139" s="229">
        <f>IF(N139="základní",J139,0)</f>
        <v>0</v>
      </c>
      <c r="BF139" s="229">
        <f>IF(N139="snížená",J139,0)</f>
        <v>0</v>
      </c>
      <c r="BG139" s="229">
        <f>IF(N139="zákl. přenesená",J139,0)</f>
        <v>0</v>
      </c>
      <c r="BH139" s="229">
        <f>IF(N139="sníž. přenesená",J139,0)</f>
        <v>0</v>
      </c>
      <c r="BI139" s="229">
        <f>IF(N139="nulová",J139,0)</f>
        <v>0</v>
      </c>
      <c r="BJ139" s="14" t="s">
        <v>83</v>
      </c>
      <c r="BK139" s="229">
        <f>ROUND(I139*H139,2)</f>
        <v>0</v>
      </c>
      <c r="BL139" s="14" t="s">
        <v>138</v>
      </c>
      <c r="BM139" s="228" t="s">
        <v>926</v>
      </c>
    </row>
    <row r="140" s="2" customFormat="1" ht="44.25" customHeight="1">
      <c r="A140" s="35"/>
      <c r="B140" s="36"/>
      <c r="C140" s="230" t="s">
        <v>597</v>
      </c>
      <c r="D140" s="230" t="s">
        <v>145</v>
      </c>
      <c r="E140" s="231" t="s">
        <v>927</v>
      </c>
      <c r="F140" s="232" t="s">
        <v>795</v>
      </c>
      <c r="G140" s="233" t="s">
        <v>1</v>
      </c>
      <c r="H140" s="234">
        <v>1</v>
      </c>
      <c r="I140" s="235"/>
      <c r="J140" s="236">
        <f>ROUND(I140*H140,2)</f>
        <v>0</v>
      </c>
      <c r="K140" s="237"/>
      <c r="L140" s="238"/>
      <c r="M140" s="239" t="s">
        <v>1</v>
      </c>
      <c r="N140" s="240" t="s">
        <v>40</v>
      </c>
      <c r="O140" s="88"/>
      <c r="P140" s="226">
        <f>O140*H140</f>
        <v>0</v>
      </c>
      <c r="Q140" s="226">
        <v>0</v>
      </c>
      <c r="R140" s="226">
        <f>Q140*H140</f>
        <v>0</v>
      </c>
      <c r="S140" s="226">
        <v>0</v>
      </c>
      <c r="T140" s="227">
        <f>S140*H140</f>
        <v>0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R140" s="228" t="s">
        <v>148</v>
      </c>
      <c r="AT140" s="228" t="s">
        <v>145</v>
      </c>
      <c r="AU140" s="228" t="s">
        <v>85</v>
      </c>
      <c r="AY140" s="14" t="s">
        <v>131</v>
      </c>
      <c r="BE140" s="229">
        <f>IF(N140="základní",J140,0)</f>
        <v>0</v>
      </c>
      <c r="BF140" s="229">
        <f>IF(N140="snížená",J140,0)</f>
        <v>0</v>
      </c>
      <c r="BG140" s="229">
        <f>IF(N140="zákl. přenesená",J140,0)</f>
        <v>0</v>
      </c>
      <c r="BH140" s="229">
        <f>IF(N140="sníž. přenesená",J140,0)</f>
        <v>0</v>
      </c>
      <c r="BI140" s="229">
        <f>IF(N140="nulová",J140,0)</f>
        <v>0</v>
      </c>
      <c r="BJ140" s="14" t="s">
        <v>83</v>
      </c>
      <c r="BK140" s="229">
        <f>ROUND(I140*H140,2)</f>
        <v>0</v>
      </c>
      <c r="BL140" s="14" t="s">
        <v>138</v>
      </c>
      <c r="BM140" s="228" t="s">
        <v>928</v>
      </c>
    </row>
    <row r="141" s="2" customFormat="1" ht="24.15" customHeight="1">
      <c r="A141" s="35"/>
      <c r="B141" s="36"/>
      <c r="C141" s="216" t="s">
        <v>601</v>
      </c>
      <c r="D141" s="216" t="s">
        <v>134</v>
      </c>
      <c r="E141" s="217" t="s">
        <v>929</v>
      </c>
      <c r="F141" s="218" t="s">
        <v>930</v>
      </c>
      <c r="G141" s="219" t="s">
        <v>185</v>
      </c>
      <c r="H141" s="220">
        <v>1</v>
      </c>
      <c r="I141" s="221"/>
      <c r="J141" s="222">
        <f>ROUND(I141*H141,2)</f>
        <v>0</v>
      </c>
      <c r="K141" s="223"/>
      <c r="L141" s="41"/>
      <c r="M141" s="224" t="s">
        <v>1</v>
      </c>
      <c r="N141" s="225" t="s">
        <v>40</v>
      </c>
      <c r="O141" s="88"/>
      <c r="P141" s="226">
        <f>O141*H141</f>
        <v>0</v>
      </c>
      <c r="Q141" s="226">
        <v>0</v>
      </c>
      <c r="R141" s="226">
        <f>Q141*H141</f>
        <v>0</v>
      </c>
      <c r="S141" s="226">
        <v>0</v>
      </c>
      <c r="T141" s="227">
        <f>S141*H141</f>
        <v>0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R141" s="228" t="s">
        <v>138</v>
      </c>
      <c r="AT141" s="228" t="s">
        <v>134</v>
      </c>
      <c r="AU141" s="228" t="s">
        <v>85</v>
      </c>
      <c r="AY141" s="14" t="s">
        <v>131</v>
      </c>
      <c r="BE141" s="229">
        <f>IF(N141="základní",J141,0)</f>
        <v>0</v>
      </c>
      <c r="BF141" s="229">
        <f>IF(N141="snížená",J141,0)</f>
        <v>0</v>
      </c>
      <c r="BG141" s="229">
        <f>IF(N141="zákl. přenesená",J141,0)</f>
        <v>0</v>
      </c>
      <c r="BH141" s="229">
        <f>IF(N141="sníž. přenesená",J141,0)</f>
        <v>0</v>
      </c>
      <c r="BI141" s="229">
        <f>IF(N141="nulová",J141,0)</f>
        <v>0</v>
      </c>
      <c r="BJ141" s="14" t="s">
        <v>83</v>
      </c>
      <c r="BK141" s="229">
        <f>ROUND(I141*H141,2)</f>
        <v>0</v>
      </c>
      <c r="BL141" s="14" t="s">
        <v>138</v>
      </c>
      <c r="BM141" s="228" t="s">
        <v>931</v>
      </c>
    </row>
    <row r="142" s="2" customFormat="1" ht="21.75" customHeight="1">
      <c r="A142" s="35"/>
      <c r="B142" s="36"/>
      <c r="C142" s="230" t="s">
        <v>7</v>
      </c>
      <c r="D142" s="230" t="s">
        <v>145</v>
      </c>
      <c r="E142" s="231" t="s">
        <v>797</v>
      </c>
      <c r="F142" s="232" t="s">
        <v>798</v>
      </c>
      <c r="G142" s="233" t="s">
        <v>185</v>
      </c>
      <c r="H142" s="234">
        <v>2</v>
      </c>
      <c r="I142" s="235"/>
      <c r="J142" s="236">
        <f>ROUND(I142*H142,2)</f>
        <v>0</v>
      </c>
      <c r="K142" s="237"/>
      <c r="L142" s="238"/>
      <c r="M142" s="239" t="s">
        <v>1</v>
      </c>
      <c r="N142" s="240" t="s">
        <v>40</v>
      </c>
      <c r="O142" s="88"/>
      <c r="P142" s="226">
        <f>O142*H142</f>
        <v>0</v>
      </c>
      <c r="Q142" s="226">
        <v>0.00115</v>
      </c>
      <c r="R142" s="226">
        <f>Q142*H142</f>
        <v>0.0023</v>
      </c>
      <c r="S142" s="226">
        <v>0</v>
      </c>
      <c r="T142" s="227">
        <f>S142*H142</f>
        <v>0</v>
      </c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R142" s="228" t="s">
        <v>148</v>
      </c>
      <c r="AT142" s="228" t="s">
        <v>145</v>
      </c>
      <c r="AU142" s="228" t="s">
        <v>85</v>
      </c>
      <c r="AY142" s="14" t="s">
        <v>131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4" t="s">
        <v>83</v>
      </c>
      <c r="BK142" s="229">
        <f>ROUND(I142*H142,2)</f>
        <v>0</v>
      </c>
      <c r="BL142" s="14" t="s">
        <v>138</v>
      </c>
      <c r="BM142" s="228" t="s">
        <v>932</v>
      </c>
    </row>
    <row r="143" s="12" customFormat="1" ht="25.92" customHeight="1">
      <c r="A143" s="12"/>
      <c r="B143" s="200"/>
      <c r="C143" s="201"/>
      <c r="D143" s="202" t="s">
        <v>74</v>
      </c>
      <c r="E143" s="203" t="s">
        <v>712</v>
      </c>
      <c r="F143" s="203" t="s">
        <v>896</v>
      </c>
      <c r="G143" s="201"/>
      <c r="H143" s="201"/>
      <c r="I143" s="204"/>
      <c r="J143" s="205">
        <f>BK143</f>
        <v>0</v>
      </c>
      <c r="K143" s="201"/>
      <c r="L143" s="206"/>
      <c r="M143" s="207"/>
      <c r="N143" s="208"/>
      <c r="O143" s="208"/>
      <c r="P143" s="209">
        <f>P144</f>
        <v>0</v>
      </c>
      <c r="Q143" s="208"/>
      <c r="R143" s="209">
        <f>R144</f>
        <v>0</v>
      </c>
      <c r="S143" s="208"/>
      <c r="T143" s="210">
        <f>T144</f>
        <v>0</v>
      </c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R143" s="211" t="s">
        <v>150</v>
      </c>
      <c r="AT143" s="212" t="s">
        <v>74</v>
      </c>
      <c r="AU143" s="212" t="s">
        <v>75</v>
      </c>
      <c r="AY143" s="211" t="s">
        <v>131</v>
      </c>
      <c r="BK143" s="213">
        <f>BK144</f>
        <v>0</v>
      </c>
    </row>
    <row r="144" s="2" customFormat="1" ht="24.15" customHeight="1">
      <c r="A144" s="35"/>
      <c r="B144" s="36"/>
      <c r="C144" s="216" t="s">
        <v>612</v>
      </c>
      <c r="D144" s="216" t="s">
        <v>134</v>
      </c>
      <c r="E144" s="217" t="s">
        <v>933</v>
      </c>
      <c r="F144" s="218" t="s">
        <v>934</v>
      </c>
      <c r="G144" s="219" t="s">
        <v>198</v>
      </c>
      <c r="H144" s="220">
        <v>1</v>
      </c>
      <c r="I144" s="221"/>
      <c r="J144" s="222">
        <f>ROUND(I144*H144,2)</f>
        <v>0</v>
      </c>
      <c r="K144" s="223"/>
      <c r="L144" s="41"/>
      <c r="M144" s="242" t="s">
        <v>1</v>
      </c>
      <c r="N144" s="243" t="s">
        <v>40</v>
      </c>
      <c r="O144" s="244"/>
      <c r="P144" s="245">
        <f>O144*H144</f>
        <v>0</v>
      </c>
      <c r="Q144" s="245">
        <v>0</v>
      </c>
      <c r="R144" s="245">
        <f>Q144*H144</f>
        <v>0</v>
      </c>
      <c r="S144" s="245">
        <v>0</v>
      </c>
      <c r="T144" s="246">
        <f>S144*H144</f>
        <v>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R144" s="228" t="s">
        <v>716</v>
      </c>
      <c r="AT144" s="228" t="s">
        <v>134</v>
      </c>
      <c r="AU144" s="228" t="s">
        <v>83</v>
      </c>
      <c r="AY144" s="14" t="s">
        <v>131</v>
      </c>
      <c r="BE144" s="229">
        <f>IF(N144="základní",J144,0)</f>
        <v>0</v>
      </c>
      <c r="BF144" s="229">
        <f>IF(N144="snížená",J144,0)</f>
        <v>0</v>
      </c>
      <c r="BG144" s="229">
        <f>IF(N144="zákl. přenesená",J144,0)</f>
        <v>0</v>
      </c>
      <c r="BH144" s="229">
        <f>IF(N144="sníž. přenesená",J144,0)</f>
        <v>0</v>
      </c>
      <c r="BI144" s="229">
        <f>IF(N144="nulová",J144,0)</f>
        <v>0</v>
      </c>
      <c r="BJ144" s="14" t="s">
        <v>83</v>
      </c>
      <c r="BK144" s="229">
        <f>ROUND(I144*H144,2)</f>
        <v>0</v>
      </c>
      <c r="BL144" s="14" t="s">
        <v>716</v>
      </c>
      <c r="BM144" s="228" t="s">
        <v>935</v>
      </c>
    </row>
    <row r="145" s="2" customFormat="1" ht="6.96" customHeight="1">
      <c r="A145" s="35"/>
      <c r="B145" s="63"/>
      <c r="C145" s="64"/>
      <c r="D145" s="64"/>
      <c r="E145" s="64"/>
      <c r="F145" s="64"/>
      <c r="G145" s="64"/>
      <c r="H145" s="64"/>
      <c r="I145" s="64"/>
      <c r="J145" s="64"/>
      <c r="K145" s="64"/>
      <c r="L145" s="41"/>
      <c r="M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</row>
  </sheetData>
  <sheetProtection sheet="1" autoFilter="0" formatColumns="0" formatRows="0" objects="1" scenarios="1" spinCount="100000" saltValue="ROomwYWm7HqKRrc8sUos/da9xYfMA97gMbABEH5suHgZtpN89a1N0wU6XWHWd5N68cMY1vBaB6aM0vgFIQEUuQ==" hashValue="L01wfmObTEjINTtfh4wmLYdrzkyZG05Yzh+o5BrfwWAqd1FjG9SLolj3TGF4RW9IxWBFQ/A7FCTggOpXP64J2g==" algorithmName="SHA-512" password="F695"/>
  <autoFilter ref="C118:K144"/>
  <mergeCells count="9">
    <mergeCell ref="E7:H7"/>
    <mergeCell ref="E9:H9"/>
    <mergeCell ref="E18:H18"/>
    <mergeCell ref="E27:H27"/>
    <mergeCell ref="E85:H85"/>
    <mergeCell ref="E87:H87"/>
    <mergeCell ref="E109:H109"/>
    <mergeCell ref="E111:H111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hidden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4" t="s">
        <v>100</v>
      </c>
    </row>
    <row r="3" s="1" customFormat="1" ht="6.96" customHeight="1"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7"/>
      <c r="AT3" s="14" t="s">
        <v>85</v>
      </c>
    </row>
    <row r="4" s="1" customFormat="1" ht="24.96" customHeight="1">
      <c r="B4" s="17"/>
      <c r="D4" s="135" t="s">
        <v>101</v>
      </c>
      <c r="L4" s="17"/>
      <c r="M4" s="136" t="s">
        <v>10</v>
      </c>
      <c r="AT4" s="14" t="s">
        <v>4</v>
      </c>
    </row>
    <row r="5" s="1" customFormat="1" ht="6.96" customHeight="1">
      <c r="B5" s="17"/>
      <c r="L5" s="17"/>
    </row>
    <row r="6" s="1" customFormat="1" ht="12" customHeight="1">
      <c r="B6" s="17"/>
      <c r="D6" s="137" t="s">
        <v>16</v>
      </c>
      <c r="L6" s="17"/>
    </row>
    <row r="7" s="1" customFormat="1" ht="16.5" customHeight="1">
      <c r="B7" s="17"/>
      <c r="E7" s="138" t="str">
        <f>'Rekapitulace stavby'!K6</f>
        <v>Forestina Horaždovice- UT, OPZ</v>
      </c>
      <c r="F7" s="137"/>
      <c r="G7" s="137"/>
      <c r="H7" s="137"/>
      <c r="L7" s="17"/>
    </row>
    <row r="8" s="2" customFormat="1" ht="12" customHeight="1">
      <c r="A8" s="35"/>
      <c r="B8" s="41"/>
      <c r="C8" s="35"/>
      <c r="D8" s="137" t="s">
        <v>102</v>
      </c>
      <c r="E8" s="35"/>
      <c r="F8" s="35"/>
      <c r="G8" s="35"/>
      <c r="H8" s="35"/>
      <c r="I8" s="35"/>
      <c r="J8" s="35"/>
      <c r="K8" s="35"/>
      <c r="L8" s="60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="2" customFormat="1" ht="16.5" customHeight="1">
      <c r="A9" s="35"/>
      <c r="B9" s="41"/>
      <c r="C9" s="35"/>
      <c r="D9" s="35"/>
      <c r="E9" s="139" t="s">
        <v>936</v>
      </c>
      <c r="F9" s="35"/>
      <c r="G9" s="35"/>
      <c r="H9" s="35"/>
      <c r="I9" s="35"/>
      <c r="J9" s="35"/>
      <c r="K9" s="35"/>
      <c r="L9" s="60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="2" customFormat="1">
      <c r="A10" s="35"/>
      <c r="B10" s="41"/>
      <c r="C10" s="35"/>
      <c r="D10" s="35"/>
      <c r="E10" s="35"/>
      <c r="F10" s="35"/>
      <c r="G10" s="35"/>
      <c r="H10" s="35"/>
      <c r="I10" s="35"/>
      <c r="J10" s="35"/>
      <c r="K10" s="35"/>
      <c r="L10" s="60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="2" customFormat="1" ht="12" customHeight="1">
      <c r="A11" s="35"/>
      <c r="B11" s="41"/>
      <c r="C11" s="35"/>
      <c r="D11" s="137" t="s">
        <v>18</v>
      </c>
      <c r="E11" s="35"/>
      <c r="F11" s="140" t="s">
        <v>1</v>
      </c>
      <c r="G11" s="35"/>
      <c r="H11" s="35"/>
      <c r="I11" s="137" t="s">
        <v>19</v>
      </c>
      <c r="J11" s="140" t="s">
        <v>1</v>
      </c>
      <c r="K11" s="35"/>
      <c r="L11" s="60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="2" customFormat="1" ht="12" customHeight="1">
      <c r="A12" s="35"/>
      <c r="B12" s="41"/>
      <c r="C12" s="35"/>
      <c r="D12" s="137" t="s">
        <v>20</v>
      </c>
      <c r="E12" s="35"/>
      <c r="F12" s="140" t="s">
        <v>21</v>
      </c>
      <c r="G12" s="35"/>
      <c r="H12" s="35"/>
      <c r="I12" s="137" t="s">
        <v>22</v>
      </c>
      <c r="J12" s="141" t="str">
        <f>'Rekapitulace stavby'!AN8</f>
        <v>10. 6. 2025</v>
      </c>
      <c r="K12" s="35"/>
      <c r="L12" s="60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="2" customFormat="1" ht="10.8" customHeight="1">
      <c r="A13" s="35"/>
      <c r="B13" s="41"/>
      <c r="C13" s="35"/>
      <c r="D13" s="35"/>
      <c r="E13" s="35"/>
      <c r="F13" s="35"/>
      <c r="G13" s="35"/>
      <c r="H13" s="35"/>
      <c r="I13" s="35"/>
      <c r="J13" s="35"/>
      <c r="K13" s="35"/>
      <c r="L13" s="6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="2" customFormat="1" ht="12" customHeight="1">
      <c r="A14" s="35"/>
      <c r="B14" s="41"/>
      <c r="C14" s="35"/>
      <c r="D14" s="137" t="s">
        <v>24</v>
      </c>
      <c r="E14" s="35"/>
      <c r="F14" s="35"/>
      <c r="G14" s="35"/>
      <c r="H14" s="35"/>
      <c r="I14" s="137" t="s">
        <v>25</v>
      </c>
      <c r="J14" s="140" t="s">
        <v>1</v>
      </c>
      <c r="K14" s="35"/>
      <c r="L14" s="6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="2" customFormat="1" ht="18" customHeight="1">
      <c r="A15" s="35"/>
      <c r="B15" s="41"/>
      <c r="C15" s="35"/>
      <c r="D15" s="35"/>
      <c r="E15" s="140" t="s">
        <v>26</v>
      </c>
      <c r="F15" s="35"/>
      <c r="G15" s="35"/>
      <c r="H15" s="35"/>
      <c r="I15" s="137" t="s">
        <v>27</v>
      </c>
      <c r="J15" s="140" t="s">
        <v>1</v>
      </c>
      <c r="K15" s="35"/>
      <c r="L15" s="60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="2" customFormat="1" ht="6.96" customHeight="1">
      <c r="A16" s="35"/>
      <c r="B16" s="41"/>
      <c r="C16" s="35"/>
      <c r="D16" s="35"/>
      <c r="E16" s="35"/>
      <c r="F16" s="35"/>
      <c r="G16" s="35"/>
      <c r="H16" s="35"/>
      <c r="I16" s="35"/>
      <c r="J16" s="35"/>
      <c r="K16" s="35"/>
      <c r="L16" s="60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="2" customFormat="1" ht="12" customHeight="1">
      <c r="A17" s="35"/>
      <c r="B17" s="41"/>
      <c r="C17" s="35"/>
      <c r="D17" s="137" t="s">
        <v>28</v>
      </c>
      <c r="E17" s="35"/>
      <c r="F17" s="35"/>
      <c r="G17" s="35"/>
      <c r="H17" s="35"/>
      <c r="I17" s="137" t="s">
        <v>25</v>
      </c>
      <c r="J17" s="30" t="str">
        <f>'Rekapitulace stavby'!AN13</f>
        <v>Vyplň údaj</v>
      </c>
      <c r="K17" s="35"/>
      <c r="L17" s="60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="2" customFormat="1" ht="18" customHeight="1">
      <c r="A18" s="35"/>
      <c r="B18" s="41"/>
      <c r="C18" s="35"/>
      <c r="D18" s="35"/>
      <c r="E18" s="30" t="str">
        <f>'Rekapitulace stavby'!E14</f>
        <v>Vyplň údaj</v>
      </c>
      <c r="F18" s="140"/>
      <c r="G18" s="140"/>
      <c r="H18" s="140"/>
      <c r="I18" s="137" t="s">
        <v>27</v>
      </c>
      <c r="J18" s="30" t="str">
        <f>'Rekapitulace stavby'!AN14</f>
        <v>Vyplň údaj</v>
      </c>
      <c r="K18" s="35"/>
      <c r="L18" s="60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="2" customFormat="1" ht="6.96" customHeight="1">
      <c r="A19" s="35"/>
      <c r="B19" s="41"/>
      <c r="C19" s="35"/>
      <c r="D19" s="35"/>
      <c r="E19" s="35"/>
      <c r="F19" s="35"/>
      <c r="G19" s="35"/>
      <c r="H19" s="35"/>
      <c r="I19" s="35"/>
      <c r="J19" s="35"/>
      <c r="K19" s="35"/>
      <c r="L19" s="60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="2" customFormat="1" ht="12" customHeight="1">
      <c r="A20" s="35"/>
      <c r="B20" s="41"/>
      <c r="C20" s="35"/>
      <c r="D20" s="137" t="s">
        <v>30</v>
      </c>
      <c r="E20" s="35"/>
      <c r="F20" s="35"/>
      <c r="G20" s="35"/>
      <c r="H20" s="35"/>
      <c r="I20" s="137" t="s">
        <v>25</v>
      </c>
      <c r="J20" s="140" t="s">
        <v>1</v>
      </c>
      <c r="K20" s="35"/>
      <c r="L20" s="60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</row>
    <row r="21" s="2" customFormat="1" ht="18" customHeight="1">
      <c r="A21" s="35"/>
      <c r="B21" s="41"/>
      <c r="C21" s="35"/>
      <c r="D21" s="35"/>
      <c r="E21" s="140" t="s">
        <v>26</v>
      </c>
      <c r="F21" s="35"/>
      <c r="G21" s="35"/>
      <c r="H21" s="35"/>
      <c r="I21" s="137" t="s">
        <v>27</v>
      </c>
      <c r="J21" s="140" t="s">
        <v>1</v>
      </c>
      <c r="K21" s="35"/>
      <c r="L21" s="60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</row>
    <row r="22" s="2" customFormat="1" ht="6.96" customHeight="1">
      <c r="A22" s="35"/>
      <c r="B22" s="41"/>
      <c r="C22" s="35"/>
      <c r="D22" s="35"/>
      <c r="E22" s="35"/>
      <c r="F22" s="35"/>
      <c r="G22" s="35"/>
      <c r="H22" s="35"/>
      <c r="I22" s="35"/>
      <c r="J22" s="35"/>
      <c r="K22" s="35"/>
      <c r="L22" s="6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</row>
    <row r="23" s="2" customFormat="1" ht="12" customHeight="1">
      <c r="A23" s="35"/>
      <c r="B23" s="41"/>
      <c r="C23" s="35"/>
      <c r="D23" s="137" t="s">
        <v>32</v>
      </c>
      <c r="E23" s="35"/>
      <c r="F23" s="35"/>
      <c r="G23" s="35"/>
      <c r="H23" s="35"/>
      <c r="I23" s="137" t="s">
        <v>25</v>
      </c>
      <c r="J23" s="140" t="s">
        <v>1</v>
      </c>
      <c r="K23" s="35"/>
      <c r="L23" s="6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</row>
    <row r="24" s="2" customFormat="1" ht="18" customHeight="1">
      <c r="A24" s="35"/>
      <c r="B24" s="41"/>
      <c r="C24" s="35"/>
      <c r="D24" s="35"/>
      <c r="E24" s="140" t="s">
        <v>33</v>
      </c>
      <c r="F24" s="35"/>
      <c r="G24" s="35"/>
      <c r="H24" s="35"/>
      <c r="I24" s="137" t="s">
        <v>27</v>
      </c>
      <c r="J24" s="140" t="s">
        <v>1</v>
      </c>
      <c r="K24" s="35"/>
      <c r="L24" s="6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</row>
    <row r="25" s="2" customFormat="1" ht="6.96" customHeight="1">
      <c r="A25" s="35"/>
      <c r="B25" s="41"/>
      <c r="C25" s="35"/>
      <c r="D25" s="35"/>
      <c r="E25" s="35"/>
      <c r="F25" s="35"/>
      <c r="G25" s="35"/>
      <c r="H25" s="35"/>
      <c r="I25" s="35"/>
      <c r="J25" s="35"/>
      <c r="K25" s="35"/>
      <c r="L25" s="6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</row>
    <row r="26" s="2" customFormat="1" ht="12" customHeight="1">
      <c r="A26" s="35"/>
      <c r="B26" s="41"/>
      <c r="C26" s="35"/>
      <c r="D26" s="137" t="s">
        <v>34</v>
      </c>
      <c r="E26" s="35"/>
      <c r="F26" s="35"/>
      <c r="G26" s="35"/>
      <c r="H26" s="35"/>
      <c r="I26" s="35"/>
      <c r="J26" s="35"/>
      <c r="K26" s="35"/>
      <c r="L26" s="6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</row>
    <row r="27" s="8" customFormat="1" ht="16.5" customHeight="1">
      <c r="A27" s="142"/>
      <c r="B27" s="143"/>
      <c r="C27" s="142"/>
      <c r="D27" s="142"/>
      <c r="E27" s="144" t="s">
        <v>1</v>
      </c>
      <c r="F27" s="144"/>
      <c r="G27" s="144"/>
      <c r="H27" s="144"/>
      <c r="I27" s="142"/>
      <c r="J27" s="142"/>
      <c r="K27" s="142"/>
      <c r="L27" s="145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s="2" customFormat="1" ht="6.96" customHeight="1">
      <c r="A28" s="35"/>
      <c r="B28" s="41"/>
      <c r="C28" s="35"/>
      <c r="D28" s="35"/>
      <c r="E28" s="35"/>
      <c r="F28" s="35"/>
      <c r="G28" s="35"/>
      <c r="H28" s="35"/>
      <c r="I28" s="35"/>
      <c r="J28" s="35"/>
      <c r="K28" s="35"/>
      <c r="L28" s="6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="2" customFormat="1" ht="6.96" customHeight="1">
      <c r="A29" s="35"/>
      <c r="B29" s="41"/>
      <c r="C29" s="35"/>
      <c r="D29" s="146"/>
      <c r="E29" s="146"/>
      <c r="F29" s="146"/>
      <c r="G29" s="146"/>
      <c r="H29" s="146"/>
      <c r="I29" s="146"/>
      <c r="J29" s="146"/>
      <c r="K29" s="146"/>
      <c r="L29" s="6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 s="2" customFormat="1" ht="25.44" customHeight="1">
      <c r="A30" s="35"/>
      <c r="B30" s="41"/>
      <c r="C30" s="35"/>
      <c r="D30" s="147" t="s">
        <v>35</v>
      </c>
      <c r="E30" s="35"/>
      <c r="F30" s="35"/>
      <c r="G30" s="35"/>
      <c r="H30" s="35"/>
      <c r="I30" s="35"/>
      <c r="J30" s="148">
        <f>ROUND(J122, 2)</f>
        <v>0</v>
      </c>
      <c r="K30" s="35"/>
      <c r="L30" s="6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 s="2" customFormat="1" ht="6.96" customHeight="1">
      <c r="A31" s="35"/>
      <c r="B31" s="41"/>
      <c r="C31" s="35"/>
      <c r="D31" s="146"/>
      <c r="E31" s="146"/>
      <c r="F31" s="146"/>
      <c r="G31" s="146"/>
      <c r="H31" s="146"/>
      <c r="I31" s="146"/>
      <c r="J31" s="146"/>
      <c r="K31" s="146"/>
      <c r="L31" s="6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s="2" customFormat="1" ht="14.4" customHeight="1">
      <c r="A32" s="35"/>
      <c r="B32" s="41"/>
      <c r="C32" s="35"/>
      <c r="D32" s="35"/>
      <c r="E32" s="35"/>
      <c r="F32" s="149" t="s">
        <v>37</v>
      </c>
      <c r="G32" s="35"/>
      <c r="H32" s="35"/>
      <c r="I32" s="149" t="s">
        <v>36</v>
      </c>
      <c r="J32" s="149" t="s">
        <v>38</v>
      </c>
      <c r="K32" s="35"/>
      <c r="L32" s="6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="2" customFormat="1" ht="14.4" customHeight="1">
      <c r="A33" s="35"/>
      <c r="B33" s="41"/>
      <c r="C33" s="35"/>
      <c r="D33" s="150" t="s">
        <v>39</v>
      </c>
      <c r="E33" s="137" t="s">
        <v>40</v>
      </c>
      <c r="F33" s="151">
        <f>ROUND((SUM(BE122:BE158)),  2)</f>
        <v>0</v>
      </c>
      <c r="G33" s="35"/>
      <c r="H33" s="35"/>
      <c r="I33" s="152">
        <v>0.20999999999999999</v>
      </c>
      <c r="J33" s="151">
        <f>ROUND(((SUM(BE122:BE158))*I33),  2)</f>
        <v>0</v>
      </c>
      <c r="K33" s="35"/>
      <c r="L33" s="6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="2" customFormat="1" ht="14.4" customHeight="1">
      <c r="A34" s="35"/>
      <c r="B34" s="41"/>
      <c r="C34" s="35"/>
      <c r="D34" s="35"/>
      <c r="E34" s="137" t="s">
        <v>41</v>
      </c>
      <c r="F34" s="151">
        <f>ROUND((SUM(BF122:BF158)),  2)</f>
        <v>0</v>
      </c>
      <c r="G34" s="35"/>
      <c r="H34" s="35"/>
      <c r="I34" s="152">
        <v>0.12</v>
      </c>
      <c r="J34" s="151">
        <f>ROUND(((SUM(BF122:BF158))*I34),  2)</f>
        <v>0</v>
      </c>
      <c r="K34" s="35"/>
      <c r="L34" s="6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hidden="1" s="2" customFormat="1" ht="14.4" customHeight="1">
      <c r="A35" s="35"/>
      <c r="B35" s="41"/>
      <c r="C35" s="35"/>
      <c r="D35" s="35"/>
      <c r="E35" s="137" t="s">
        <v>42</v>
      </c>
      <c r="F35" s="151">
        <f>ROUND((SUM(BG122:BG158)),  2)</f>
        <v>0</v>
      </c>
      <c r="G35" s="35"/>
      <c r="H35" s="35"/>
      <c r="I35" s="152">
        <v>0.20999999999999999</v>
      </c>
      <c r="J35" s="151">
        <f>0</f>
        <v>0</v>
      </c>
      <c r="K35" s="35"/>
      <c r="L35" s="6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hidden="1" s="2" customFormat="1" ht="14.4" customHeight="1">
      <c r="A36" s="35"/>
      <c r="B36" s="41"/>
      <c r="C36" s="35"/>
      <c r="D36" s="35"/>
      <c r="E36" s="137" t="s">
        <v>43</v>
      </c>
      <c r="F36" s="151">
        <f>ROUND((SUM(BH122:BH158)),  2)</f>
        <v>0</v>
      </c>
      <c r="G36" s="35"/>
      <c r="H36" s="35"/>
      <c r="I36" s="152">
        <v>0.12</v>
      </c>
      <c r="J36" s="151">
        <f>0</f>
        <v>0</v>
      </c>
      <c r="K36" s="35"/>
      <c r="L36" s="6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</row>
    <row r="37" hidden="1" s="2" customFormat="1" ht="14.4" customHeight="1">
      <c r="A37" s="35"/>
      <c r="B37" s="41"/>
      <c r="C37" s="35"/>
      <c r="D37" s="35"/>
      <c r="E37" s="137" t="s">
        <v>44</v>
      </c>
      <c r="F37" s="151">
        <f>ROUND((SUM(BI122:BI158)),  2)</f>
        <v>0</v>
      </c>
      <c r="G37" s="35"/>
      <c r="H37" s="35"/>
      <c r="I37" s="152">
        <v>0</v>
      </c>
      <c r="J37" s="151">
        <f>0</f>
        <v>0</v>
      </c>
      <c r="K37" s="35"/>
      <c r="L37" s="6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="2" customFormat="1" ht="6.96" customHeight="1">
      <c r="A38" s="35"/>
      <c r="B38" s="41"/>
      <c r="C38" s="35"/>
      <c r="D38" s="35"/>
      <c r="E38" s="35"/>
      <c r="F38" s="35"/>
      <c r="G38" s="35"/>
      <c r="H38" s="35"/>
      <c r="I38" s="35"/>
      <c r="J38" s="35"/>
      <c r="K38" s="35"/>
      <c r="L38" s="6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="2" customFormat="1" ht="25.44" customHeight="1">
      <c r="A39" s="35"/>
      <c r="B39" s="41"/>
      <c r="C39" s="153"/>
      <c r="D39" s="154" t="s">
        <v>45</v>
      </c>
      <c r="E39" s="155"/>
      <c r="F39" s="155"/>
      <c r="G39" s="156" t="s">
        <v>46</v>
      </c>
      <c r="H39" s="157" t="s">
        <v>47</v>
      </c>
      <c r="I39" s="155"/>
      <c r="J39" s="158">
        <f>SUM(J30:J37)</f>
        <v>0</v>
      </c>
      <c r="K39" s="159"/>
      <c r="L39" s="6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="2" customFormat="1" ht="14.4" customHeight="1">
      <c r="A40" s="35"/>
      <c r="B40" s="41"/>
      <c r="C40" s="35"/>
      <c r="D40" s="35"/>
      <c r="E40" s="35"/>
      <c r="F40" s="35"/>
      <c r="G40" s="35"/>
      <c r="H40" s="35"/>
      <c r="I40" s="35"/>
      <c r="J40" s="35"/>
      <c r="K40" s="35"/>
      <c r="L40" s="6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  <row r="41" s="1" customFormat="1" ht="14.4" customHeight="1">
      <c r="B41" s="17"/>
      <c r="L41" s="17"/>
    </row>
    <row r="42" s="1" customFormat="1" ht="14.4" customHeight="1">
      <c r="B42" s="17"/>
      <c r="L42" s="17"/>
    </row>
    <row r="43" s="1" customFormat="1" ht="14.4" customHeight="1">
      <c r="B43" s="17"/>
      <c r="L43" s="17"/>
    </row>
    <row r="44" s="1" customFormat="1" ht="14.4" customHeight="1">
      <c r="B44" s="17"/>
      <c r="L44" s="17"/>
    </row>
    <row r="45" s="1" customFormat="1" ht="14.4" customHeight="1">
      <c r="B45" s="17"/>
      <c r="L45" s="17"/>
    </row>
    <row r="46" s="1" customFormat="1" ht="14.4" customHeight="1">
      <c r="B46" s="17"/>
      <c r="L46" s="17"/>
    </row>
    <row r="47" s="1" customFormat="1" ht="14.4" customHeight="1">
      <c r="B47" s="17"/>
      <c r="L47" s="17"/>
    </row>
    <row r="48" s="1" customFormat="1" ht="14.4" customHeight="1">
      <c r="B48" s="17"/>
      <c r="L48" s="17"/>
    </row>
    <row r="49" s="1" customFormat="1" ht="14.4" customHeight="1">
      <c r="B49" s="17"/>
      <c r="L49" s="17"/>
    </row>
    <row r="50" s="2" customFormat="1" ht="14.4" customHeight="1">
      <c r="B50" s="60"/>
      <c r="D50" s="160" t="s">
        <v>48</v>
      </c>
      <c r="E50" s="161"/>
      <c r="F50" s="161"/>
      <c r="G50" s="160" t="s">
        <v>49</v>
      </c>
      <c r="H50" s="161"/>
      <c r="I50" s="161"/>
      <c r="J50" s="161"/>
      <c r="K50" s="161"/>
      <c r="L50" s="60"/>
    </row>
    <row r="51">
      <c r="B51" s="17"/>
      <c r="L51" s="17"/>
    </row>
    <row r="52">
      <c r="B52" s="17"/>
      <c r="L52" s="17"/>
    </row>
    <row r="53">
      <c r="B53" s="17"/>
      <c r="L53" s="17"/>
    </row>
    <row r="54">
      <c r="B54" s="17"/>
      <c r="L54" s="17"/>
    </row>
    <row r="55">
      <c r="B55" s="17"/>
      <c r="L55" s="17"/>
    </row>
    <row r="56">
      <c r="B56" s="17"/>
      <c r="L56" s="17"/>
    </row>
    <row r="57">
      <c r="B57" s="17"/>
      <c r="L57" s="17"/>
    </row>
    <row r="58">
      <c r="B58" s="17"/>
      <c r="L58" s="17"/>
    </row>
    <row r="59">
      <c r="B59" s="17"/>
      <c r="L59" s="17"/>
    </row>
    <row r="60">
      <c r="B60" s="17"/>
      <c r="L60" s="17"/>
    </row>
    <row r="61" s="2" customFormat="1">
      <c r="A61" s="35"/>
      <c r="B61" s="41"/>
      <c r="C61" s="35"/>
      <c r="D61" s="162" t="s">
        <v>50</v>
      </c>
      <c r="E61" s="163"/>
      <c r="F61" s="164" t="s">
        <v>51</v>
      </c>
      <c r="G61" s="162" t="s">
        <v>50</v>
      </c>
      <c r="H61" s="163"/>
      <c r="I61" s="163"/>
      <c r="J61" s="165" t="s">
        <v>51</v>
      </c>
      <c r="K61" s="163"/>
      <c r="L61" s="6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</row>
    <row r="62">
      <c r="B62" s="17"/>
      <c r="L62" s="17"/>
    </row>
    <row r="63">
      <c r="B63" s="17"/>
      <c r="L63" s="17"/>
    </row>
    <row r="64">
      <c r="B64" s="17"/>
      <c r="L64" s="17"/>
    </row>
    <row r="65" s="2" customFormat="1">
      <c r="A65" s="35"/>
      <c r="B65" s="41"/>
      <c r="C65" s="35"/>
      <c r="D65" s="160" t="s">
        <v>52</v>
      </c>
      <c r="E65" s="166"/>
      <c r="F65" s="166"/>
      <c r="G65" s="160" t="s">
        <v>53</v>
      </c>
      <c r="H65" s="166"/>
      <c r="I65" s="166"/>
      <c r="J65" s="166"/>
      <c r="K65" s="166"/>
      <c r="L65" s="6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</row>
    <row r="66">
      <c r="B66" s="17"/>
      <c r="L66" s="17"/>
    </row>
    <row r="67">
      <c r="B67" s="17"/>
      <c r="L67" s="17"/>
    </row>
    <row r="68">
      <c r="B68" s="17"/>
      <c r="L68" s="17"/>
    </row>
    <row r="69">
      <c r="B69" s="17"/>
      <c r="L69" s="17"/>
    </row>
    <row r="70">
      <c r="B70" s="17"/>
      <c r="L70" s="17"/>
    </row>
    <row r="71">
      <c r="B71" s="17"/>
      <c r="L71" s="17"/>
    </row>
    <row r="72">
      <c r="B72" s="17"/>
      <c r="L72" s="17"/>
    </row>
    <row r="73">
      <c r="B73" s="17"/>
      <c r="L73" s="17"/>
    </row>
    <row r="74">
      <c r="B74" s="17"/>
      <c r="L74" s="17"/>
    </row>
    <row r="75">
      <c r="B75" s="17"/>
      <c r="L75" s="17"/>
    </row>
    <row r="76" s="2" customFormat="1">
      <c r="A76" s="35"/>
      <c r="B76" s="41"/>
      <c r="C76" s="35"/>
      <c r="D76" s="162" t="s">
        <v>50</v>
      </c>
      <c r="E76" s="163"/>
      <c r="F76" s="164" t="s">
        <v>51</v>
      </c>
      <c r="G76" s="162" t="s">
        <v>50</v>
      </c>
      <c r="H76" s="163"/>
      <c r="I76" s="163"/>
      <c r="J76" s="165" t="s">
        <v>51</v>
      </c>
      <c r="K76" s="163"/>
      <c r="L76" s="6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</row>
    <row r="77" s="2" customFormat="1" ht="14.4" customHeight="1">
      <c r="A77" s="35"/>
      <c r="B77" s="167"/>
      <c r="C77" s="168"/>
      <c r="D77" s="168"/>
      <c r="E77" s="168"/>
      <c r="F77" s="168"/>
      <c r="G77" s="168"/>
      <c r="H77" s="168"/>
      <c r="I77" s="168"/>
      <c r="J77" s="168"/>
      <c r="K77" s="168"/>
      <c r="L77" s="6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</row>
    <row r="81" s="2" customFormat="1" ht="6.96" customHeight="1">
      <c r="A81" s="35"/>
      <c r="B81" s="169"/>
      <c r="C81" s="170"/>
      <c r="D81" s="170"/>
      <c r="E81" s="170"/>
      <c r="F81" s="170"/>
      <c r="G81" s="170"/>
      <c r="H81" s="170"/>
      <c r="I81" s="170"/>
      <c r="J81" s="170"/>
      <c r="K81" s="170"/>
      <c r="L81" s="6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</row>
    <row r="82" s="2" customFormat="1" ht="24.96" customHeight="1">
      <c r="A82" s="35"/>
      <c r="B82" s="36"/>
      <c r="C82" s="20" t="s">
        <v>104</v>
      </c>
      <c r="D82" s="37"/>
      <c r="E82" s="37"/>
      <c r="F82" s="37"/>
      <c r="G82" s="37"/>
      <c r="H82" s="37"/>
      <c r="I82" s="37"/>
      <c r="J82" s="37"/>
      <c r="K82" s="37"/>
      <c r="L82" s="6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</row>
    <row r="83" s="2" customFormat="1" ht="6.96" customHeight="1">
      <c r="A83" s="35"/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6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s="2" customFormat="1" ht="12" customHeight="1">
      <c r="A84" s="35"/>
      <c r="B84" s="36"/>
      <c r="C84" s="29" t="s">
        <v>16</v>
      </c>
      <c r="D84" s="37"/>
      <c r="E84" s="37"/>
      <c r="F84" s="37"/>
      <c r="G84" s="37"/>
      <c r="H84" s="37"/>
      <c r="I84" s="37"/>
      <c r="J84" s="37"/>
      <c r="K84" s="37"/>
      <c r="L84" s="6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</row>
    <row r="85" s="2" customFormat="1" ht="16.5" customHeight="1">
      <c r="A85" s="35"/>
      <c r="B85" s="36"/>
      <c r="C85" s="37"/>
      <c r="D85" s="37"/>
      <c r="E85" s="171" t="str">
        <f>E7</f>
        <v>Forestina Horaždovice- UT, OPZ</v>
      </c>
      <c r="F85" s="29"/>
      <c r="G85" s="29"/>
      <c r="H85" s="29"/>
      <c r="I85" s="37"/>
      <c r="J85" s="37"/>
      <c r="K85" s="37"/>
      <c r="L85" s="6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</row>
    <row r="86" s="2" customFormat="1" ht="12" customHeight="1">
      <c r="A86" s="35"/>
      <c r="B86" s="36"/>
      <c r="C86" s="29" t="s">
        <v>102</v>
      </c>
      <c r="D86" s="37"/>
      <c r="E86" s="37"/>
      <c r="F86" s="37"/>
      <c r="G86" s="37"/>
      <c r="H86" s="37"/>
      <c r="I86" s="37"/>
      <c r="J86" s="37"/>
      <c r="K86" s="37"/>
      <c r="L86" s="6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</row>
    <row r="87" s="2" customFormat="1" ht="16.5" customHeight="1">
      <c r="A87" s="35"/>
      <c r="B87" s="36"/>
      <c r="C87" s="37"/>
      <c r="D87" s="37"/>
      <c r="E87" s="73" t="str">
        <f>E9</f>
        <v>06 - Vytápění hala</v>
      </c>
      <c r="F87" s="37"/>
      <c r="G87" s="37"/>
      <c r="H87" s="37"/>
      <c r="I87" s="37"/>
      <c r="J87" s="37"/>
      <c r="K87" s="37"/>
      <c r="L87" s="6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</row>
    <row r="88" s="2" customFormat="1" ht="6.96" customHeight="1">
      <c r="A88" s="35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6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</row>
    <row r="89" s="2" customFormat="1" ht="12" customHeight="1">
      <c r="A89" s="35"/>
      <c r="B89" s="36"/>
      <c r="C89" s="29" t="s">
        <v>20</v>
      </c>
      <c r="D89" s="37"/>
      <c r="E89" s="37"/>
      <c r="F89" s="24" t="str">
        <f>F12</f>
        <v>Horaždovice</v>
      </c>
      <c r="G89" s="37"/>
      <c r="H89" s="37"/>
      <c r="I89" s="29" t="s">
        <v>22</v>
      </c>
      <c r="J89" s="76" t="str">
        <f>IF(J12="","",J12)</f>
        <v>10. 6. 2025</v>
      </c>
      <c r="K89" s="37"/>
      <c r="L89" s="6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</row>
    <row r="90" s="2" customFormat="1" ht="6.96" customHeight="1">
      <c r="A90" s="35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6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</row>
    <row r="91" s="2" customFormat="1" ht="15.15" customHeight="1">
      <c r="A91" s="35"/>
      <c r="B91" s="36"/>
      <c r="C91" s="29" t="s">
        <v>24</v>
      </c>
      <c r="D91" s="37"/>
      <c r="E91" s="37"/>
      <c r="F91" s="24" t="str">
        <f>E15</f>
        <v xml:space="preserve"> </v>
      </c>
      <c r="G91" s="37"/>
      <c r="H91" s="37"/>
      <c r="I91" s="29" t="s">
        <v>30</v>
      </c>
      <c r="J91" s="33" t="str">
        <f>E21</f>
        <v xml:space="preserve"> </v>
      </c>
      <c r="K91" s="37"/>
      <c r="L91" s="6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</row>
    <row r="92" s="2" customFormat="1" ht="15.15" customHeight="1">
      <c r="A92" s="35"/>
      <c r="B92" s="36"/>
      <c r="C92" s="29" t="s">
        <v>28</v>
      </c>
      <c r="D92" s="37"/>
      <c r="E92" s="37"/>
      <c r="F92" s="24" t="str">
        <f>IF(E18="","",E18)</f>
        <v>Vyplň údaj</v>
      </c>
      <c r="G92" s="37"/>
      <c r="H92" s="37"/>
      <c r="I92" s="29" t="s">
        <v>32</v>
      </c>
      <c r="J92" s="33" t="str">
        <f>E24</f>
        <v xml:space="preserve">Ing. pavel Míka </v>
      </c>
      <c r="K92" s="37"/>
      <c r="L92" s="6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</row>
    <row r="93" s="2" customFormat="1" ht="10.32" customHeight="1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6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</row>
    <row r="94" s="2" customFormat="1" ht="29.28" customHeight="1">
      <c r="A94" s="35"/>
      <c r="B94" s="36"/>
      <c r="C94" s="172" t="s">
        <v>105</v>
      </c>
      <c r="D94" s="173"/>
      <c r="E94" s="173"/>
      <c r="F94" s="173"/>
      <c r="G94" s="173"/>
      <c r="H94" s="173"/>
      <c r="I94" s="173"/>
      <c r="J94" s="174" t="s">
        <v>106</v>
      </c>
      <c r="K94" s="173"/>
      <c r="L94" s="6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</row>
    <row r="95" s="2" customFormat="1" ht="10.32" customHeight="1">
      <c r="A95" s="35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6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</row>
    <row r="96" s="2" customFormat="1" ht="22.8" customHeight="1">
      <c r="A96" s="35"/>
      <c r="B96" s="36"/>
      <c r="C96" s="175" t="s">
        <v>107</v>
      </c>
      <c r="D96" s="37"/>
      <c r="E96" s="37"/>
      <c r="F96" s="37"/>
      <c r="G96" s="37"/>
      <c r="H96" s="37"/>
      <c r="I96" s="37"/>
      <c r="J96" s="107">
        <f>J122</f>
        <v>0</v>
      </c>
      <c r="K96" s="37"/>
      <c r="L96" s="6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U96" s="14" t="s">
        <v>108</v>
      </c>
    </row>
    <row r="97" s="9" customFormat="1" ht="24.96" customHeight="1">
      <c r="A97" s="9"/>
      <c r="B97" s="176"/>
      <c r="C97" s="177"/>
      <c r="D97" s="178" t="s">
        <v>109</v>
      </c>
      <c r="E97" s="179"/>
      <c r="F97" s="179"/>
      <c r="G97" s="179"/>
      <c r="H97" s="179"/>
      <c r="I97" s="179"/>
      <c r="J97" s="180">
        <f>J123</f>
        <v>0</v>
      </c>
      <c r="K97" s="177"/>
      <c r="L97" s="181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2"/>
      <c r="C98" s="183"/>
      <c r="D98" s="184" t="s">
        <v>111</v>
      </c>
      <c r="E98" s="185"/>
      <c r="F98" s="185"/>
      <c r="G98" s="185"/>
      <c r="H98" s="185"/>
      <c r="I98" s="185"/>
      <c r="J98" s="186">
        <f>J124</f>
        <v>0</v>
      </c>
      <c r="K98" s="183"/>
      <c r="L98" s="187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2"/>
      <c r="C99" s="183"/>
      <c r="D99" s="184" t="s">
        <v>112</v>
      </c>
      <c r="E99" s="185"/>
      <c r="F99" s="185"/>
      <c r="G99" s="185"/>
      <c r="H99" s="185"/>
      <c r="I99" s="185"/>
      <c r="J99" s="186">
        <f>J130</f>
        <v>0</v>
      </c>
      <c r="K99" s="183"/>
      <c r="L99" s="187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2"/>
      <c r="C100" s="183"/>
      <c r="D100" s="184" t="s">
        <v>113</v>
      </c>
      <c r="E100" s="185"/>
      <c r="F100" s="185"/>
      <c r="G100" s="185"/>
      <c r="H100" s="185"/>
      <c r="I100" s="185"/>
      <c r="J100" s="186">
        <f>J136</f>
        <v>0</v>
      </c>
      <c r="K100" s="183"/>
      <c r="L100" s="187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2"/>
      <c r="C101" s="183"/>
      <c r="D101" s="184" t="s">
        <v>114</v>
      </c>
      <c r="E101" s="185"/>
      <c r="F101" s="185"/>
      <c r="G101" s="185"/>
      <c r="H101" s="185"/>
      <c r="I101" s="185"/>
      <c r="J101" s="186">
        <f>J147</f>
        <v>0</v>
      </c>
      <c r="K101" s="183"/>
      <c r="L101" s="187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10" customFormat="1" ht="19.92" customHeight="1">
      <c r="A102" s="10"/>
      <c r="B102" s="182"/>
      <c r="C102" s="183"/>
      <c r="D102" s="184" t="s">
        <v>937</v>
      </c>
      <c r="E102" s="185"/>
      <c r="F102" s="185"/>
      <c r="G102" s="185"/>
      <c r="H102" s="185"/>
      <c r="I102" s="185"/>
      <c r="J102" s="186">
        <f>J151</f>
        <v>0</v>
      </c>
      <c r="K102" s="183"/>
      <c r="L102" s="187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="2" customFormat="1" ht="21.84" customHeight="1">
      <c r="A103" s="35"/>
      <c r="B103" s="36"/>
      <c r="C103" s="37"/>
      <c r="D103" s="37"/>
      <c r="E103" s="37"/>
      <c r="F103" s="37"/>
      <c r="G103" s="37"/>
      <c r="H103" s="37"/>
      <c r="I103" s="37"/>
      <c r="J103" s="37"/>
      <c r="K103" s="37"/>
      <c r="L103" s="60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</row>
    <row r="104" s="2" customFormat="1" ht="6.96" customHeight="1">
      <c r="A104" s="35"/>
      <c r="B104" s="63"/>
      <c r="C104" s="64"/>
      <c r="D104" s="64"/>
      <c r="E104" s="64"/>
      <c r="F104" s="64"/>
      <c r="G104" s="64"/>
      <c r="H104" s="64"/>
      <c r="I104" s="64"/>
      <c r="J104" s="64"/>
      <c r="K104" s="64"/>
      <c r="L104" s="60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</row>
    <row r="108" s="2" customFormat="1" ht="6.96" customHeight="1">
      <c r="A108" s="35"/>
      <c r="B108" s="65"/>
      <c r="C108" s="66"/>
      <c r="D108" s="66"/>
      <c r="E108" s="66"/>
      <c r="F108" s="66"/>
      <c r="G108" s="66"/>
      <c r="H108" s="66"/>
      <c r="I108" s="66"/>
      <c r="J108" s="66"/>
      <c r="K108" s="66"/>
      <c r="L108" s="60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</row>
    <row r="109" s="2" customFormat="1" ht="24.96" customHeight="1">
      <c r="A109" s="35"/>
      <c r="B109" s="36"/>
      <c r="C109" s="20" t="s">
        <v>116</v>
      </c>
      <c r="D109" s="37"/>
      <c r="E109" s="37"/>
      <c r="F109" s="37"/>
      <c r="G109" s="37"/>
      <c r="H109" s="37"/>
      <c r="I109" s="37"/>
      <c r="J109" s="37"/>
      <c r="K109" s="37"/>
      <c r="L109" s="6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</row>
    <row r="110" s="2" customFormat="1" ht="6.96" customHeight="1">
      <c r="A110" s="35"/>
      <c r="B110" s="36"/>
      <c r="C110" s="37"/>
      <c r="D110" s="37"/>
      <c r="E110" s="37"/>
      <c r="F110" s="37"/>
      <c r="G110" s="37"/>
      <c r="H110" s="37"/>
      <c r="I110" s="37"/>
      <c r="J110" s="37"/>
      <c r="K110" s="37"/>
      <c r="L110" s="6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</row>
    <row r="111" s="2" customFormat="1" ht="12" customHeight="1">
      <c r="A111" s="35"/>
      <c r="B111" s="36"/>
      <c r="C111" s="29" t="s">
        <v>16</v>
      </c>
      <c r="D111" s="37"/>
      <c r="E111" s="37"/>
      <c r="F111" s="37"/>
      <c r="G111" s="37"/>
      <c r="H111" s="37"/>
      <c r="I111" s="37"/>
      <c r="J111" s="37"/>
      <c r="K111" s="37"/>
      <c r="L111" s="6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</row>
    <row r="112" s="2" customFormat="1" ht="16.5" customHeight="1">
      <c r="A112" s="35"/>
      <c r="B112" s="36"/>
      <c r="C112" s="37"/>
      <c r="D112" s="37"/>
      <c r="E112" s="171" t="str">
        <f>E7</f>
        <v>Forestina Horaždovice- UT, OPZ</v>
      </c>
      <c r="F112" s="29"/>
      <c r="G112" s="29"/>
      <c r="H112" s="29"/>
      <c r="I112" s="37"/>
      <c r="J112" s="37"/>
      <c r="K112" s="37"/>
      <c r="L112" s="6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</row>
    <row r="113" s="2" customFormat="1" ht="12" customHeight="1">
      <c r="A113" s="35"/>
      <c r="B113" s="36"/>
      <c r="C113" s="29" t="s">
        <v>102</v>
      </c>
      <c r="D113" s="37"/>
      <c r="E113" s="37"/>
      <c r="F113" s="37"/>
      <c r="G113" s="37"/>
      <c r="H113" s="37"/>
      <c r="I113" s="37"/>
      <c r="J113" s="37"/>
      <c r="K113" s="37"/>
      <c r="L113" s="6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</row>
    <row r="114" s="2" customFormat="1" ht="16.5" customHeight="1">
      <c r="A114" s="35"/>
      <c r="B114" s="36"/>
      <c r="C114" s="37"/>
      <c r="D114" s="37"/>
      <c r="E114" s="73" t="str">
        <f>E9</f>
        <v>06 - Vytápění hala</v>
      </c>
      <c r="F114" s="37"/>
      <c r="G114" s="37"/>
      <c r="H114" s="37"/>
      <c r="I114" s="37"/>
      <c r="J114" s="37"/>
      <c r="K114" s="37"/>
      <c r="L114" s="6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</row>
    <row r="115" s="2" customFormat="1" ht="6.96" customHeight="1">
      <c r="A115" s="35"/>
      <c r="B115" s="36"/>
      <c r="C115" s="37"/>
      <c r="D115" s="37"/>
      <c r="E115" s="37"/>
      <c r="F115" s="37"/>
      <c r="G115" s="37"/>
      <c r="H115" s="37"/>
      <c r="I115" s="37"/>
      <c r="J115" s="37"/>
      <c r="K115" s="37"/>
      <c r="L115" s="6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</row>
    <row r="116" s="2" customFormat="1" ht="12" customHeight="1">
      <c r="A116" s="35"/>
      <c r="B116" s="36"/>
      <c r="C116" s="29" t="s">
        <v>20</v>
      </c>
      <c r="D116" s="37"/>
      <c r="E116" s="37"/>
      <c r="F116" s="24" t="str">
        <f>F12</f>
        <v>Horaždovice</v>
      </c>
      <c r="G116" s="37"/>
      <c r="H116" s="37"/>
      <c r="I116" s="29" t="s">
        <v>22</v>
      </c>
      <c r="J116" s="76" t="str">
        <f>IF(J12="","",J12)</f>
        <v>10. 6. 2025</v>
      </c>
      <c r="K116" s="37"/>
      <c r="L116" s="6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</row>
    <row r="117" s="2" customFormat="1" ht="6.96" customHeight="1">
      <c r="A117" s="35"/>
      <c r="B117" s="36"/>
      <c r="C117" s="37"/>
      <c r="D117" s="37"/>
      <c r="E117" s="37"/>
      <c r="F117" s="37"/>
      <c r="G117" s="37"/>
      <c r="H117" s="37"/>
      <c r="I117" s="37"/>
      <c r="J117" s="37"/>
      <c r="K117" s="37"/>
      <c r="L117" s="60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="2" customFormat="1" ht="15.15" customHeight="1">
      <c r="A118" s="35"/>
      <c r="B118" s="36"/>
      <c r="C118" s="29" t="s">
        <v>24</v>
      </c>
      <c r="D118" s="37"/>
      <c r="E118" s="37"/>
      <c r="F118" s="24" t="str">
        <f>E15</f>
        <v xml:space="preserve"> </v>
      </c>
      <c r="G118" s="37"/>
      <c r="H118" s="37"/>
      <c r="I118" s="29" t="s">
        <v>30</v>
      </c>
      <c r="J118" s="33" t="str">
        <f>E21</f>
        <v xml:space="preserve"> </v>
      </c>
      <c r="K118" s="37"/>
      <c r="L118" s="60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</row>
    <row r="119" s="2" customFormat="1" ht="15.15" customHeight="1">
      <c r="A119" s="35"/>
      <c r="B119" s="36"/>
      <c r="C119" s="29" t="s">
        <v>28</v>
      </c>
      <c r="D119" s="37"/>
      <c r="E119" s="37"/>
      <c r="F119" s="24" t="str">
        <f>IF(E18="","",E18)</f>
        <v>Vyplň údaj</v>
      </c>
      <c r="G119" s="37"/>
      <c r="H119" s="37"/>
      <c r="I119" s="29" t="s">
        <v>32</v>
      </c>
      <c r="J119" s="33" t="str">
        <f>E24</f>
        <v xml:space="preserve">Ing. pavel Míka </v>
      </c>
      <c r="K119" s="37"/>
      <c r="L119" s="60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</row>
    <row r="120" s="2" customFormat="1" ht="10.32" customHeight="1">
      <c r="A120" s="35"/>
      <c r="B120" s="36"/>
      <c r="C120" s="37"/>
      <c r="D120" s="37"/>
      <c r="E120" s="37"/>
      <c r="F120" s="37"/>
      <c r="G120" s="37"/>
      <c r="H120" s="37"/>
      <c r="I120" s="37"/>
      <c r="J120" s="37"/>
      <c r="K120" s="37"/>
      <c r="L120" s="60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</row>
    <row r="121" s="11" customFormat="1" ht="29.28" customHeight="1">
      <c r="A121" s="188"/>
      <c r="B121" s="189"/>
      <c r="C121" s="190" t="s">
        <v>117</v>
      </c>
      <c r="D121" s="191" t="s">
        <v>60</v>
      </c>
      <c r="E121" s="191" t="s">
        <v>56</v>
      </c>
      <c r="F121" s="191" t="s">
        <v>57</v>
      </c>
      <c r="G121" s="191" t="s">
        <v>118</v>
      </c>
      <c r="H121" s="191" t="s">
        <v>119</v>
      </c>
      <c r="I121" s="191" t="s">
        <v>120</v>
      </c>
      <c r="J121" s="192" t="s">
        <v>106</v>
      </c>
      <c r="K121" s="193" t="s">
        <v>121</v>
      </c>
      <c r="L121" s="194"/>
      <c r="M121" s="97" t="s">
        <v>1</v>
      </c>
      <c r="N121" s="98" t="s">
        <v>39</v>
      </c>
      <c r="O121" s="98" t="s">
        <v>122</v>
      </c>
      <c r="P121" s="98" t="s">
        <v>123</v>
      </c>
      <c r="Q121" s="98" t="s">
        <v>124</v>
      </c>
      <c r="R121" s="98" t="s">
        <v>125</v>
      </c>
      <c r="S121" s="98" t="s">
        <v>126</v>
      </c>
      <c r="T121" s="99" t="s">
        <v>127</v>
      </c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</row>
    <row r="122" s="2" customFormat="1" ht="22.8" customHeight="1">
      <c r="A122" s="35"/>
      <c r="B122" s="36"/>
      <c r="C122" s="104" t="s">
        <v>128</v>
      </c>
      <c r="D122" s="37"/>
      <c r="E122" s="37"/>
      <c r="F122" s="37"/>
      <c r="G122" s="37"/>
      <c r="H122" s="37"/>
      <c r="I122" s="37"/>
      <c r="J122" s="195">
        <f>BK122</f>
        <v>0</v>
      </c>
      <c r="K122" s="37"/>
      <c r="L122" s="41"/>
      <c r="M122" s="100"/>
      <c r="N122" s="196"/>
      <c r="O122" s="101"/>
      <c r="P122" s="197">
        <f>P123</f>
        <v>0</v>
      </c>
      <c r="Q122" s="101"/>
      <c r="R122" s="197">
        <f>R123</f>
        <v>1.5741400000000001</v>
      </c>
      <c r="S122" s="101"/>
      <c r="T122" s="198">
        <f>T123</f>
        <v>0</v>
      </c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T122" s="14" t="s">
        <v>74</v>
      </c>
      <c r="AU122" s="14" t="s">
        <v>108</v>
      </c>
      <c r="BK122" s="199">
        <f>BK123</f>
        <v>0</v>
      </c>
    </row>
    <row r="123" s="12" customFormat="1" ht="25.92" customHeight="1">
      <c r="A123" s="12"/>
      <c r="B123" s="200"/>
      <c r="C123" s="201"/>
      <c r="D123" s="202" t="s">
        <v>74</v>
      </c>
      <c r="E123" s="203" t="s">
        <v>129</v>
      </c>
      <c r="F123" s="203" t="s">
        <v>130</v>
      </c>
      <c r="G123" s="201"/>
      <c r="H123" s="201"/>
      <c r="I123" s="204"/>
      <c r="J123" s="205">
        <f>BK123</f>
        <v>0</v>
      </c>
      <c r="K123" s="201"/>
      <c r="L123" s="206"/>
      <c r="M123" s="207"/>
      <c r="N123" s="208"/>
      <c r="O123" s="208"/>
      <c r="P123" s="209">
        <f>P124+P130+P136+P147+P151</f>
        <v>0</v>
      </c>
      <c r="Q123" s="208"/>
      <c r="R123" s="209">
        <f>R124+R130+R136+R147+R151</f>
        <v>1.5741400000000001</v>
      </c>
      <c r="S123" s="208"/>
      <c r="T123" s="210">
        <f>T124+T130+T136+T147+T151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1" t="s">
        <v>85</v>
      </c>
      <c r="AT123" s="212" t="s">
        <v>74</v>
      </c>
      <c r="AU123" s="212" t="s">
        <v>75</v>
      </c>
      <c r="AY123" s="211" t="s">
        <v>131</v>
      </c>
      <c r="BK123" s="213">
        <f>BK124+BK130+BK136+BK147+BK151</f>
        <v>0</v>
      </c>
    </row>
    <row r="124" s="12" customFormat="1" ht="22.8" customHeight="1">
      <c r="A124" s="12"/>
      <c r="B124" s="200"/>
      <c r="C124" s="201"/>
      <c r="D124" s="202" t="s">
        <v>74</v>
      </c>
      <c r="E124" s="214" t="s">
        <v>175</v>
      </c>
      <c r="F124" s="214" t="s">
        <v>176</v>
      </c>
      <c r="G124" s="201"/>
      <c r="H124" s="201"/>
      <c r="I124" s="204"/>
      <c r="J124" s="215">
        <f>BK124</f>
        <v>0</v>
      </c>
      <c r="K124" s="201"/>
      <c r="L124" s="206"/>
      <c r="M124" s="207"/>
      <c r="N124" s="208"/>
      <c r="O124" s="208"/>
      <c r="P124" s="209">
        <f>SUM(P125:P129)</f>
        <v>0</v>
      </c>
      <c r="Q124" s="208"/>
      <c r="R124" s="209">
        <f>SUM(R125:R129)</f>
        <v>0.049960000000000004</v>
      </c>
      <c r="S124" s="208"/>
      <c r="T124" s="210">
        <f>SUM(T125:T129)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1" t="s">
        <v>85</v>
      </c>
      <c r="AT124" s="212" t="s">
        <v>74</v>
      </c>
      <c r="AU124" s="212" t="s">
        <v>83</v>
      </c>
      <c r="AY124" s="211" t="s">
        <v>131</v>
      </c>
      <c r="BK124" s="213">
        <f>SUM(BK125:BK129)</f>
        <v>0</v>
      </c>
    </row>
    <row r="125" s="2" customFormat="1" ht="24.15" customHeight="1">
      <c r="A125" s="35"/>
      <c r="B125" s="36"/>
      <c r="C125" s="216" t="s">
        <v>83</v>
      </c>
      <c r="D125" s="216" t="s">
        <v>134</v>
      </c>
      <c r="E125" s="217" t="s">
        <v>938</v>
      </c>
      <c r="F125" s="218" t="s">
        <v>939</v>
      </c>
      <c r="G125" s="219" t="s">
        <v>180</v>
      </c>
      <c r="H125" s="220">
        <v>1</v>
      </c>
      <c r="I125" s="221"/>
      <c r="J125" s="222">
        <f>ROUND(I125*H125,2)</f>
        <v>0</v>
      </c>
      <c r="K125" s="223"/>
      <c r="L125" s="41"/>
      <c r="M125" s="224" t="s">
        <v>1</v>
      </c>
      <c r="N125" s="225" t="s">
        <v>40</v>
      </c>
      <c r="O125" s="88"/>
      <c r="P125" s="226">
        <f>O125*H125</f>
        <v>0</v>
      </c>
      <c r="Q125" s="226">
        <v>0.041520000000000001</v>
      </c>
      <c r="R125" s="226">
        <f>Q125*H125</f>
        <v>0.041520000000000001</v>
      </c>
      <c r="S125" s="226">
        <v>0</v>
      </c>
      <c r="T125" s="227">
        <f>S125*H125</f>
        <v>0</v>
      </c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R125" s="228" t="s">
        <v>138</v>
      </c>
      <c r="AT125" s="228" t="s">
        <v>134</v>
      </c>
      <c r="AU125" s="228" t="s">
        <v>85</v>
      </c>
      <c r="AY125" s="14" t="s">
        <v>131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4" t="s">
        <v>83</v>
      </c>
      <c r="BK125" s="229">
        <f>ROUND(I125*H125,2)</f>
        <v>0</v>
      </c>
      <c r="BL125" s="14" t="s">
        <v>138</v>
      </c>
      <c r="BM125" s="228" t="s">
        <v>940</v>
      </c>
    </row>
    <row r="126" s="2" customFormat="1" ht="37.8" customHeight="1">
      <c r="A126" s="35"/>
      <c r="B126" s="36"/>
      <c r="C126" s="216" t="s">
        <v>85</v>
      </c>
      <c r="D126" s="216" t="s">
        <v>134</v>
      </c>
      <c r="E126" s="217" t="s">
        <v>178</v>
      </c>
      <c r="F126" s="218" t="s">
        <v>941</v>
      </c>
      <c r="G126" s="219" t="s">
        <v>180</v>
      </c>
      <c r="H126" s="220">
        <v>1</v>
      </c>
      <c r="I126" s="221"/>
      <c r="J126" s="222">
        <f>ROUND(I126*H126,2)</f>
        <v>0</v>
      </c>
      <c r="K126" s="223"/>
      <c r="L126" s="41"/>
      <c r="M126" s="224" t="s">
        <v>1</v>
      </c>
      <c r="N126" s="225" t="s">
        <v>40</v>
      </c>
      <c r="O126" s="88"/>
      <c r="P126" s="226">
        <f>O126*H126</f>
        <v>0</v>
      </c>
      <c r="Q126" s="226">
        <v>0.0025200000000000001</v>
      </c>
      <c r="R126" s="226">
        <f>Q126*H126</f>
        <v>0.0025200000000000001</v>
      </c>
      <c r="S126" s="226">
        <v>0</v>
      </c>
      <c r="T126" s="227">
        <f>S126*H126</f>
        <v>0</v>
      </c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R126" s="228" t="s">
        <v>138</v>
      </c>
      <c r="AT126" s="228" t="s">
        <v>134</v>
      </c>
      <c r="AU126" s="228" t="s">
        <v>85</v>
      </c>
      <c r="AY126" s="14" t="s">
        <v>131</v>
      </c>
      <c r="BE126" s="229">
        <f>IF(N126="základní",J126,0)</f>
        <v>0</v>
      </c>
      <c r="BF126" s="229">
        <f>IF(N126="snížená",J126,0)</f>
        <v>0</v>
      </c>
      <c r="BG126" s="229">
        <f>IF(N126="zákl. přenesená",J126,0)</f>
        <v>0</v>
      </c>
      <c r="BH126" s="229">
        <f>IF(N126="sníž. přenesená",J126,0)</f>
        <v>0</v>
      </c>
      <c r="BI126" s="229">
        <f>IF(N126="nulová",J126,0)</f>
        <v>0</v>
      </c>
      <c r="BJ126" s="14" t="s">
        <v>83</v>
      </c>
      <c r="BK126" s="229">
        <f>ROUND(I126*H126,2)</f>
        <v>0</v>
      </c>
      <c r="BL126" s="14" t="s">
        <v>138</v>
      </c>
      <c r="BM126" s="228" t="s">
        <v>942</v>
      </c>
    </row>
    <row r="127" s="2" customFormat="1" ht="37.8" customHeight="1">
      <c r="A127" s="35"/>
      <c r="B127" s="36"/>
      <c r="C127" s="216" t="s">
        <v>144</v>
      </c>
      <c r="D127" s="216" t="s">
        <v>134</v>
      </c>
      <c r="E127" s="217" t="s">
        <v>943</v>
      </c>
      <c r="F127" s="218" t="s">
        <v>944</v>
      </c>
      <c r="G127" s="219" t="s">
        <v>180</v>
      </c>
      <c r="H127" s="220">
        <v>1</v>
      </c>
      <c r="I127" s="221"/>
      <c r="J127" s="222">
        <f>ROUND(I127*H127,2)</f>
        <v>0</v>
      </c>
      <c r="K127" s="223"/>
      <c r="L127" s="41"/>
      <c r="M127" s="224" t="s">
        <v>1</v>
      </c>
      <c r="N127" s="225" t="s">
        <v>40</v>
      </c>
      <c r="O127" s="88"/>
      <c r="P127" s="226">
        <f>O127*H127</f>
        <v>0</v>
      </c>
      <c r="Q127" s="226">
        <v>0.0015200000000000001</v>
      </c>
      <c r="R127" s="226">
        <f>Q127*H127</f>
        <v>0.0015200000000000001</v>
      </c>
      <c r="S127" s="226">
        <v>0</v>
      </c>
      <c r="T127" s="227">
        <f>S127*H127</f>
        <v>0</v>
      </c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R127" s="228" t="s">
        <v>138</v>
      </c>
      <c r="AT127" s="228" t="s">
        <v>134</v>
      </c>
      <c r="AU127" s="228" t="s">
        <v>85</v>
      </c>
      <c r="AY127" s="14" t="s">
        <v>131</v>
      </c>
      <c r="BE127" s="229">
        <f>IF(N127="základní",J127,0)</f>
        <v>0</v>
      </c>
      <c r="BF127" s="229">
        <f>IF(N127="snížená",J127,0)</f>
        <v>0</v>
      </c>
      <c r="BG127" s="229">
        <f>IF(N127="zákl. přenesená",J127,0)</f>
        <v>0</v>
      </c>
      <c r="BH127" s="229">
        <f>IF(N127="sníž. přenesená",J127,0)</f>
        <v>0</v>
      </c>
      <c r="BI127" s="229">
        <f>IF(N127="nulová",J127,0)</f>
        <v>0</v>
      </c>
      <c r="BJ127" s="14" t="s">
        <v>83</v>
      </c>
      <c r="BK127" s="229">
        <f>ROUND(I127*H127,2)</f>
        <v>0</v>
      </c>
      <c r="BL127" s="14" t="s">
        <v>138</v>
      </c>
      <c r="BM127" s="228" t="s">
        <v>945</v>
      </c>
    </row>
    <row r="128" s="2" customFormat="1" ht="37.8" customHeight="1">
      <c r="A128" s="35"/>
      <c r="B128" s="36"/>
      <c r="C128" s="216" t="s">
        <v>150</v>
      </c>
      <c r="D128" s="216" t="s">
        <v>134</v>
      </c>
      <c r="E128" s="217" t="s">
        <v>946</v>
      </c>
      <c r="F128" s="218" t="s">
        <v>947</v>
      </c>
      <c r="G128" s="219" t="s">
        <v>142</v>
      </c>
      <c r="H128" s="220">
        <v>10</v>
      </c>
      <c r="I128" s="221"/>
      <c r="J128" s="222">
        <f>ROUND(I128*H128,2)</f>
        <v>0</v>
      </c>
      <c r="K128" s="223"/>
      <c r="L128" s="41"/>
      <c r="M128" s="224" t="s">
        <v>1</v>
      </c>
      <c r="N128" s="225" t="s">
        <v>40</v>
      </c>
      <c r="O128" s="88"/>
      <c r="P128" s="226">
        <f>O128*H128</f>
        <v>0</v>
      </c>
      <c r="Q128" s="226">
        <v>0.00044000000000000002</v>
      </c>
      <c r="R128" s="226">
        <f>Q128*H128</f>
        <v>0.0044000000000000003</v>
      </c>
      <c r="S128" s="226">
        <v>0</v>
      </c>
      <c r="T128" s="227">
        <f>S128*H128</f>
        <v>0</v>
      </c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R128" s="228" t="s">
        <v>138</v>
      </c>
      <c r="AT128" s="228" t="s">
        <v>134</v>
      </c>
      <c r="AU128" s="228" t="s">
        <v>85</v>
      </c>
      <c r="AY128" s="14" t="s">
        <v>131</v>
      </c>
      <c r="BE128" s="229">
        <f>IF(N128="základní",J128,0)</f>
        <v>0</v>
      </c>
      <c r="BF128" s="229">
        <f>IF(N128="snížená",J128,0)</f>
        <v>0</v>
      </c>
      <c r="BG128" s="229">
        <f>IF(N128="zákl. přenesená",J128,0)</f>
        <v>0</v>
      </c>
      <c r="BH128" s="229">
        <f>IF(N128="sníž. přenesená",J128,0)</f>
        <v>0</v>
      </c>
      <c r="BI128" s="229">
        <f>IF(N128="nulová",J128,0)</f>
        <v>0</v>
      </c>
      <c r="BJ128" s="14" t="s">
        <v>83</v>
      </c>
      <c r="BK128" s="229">
        <f>ROUND(I128*H128,2)</f>
        <v>0</v>
      </c>
      <c r="BL128" s="14" t="s">
        <v>138</v>
      </c>
      <c r="BM128" s="228" t="s">
        <v>948</v>
      </c>
    </row>
    <row r="129" s="2" customFormat="1" ht="44.25" customHeight="1">
      <c r="A129" s="35"/>
      <c r="B129" s="36"/>
      <c r="C129" s="216" t="s">
        <v>606</v>
      </c>
      <c r="D129" s="216" t="s">
        <v>134</v>
      </c>
      <c r="E129" s="217" t="s">
        <v>949</v>
      </c>
      <c r="F129" s="218" t="s">
        <v>950</v>
      </c>
      <c r="G129" s="219" t="s">
        <v>173</v>
      </c>
      <c r="H129" s="241"/>
      <c r="I129" s="221"/>
      <c r="J129" s="222">
        <f>ROUND(I129*H129,2)</f>
        <v>0</v>
      </c>
      <c r="K129" s="223"/>
      <c r="L129" s="41"/>
      <c r="M129" s="224" t="s">
        <v>1</v>
      </c>
      <c r="N129" s="225" t="s">
        <v>40</v>
      </c>
      <c r="O129" s="88"/>
      <c r="P129" s="226">
        <f>O129*H129</f>
        <v>0</v>
      </c>
      <c r="Q129" s="226">
        <v>0</v>
      </c>
      <c r="R129" s="226">
        <f>Q129*H129</f>
        <v>0</v>
      </c>
      <c r="S129" s="226">
        <v>0</v>
      </c>
      <c r="T129" s="227">
        <f>S129*H129</f>
        <v>0</v>
      </c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R129" s="228" t="s">
        <v>138</v>
      </c>
      <c r="AT129" s="228" t="s">
        <v>134</v>
      </c>
      <c r="AU129" s="228" t="s">
        <v>85</v>
      </c>
      <c r="AY129" s="14" t="s">
        <v>131</v>
      </c>
      <c r="BE129" s="229">
        <f>IF(N129="základní",J129,0)</f>
        <v>0</v>
      </c>
      <c r="BF129" s="229">
        <f>IF(N129="snížená",J129,0)</f>
        <v>0</v>
      </c>
      <c r="BG129" s="229">
        <f>IF(N129="zákl. přenesená",J129,0)</f>
        <v>0</v>
      </c>
      <c r="BH129" s="229">
        <f>IF(N129="sníž. přenesená",J129,0)</f>
        <v>0</v>
      </c>
      <c r="BI129" s="229">
        <f>IF(N129="nulová",J129,0)</f>
        <v>0</v>
      </c>
      <c r="BJ129" s="14" t="s">
        <v>83</v>
      </c>
      <c r="BK129" s="229">
        <f>ROUND(I129*H129,2)</f>
        <v>0</v>
      </c>
      <c r="BL129" s="14" t="s">
        <v>138</v>
      </c>
      <c r="BM129" s="228" t="s">
        <v>951</v>
      </c>
    </row>
    <row r="130" s="12" customFormat="1" ht="22.8" customHeight="1">
      <c r="A130" s="12"/>
      <c r="B130" s="200"/>
      <c r="C130" s="201"/>
      <c r="D130" s="202" t="s">
        <v>74</v>
      </c>
      <c r="E130" s="214" t="s">
        <v>269</v>
      </c>
      <c r="F130" s="214" t="s">
        <v>270</v>
      </c>
      <c r="G130" s="201"/>
      <c r="H130" s="201"/>
      <c r="I130" s="204"/>
      <c r="J130" s="215">
        <f>BK130</f>
        <v>0</v>
      </c>
      <c r="K130" s="201"/>
      <c r="L130" s="206"/>
      <c r="M130" s="207"/>
      <c r="N130" s="208"/>
      <c r="O130" s="208"/>
      <c r="P130" s="209">
        <f>SUM(P131:P135)</f>
        <v>0</v>
      </c>
      <c r="Q130" s="208"/>
      <c r="R130" s="209">
        <f>SUM(R131:R135)</f>
        <v>0.032759999999999997</v>
      </c>
      <c r="S130" s="208"/>
      <c r="T130" s="210">
        <f>SUM(T131:T135)</f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R130" s="211" t="s">
        <v>85</v>
      </c>
      <c r="AT130" s="212" t="s">
        <v>74</v>
      </c>
      <c r="AU130" s="212" t="s">
        <v>83</v>
      </c>
      <c r="AY130" s="211" t="s">
        <v>131</v>
      </c>
      <c r="BK130" s="213">
        <f>SUM(BK131:BK135)</f>
        <v>0</v>
      </c>
    </row>
    <row r="131" s="2" customFormat="1" ht="37.8" customHeight="1">
      <c r="A131" s="35"/>
      <c r="B131" s="36"/>
      <c r="C131" s="216" t="s">
        <v>158</v>
      </c>
      <c r="D131" s="216" t="s">
        <v>134</v>
      </c>
      <c r="E131" s="217" t="s">
        <v>952</v>
      </c>
      <c r="F131" s="218" t="s">
        <v>953</v>
      </c>
      <c r="G131" s="219" t="s">
        <v>185</v>
      </c>
      <c r="H131" s="220">
        <v>1</v>
      </c>
      <c r="I131" s="221"/>
      <c r="J131" s="222">
        <f>ROUND(I131*H131,2)</f>
        <v>0</v>
      </c>
      <c r="K131" s="223"/>
      <c r="L131" s="41"/>
      <c r="M131" s="224" t="s">
        <v>1</v>
      </c>
      <c r="N131" s="225" t="s">
        <v>40</v>
      </c>
      <c r="O131" s="88"/>
      <c r="P131" s="226">
        <f>O131*H131</f>
        <v>0</v>
      </c>
      <c r="Q131" s="226">
        <v>0.018939999999999999</v>
      </c>
      <c r="R131" s="226">
        <f>Q131*H131</f>
        <v>0.018939999999999999</v>
      </c>
      <c r="S131" s="226">
        <v>0</v>
      </c>
      <c r="T131" s="227">
        <f>S131*H131</f>
        <v>0</v>
      </c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R131" s="228" t="s">
        <v>138</v>
      </c>
      <c r="AT131" s="228" t="s">
        <v>134</v>
      </c>
      <c r="AU131" s="228" t="s">
        <v>85</v>
      </c>
      <c r="AY131" s="14" t="s">
        <v>131</v>
      </c>
      <c r="BE131" s="229">
        <f>IF(N131="základní",J131,0)</f>
        <v>0</v>
      </c>
      <c r="BF131" s="229">
        <f>IF(N131="snížená",J131,0)</f>
        <v>0</v>
      </c>
      <c r="BG131" s="229">
        <f>IF(N131="zákl. přenesená",J131,0)</f>
        <v>0</v>
      </c>
      <c r="BH131" s="229">
        <f>IF(N131="sníž. přenesená",J131,0)</f>
        <v>0</v>
      </c>
      <c r="BI131" s="229">
        <f>IF(N131="nulová",J131,0)</f>
        <v>0</v>
      </c>
      <c r="BJ131" s="14" t="s">
        <v>83</v>
      </c>
      <c r="BK131" s="229">
        <f>ROUND(I131*H131,2)</f>
        <v>0</v>
      </c>
      <c r="BL131" s="14" t="s">
        <v>138</v>
      </c>
      <c r="BM131" s="228" t="s">
        <v>954</v>
      </c>
    </row>
    <row r="132" s="2" customFormat="1" ht="24.15" customHeight="1">
      <c r="A132" s="35"/>
      <c r="B132" s="36"/>
      <c r="C132" s="216" t="s">
        <v>162</v>
      </c>
      <c r="D132" s="216" t="s">
        <v>134</v>
      </c>
      <c r="E132" s="217" t="s">
        <v>955</v>
      </c>
      <c r="F132" s="218" t="s">
        <v>956</v>
      </c>
      <c r="G132" s="219" t="s">
        <v>180</v>
      </c>
      <c r="H132" s="220">
        <v>1</v>
      </c>
      <c r="I132" s="221"/>
      <c r="J132" s="222">
        <f>ROUND(I132*H132,2)</f>
        <v>0</v>
      </c>
      <c r="K132" s="223"/>
      <c r="L132" s="41"/>
      <c r="M132" s="224" t="s">
        <v>1</v>
      </c>
      <c r="N132" s="225" t="s">
        <v>40</v>
      </c>
      <c r="O132" s="88"/>
      <c r="P132" s="226">
        <f>O132*H132</f>
        <v>0</v>
      </c>
      <c r="Q132" s="226">
        <v>0.0069899999999999997</v>
      </c>
      <c r="R132" s="226">
        <f>Q132*H132</f>
        <v>0.0069899999999999997</v>
      </c>
      <c r="S132" s="226">
        <v>0</v>
      </c>
      <c r="T132" s="227">
        <f>S132*H132</f>
        <v>0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R132" s="228" t="s">
        <v>138</v>
      </c>
      <c r="AT132" s="228" t="s">
        <v>134</v>
      </c>
      <c r="AU132" s="228" t="s">
        <v>85</v>
      </c>
      <c r="AY132" s="14" t="s">
        <v>131</v>
      </c>
      <c r="BE132" s="229">
        <f>IF(N132="základní",J132,0)</f>
        <v>0</v>
      </c>
      <c r="BF132" s="229">
        <f>IF(N132="snížená",J132,0)</f>
        <v>0</v>
      </c>
      <c r="BG132" s="229">
        <f>IF(N132="zákl. přenesená",J132,0)</f>
        <v>0</v>
      </c>
      <c r="BH132" s="229">
        <f>IF(N132="sníž. přenesená",J132,0)</f>
        <v>0</v>
      </c>
      <c r="BI132" s="229">
        <f>IF(N132="nulová",J132,0)</f>
        <v>0</v>
      </c>
      <c r="BJ132" s="14" t="s">
        <v>83</v>
      </c>
      <c r="BK132" s="229">
        <f>ROUND(I132*H132,2)</f>
        <v>0</v>
      </c>
      <c r="BL132" s="14" t="s">
        <v>138</v>
      </c>
      <c r="BM132" s="228" t="s">
        <v>957</v>
      </c>
    </row>
    <row r="133" s="2" customFormat="1" ht="37.8" customHeight="1">
      <c r="A133" s="35"/>
      <c r="B133" s="36"/>
      <c r="C133" s="216" t="s">
        <v>166</v>
      </c>
      <c r="D133" s="216" t="s">
        <v>134</v>
      </c>
      <c r="E133" s="217" t="s">
        <v>344</v>
      </c>
      <c r="F133" s="218" t="s">
        <v>958</v>
      </c>
      <c r="G133" s="219" t="s">
        <v>185</v>
      </c>
      <c r="H133" s="220">
        <v>1</v>
      </c>
      <c r="I133" s="221"/>
      <c r="J133" s="222">
        <f>ROUND(I133*H133,2)</f>
        <v>0</v>
      </c>
      <c r="K133" s="223"/>
      <c r="L133" s="41"/>
      <c r="M133" s="224" t="s">
        <v>1</v>
      </c>
      <c r="N133" s="225" t="s">
        <v>40</v>
      </c>
      <c r="O133" s="88"/>
      <c r="P133" s="226">
        <f>O133*H133</f>
        <v>0</v>
      </c>
      <c r="Q133" s="226">
        <v>0.00075000000000000002</v>
      </c>
      <c r="R133" s="226">
        <f>Q133*H133</f>
        <v>0.00075000000000000002</v>
      </c>
      <c r="S133" s="226">
        <v>0</v>
      </c>
      <c r="T133" s="227">
        <f>S133*H133</f>
        <v>0</v>
      </c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R133" s="228" t="s">
        <v>138</v>
      </c>
      <c r="AT133" s="228" t="s">
        <v>134</v>
      </c>
      <c r="AU133" s="228" t="s">
        <v>85</v>
      </c>
      <c r="AY133" s="14" t="s">
        <v>131</v>
      </c>
      <c r="BE133" s="229">
        <f>IF(N133="základní",J133,0)</f>
        <v>0</v>
      </c>
      <c r="BF133" s="229">
        <f>IF(N133="snížená",J133,0)</f>
        <v>0</v>
      </c>
      <c r="BG133" s="229">
        <f>IF(N133="zákl. přenesená",J133,0)</f>
        <v>0</v>
      </c>
      <c r="BH133" s="229">
        <f>IF(N133="sníž. přenesená",J133,0)</f>
        <v>0</v>
      </c>
      <c r="BI133" s="229">
        <f>IF(N133="nulová",J133,0)</f>
        <v>0</v>
      </c>
      <c r="BJ133" s="14" t="s">
        <v>83</v>
      </c>
      <c r="BK133" s="229">
        <f>ROUND(I133*H133,2)</f>
        <v>0</v>
      </c>
      <c r="BL133" s="14" t="s">
        <v>138</v>
      </c>
      <c r="BM133" s="228" t="s">
        <v>959</v>
      </c>
    </row>
    <row r="134" s="2" customFormat="1" ht="37.8" customHeight="1">
      <c r="A134" s="35"/>
      <c r="B134" s="36"/>
      <c r="C134" s="216" t="s">
        <v>170</v>
      </c>
      <c r="D134" s="216" t="s">
        <v>134</v>
      </c>
      <c r="E134" s="217" t="s">
        <v>960</v>
      </c>
      <c r="F134" s="218" t="s">
        <v>961</v>
      </c>
      <c r="G134" s="219" t="s">
        <v>180</v>
      </c>
      <c r="H134" s="220">
        <v>1</v>
      </c>
      <c r="I134" s="221"/>
      <c r="J134" s="222">
        <f>ROUND(I134*H134,2)</f>
        <v>0</v>
      </c>
      <c r="K134" s="223"/>
      <c r="L134" s="41"/>
      <c r="M134" s="224" t="s">
        <v>1</v>
      </c>
      <c r="N134" s="225" t="s">
        <v>40</v>
      </c>
      <c r="O134" s="88"/>
      <c r="P134" s="226">
        <f>O134*H134</f>
        <v>0</v>
      </c>
      <c r="Q134" s="226">
        <v>0.0060800000000000003</v>
      </c>
      <c r="R134" s="226">
        <f>Q134*H134</f>
        <v>0.0060800000000000003</v>
      </c>
      <c r="S134" s="226">
        <v>0</v>
      </c>
      <c r="T134" s="227">
        <f>S134*H134</f>
        <v>0</v>
      </c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R134" s="228" t="s">
        <v>138</v>
      </c>
      <c r="AT134" s="228" t="s">
        <v>134</v>
      </c>
      <c r="AU134" s="228" t="s">
        <v>85</v>
      </c>
      <c r="AY134" s="14" t="s">
        <v>131</v>
      </c>
      <c r="BE134" s="229">
        <f>IF(N134="základní",J134,0)</f>
        <v>0</v>
      </c>
      <c r="BF134" s="229">
        <f>IF(N134="snížená",J134,0)</f>
        <v>0</v>
      </c>
      <c r="BG134" s="229">
        <f>IF(N134="zákl. přenesená",J134,0)</f>
        <v>0</v>
      </c>
      <c r="BH134" s="229">
        <f>IF(N134="sníž. přenesená",J134,0)</f>
        <v>0</v>
      </c>
      <c r="BI134" s="229">
        <f>IF(N134="nulová",J134,0)</f>
        <v>0</v>
      </c>
      <c r="BJ134" s="14" t="s">
        <v>83</v>
      </c>
      <c r="BK134" s="229">
        <f>ROUND(I134*H134,2)</f>
        <v>0</v>
      </c>
      <c r="BL134" s="14" t="s">
        <v>138</v>
      </c>
      <c r="BM134" s="228" t="s">
        <v>962</v>
      </c>
    </row>
    <row r="135" s="2" customFormat="1" ht="44.25" customHeight="1">
      <c r="A135" s="35"/>
      <c r="B135" s="36"/>
      <c r="C135" s="216" t="s">
        <v>610</v>
      </c>
      <c r="D135" s="216" t="s">
        <v>134</v>
      </c>
      <c r="E135" s="217" t="s">
        <v>963</v>
      </c>
      <c r="F135" s="218" t="s">
        <v>964</v>
      </c>
      <c r="G135" s="219" t="s">
        <v>173</v>
      </c>
      <c r="H135" s="241"/>
      <c r="I135" s="221"/>
      <c r="J135" s="222">
        <f>ROUND(I135*H135,2)</f>
        <v>0</v>
      </c>
      <c r="K135" s="223"/>
      <c r="L135" s="41"/>
      <c r="M135" s="224" t="s">
        <v>1</v>
      </c>
      <c r="N135" s="225" t="s">
        <v>40</v>
      </c>
      <c r="O135" s="88"/>
      <c r="P135" s="226">
        <f>O135*H135</f>
        <v>0</v>
      </c>
      <c r="Q135" s="226">
        <v>0</v>
      </c>
      <c r="R135" s="226">
        <f>Q135*H135</f>
        <v>0</v>
      </c>
      <c r="S135" s="226">
        <v>0</v>
      </c>
      <c r="T135" s="227">
        <f>S135*H135</f>
        <v>0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R135" s="228" t="s">
        <v>138</v>
      </c>
      <c r="AT135" s="228" t="s">
        <v>134</v>
      </c>
      <c r="AU135" s="228" t="s">
        <v>85</v>
      </c>
      <c r="AY135" s="14" t="s">
        <v>131</v>
      </c>
      <c r="BE135" s="229">
        <f>IF(N135="základní",J135,0)</f>
        <v>0</v>
      </c>
      <c r="BF135" s="229">
        <f>IF(N135="snížená",J135,0)</f>
        <v>0</v>
      </c>
      <c r="BG135" s="229">
        <f>IF(N135="zákl. přenesená",J135,0)</f>
        <v>0</v>
      </c>
      <c r="BH135" s="229">
        <f>IF(N135="sníž. přenesená",J135,0)</f>
        <v>0</v>
      </c>
      <c r="BI135" s="229">
        <f>IF(N135="nulová",J135,0)</f>
        <v>0</v>
      </c>
      <c r="BJ135" s="14" t="s">
        <v>83</v>
      </c>
      <c r="BK135" s="229">
        <f>ROUND(I135*H135,2)</f>
        <v>0</v>
      </c>
      <c r="BL135" s="14" t="s">
        <v>138</v>
      </c>
      <c r="BM135" s="228" t="s">
        <v>965</v>
      </c>
    </row>
    <row r="136" s="12" customFormat="1" ht="22.8" customHeight="1">
      <c r="A136" s="12"/>
      <c r="B136" s="200"/>
      <c r="C136" s="201"/>
      <c r="D136" s="202" t="s">
        <v>74</v>
      </c>
      <c r="E136" s="214" t="s">
        <v>371</v>
      </c>
      <c r="F136" s="214" t="s">
        <v>372</v>
      </c>
      <c r="G136" s="201"/>
      <c r="H136" s="201"/>
      <c r="I136" s="204"/>
      <c r="J136" s="215">
        <f>BK136</f>
        <v>0</v>
      </c>
      <c r="K136" s="201"/>
      <c r="L136" s="206"/>
      <c r="M136" s="207"/>
      <c r="N136" s="208"/>
      <c r="O136" s="208"/>
      <c r="P136" s="209">
        <f>SUM(P137:P146)</f>
        <v>0</v>
      </c>
      <c r="Q136" s="208"/>
      <c r="R136" s="209">
        <f>SUM(R137:R146)</f>
        <v>0.49619999999999997</v>
      </c>
      <c r="S136" s="208"/>
      <c r="T136" s="210">
        <f>SUM(T137:T146)</f>
        <v>0</v>
      </c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R136" s="211" t="s">
        <v>85</v>
      </c>
      <c r="AT136" s="212" t="s">
        <v>74</v>
      </c>
      <c r="AU136" s="212" t="s">
        <v>83</v>
      </c>
      <c r="AY136" s="211" t="s">
        <v>131</v>
      </c>
      <c r="BK136" s="213">
        <f>SUM(BK137:BK146)</f>
        <v>0</v>
      </c>
    </row>
    <row r="137" s="2" customFormat="1" ht="49.05" customHeight="1">
      <c r="A137" s="35"/>
      <c r="B137" s="36"/>
      <c r="C137" s="216" t="s">
        <v>177</v>
      </c>
      <c r="D137" s="216" t="s">
        <v>134</v>
      </c>
      <c r="E137" s="217" t="s">
        <v>966</v>
      </c>
      <c r="F137" s="218" t="s">
        <v>967</v>
      </c>
      <c r="G137" s="219" t="s">
        <v>142</v>
      </c>
      <c r="H137" s="220">
        <v>10</v>
      </c>
      <c r="I137" s="221"/>
      <c r="J137" s="222">
        <f>ROUND(I137*H137,2)</f>
        <v>0</v>
      </c>
      <c r="K137" s="223"/>
      <c r="L137" s="41"/>
      <c r="M137" s="224" t="s">
        <v>1</v>
      </c>
      <c r="N137" s="225" t="s">
        <v>40</v>
      </c>
      <c r="O137" s="88"/>
      <c r="P137" s="226">
        <f>O137*H137</f>
        <v>0</v>
      </c>
      <c r="Q137" s="226">
        <v>0.0037599999999999999</v>
      </c>
      <c r="R137" s="226">
        <f>Q137*H137</f>
        <v>0.037600000000000001</v>
      </c>
      <c r="S137" s="226">
        <v>0</v>
      </c>
      <c r="T137" s="227">
        <f>S137*H137</f>
        <v>0</v>
      </c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R137" s="228" t="s">
        <v>138</v>
      </c>
      <c r="AT137" s="228" t="s">
        <v>134</v>
      </c>
      <c r="AU137" s="228" t="s">
        <v>85</v>
      </c>
      <c r="AY137" s="14" t="s">
        <v>131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4" t="s">
        <v>83</v>
      </c>
      <c r="BK137" s="229">
        <f>ROUND(I137*H137,2)</f>
        <v>0</v>
      </c>
      <c r="BL137" s="14" t="s">
        <v>138</v>
      </c>
      <c r="BM137" s="228" t="s">
        <v>968</v>
      </c>
    </row>
    <row r="138" s="2" customFormat="1" ht="37.8" customHeight="1">
      <c r="A138" s="35"/>
      <c r="B138" s="36"/>
      <c r="C138" s="216" t="s">
        <v>182</v>
      </c>
      <c r="D138" s="216" t="s">
        <v>134</v>
      </c>
      <c r="E138" s="217" t="s">
        <v>969</v>
      </c>
      <c r="F138" s="218" t="s">
        <v>970</v>
      </c>
      <c r="G138" s="219" t="s">
        <v>142</v>
      </c>
      <c r="H138" s="220">
        <v>20</v>
      </c>
      <c r="I138" s="221"/>
      <c r="J138" s="222">
        <f>ROUND(I138*H138,2)</f>
        <v>0</v>
      </c>
      <c r="K138" s="223"/>
      <c r="L138" s="41"/>
      <c r="M138" s="224" t="s">
        <v>1</v>
      </c>
      <c r="N138" s="225" t="s">
        <v>40</v>
      </c>
      <c r="O138" s="88"/>
      <c r="P138" s="226">
        <f>O138*H138</f>
        <v>0</v>
      </c>
      <c r="Q138" s="226">
        <v>0.00183</v>
      </c>
      <c r="R138" s="226">
        <f>Q138*H138</f>
        <v>0.036600000000000001</v>
      </c>
      <c r="S138" s="226">
        <v>0</v>
      </c>
      <c r="T138" s="227">
        <f>S138*H138</f>
        <v>0</v>
      </c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R138" s="228" t="s">
        <v>138</v>
      </c>
      <c r="AT138" s="228" t="s">
        <v>134</v>
      </c>
      <c r="AU138" s="228" t="s">
        <v>85</v>
      </c>
      <c r="AY138" s="14" t="s">
        <v>131</v>
      </c>
      <c r="BE138" s="229">
        <f>IF(N138="základní",J138,0)</f>
        <v>0</v>
      </c>
      <c r="BF138" s="229">
        <f>IF(N138="snížená",J138,0)</f>
        <v>0</v>
      </c>
      <c r="BG138" s="229">
        <f>IF(N138="zákl. přenesená",J138,0)</f>
        <v>0</v>
      </c>
      <c r="BH138" s="229">
        <f>IF(N138="sníž. přenesená",J138,0)</f>
        <v>0</v>
      </c>
      <c r="BI138" s="229">
        <f>IF(N138="nulová",J138,0)</f>
        <v>0</v>
      </c>
      <c r="BJ138" s="14" t="s">
        <v>83</v>
      </c>
      <c r="BK138" s="229">
        <f>ROUND(I138*H138,2)</f>
        <v>0</v>
      </c>
      <c r="BL138" s="14" t="s">
        <v>138</v>
      </c>
      <c r="BM138" s="228" t="s">
        <v>971</v>
      </c>
    </row>
    <row r="139" s="2" customFormat="1" ht="37.8" customHeight="1">
      <c r="A139" s="35"/>
      <c r="B139" s="36"/>
      <c r="C139" s="216" t="s">
        <v>8</v>
      </c>
      <c r="D139" s="216" t="s">
        <v>134</v>
      </c>
      <c r="E139" s="217" t="s">
        <v>972</v>
      </c>
      <c r="F139" s="218" t="s">
        <v>973</v>
      </c>
      <c r="G139" s="219" t="s">
        <v>142</v>
      </c>
      <c r="H139" s="220">
        <v>100</v>
      </c>
      <c r="I139" s="221"/>
      <c r="J139" s="222">
        <f>ROUND(I139*H139,2)</f>
        <v>0</v>
      </c>
      <c r="K139" s="223"/>
      <c r="L139" s="41"/>
      <c r="M139" s="224" t="s">
        <v>1</v>
      </c>
      <c r="N139" s="225" t="s">
        <v>40</v>
      </c>
      <c r="O139" s="88"/>
      <c r="P139" s="226">
        <f>O139*H139</f>
        <v>0</v>
      </c>
      <c r="Q139" s="226">
        <v>0.0027799999999999999</v>
      </c>
      <c r="R139" s="226">
        <f>Q139*H139</f>
        <v>0.27799999999999997</v>
      </c>
      <c r="S139" s="226">
        <v>0</v>
      </c>
      <c r="T139" s="227">
        <f>S139*H139</f>
        <v>0</v>
      </c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R139" s="228" t="s">
        <v>138</v>
      </c>
      <c r="AT139" s="228" t="s">
        <v>134</v>
      </c>
      <c r="AU139" s="228" t="s">
        <v>85</v>
      </c>
      <c r="AY139" s="14" t="s">
        <v>131</v>
      </c>
      <c r="BE139" s="229">
        <f>IF(N139="základní",J139,0)</f>
        <v>0</v>
      </c>
      <c r="BF139" s="229">
        <f>IF(N139="snížená",J139,0)</f>
        <v>0</v>
      </c>
      <c r="BG139" s="229">
        <f>IF(N139="zákl. přenesená",J139,0)</f>
        <v>0</v>
      </c>
      <c r="BH139" s="229">
        <f>IF(N139="sníž. přenesená",J139,0)</f>
        <v>0</v>
      </c>
      <c r="BI139" s="229">
        <f>IF(N139="nulová",J139,0)</f>
        <v>0</v>
      </c>
      <c r="BJ139" s="14" t="s">
        <v>83</v>
      </c>
      <c r="BK139" s="229">
        <f>ROUND(I139*H139,2)</f>
        <v>0</v>
      </c>
      <c r="BL139" s="14" t="s">
        <v>138</v>
      </c>
      <c r="BM139" s="228" t="s">
        <v>974</v>
      </c>
    </row>
    <row r="140" s="2" customFormat="1" ht="37.8" customHeight="1">
      <c r="A140" s="35"/>
      <c r="B140" s="36"/>
      <c r="C140" s="216" t="s">
        <v>191</v>
      </c>
      <c r="D140" s="216" t="s">
        <v>134</v>
      </c>
      <c r="E140" s="217" t="s">
        <v>975</v>
      </c>
      <c r="F140" s="218" t="s">
        <v>976</v>
      </c>
      <c r="G140" s="219" t="s">
        <v>185</v>
      </c>
      <c r="H140" s="220">
        <v>16</v>
      </c>
      <c r="I140" s="221"/>
      <c r="J140" s="222">
        <f>ROUND(I140*H140,2)</f>
        <v>0</v>
      </c>
      <c r="K140" s="223"/>
      <c r="L140" s="41"/>
      <c r="M140" s="224" t="s">
        <v>1</v>
      </c>
      <c r="N140" s="225" t="s">
        <v>40</v>
      </c>
      <c r="O140" s="88"/>
      <c r="P140" s="226">
        <f>O140*H140</f>
        <v>0</v>
      </c>
      <c r="Q140" s="226">
        <v>0</v>
      </c>
      <c r="R140" s="226">
        <f>Q140*H140</f>
        <v>0</v>
      </c>
      <c r="S140" s="226">
        <v>0</v>
      </c>
      <c r="T140" s="227">
        <f>S140*H140</f>
        <v>0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R140" s="228" t="s">
        <v>138</v>
      </c>
      <c r="AT140" s="228" t="s">
        <v>134</v>
      </c>
      <c r="AU140" s="228" t="s">
        <v>85</v>
      </c>
      <c r="AY140" s="14" t="s">
        <v>131</v>
      </c>
      <c r="BE140" s="229">
        <f>IF(N140="základní",J140,0)</f>
        <v>0</v>
      </c>
      <c r="BF140" s="229">
        <f>IF(N140="snížená",J140,0)</f>
        <v>0</v>
      </c>
      <c r="BG140" s="229">
        <f>IF(N140="zákl. přenesená",J140,0)</f>
        <v>0</v>
      </c>
      <c r="BH140" s="229">
        <f>IF(N140="sníž. přenesená",J140,0)</f>
        <v>0</v>
      </c>
      <c r="BI140" s="229">
        <f>IF(N140="nulová",J140,0)</f>
        <v>0</v>
      </c>
      <c r="BJ140" s="14" t="s">
        <v>83</v>
      </c>
      <c r="BK140" s="229">
        <f>ROUND(I140*H140,2)</f>
        <v>0</v>
      </c>
      <c r="BL140" s="14" t="s">
        <v>138</v>
      </c>
      <c r="BM140" s="228" t="s">
        <v>977</v>
      </c>
    </row>
    <row r="141" s="2" customFormat="1" ht="24.15" customHeight="1">
      <c r="A141" s="35"/>
      <c r="B141" s="36"/>
      <c r="C141" s="216" t="s">
        <v>195</v>
      </c>
      <c r="D141" s="216" t="s">
        <v>134</v>
      </c>
      <c r="E141" s="217" t="s">
        <v>978</v>
      </c>
      <c r="F141" s="218" t="s">
        <v>979</v>
      </c>
      <c r="G141" s="219" t="s">
        <v>185</v>
      </c>
      <c r="H141" s="220">
        <v>4</v>
      </c>
      <c r="I141" s="221"/>
      <c r="J141" s="222">
        <f>ROUND(I141*H141,2)</f>
        <v>0</v>
      </c>
      <c r="K141" s="223"/>
      <c r="L141" s="41"/>
      <c r="M141" s="224" t="s">
        <v>1</v>
      </c>
      <c r="N141" s="225" t="s">
        <v>40</v>
      </c>
      <c r="O141" s="88"/>
      <c r="P141" s="226">
        <f>O141*H141</f>
        <v>0</v>
      </c>
      <c r="Q141" s="226">
        <v>0.0016299999999999999</v>
      </c>
      <c r="R141" s="226">
        <f>Q141*H141</f>
        <v>0.0065199999999999998</v>
      </c>
      <c r="S141" s="226">
        <v>0</v>
      </c>
      <c r="T141" s="227">
        <f>S141*H141</f>
        <v>0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R141" s="228" t="s">
        <v>138</v>
      </c>
      <c r="AT141" s="228" t="s">
        <v>134</v>
      </c>
      <c r="AU141" s="228" t="s">
        <v>85</v>
      </c>
      <c r="AY141" s="14" t="s">
        <v>131</v>
      </c>
      <c r="BE141" s="229">
        <f>IF(N141="základní",J141,0)</f>
        <v>0</v>
      </c>
      <c r="BF141" s="229">
        <f>IF(N141="snížená",J141,0)</f>
        <v>0</v>
      </c>
      <c r="BG141" s="229">
        <f>IF(N141="zákl. přenesená",J141,0)</f>
        <v>0</v>
      </c>
      <c r="BH141" s="229">
        <f>IF(N141="sníž. přenesená",J141,0)</f>
        <v>0</v>
      </c>
      <c r="BI141" s="229">
        <f>IF(N141="nulová",J141,0)</f>
        <v>0</v>
      </c>
      <c r="BJ141" s="14" t="s">
        <v>83</v>
      </c>
      <c r="BK141" s="229">
        <f>ROUND(I141*H141,2)</f>
        <v>0</v>
      </c>
      <c r="BL141" s="14" t="s">
        <v>138</v>
      </c>
      <c r="BM141" s="228" t="s">
        <v>980</v>
      </c>
    </row>
    <row r="142" s="2" customFormat="1" ht="24.15" customHeight="1">
      <c r="A142" s="35"/>
      <c r="B142" s="36"/>
      <c r="C142" s="216" t="s">
        <v>252</v>
      </c>
      <c r="D142" s="216" t="s">
        <v>134</v>
      </c>
      <c r="E142" s="217" t="s">
        <v>981</v>
      </c>
      <c r="F142" s="218" t="s">
        <v>982</v>
      </c>
      <c r="G142" s="219" t="s">
        <v>185</v>
      </c>
      <c r="H142" s="220">
        <v>4</v>
      </c>
      <c r="I142" s="221"/>
      <c r="J142" s="222">
        <f>ROUND(I142*H142,2)</f>
        <v>0</v>
      </c>
      <c r="K142" s="223"/>
      <c r="L142" s="41"/>
      <c r="M142" s="224" t="s">
        <v>1</v>
      </c>
      <c r="N142" s="225" t="s">
        <v>40</v>
      </c>
      <c r="O142" s="88"/>
      <c r="P142" s="226">
        <f>O142*H142</f>
        <v>0</v>
      </c>
      <c r="Q142" s="226">
        <v>0.029819999999999999</v>
      </c>
      <c r="R142" s="226">
        <f>Q142*H142</f>
        <v>0.11928</v>
      </c>
      <c r="S142" s="226">
        <v>0</v>
      </c>
      <c r="T142" s="227">
        <f>S142*H142</f>
        <v>0</v>
      </c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R142" s="228" t="s">
        <v>138</v>
      </c>
      <c r="AT142" s="228" t="s">
        <v>134</v>
      </c>
      <c r="AU142" s="228" t="s">
        <v>85</v>
      </c>
      <c r="AY142" s="14" t="s">
        <v>131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4" t="s">
        <v>83</v>
      </c>
      <c r="BK142" s="229">
        <f>ROUND(I142*H142,2)</f>
        <v>0</v>
      </c>
      <c r="BL142" s="14" t="s">
        <v>138</v>
      </c>
      <c r="BM142" s="228" t="s">
        <v>983</v>
      </c>
    </row>
    <row r="143" s="2" customFormat="1" ht="44.25" customHeight="1">
      <c r="A143" s="35"/>
      <c r="B143" s="36"/>
      <c r="C143" s="216" t="s">
        <v>138</v>
      </c>
      <c r="D143" s="216" t="s">
        <v>134</v>
      </c>
      <c r="E143" s="217" t="s">
        <v>607</v>
      </c>
      <c r="F143" s="218" t="s">
        <v>984</v>
      </c>
      <c r="G143" s="219" t="s">
        <v>142</v>
      </c>
      <c r="H143" s="220">
        <v>120</v>
      </c>
      <c r="I143" s="221"/>
      <c r="J143" s="222">
        <f>ROUND(I143*H143,2)</f>
        <v>0</v>
      </c>
      <c r="K143" s="223"/>
      <c r="L143" s="41"/>
      <c r="M143" s="224" t="s">
        <v>1</v>
      </c>
      <c r="N143" s="225" t="s">
        <v>40</v>
      </c>
      <c r="O143" s="88"/>
      <c r="P143" s="226">
        <f>O143*H143</f>
        <v>0</v>
      </c>
      <c r="Q143" s="226">
        <v>0</v>
      </c>
      <c r="R143" s="226">
        <f>Q143*H143</f>
        <v>0</v>
      </c>
      <c r="S143" s="226">
        <v>0</v>
      </c>
      <c r="T143" s="227">
        <f>S143*H143</f>
        <v>0</v>
      </c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R143" s="228" t="s">
        <v>138</v>
      </c>
      <c r="AT143" s="228" t="s">
        <v>134</v>
      </c>
      <c r="AU143" s="228" t="s">
        <v>85</v>
      </c>
      <c r="AY143" s="14" t="s">
        <v>131</v>
      </c>
      <c r="BE143" s="229">
        <f>IF(N143="základní",J143,0)</f>
        <v>0</v>
      </c>
      <c r="BF143" s="229">
        <f>IF(N143="snížená",J143,0)</f>
        <v>0</v>
      </c>
      <c r="BG143" s="229">
        <f>IF(N143="zákl. přenesená",J143,0)</f>
        <v>0</v>
      </c>
      <c r="BH143" s="229">
        <f>IF(N143="sníž. přenesená",J143,0)</f>
        <v>0</v>
      </c>
      <c r="BI143" s="229">
        <f>IF(N143="nulová",J143,0)</f>
        <v>0</v>
      </c>
      <c r="BJ143" s="14" t="s">
        <v>83</v>
      </c>
      <c r="BK143" s="229">
        <f>ROUND(I143*H143,2)</f>
        <v>0</v>
      </c>
      <c r="BL143" s="14" t="s">
        <v>138</v>
      </c>
      <c r="BM143" s="228" t="s">
        <v>985</v>
      </c>
    </row>
    <row r="144" s="2" customFormat="1" ht="55.5" customHeight="1">
      <c r="A144" s="35"/>
      <c r="B144" s="36"/>
      <c r="C144" s="216" t="s">
        <v>259</v>
      </c>
      <c r="D144" s="216" t="s">
        <v>134</v>
      </c>
      <c r="E144" s="217" t="s">
        <v>986</v>
      </c>
      <c r="F144" s="218" t="s">
        <v>987</v>
      </c>
      <c r="G144" s="219" t="s">
        <v>142</v>
      </c>
      <c r="H144" s="220">
        <v>20</v>
      </c>
      <c r="I144" s="221"/>
      <c r="J144" s="222">
        <f>ROUND(I144*H144,2)</f>
        <v>0</v>
      </c>
      <c r="K144" s="223"/>
      <c r="L144" s="41"/>
      <c r="M144" s="224" t="s">
        <v>1</v>
      </c>
      <c r="N144" s="225" t="s">
        <v>40</v>
      </c>
      <c r="O144" s="88"/>
      <c r="P144" s="226">
        <f>O144*H144</f>
        <v>0</v>
      </c>
      <c r="Q144" s="226">
        <v>0.00011</v>
      </c>
      <c r="R144" s="226">
        <f>Q144*H144</f>
        <v>0.0022000000000000001</v>
      </c>
      <c r="S144" s="226">
        <v>0</v>
      </c>
      <c r="T144" s="227">
        <f>S144*H144</f>
        <v>0</v>
      </c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R144" s="228" t="s">
        <v>138</v>
      </c>
      <c r="AT144" s="228" t="s">
        <v>134</v>
      </c>
      <c r="AU144" s="228" t="s">
        <v>85</v>
      </c>
      <c r="AY144" s="14" t="s">
        <v>131</v>
      </c>
      <c r="BE144" s="229">
        <f>IF(N144="základní",J144,0)</f>
        <v>0</v>
      </c>
      <c r="BF144" s="229">
        <f>IF(N144="snížená",J144,0)</f>
        <v>0</v>
      </c>
      <c r="BG144" s="229">
        <f>IF(N144="zákl. přenesená",J144,0)</f>
        <v>0</v>
      </c>
      <c r="BH144" s="229">
        <f>IF(N144="sníž. přenesená",J144,0)</f>
        <v>0</v>
      </c>
      <c r="BI144" s="229">
        <f>IF(N144="nulová",J144,0)</f>
        <v>0</v>
      </c>
      <c r="BJ144" s="14" t="s">
        <v>83</v>
      </c>
      <c r="BK144" s="229">
        <f>ROUND(I144*H144,2)</f>
        <v>0</v>
      </c>
      <c r="BL144" s="14" t="s">
        <v>138</v>
      </c>
      <c r="BM144" s="228" t="s">
        <v>988</v>
      </c>
    </row>
    <row r="145" s="2" customFormat="1" ht="55.5" customHeight="1">
      <c r="A145" s="35"/>
      <c r="B145" s="36"/>
      <c r="C145" s="216" t="s">
        <v>593</v>
      </c>
      <c r="D145" s="216" t="s">
        <v>134</v>
      </c>
      <c r="E145" s="217" t="s">
        <v>989</v>
      </c>
      <c r="F145" s="218" t="s">
        <v>990</v>
      </c>
      <c r="G145" s="219" t="s">
        <v>142</v>
      </c>
      <c r="H145" s="220">
        <v>100</v>
      </c>
      <c r="I145" s="221"/>
      <c r="J145" s="222">
        <f>ROUND(I145*H145,2)</f>
        <v>0</v>
      </c>
      <c r="K145" s="223"/>
      <c r="L145" s="41"/>
      <c r="M145" s="224" t="s">
        <v>1</v>
      </c>
      <c r="N145" s="225" t="s">
        <v>40</v>
      </c>
      <c r="O145" s="88"/>
      <c r="P145" s="226">
        <f>O145*H145</f>
        <v>0</v>
      </c>
      <c r="Q145" s="226">
        <v>0.00016000000000000001</v>
      </c>
      <c r="R145" s="226">
        <f>Q145*H145</f>
        <v>0.016</v>
      </c>
      <c r="S145" s="226">
        <v>0</v>
      </c>
      <c r="T145" s="227">
        <f>S145*H145</f>
        <v>0</v>
      </c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R145" s="228" t="s">
        <v>138</v>
      </c>
      <c r="AT145" s="228" t="s">
        <v>134</v>
      </c>
      <c r="AU145" s="228" t="s">
        <v>85</v>
      </c>
      <c r="AY145" s="14" t="s">
        <v>131</v>
      </c>
      <c r="BE145" s="229">
        <f>IF(N145="základní",J145,0)</f>
        <v>0</v>
      </c>
      <c r="BF145" s="229">
        <f>IF(N145="snížená",J145,0)</f>
        <v>0</v>
      </c>
      <c r="BG145" s="229">
        <f>IF(N145="zákl. přenesená",J145,0)</f>
        <v>0</v>
      </c>
      <c r="BH145" s="229">
        <f>IF(N145="sníž. přenesená",J145,0)</f>
        <v>0</v>
      </c>
      <c r="BI145" s="229">
        <f>IF(N145="nulová",J145,0)</f>
        <v>0</v>
      </c>
      <c r="BJ145" s="14" t="s">
        <v>83</v>
      </c>
      <c r="BK145" s="229">
        <f>ROUND(I145*H145,2)</f>
        <v>0</v>
      </c>
      <c r="BL145" s="14" t="s">
        <v>138</v>
      </c>
      <c r="BM145" s="228" t="s">
        <v>991</v>
      </c>
    </row>
    <row r="146" s="2" customFormat="1" ht="44.25" customHeight="1">
      <c r="A146" s="35"/>
      <c r="B146" s="36"/>
      <c r="C146" s="216" t="s">
        <v>612</v>
      </c>
      <c r="D146" s="216" t="s">
        <v>134</v>
      </c>
      <c r="E146" s="217" t="s">
        <v>992</v>
      </c>
      <c r="F146" s="218" t="s">
        <v>993</v>
      </c>
      <c r="G146" s="219" t="s">
        <v>173</v>
      </c>
      <c r="H146" s="241"/>
      <c r="I146" s="221"/>
      <c r="J146" s="222">
        <f>ROUND(I146*H146,2)</f>
        <v>0</v>
      </c>
      <c r="K146" s="223"/>
      <c r="L146" s="41"/>
      <c r="M146" s="224" t="s">
        <v>1</v>
      </c>
      <c r="N146" s="225" t="s">
        <v>40</v>
      </c>
      <c r="O146" s="88"/>
      <c r="P146" s="226">
        <f>O146*H146</f>
        <v>0</v>
      </c>
      <c r="Q146" s="226">
        <v>0</v>
      </c>
      <c r="R146" s="226">
        <f>Q146*H146</f>
        <v>0</v>
      </c>
      <c r="S146" s="226">
        <v>0</v>
      </c>
      <c r="T146" s="227">
        <f>S146*H146</f>
        <v>0</v>
      </c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R146" s="228" t="s">
        <v>138</v>
      </c>
      <c r="AT146" s="228" t="s">
        <v>134</v>
      </c>
      <c r="AU146" s="228" t="s">
        <v>85</v>
      </c>
      <c r="AY146" s="14" t="s">
        <v>131</v>
      </c>
      <c r="BE146" s="229">
        <f>IF(N146="základní",J146,0)</f>
        <v>0</v>
      </c>
      <c r="BF146" s="229">
        <f>IF(N146="snížená",J146,0)</f>
        <v>0</v>
      </c>
      <c r="BG146" s="229">
        <f>IF(N146="zákl. přenesená",J146,0)</f>
        <v>0</v>
      </c>
      <c r="BH146" s="229">
        <f>IF(N146="sníž. přenesená",J146,0)</f>
        <v>0</v>
      </c>
      <c r="BI146" s="229">
        <f>IF(N146="nulová",J146,0)</f>
        <v>0</v>
      </c>
      <c r="BJ146" s="14" t="s">
        <v>83</v>
      </c>
      <c r="BK146" s="229">
        <f>ROUND(I146*H146,2)</f>
        <v>0</v>
      </c>
      <c r="BL146" s="14" t="s">
        <v>138</v>
      </c>
      <c r="BM146" s="228" t="s">
        <v>994</v>
      </c>
    </row>
    <row r="147" s="12" customFormat="1" ht="22.8" customHeight="1">
      <c r="A147" s="12"/>
      <c r="B147" s="200"/>
      <c r="C147" s="201"/>
      <c r="D147" s="202" t="s">
        <v>74</v>
      </c>
      <c r="E147" s="214" t="s">
        <v>437</v>
      </c>
      <c r="F147" s="214" t="s">
        <v>438</v>
      </c>
      <c r="G147" s="201"/>
      <c r="H147" s="201"/>
      <c r="I147" s="204"/>
      <c r="J147" s="215">
        <f>BK147</f>
        <v>0</v>
      </c>
      <c r="K147" s="201"/>
      <c r="L147" s="206"/>
      <c r="M147" s="207"/>
      <c r="N147" s="208"/>
      <c r="O147" s="208"/>
      <c r="P147" s="209">
        <f>SUM(P148:P150)</f>
        <v>0</v>
      </c>
      <c r="Q147" s="208"/>
      <c r="R147" s="209">
        <f>SUM(R148:R150)</f>
        <v>0.0035399999999999997</v>
      </c>
      <c r="S147" s="208"/>
      <c r="T147" s="210">
        <f>SUM(T148:T150)</f>
        <v>0</v>
      </c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R147" s="211" t="s">
        <v>85</v>
      </c>
      <c r="AT147" s="212" t="s">
        <v>74</v>
      </c>
      <c r="AU147" s="212" t="s">
        <v>83</v>
      </c>
      <c r="AY147" s="211" t="s">
        <v>131</v>
      </c>
      <c r="BK147" s="213">
        <f>SUM(BK148:BK150)</f>
        <v>0</v>
      </c>
    </row>
    <row r="148" s="2" customFormat="1" ht="24.15" customHeight="1">
      <c r="A148" s="35"/>
      <c r="B148" s="36"/>
      <c r="C148" s="216" t="s">
        <v>601</v>
      </c>
      <c r="D148" s="216" t="s">
        <v>134</v>
      </c>
      <c r="E148" s="217" t="s">
        <v>995</v>
      </c>
      <c r="F148" s="218" t="s">
        <v>996</v>
      </c>
      <c r="G148" s="219" t="s">
        <v>185</v>
      </c>
      <c r="H148" s="220">
        <v>2</v>
      </c>
      <c r="I148" s="221"/>
      <c r="J148" s="222">
        <f>ROUND(I148*H148,2)</f>
        <v>0</v>
      </c>
      <c r="K148" s="223"/>
      <c r="L148" s="41"/>
      <c r="M148" s="224" t="s">
        <v>1</v>
      </c>
      <c r="N148" s="225" t="s">
        <v>40</v>
      </c>
      <c r="O148" s="88"/>
      <c r="P148" s="226">
        <f>O148*H148</f>
        <v>0</v>
      </c>
      <c r="Q148" s="226">
        <v>0.00076999999999999996</v>
      </c>
      <c r="R148" s="226">
        <f>Q148*H148</f>
        <v>0.0015399999999999999</v>
      </c>
      <c r="S148" s="226">
        <v>0</v>
      </c>
      <c r="T148" s="227">
        <f>S148*H148</f>
        <v>0</v>
      </c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R148" s="228" t="s">
        <v>138</v>
      </c>
      <c r="AT148" s="228" t="s">
        <v>134</v>
      </c>
      <c r="AU148" s="228" t="s">
        <v>85</v>
      </c>
      <c r="AY148" s="14" t="s">
        <v>131</v>
      </c>
      <c r="BE148" s="229">
        <f>IF(N148="základní",J148,0)</f>
        <v>0</v>
      </c>
      <c r="BF148" s="229">
        <f>IF(N148="snížená",J148,0)</f>
        <v>0</v>
      </c>
      <c r="BG148" s="229">
        <f>IF(N148="zákl. přenesená",J148,0)</f>
        <v>0</v>
      </c>
      <c r="BH148" s="229">
        <f>IF(N148="sníž. přenesená",J148,0)</f>
        <v>0</v>
      </c>
      <c r="BI148" s="229">
        <f>IF(N148="nulová",J148,0)</f>
        <v>0</v>
      </c>
      <c r="BJ148" s="14" t="s">
        <v>83</v>
      </c>
      <c r="BK148" s="229">
        <f>ROUND(I148*H148,2)</f>
        <v>0</v>
      </c>
      <c r="BL148" s="14" t="s">
        <v>138</v>
      </c>
      <c r="BM148" s="228" t="s">
        <v>997</v>
      </c>
    </row>
    <row r="149" s="2" customFormat="1" ht="24.15" customHeight="1">
      <c r="A149" s="35"/>
      <c r="B149" s="36"/>
      <c r="C149" s="216" t="s">
        <v>597</v>
      </c>
      <c r="D149" s="216" t="s">
        <v>134</v>
      </c>
      <c r="E149" s="217" t="s">
        <v>523</v>
      </c>
      <c r="F149" s="218" t="s">
        <v>524</v>
      </c>
      <c r="G149" s="219" t="s">
        <v>185</v>
      </c>
      <c r="H149" s="220">
        <v>4</v>
      </c>
      <c r="I149" s="221"/>
      <c r="J149" s="222">
        <f>ROUND(I149*H149,2)</f>
        <v>0</v>
      </c>
      <c r="K149" s="223"/>
      <c r="L149" s="41"/>
      <c r="M149" s="224" t="s">
        <v>1</v>
      </c>
      <c r="N149" s="225" t="s">
        <v>40</v>
      </c>
      <c r="O149" s="88"/>
      <c r="P149" s="226">
        <f>O149*H149</f>
        <v>0</v>
      </c>
      <c r="Q149" s="226">
        <v>0.00050000000000000001</v>
      </c>
      <c r="R149" s="226">
        <f>Q149*H149</f>
        <v>0.002</v>
      </c>
      <c r="S149" s="226">
        <v>0</v>
      </c>
      <c r="T149" s="227">
        <f>S149*H149</f>
        <v>0</v>
      </c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R149" s="228" t="s">
        <v>138</v>
      </c>
      <c r="AT149" s="228" t="s">
        <v>134</v>
      </c>
      <c r="AU149" s="228" t="s">
        <v>85</v>
      </c>
      <c r="AY149" s="14" t="s">
        <v>131</v>
      </c>
      <c r="BE149" s="229">
        <f>IF(N149="základní",J149,0)</f>
        <v>0</v>
      </c>
      <c r="BF149" s="229">
        <f>IF(N149="snížená",J149,0)</f>
        <v>0</v>
      </c>
      <c r="BG149" s="229">
        <f>IF(N149="zákl. přenesená",J149,0)</f>
        <v>0</v>
      </c>
      <c r="BH149" s="229">
        <f>IF(N149="sníž. přenesená",J149,0)</f>
        <v>0</v>
      </c>
      <c r="BI149" s="229">
        <f>IF(N149="nulová",J149,0)</f>
        <v>0</v>
      </c>
      <c r="BJ149" s="14" t="s">
        <v>83</v>
      </c>
      <c r="BK149" s="229">
        <f>ROUND(I149*H149,2)</f>
        <v>0</v>
      </c>
      <c r="BL149" s="14" t="s">
        <v>138</v>
      </c>
      <c r="BM149" s="228" t="s">
        <v>998</v>
      </c>
    </row>
    <row r="150" s="2" customFormat="1" ht="44.25" customHeight="1">
      <c r="A150" s="35"/>
      <c r="B150" s="36"/>
      <c r="C150" s="216" t="s">
        <v>262</v>
      </c>
      <c r="D150" s="216" t="s">
        <v>134</v>
      </c>
      <c r="E150" s="217" t="s">
        <v>999</v>
      </c>
      <c r="F150" s="218" t="s">
        <v>1000</v>
      </c>
      <c r="G150" s="219" t="s">
        <v>173</v>
      </c>
      <c r="H150" s="241"/>
      <c r="I150" s="221"/>
      <c r="J150" s="222">
        <f>ROUND(I150*H150,2)</f>
        <v>0</v>
      </c>
      <c r="K150" s="223"/>
      <c r="L150" s="41"/>
      <c r="M150" s="224" t="s">
        <v>1</v>
      </c>
      <c r="N150" s="225" t="s">
        <v>40</v>
      </c>
      <c r="O150" s="88"/>
      <c r="P150" s="226">
        <f>O150*H150</f>
        <v>0</v>
      </c>
      <c r="Q150" s="226">
        <v>0</v>
      </c>
      <c r="R150" s="226">
        <f>Q150*H150</f>
        <v>0</v>
      </c>
      <c r="S150" s="226">
        <v>0</v>
      </c>
      <c r="T150" s="227">
        <f>S150*H150</f>
        <v>0</v>
      </c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R150" s="228" t="s">
        <v>138</v>
      </c>
      <c r="AT150" s="228" t="s">
        <v>134</v>
      </c>
      <c r="AU150" s="228" t="s">
        <v>85</v>
      </c>
      <c r="AY150" s="14" t="s">
        <v>131</v>
      </c>
      <c r="BE150" s="229">
        <f>IF(N150="základní",J150,0)</f>
        <v>0</v>
      </c>
      <c r="BF150" s="229">
        <f>IF(N150="snížená",J150,0)</f>
        <v>0</v>
      </c>
      <c r="BG150" s="229">
        <f>IF(N150="zákl. přenesená",J150,0)</f>
        <v>0</v>
      </c>
      <c r="BH150" s="229">
        <f>IF(N150="sníž. přenesená",J150,0)</f>
        <v>0</v>
      </c>
      <c r="BI150" s="229">
        <f>IF(N150="nulová",J150,0)</f>
        <v>0</v>
      </c>
      <c r="BJ150" s="14" t="s">
        <v>83</v>
      </c>
      <c r="BK150" s="229">
        <f>ROUND(I150*H150,2)</f>
        <v>0</v>
      </c>
      <c r="BL150" s="14" t="s">
        <v>138</v>
      </c>
      <c r="BM150" s="228" t="s">
        <v>1001</v>
      </c>
    </row>
    <row r="151" s="12" customFormat="1" ht="22.8" customHeight="1">
      <c r="A151" s="12"/>
      <c r="B151" s="200"/>
      <c r="C151" s="201"/>
      <c r="D151" s="202" t="s">
        <v>74</v>
      </c>
      <c r="E151" s="214" t="s">
        <v>1002</v>
      </c>
      <c r="F151" s="214" t="s">
        <v>1003</v>
      </c>
      <c r="G151" s="201"/>
      <c r="H151" s="201"/>
      <c r="I151" s="204"/>
      <c r="J151" s="215">
        <f>BK151</f>
        <v>0</v>
      </c>
      <c r="K151" s="201"/>
      <c r="L151" s="206"/>
      <c r="M151" s="207"/>
      <c r="N151" s="208"/>
      <c r="O151" s="208"/>
      <c r="P151" s="209">
        <f>SUM(P152:P158)</f>
        <v>0</v>
      </c>
      <c r="Q151" s="208"/>
      <c r="R151" s="209">
        <f>SUM(R152:R158)</f>
        <v>0.99168000000000012</v>
      </c>
      <c r="S151" s="208"/>
      <c r="T151" s="210">
        <f>SUM(T152:T158)</f>
        <v>0</v>
      </c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R151" s="211" t="s">
        <v>85</v>
      </c>
      <c r="AT151" s="212" t="s">
        <v>74</v>
      </c>
      <c r="AU151" s="212" t="s">
        <v>83</v>
      </c>
      <c r="AY151" s="211" t="s">
        <v>131</v>
      </c>
      <c r="BK151" s="213">
        <f>SUM(BK152:BK158)</f>
        <v>0</v>
      </c>
    </row>
    <row r="152" s="2" customFormat="1" ht="24.15" customHeight="1">
      <c r="A152" s="35"/>
      <c r="B152" s="36"/>
      <c r="C152" s="216" t="s">
        <v>626</v>
      </c>
      <c r="D152" s="216" t="s">
        <v>134</v>
      </c>
      <c r="E152" s="217" t="s">
        <v>1004</v>
      </c>
      <c r="F152" s="218" t="s">
        <v>1005</v>
      </c>
      <c r="G152" s="219" t="s">
        <v>232</v>
      </c>
      <c r="H152" s="220">
        <v>1</v>
      </c>
      <c r="I152" s="221"/>
      <c r="J152" s="222">
        <f>ROUND(I152*H152,2)</f>
        <v>0</v>
      </c>
      <c r="K152" s="223"/>
      <c r="L152" s="41"/>
      <c r="M152" s="224" t="s">
        <v>1</v>
      </c>
      <c r="N152" s="225" t="s">
        <v>40</v>
      </c>
      <c r="O152" s="88"/>
      <c r="P152" s="226">
        <f>O152*H152</f>
        <v>0</v>
      </c>
      <c r="Q152" s="226">
        <v>0.041320000000000003</v>
      </c>
      <c r="R152" s="226">
        <f>Q152*H152</f>
        <v>0.041320000000000003</v>
      </c>
      <c r="S152" s="226">
        <v>0</v>
      </c>
      <c r="T152" s="227">
        <f>S152*H152</f>
        <v>0</v>
      </c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R152" s="228" t="s">
        <v>138</v>
      </c>
      <c r="AT152" s="228" t="s">
        <v>134</v>
      </c>
      <c r="AU152" s="228" t="s">
        <v>85</v>
      </c>
      <c r="AY152" s="14" t="s">
        <v>131</v>
      </c>
      <c r="BE152" s="229">
        <f>IF(N152="základní",J152,0)</f>
        <v>0</v>
      </c>
      <c r="BF152" s="229">
        <f>IF(N152="snížená",J152,0)</f>
        <v>0</v>
      </c>
      <c r="BG152" s="229">
        <f>IF(N152="zákl. přenesená",J152,0)</f>
        <v>0</v>
      </c>
      <c r="BH152" s="229">
        <f>IF(N152="sníž. přenesená",J152,0)</f>
        <v>0</v>
      </c>
      <c r="BI152" s="229">
        <f>IF(N152="nulová",J152,0)</f>
        <v>0</v>
      </c>
      <c r="BJ152" s="14" t="s">
        <v>83</v>
      </c>
      <c r="BK152" s="229">
        <f>ROUND(I152*H152,2)</f>
        <v>0</v>
      </c>
      <c r="BL152" s="14" t="s">
        <v>138</v>
      </c>
      <c r="BM152" s="228" t="s">
        <v>1006</v>
      </c>
    </row>
    <row r="153" s="2" customFormat="1" ht="33" customHeight="1">
      <c r="A153" s="35"/>
      <c r="B153" s="36"/>
      <c r="C153" s="216" t="s">
        <v>745</v>
      </c>
      <c r="D153" s="216" t="s">
        <v>134</v>
      </c>
      <c r="E153" s="217" t="s">
        <v>1007</v>
      </c>
      <c r="F153" s="218" t="s">
        <v>1008</v>
      </c>
      <c r="G153" s="219" t="s">
        <v>232</v>
      </c>
      <c r="H153" s="220">
        <v>1</v>
      </c>
      <c r="I153" s="221"/>
      <c r="J153" s="222">
        <f>ROUND(I153*H153,2)</f>
        <v>0</v>
      </c>
      <c r="K153" s="223"/>
      <c r="L153" s="41"/>
      <c r="M153" s="224" t="s">
        <v>1</v>
      </c>
      <c r="N153" s="225" t="s">
        <v>40</v>
      </c>
      <c r="O153" s="88"/>
      <c r="P153" s="226">
        <f>O153*H153</f>
        <v>0</v>
      </c>
      <c r="Q153" s="226">
        <v>0.041320000000000003</v>
      </c>
      <c r="R153" s="226">
        <f>Q153*H153</f>
        <v>0.041320000000000003</v>
      </c>
      <c r="S153" s="226">
        <v>0</v>
      </c>
      <c r="T153" s="227">
        <f>S153*H153</f>
        <v>0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R153" s="228" t="s">
        <v>138</v>
      </c>
      <c r="AT153" s="228" t="s">
        <v>134</v>
      </c>
      <c r="AU153" s="228" t="s">
        <v>85</v>
      </c>
      <c r="AY153" s="14" t="s">
        <v>131</v>
      </c>
      <c r="BE153" s="229">
        <f>IF(N153="základní",J153,0)</f>
        <v>0</v>
      </c>
      <c r="BF153" s="229">
        <f>IF(N153="snížená",J153,0)</f>
        <v>0</v>
      </c>
      <c r="BG153" s="229">
        <f>IF(N153="zákl. přenesená",J153,0)</f>
        <v>0</v>
      </c>
      <c r="BH153" s="229">
        <f>IF(N153="sníž. přenesená",J153,0)</f>
        <v>0</v>
      </c>
      <c r="BI153" s="229">
        <f>IF(N153="nulová",J153,0)</f>
        <v>0</v>
      </c>
      <c r="BJ153" s="14" t="s">
        <v>83</v>
      </c>
      <c r="BK153" s="229">
        <f>ROUND(I153*H153,2)</f>
        <v>0</v>
      </c>
      <c r="BL153" s="14" t="s">
        <v>138</v>
      </c>
      <c r="BM153" s="228" t="s">
        <v>1009</v>
      </c>
    </row>
    <row r="154" s="2" customFormat="1" ht="24.15" customHeight="1">
      <c r="A154" s="35"/>
      <c r="B154" s="36"/>
      <c r="C154" s="216" t="s">
        <v>1010</v>
      </c>
      <c r="D154" s="216" t="s">
        <v>134</v>
      </c>
      <c r="E154" s="217" t="s">
        <v>1011</v>
      </c>
      <c r="F154" s="218" t="s">
        <v>1012</v>
      </c>
      <c r="G154" s="219" t="s">
        <v>232</v>
      </c>
      <c r="H154" s="220">
        <v>4</v>
      </c>
      <c r="I154" s="221"/>
      <c r="J154" s="222">
        <f>ROUND(I154*H154,2)</f>
        <v>0</v>
      </c>
      <c r="K154" s="223"/>
      <c r="L154" s="41"/>
      <c r="M154" s="224" t="s">
        <v>1</v>
      </c>
      <c r="N154" s="225" t="s">
        <v>40</v>
      </c>
      <c r="O154" s="88"/>
      <c r="P154" s="226">
        <f>O154*H154</f>
        <v>0</v>
      </c>
      <c r="Q154" s="226">
        <v>0.041320000000000003</v>
      </c>
      <c r="R154" s="226">
        <f>Q154*H154</f>
        <v>0.16528000000000001</v>
      </c>
      <c r="S154" s="226">
        <v>0</v>
      </c>
      <c r="T154" s="227">
        <f>S154*H154</f>
        <v>0</v>
      </c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R154" s="228" t="s">
        <v>138</v>
      </c>
      <c r="AT154" s="228" t="s">
        <v>134</v>
      </c>
      <c r="AU154" s="228" t="s">
        <v>85</v>
      </c>
      <c r="AY154" s="14" t="s">
        <v>131</v>
      </c>
      <c r="BE154" s="229">
        <f>IF(N154="základní",J154,0)</f>
        <v>0</v>
      </c>
      <c r="BF154" s="229">
        <f>IF(N154="snížená",J154,0)</f>
        <v>0</v>
      </c>
      <c r="BG154" s="229">
        <f>IF(N154="zákl. přenesená",J154,0)</f>
        <v>0</v>
      </c>
      <c r="BH154" s="229">
        <f>IF(N154="sníž. přenesená",J154,0)</f>
        <v>0</v>
      </c>
      <c r="BI154" s="229">
        <f>IF(N154="nulová",J154,0)</f>
        <v>0</v>
      </c>
      <c r="BJ154" s="14" t="s">
        <v>83</v>
      </c>
      <c r="BK154" s="229">
        <f>ROUND(I154*H154,2)</f>
        <v>0</v>
      </c>
      <c r="BL154" s="14" t="s">
        <v>138</v>
      </c>
      <c r="BM154" s="228" t="s">
        <v>1013</v>
      </c>
    </row>
    <row r="155" s="2" customFormat="1" ht="16.5" customHeight="1">
      <c r="A155" s="35"/>
      <c r="B155" s="36"/>
      <c r="C155" s="216" t="s">
        <v>806</v>
      </c>
      <c r="D155" s="216" t="s">
        <v>134</v>
      </c>
      <c r="E155" s="217" t="s">
        <v>1014</v>
      </c>
      <c r="F155" s="218" t="s">
        <v>1015</v>
      </c>
      <c r="G155" s="219" t="s">
        <v>232</v>
      </c>
      <c r="H155" s="220">
        <v>1</v>
      </c>
      <c r="I155" s="221"/>
      <c r="J155" s="222">
        <f>ROUND(I155*H155,2)</f>
        <v>0</v>
      </c>
      <c r="K155" s="223"/>
      <c r="L155" s="41"/>
      <c r="M155" s="224" t="s">
        <v>1</v>
      </c>
      <c r="N155" s="225" t="s">
        <v>40</v>
      </c>
      <c r="O155" s="88"/>
      <c r="P155" s="226">
        <f>O155*H155</f>
        <v>0</v>
      </c>
      <c r="Q155" s="226">
        <v>0.041320000000000003</v>
      </c>
      <c r="R155" s="226">
        <f>Q155*H155</f>
        <v>0.041320000000000003</v>
      </c>
      <c r="S155" s="226">
        <v>0</v>
      </c>
      <c r="T155" s="227">
        <f>S155*H155</f>
        <v>0</v>
      </c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R155" s="228" t="s">
        <v>138</v>
      </c>
      <c r="AT155" s="228" t="s">
        <v>134</v>
      </c>
      <c r="AU155" s="228" t="s">
        <v>85</v>
      </c>
      <c r="AY155" s="14" t="s">
        <v>131</v>
      </c>
      <c r="BE155" s="229">
        <f>IF(N155="základní",J155,0)</f>
        <v>0</v>
      </c>
      <c r="BF155" s="229">
        <f>IF(N155="snížená",J155,0)</f>
        <v>0</v>
      </c>
      <c r="BG155" s="229">
        <f>IF(N155="zákl. přenesená",J155,0)</f>
        <v>0</v>
      </c>
      <c r="BH155" s="229">
        <f>IF(N155="sníž. přenesená",J155,0)</f>
        <v>0</v>
      </c>
      <c r="BI155" s="229">
        <f>IF(N155="nulová",J155,0)</f>
        <v>0</v>
      </c>
      <c r="BJ155" s="14" t="s">
        <v>83</v>
      </c>
      <c r="BK155" s="229">
        <f>ROUND(I155*H155,2)</f>
        <v>0</v>
      </c>
      <c r="BL155" s="14" t="s">
        <v>138</v>
      </c>
      <c r="BM155" s="228" t="s">
        <v>1016</v>
      </c>
    </row>
    <row r="156" s="2" customFormat="1" ht="16.5" customHeight="1">
      <c r="A156" s="35"/>
      <c r="B156" s="36"/>
      <c r="C156" s="216" t="s">
        <v>200</v>
      </c>
      <c r="D156" s="216" t="s">
        <v>134</v>
      </c>
      <c r="E156" s="217" t="s">
        <v>1017</v>
      </c>
      <c r="F156" s="218" t="s">
        <v>1018</v>
      </c>
      <c r="G156" s="219" t="s">
        <v>232</v>
      </c>
      <c r="H156" s="220">
        <v>10</v>
      </c>
      <c r="I156" s="221"/>
      <c r="J156" s="222">
        <f>ROUND(I156*H156,2)</f>
        <v>0</v>
      </c>
      <c r="K156" s="223"/>
      <c r="L156" s="41"/>
      <c r="M156" s="224" t="s">
        <v>1</v>
      </c>
      <c r="N156" s="225" t="s">
        <v>40</v>
      </c>
      <c r="O156" s="88"/>
      <c r="P156" s="226">
        <f>O156*H156</f>
        <v>0</v>
      </c>
      <c r="Q156" s="226">
        <v>0.041320000000000003</v>
      </c>
      <c r="R156" s="226">
        <f>Q156*H156</f>
        <v>0.41320000000000001</v>
      </c>
      <c r="S156" s="226">
        <v>0</v>
      </c>
      <c r="T156" s="227">
        <f>S156*H156</f>
        <v>0</v>
      </c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R156" s="228" t="s">
        <v>138</v>
      </c>
      <c r="AT156" s="228" t="s">
        <v>134</v>
      </c>
      <c r="AU156" s="228" t="s">
        <v>85</v>
      </c>
      <c r="AY156" s="14" t="s">
        <v>131</v>
      </c>
      <c r="BE156" s="229">
        <f>IF(N156="základní",J156,0)</f>
        <v>0</v>
      </c>
      <c r="BF156" s="229">
        <f>IF(N156="snížená",J156,0)</f>
        <v>0</v>
      </c>
      <c r="BG156" s="229">
        <f>IF(N156="zákl. přenesená",J156,0)</f>
        <v>0</v>
      </c>
      <c r="BH156" s="229">
        <f>IF(N156="sníž. přenesená",J156,0)</f>
        <v>0</v>
      </c>
      <c r="BI156" s="229">
        <f>IF(N156="nulová",J156,0)</f>
        <v>0</v>
      </c>
      <c r="BJ156" s="14" t="s">
        <v>83</v>
      </c>
      <c r="BK156" s="229">
        <f>ROUND(I156*H156,2)</f>
        <v>0</v>
      </c>
      <c r="BL156" s="14" t="s">
        <v>138</v>
      </c>
      <c r="BM156" s="228" t="s">
        <v>1019</v>
      </c>
    </row>
    <row r="157" s="2" customFormat="1" ht="16.5" customHeight="1">
      <c r="A157" s="35"/>
      <c r="B157" s="36"/>
      <c r="C157" s="216" t="s">
        <v>205</v>
      </c>
      <c r="D157" s="216" t="s">
        <v>134</v>
      </c>
      <c r="E157" s="217" t="s">
        <v>1020</v>
      </c>
      <c r="F157" s="218" t="s">
        <v>1021</v>
      </c>
      <c r="G157" s="219" t="s">
        <v>232</v>
      </c>
      <c r="H157" s="220">
        <v>4</v>
      </c>
      <c r="I157" s="221"/>
      <c r="J157" s="222">
        <f>ROUND(I157*H157,2)</f>
        <v>0</v>
      </c>
      <c r="K157" s="223"/>
      <c r="L157" s="41"/>
      <c r="M157" s="224" t="s">
        <v>1</v>
      </c>
      <c r="N157" s="225" t="s">
        <v>40</v>
      </c>
      <c r="O157" s="88"/>
      <c r="P157" s="226">
        <f>O157*H157</f>
        <v>0</v>
      </c>
      <c r="Q157" s="226">
        <v>0.041320000000000003</v>
      </c>
      <c r="R157" s="226">
        <f>Q157*H157</f>
        <v>0.16528000000000001</v>
      </c>
      <c r="S157" s="226">
        <v>0</v>
      </c>
      <c r="T157" s="227">
        <f>S157*H157</f>
        <v>0</v>
      </c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R157" s="228" t="s">
        <v>138</v>
      </c>
      <c r="AT157" s="228" t="s">
        <v>134</v>
      </c>
      <c r="AU157" s="228" t="s">
        <v>85</v>
      </c>
      <c r="AY157" s="14" t="s">
        <v>131</v>
      </c>
      <c r="BE157" s="229">
        <f>IF(N157="základní",J157,0)</f>
        <v>0</v>
      </c>
      <c r="BF157" s="229">
        <f>IF(N157="snížená",J157,0)</f>
        <v>0</v>
      </c>
      <c r="BG157" s="229">
        <f>IF(N157="zákl. přenesená",J157,0)</f>
        <v>0</v>
      </c>
      <c r="BH157" s="229">
        <f>IF(N157="sníž. přenesená",J157,0)</f>
        <v>0</v>
      </c>
      <c r="BI157" s="229">
        <f>IF(N157="nulová",J157,0)</f>
        <v>0</v>
      </c>
      <c r="BJ157" s="14" t="s">
        <v>83</v>
      </c>
      <c r="BK157" s="229">
        <f>ROUND(I157*H157,2)</f>
        <v>0</v>
      </c>
      <c r="BL157" s="14" t="s">
        <v>138</v>
      </c>
      <c r="BM157" s="228" t="s">
        <v>1022</v>
      </c>
    </row>
    <row r="158" s="2" customFormat="1" ht="49.05" customHeight="1">
      <c r="A158" s="35"/>
      <c r="B158" s="36"/>
      <c r="C158" s="216" t="s">
        <v>7</v>
      </c>
      <c r="D158" s="216" t="s">
        <v>134</v>
      </c>
      <c r="E158" s="217" t="s">
        <v>1023</v>
      </c>
      <c r="F158" s="218" t="s">
        <v>1024</v>
      </c>
      <c r="G158" s="219" t="s">
        <v>185</v>
      </c>
      <c r="H158" s="220">
        <v>3</v>
      </c>
      <c r="I158" s="221"/>
      <c r="J158" s="222">
        <f>ROUND(I158*H158,2)</f>
        <v>0</v>
      </c>
      <c r="K158" s="223"/>
      <c r="L158" s="41"/>
      <c r="M158" s="242" t="s">
        <v>1</v>
      </c>
      <c r="N158" s="243" t="s">
        <v>40</v>
      </c>
      <c r="O158" s="244"/>
      <c r="P158" s="245">
        <f>O158*H158</f>
        <v>0</v>
      </c>
      <c r="Q158" s="245">
        <v>0.041320000000000003</v>
      </c>
      <c r="R158" s="245">
        <f>Q158*H158</f>
        <v>0.12396000000000002</v>
      </c>
      <c r="S158" s="245">
        <v>0</v>
      </c>
      <c r="T158" s="246">
        <f>S158*H158</f>
        <v>0</v>
      </c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R158" s="228" t="s">
        <v>138</v>
      </c>
      <c r="AT158" s="228" t="s">
        <v>134</v>
      </c>
      <c r="AU158" s="228" t="s">
        <v>85</v>
      </c>
      <c r="AY158" s="14" t="s">
        <v>131</v>
      </c>
      <c r="BE158" s="229">
        <f>IF(N158="základní",J158,0)</f>
        <v>0</v>
      </c>
      <c r="BF158" s="229">
        <f>IF(N158="snížená",J158,0)</f>
        <v>0</v>
      </c>
      <c r="BG158" s="229">
        <f>IF(N158="zákl. přenesená",J158,0)</f>
        <v>0</v>
      </c>
      <c r="BH158" s="229">
        <f>IF(N158="sníž. přenesená",J158,0)</f>
        <v>0</v>
      </c>
      <c r="BI158" s="229">
        <f>IF(N158="nulová",J158,0)</f>
        <v>0</v>
      </c>
      <c r="BJ158" s="14" t="s">
        <v>83</v>
      </c>
      <c r="BK158" s="229">
        <f>ROUND(I158*H158,2)</f>
        <v>0</v>
      </c>
      <c r="BL158" s="14" t="s">
        <v>138</v>
      </c>
      <c r="BM158" s="228" t="s">
        <v>1025</v>
      </c>
    </row>
    <row r="159" s="2" customFormat="1" ht="6.96" customHeight="1">
      <c r="A159" s="35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41"/>
      <c r="M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</row>
  </sheetData>
  <sheetProtection sheet="1" autoFilter="0" formatColumns="0" formatRows="0" objects="1" scenarios="1" spinCount="100000" saltValue="L8hAVDnPmxYik0HqOtuhn+yEoGw09fpdQuNFgCG+gXPHttTiK9RxsuT8MEN5P27hICqbmxL0cH3Pzpq99rJP2A==" hashValue="MwP5iWWGJ7stc6g+oxGMadsUiyJHxEtTnJbxx1+Z6Ge1hAiHjSg3/veIMS46UxE7PwUY1Svy6Jn3S7QARhXs/A==" algorithmName="SHA-512" password="F695"/>
  <autoFilter ref="C121:K158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DESKTOP-IB50O09\ZALMAN</dc:creator>
  <cp:lastModifiedBy>DESKTOP-IB50O09\ZALMAN</cp:lastModifiedBy>
  <dcterms:created xsi:type="dcterms:W3CDTF">2025-12-16T06:40:28Z</dcterms:created>
  <dcterms:modified xsi:type="dcterms:W3CDTF">2025-12-16T06:40:35Z</dcterms:modified>
</cp:coreProperties>
</file>
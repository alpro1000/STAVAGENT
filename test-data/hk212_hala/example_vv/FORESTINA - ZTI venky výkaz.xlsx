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vby\2025\HD Forestina\Finální výkazy\"/>
    </mc:Choice>
  </mc:AlternateContent>
  <xr:revisionPtr revIDLastSave="0" documentId="13_ncr:1_{67F4FE01-8CB3-4F4C-9379-1E38A7A48F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avební rozpočet" sheetId="1" r:id="rId1"/>
    <sheet name="Stavební rozpočet - součet" sheetId="2" r:id="rId2"/>
    <sheet name="Krycí list rozpočtu" sheetId="3" r:id="rId3"/>
    <sheet name="VORN" sheetId="4" state="hidden" r:id="rId4"/>
  </sheets>
  <definedNames>
    <definedName name="vorn_sum">VORN!$I$37</definedName>
  </definedNames>
  <calcPr calcId="191029"/>
</workbook>
</file>

<file path=xl/calcChain.xml><?xml version="1.0" encoding="utf-8"?>
<calcChain xmlns="http://schemas.openxmlformats.org/spreadsheetml/2006/main">
  <c r="I36" i="4" l="1"/>
  <c r="I37" i="4" s="1"/>
  <c r="I27" i="4"/>
  <c r="I26" i="4"/>
  <c r="I25" i="4"/>
  <c r="I24" i="4"/>
  <c r="I16" i="3" s="1"/>
  <c r="I23" i="4"/>
  <c r="I22" i="4"/>
  <c r="I14" i="3" s="1"/>
  <c r="I18" i="4"/>
  <c r="F17" i="3" s="1"/>
  <c r="I17" i="4"/>
  <c r="I16" i="4"/>
  <c r="I15" i="4"/>
  <c r="I19" i="4" s="1"/>
  <c r="I10" i="4"/>
  <c r="F10" i="4"/>
  <c r="C10" i="4"/>
  <c r="F8" i="4"/>
  <c r="C8" i="4"/>
  <c r="F6" i="4"/>
  <c r="C6" i="4"/>
  <c r="F4" i="4"/>
  <c r="C4" i="4"/>
  <c r="F2" i="4"/>
  <c r="C2" i="4"/>
  <c r="I24" i="3"/>
  <c r="I19" i="3"/>
  <c r="I18" i="3"/>
  <c r="I17" i="3"/>
  <c r="I22" i="3" s="1"/>
  <c r="F16" i="3"/>
  <c r="I15" i="3"/>
  <c r="F15" i="3"/>
  <c r="F14" i="3"/>
  <c r="F22" i="3" s="1"/>
  <c r="I10" i="3"/>
  <c r="F10" i="3"/>
  <c r="C10" i="3"/>
  <c r="F8" i="3"/>
  <c r="C8" i="3"/>
  <c r="F6" i="3"/>
  <c r="C6" i="3"/>
  <c r="F4" i="3"/>
  <c r="C4" i="3"/>
  <c r="F2" i="3"/>
  <c r="C2" i="3"/>
  <c r="G8" i="2"/>
  <c r="C8" i="2"/>
  <c r="G6" i="2"/>
  <c r="C6" i="2"/>
  <c r="G4" i="2"/>
  <c r="C4" i="2"/>
  <c r="G2" i="2"/>
  <c r="C2" i="2"/>
  <c r="BW94" i="1"/>
  <c r="BJ94" i="1"/>
  <c r="BF94" i="1"/>
  <c r="BD94" i="1"/>
  <c r="AP94" i="1"/>
  <c r="AO94" i="1"/>
  <c r="BH94" i="1" s="1"/>
  <c r="AL94" i="1"/>
  <c r="AJ94" i="1"/>
  <c r="AH94" i="1"/>
  <c r="AG94" i="1"/>
  <c r="AF94" i="1"/>
  <c r="AE94" i="1"/>
  <c r="AD94" i="1"/>
  <c r="AB94" i="1"/>
  <c r="Z94" i="1"/>
  <c r="O94" i="1"/>
  <c r="L94" i="1"/>
  <c r="AK94" i="1" s="1"/>
  <c r="J94" i="1"/>
  <c r="BW93" i="1"/>
  <c r="BJ93" i="1"/>
  <c r="BF93" i="1"/>
  <c r="BD93" i="1"/>
  <c r="AW93" i="1"/>
  <c r="AV93" i="1" s="1"/>
  <c r="AP93" i="1"/>
  <c r="AX93" i="1" s="1"/>
  <c r="AO93" i="1"/>
  <c r="BH93" i="1" s="1"/>
  <c r="AB93" i="1" s="1"/>
  <c r="AL93" i="1"/>
  <c r="AJ93" i="1"/>
  <c r="AH93" i="1"/>
  <c r="AG93" i="1"/>
  <c r="AF93" i="1"/>
  <c r="AE93" i="1"/>
  <c r="AD93" i="1"/>
  <c r="Z93" i="1"/>
  <c r="O93" i="1"/>
  <c r="L93" i="1"/>
  <c r="AK93" i="1" s="1"/>
  <c r="K93" i="1"/>
  <c r="J93" i="1"/>
  <c r="BW92" i="1"/>
  <c r="BJ92" i="1"/>
  <c r="BF92" i="1"/>
  <c r="BD92" i="1"/>
  <c r="AW92" i="1"/>
  <c r="AP92" i="1"/>
  <c r="AO92" i="1"/>
  <c r="BH92" i="1" s="1"/>
  <c r="AL92" i="1"/>
  <c r="AJ92" i="1"/>
  <c r="AH92" i="1"/>
  <c r="AG92" i="1"/>
  <c r="AF92" i="1"/>
  <c r="AE92" i="1"/>
  <c r="AD92" i="1"/>
  <c r="AB92" i="1"/>
  <c r="Z92" i="1"/>
  <c r="O92" i="1"/>
  <c r="L92" i="1"/>
  <c r="AK92" i="1" s="1"/>
  <c r="K92" i="1"/>
  <c r="J92" i="1"/>
  <c r="BW91" i="1"/>
  <c r="BJ91" i="1"/>
  <c r="BF91" i="1"/>
  <c r="BD91" i="1"/>
  <c r="AP91" i="1"/>
  <c r="AO91" i="1"/>
  <c r="BH91" i="1" s="1"/>
  <c r="AB91" i="1" s="1"/>
  <c r="AL91" i="1"/>
  <c r="AJ91" i="1"/>
  <c r="AH91" i="1"/>
  <c r="AG91" i="1"/>
  <c r="AF91" i="1"/>
  <c r="AE91" i="1"/>
  <c r="AD91" i="1"/>
  <c r="Z91" i="1"/>
  <c r="O91" i="1"/>
  <c r="L91" i="1"/>
  <c r="J91" i="1"/>
  <c r="BW90" i="1"/>
  <c r="BJ90" i="1"/>
  <c r="BF90" i="1"/>
  <c r="BD90" i="1"/>
  <c r="AP90" i="1"/>
  <c r="K90" i="1" s="1"/>
  <c r="AO90" i="1"/>
  <c r="BH90" i="1" s="1"/>
  <c r="AL90" i="1"/>
  <c r="AJ90" i="1"/>
  <c r="AH90" i="1"/>
  <c r="AG90" i="1"/>
  <c r="AF90" i="1"/>
  <c r="AE90" i="1"/>
  <c r="AD90" i="1"/>
  <c r="AB90" i="1"/>
  <c r="Z90" i="1"/>
  <c r="O90" i="1"/>
  <c r="L90" i="1"/>
  <c r="J90" i="1"/>
  <c r="BW89" i="1"/>
  <c r="BJ89" i="1"/>
  <c r="BF89" i="1"/>
  <c r="BD89" i="1"/>
  <c r="AW89" i="1"/>
  <c r="AV89" i="1" s="1"/>
  <c r="AP89" i="1"/>
  <c r="AX89" i="1" s="1"/>
  <c r="AO89" i="1"/>
  <c r="BH89" i="1" s="1"/>
  <c r="AB89" i="1" s="1"/>
  <c r="AL89" i="1"/>
  <c r="AJ89" i="1"/>
  <c r="AH89" i="1"/>
  <c r="AG89" i="1"/>
  <c r="AF89" i="1"/>
  <c r="AE89" i="1"/>
  <c r="AD89" i="1"/>
  <c r="Z89" i="1"/>
  <c r="O89" i="1"/>
  <c r="M89" i="1"/>
  <c r="L89" i="1"/>
  <c r="AK89" i="1" s="1"/>
  <c r="K89" i="1"/>
  <c r="BW88" i="1"/>
  <c r="BJ88" i="1"/>
  <c r="BF88" i="1"/>
  <c r="BD88" i="1"/>
  <c r="AW88" i="1"/>
  <c r="AP88" i="1"/>
  <c r="AO88" i="1"/>
  <c r="BH88" i="1" s="1"/>
  <c r="AL88" i="1"/>
  <c r="AJ88" i="1"/>
  <c r="AH88" i="1"/>
  <c r="AG88" i="1"/>
  <c r="AF88" i="1"/>
  <c r="AE88" i="1"/>
  <c r="AD88" i="1"/>
  <c r="AB88" i="1"/>
  <c r="Z88" i="1"/>
  <c r="O88" i="1"/>
  <c r="L88" i="1"/>
  <c r="J88" i="1"/>
  <c r="BW87" i="1"/>
  <c r="M87" i="1" s="1"/>
  <c r="BJ87" i="1"/>
  <c r="BF87" i="1"/>
  <c r="BD87" i="1"/>
  <c r="BC87" i="1"/>
  <c r="AW87" i="1"/>
  <c r="AP87" i="1"/>
  <c r="AX87" i="1" s="1"/>
  <c r="AO87" i="1"/>
  <c r="BH87" i="1" s="1"/>
  <c r="AB87" i="1" s="1"/>
  <c r="AL87" i="1"/>
  <c r="AJ87" i="1"/>
  <c r="AH87" i="1"/>
  <c r="AG87" i="1"/>
  <c r="AF87" i="1"/>
  <c r="AE87" i="1"/>
  <c r="AD87" i="1"/>
  <c r="Z87" i="1"/>
  <c r="O87" i="1"/>
  <c r="L87" i="1"/>
  <c r="AK87" i="1" s="1"/>
  <c r="K87" i="1"/>
  <c r="J87" i="1"/>
  <c r="BW86" i="1"/>
  <c r="BJ86" i="1"/>
  <c r="BF86" i="1"/>
  <c r="BD86" i="1"/>
  <c r="AP86" i="1"/>
  <c r="AO86" i="1"/>
  <c r="AL86" i="1"/>
  <c r="AJ86" i="1"/>
  <c r="AH86" i="1"/>
  <c r="AG86" i="1"/>
  <c r="AF86" i="1"/>
  <c r="AE86" i="1"/>
  <c r="AD86" i="1"/>
  <c r="Z86" i="1"/>
  <c r="O86" i="1"/>
  <c r="L86" i="1"/>
  <c r="AK86" i="1" s="1"/>
  <c r="BW85" i="1"/>
  <c r="BJ85" i="1"/>
  <c r="BI85" i="1"/>
  <c r="AC85" i="1" s="1"/>
  <c r="BF85" i="1"/>
  <c r="BD85" i="1"/>
  <c r="AP85" i="1"/>
  <c r="AO85" i="1"/>
  <c r="BH85" i="1" s="1"/>
  <c r="AB85" i="1" s="1"/>
  <c r="AL85" i="1"/>
  <c r="AJ85" i="1"/>
  <c r="AH85" i="1"/>
  <c r="AG85" i="1"/>
  <c r="AF85" i="1"/>
  <c r="AE85" i="1"/>
  <c r="AD85" i="1"/>
  <c r="Z85" i="1"/>
  <c r="O85" i="1"/>
  <c r="M85" i="1"/>
  <c r="L85" i="1"/>
  <c r="AK85" i="1" s="1"/>
  <c r="BW84" i="1"/>
  <c r="BJ84" i="1"/>
  <c r="BF84" i="1"/>
  <c r="BD84" i="1"/>
  <c r="AW84" i="1"/>
  <c r="AP84" i="1"/>
  <c r="K84" i="1" s="1"/>
  <c r="AO84" i="1"/>
  <c r="BH84" i="1" s="1"/>
  <c r="AB84" i="1" s="1"/>
  <c r="AL84" i="1"/>
  <c r="AK84" i="1"/>
  <c r="AJ84" i="1"/>
  <c r="AH84" i="1"/>
  <c r="AG84" i="1"/>
  <c r="AF84" i="1"/>
  <c r="AE84" i="1"/>
  <c r="AD84" i="1"/>
  <c r="Z84" i="1"/>
  <c r="O84" i="1"/>
  <c r="L84" i="1"/>
  <c r="J84" i="1"/>
  <c r="BW83" i="1"/>
  <c r="M83" i="1" s="1"/>
  <c r="BJ83" i="1"/>
  <c r="BF83" i="1"/>
  <c r="BD83" i="1"/>
  <c r="AP83" i="1"/>
  <c r="AX83" i="1" s="1"/>
  <c r="AO83" i="1"/>
  <c r="AL83" i="1"/>
  <c r="AJ83" i="1"/>
  <c r="AH83" i="1"/>
  <c r="AG83" i="1"/>
  <c r="AF83" i="1"/>
  <c r="AE83" i="1"/>
  <c r="AD83" i="1"/>
  <c r="Z83" i="1"/>
  <c r="O83" i="1"/>
  <c r="L83" i="1"/>
  <c r="AK83" i="1" s="1"/>
  <c r="K83" i="1"/>
  <c r="BW82" i="1"/>
  <c r="BJ82" i="1"/>
  <c r="BF82" i="1"/>
  <c r="BD82" i="1"/>
  <c r="AP82" i="1"/>
  <c r="AO82" i="1"/>
  <c r="AL82" i="1"/>
  <c r="AJ82" i="1"/>
  <c r="AH82" i="1"/>
  <c r="AG82" i="1"/>
  <c r="AF82" i="1"/>
  <c r="AE82" i="1"/>
  <c r="AD82" i="1"/>
  <c r="Z82" i="1"/>
  <c r="O82" i="1"/>
  <c r="L82" i="1"/>
  <c r="K82" i="1"/>
  <c r="BW81" i="1"/>
  <c r="BJ81" i="1"/>
  <c r="BF81" i="1"/>
  <c r="BD81" i="1"/>
  <c r="AP81" i="1"/>
  <c r="AO81" i="1"/>
  <c r="BH81" i="1" s="1"/>
  <c r="AB81" i="1" s="1"/>
  <c r="AL81" i="1"/>
  <c r="AJ81" i="1"/>
  <c r="AH81" i="1"/>
  <c r="AG81" i="1"/>
  <c r="AF81" i="1"/>
  <c r="AE81" i="1"/>
  <c r="AD81" i="1"/>
  <c r="Z81" i="1"/>
  <c r="O81" i="1"/>
  <c r="L81" i="1"/>
  <c r="J81" i="1"/>
  <c r="BW80" i="1"/>
  <c r="BJ80" i="1"/>
  <c r="BF80" i="1"/>
  <c r="BD80" i="1"/>
  <c r="AP80" i="1"/>
  <c r="AO80" i="1"/>
  <c r="BH80" i="1" s="1"/>
  <c r="AL80" i="1"/>
  <c r="AJ80" i="1"/>
  <c r="AH80" i="1"/>
  <c r="AG80" i="1"/>
  <c r="AF80" i="1"/>
  <c r="AE80" i="1"/>
  <c r="AD80" i="1"/>
  <c r="AB80" i="1"/>
  <c r="Z80" i="1"/>
  <c r="O80" i="1"/>
  <c r="L80" i="1"/>
  <c r="J80" i="1"/>
  <c r="BW79" i="1"/>
  <c r="BJ79" i="1"/>
  <c r="BI79" i="1"/>
  <c r="AC79" i="1" s="1"/>
  <c r="BF79" i="1"/>
  <c r="BD79" i="1"/>
  <c r="AW79" i="1"/>
  <c r="AP79" i="1"/>
  <c r="AX79" i="1" s="1"/>
  <c r="AO79" i="1"/>
  <c r="BH79" i="1" s="1"/>
  <c r="AB79" i="1" s="1"/>
  <c r="AL79" i="1"/>
  <c r="AJ79" i="1"/>
  <c r="AH79" i="1"/>
  <c r="AG79" i="1"/>
  <c r="AF79" i="1"/>
  <c r="AE79" i="1"/>
  <c r="AD79" i="1"/>
  <c r="Z79" i="1"/>
  <c r="O79" i="1"/>
  <c r="L79" i="1"/>
  <c r="AK79" i="1" s="1"/>
  <c r="J79" i="1"/>
  <c r="BW78" i="1"/>
  <c r="BJ78" i="1"/>
  <c r="BF78" i="1"/>
  <c r="BD78" i="1"/>
  <c r="AW78" i="1"/>
  <c r="AP78" i="1"/>
  <c r="AO78" i="1"/>
  <c r="BH78" i="1" s="1"/>
  <c r="AL78" i="1"/>
  <c r="AK78" i="1"/>
  <c r="AJ78" i="1"/>
  <c r="AH78" i="1"/>
  <c r="AG78" i="1"/>
  <c r="AF78" i="1"/>
  <c r="AE78" i="1"/>
  <c r="AD78" i="1"/>
  <c r="AB78" i="1"/>
  <c r="Z78" i="1"/>
  <c r="O78" i="1"/>
  <c r="L78" i="1"/>
  <c r="J78" i="1"/>
  <c r="BW77" i="1"/>
  <c r="BJ77" i="1"/>
  <c r="BF77" i="1"/>
  <c r="BD77" i="1"/>
  <c r="AP77" i="1"/>
  <c r="AX77" i="1" s="1"/>
  <c r="AO77" i="1"/>
  <c r="AL77" i="1"/>
  <c r="AJ77" i="1"/>
  <c r="AH77" i="1"/>
  <c r="AG77" i="1"/>
  <c r="AF77" i="1"/>
  <c r="AE77" i="1"/>
  <c r="AD77" i="1"/>
  <c r="Z77" i="1"/>
  <c r="O77" i="1"/>
  <c r="L77" i="1"/>
  <c r="K77" i="1"/>
  <c r="BW76" i="1"/>
  <c r="BJ76" i="1"/>
  <c r="BF76" i="1"/>
  <c r="BD76" i="1"/>
  <c r="AP76" i="1"/>
  <c r="K76" i="1" s="1"/>
  <c r="AO76" i="1"/>
  <c r="BH76" i="1" s="1"/>
  <c r="AL76" i="1"/>
  <c r="AJ76" i="1"/>
  <c r="AH76" i="1"/>
  <c r="AG76" i="1"/>
  <c r="AF76" i="1"/>
  <c r="AE76" i="1"/>
  <c r="AD76" i="1"/>
  <c r="AB76" i="1"/>
  <c r="Z76" i="1"/>
  <c r="O76" i="1"/>
  <c r="L76" i="1"/>
  <c r="AK76" i="1" s="1"/>
  <c r="BW75" i="1"/>
  <c r="BJ75" i="1"/>
  <c r="BF75" i="1"/>
  <c r="BD75" i="1"/>
  <c r="AW75" i="1"/>
  <c r="AP75" i="1"/>
  <c r="AX75" i="1" s="1"/>
  <c r="AO75" i="1"/>
  <c r="BH75" i="1" s="1"/>
  <c r="AB75" i="1" s="1"/>
  <c r="AL75" i="1"/>
  <c r="AJ75" i="1"/>
  <c r="AH75" i="1"/>
  <c r="AG75" i="1"/>
  <c r="AF75" i="1"/>
  <c r="AE75" i="1"/>
  <c r="AD75" i="1"/>
  <c r="Z75" i="1"/>
  <c r="O75" i="1"/>
  <c r="L75" i="1"/>
  <c r="AK75" i="1" s="1"/>
  <c r="J75" i="1"/>
  <c r="BW74" i="1"/>
  <c r="BJ74" i="1"/>
  <c r="BF74" i="1"/>
  <c r="BD74" i="1"/>
  <c r="AW74" i="1"/>
  <c r="AP74" i="1"/>
  <c r="K74" i="1" s="1"/>
  <c r="AO74" i="1"/>
  <c r="BH74" i="1" s="1"/>
  <c r="AL74" i="1"/>
  <c r="AJ74" i="1"/>
  <c r="AH74" i="1"/>
  <c r="AG74" i="1"/>
  <c r="AF74" i="1"/>
  <c r="AE74" i="1"/>
  <c r="AD74" i="1"/>
  <c r="AB74" i="1"/>
  <c r="Z74" i="1"/>
  <c r="O74" i="1"/>
  <c r="L74" i="1"/>
  <c r="J74" i="1"/>
  <c r="BW73" i="1"/>
  <c r="M73" i="1" s="1"/>
  <c r="BJ73" i="1"/>
  <c r="BF73" i="1"/>
  <c r="BD73" i="1"/>
  <c r="AP73" i="1"/>
  <c r="AX73" i="1" s="1"/>
  <c r="AO73" i="1"/>
  <c r="AL73" i="1"/>
  <c r="AJ73" i="1"/>
  <c r="AH73" i="1"/>
  <c r="AG73" i="1"/>
  <c r="AF73" i="1"/>
  <c r="AE73" i="1"/>
  <c r="AD73" i="1"/>
  <c r="Z73" i="1"/>
  <c r="O73" i="1"/>
  <c r="L73" i="1"/>
  <c r="AK73" i="1" s="1"/>
  <c r="K73" i="1"/>
  <c r="BW72" i="1"/>
  <c r="BJ72" i="1"/>
  <c r="BF72" i="1"/>
  <c r="BD72" i="1"/>
  <c r="AP72" i="1"/>
  <c r="AO72" i="1"/>
  <c r="AL72" i="1"/>
  <c r="AJ72" i="1"/>
  <c r="AH72" i="1"/>
  <c r="AG72" i="1"/>
  <c r="AF72" i="1"/>
  <c r="AE72" i="1"/>
  <c r="AD72" i="1"/>
  <c r="Z72" i="1"/>
  <c r="O72" i="1"/>
  <c r="L72" i="1"/>
  <c r="J72" i="1"/>
  <c r="BW71" i="1"/>
  <c r="BJ71" i="1"/>
  <c r="BF71" i="1"/>
  <c r="BD71" i="1"/>
  <c r="AP71" i="1"/>
  <c r="AO71" i="1"/>
  <c r="AL71" i="1"/>
  <c r="AJ71" i="1"/>
  <c r="AH71" i="1"/>
  <c r="AG71" i="1"/>
  <c r="AF71" i="1"/>
  <c r="AE71" i="1"/>
  <c r="AD71" i="1"/>
  <c r="Z71" i="1"/>
  <c r="O71" i="1"/>
  <c r="L71" i="1"/>
  <c r="AK71" i="1" s="1"/>
  <c r="BW70" i="1"/>
  <c r="BJ70" i="1"/>
  <c r="BF70" i="1"/>
  <c r="BD70" i="1"/>
  <c r="AW70" i="1"/>
  <c r="AP70" i="1"/>
  <c r="AO70" i="1"/>
  <c r="BH70" i="1" s="1"/>
  <c r="AB70" i="1" s="1"/>
  <c r="AL70" i="1"/>
  <c r="AK70" i="1"/>
  <c r="AJ70" i="1"/>
  <c r="AH70" i="1"/>
  <c r="AG70" i="1"/>
  <c r="AF70" i="1"/>
  <c r="AE70" i="1"/>
  <c r="AD70" i="1"/>
  <c r="Z70" i="1"/>
  <c r="O70" i="1"/>
  <c r="L70" i="1"/>
  <c r="O69" i="1"/>
  <c r="G14" i="2" s="1"/>
  <c r="L69" i="1"/>
  <c r="F14" i="2" s="1"/>
  <c r="I14" i="2" s="1"/>
  <c r="BW68" i="1"/>
  <c r="BJ68" i="1"/>
  <c r="BF68" i="1"/>
  <c r="BD68" i="1"/>
  <c r="AW68" i="1"/>
  <c r="AP68" i="1"/>
  <c r="AO68" i="1"/>
  <c r="BH68" i="1" s="1"/>
  <c r="AB68" i="1" s="1"/>
  <c r="AL68" i="1"/>
  <c r="AJ68" i="1"/>
  <c r="AH68" i="1"/>
  <c r="AG68" i="1"/>
  <c r="AF68" i="1"/>
  <c r="AE68" i="1"/>
  <c r="AD68" i="1"/>
  <c r="Z68" i="1"/>
  <c r="O68" i="1"/>
  <c r="L68" i="1"/>
  <c r="AK68" i="1" s="1"/>
  <c r="BW67" i="1"/>
  <c r="BJ67" i="1"/>
  <c r="BF67" i="1"/>
  <c r="BD67" i="1"/>
  <c r="AW67" i="1"/>
  <c r="AP67" i="1"/>
  <c r="AO67" i="1"/>
  <c r="BH67" i="1" s="1"/>
  <c r="AL67" i="1"/>
  <c r="AJ67" i="1"/>
  <c r="AH67" i="1"/>
  <c r="AG67" i="1"/>
  <c r="AF67" i="1"/>
  <c r="AE67" i="1"/>
  <c r="AD67" i="1"/>
  <c r="AB67" i="1"/>
  <c r="Z67" i="1"/>
  <c r="O67" i="1"/>
  <c r="L67" i="1"/>
  <c r="J67" i="1"/>
  <c r="BW66" i="1"/>
  <c r="BJ66" i="1"/>
  <c r="BI66" i="1"/>
  <c r="AC66" i="1" s="1"/>
  <c r="BF66" i="1"/>
  <c r="BD66" i="1"/>
  <c r="AW66" i="1"/>
  <c r="AV66" i="1" s="1"/>
  <c r="AP66" i="1"/>
  <c r="AX66" i="1" s="1"/>
  <c r="AO66" i="1"/>
  <c r="BH66" i="1" s="1"/>
  <c r="AB66" i="1" s="1"/>
  <c r="AL66" i="1"/>
  <c r="AJ66" i="1"/>
  <c r="AH66" i="1"/>
  <c r="AG66" i="1"/>
  <c r="AF66" i="1"/>
  <c r="AE66" i="1"/>
  <c r="AD66" i="1"/>
  <c r="Z66" i="1"/>
  <c r="O66" i="1"/>
  <c r="M66" i="1"/>
  <c r="L66" i="1"/>
  <c r="AK66" i="1" s="1"/>
  <c r="K66" i="1"/>
  <c r="J66" i="1"/>
  <c r="BW65" i="1"/>
  <c r="BJ65" i="1"/>
  <c r="BF65" i="1"/>
  <c r="BD65" i="1"/>
  <c r="AP65" i="1"/>
  <c r="AO65" i="1"/>
  <c r="AL65" i="1"/>
  <c r="AJ65" i="1"/>
  <c r="AH65" i="1"/>
  <c r="AG65" i="1"/>
  <c r="AF65" i="1"/>
  <c r="AE65" i="1"/>
  <c r="AD65" i="1"/>
  <c r="Z65" i="1"/>
  <c r="O65" i="1"/>
  <c r="L65" i="1"/>
  <c r="AK65" i="1" s="1"/>
  <c r="J65" i="1"/>
  <c r="BW64" i="1"/>
  <c r="BJ64" i="1"/>
  <c r="BI64" i="1"/>
  <c r="BF64" i="1"/>
  <c r="BD64" i="1"/>
  <c r="AP64" i="1"/>
  <c r="AO64" i="1"/>
  <c r="AL64" i="1"/>
  <c r="AJ64" i="1"/>
  <c r="AH64" i="1"/>
  <c r="AG64" i="1"/>
  <c r="AF64" i="1"/>
  <c r="AE64" i="1"/>
  <c r="AD64" i="1"/>
  <c r="AC64" i="1"/>
  <c r="Z64" i="1"/>
  <c r="O64" i="1"/>
  <c r="L64" i="1"/>
  <c r="AK64" i="1" s="1"/>
  <c r="BW63" i="1"/>
  <c r="BJ63" i="1"/>
  <c r="BF63" i="1"/>
  <c r="BD63" i="1"/>
  <c r="AW63" i="1"/>
  <c r="AP63" i="1"/>
  <c r="K63" i="1" s="1"/>
  <c r="AO63" i="1"/>
  <c r="BH63" i="1" s="1"/>
  <c r="AB63" i="1" s="1"/>
  <c r="AL63" i="1"/>
  <c r="AK63" i="1"/>
  <c r="AJ63" i="1"/>
  <c r="AH63" i="1"/>
  <c r="AG63" i="1"/>
  <c r="AF63" i="1"/>
  <c r="AE63" i="1"/>
  <c r="AD63" i="1"/>
  <c r="Z63" i="1"/>
  <c r="O63" i="1"/>
  <c r="L63" i="1"/>
  <c r="J63" i="1"/>
  <c r="BW62" i="1"/>
  <c r="M62" i="1" s="1"/>
  <c r="BJ62" i="1"/>
  <c r="BF62" i="1"/>
  <c r="BD62" i="1"/>
  <c r="AP62" i="1"/>
  <c r="AX62" i="1" s="1"/>
  <c r="AO62" i="1"/>
  <c r="AL62" i="1"/>
  <c r="AJ62" i="1"/>
  <c r="AH62" i="1"/>
  <c r="AG62" i="1"/>
  <c r="AF62" i="1"/>
  <c r="AE62" i="1"/>
  <c r="AD62" i="1"/>
  <c r="Z62" i="1"/>
  <c r="O62" i="1"/>
  <c r="L62" i="1"/>
  <c r="AK62" i="1" s="1"/>
  <c r="K62" i="1"/>
  <c r="J62" i="1"/>
  <c r="BW61" i="1"/>
  <c r="BJ61" i="1"/>
  <c r="BF61" i="1"/>
  <c r="BD61" i="1"/>
  <c r="AP61" i="1"/>
  <c r="AO61" i="1"/>
  <c r="AL61" i="1"/>
  <c r="AJ61" i="1"/>
  <c r="AH61" i="1"/>
  <c r="AG61" i="1"/>
  <c r="AF61" i="1"/>
  <c r="AE61" i="1"/>
  <c r="AD61" i="1"/>
  <c r="Z61" i="1"/>
  <c r="O61" i="1"/>
  <c r="L61" i="1"/>
  <c r="K61" i="1"/>
  <c r="BW60" i="1"/>
  <c r="BJ60" i="1"/>
  <c r="BI60" i="1"/>
  <c r="AC60" i="1" s="1"/>
  <c r="BF60" i="1"/>
  <c r="BD60" i="1"/>
  <c r="AP60" i="1"/>
  <c r="AX60" i="1" s="1"/>
  <c r="AO60" i="1"/>
  <c r="AL60" i="1"/>
  <c r="AJ60" i="1"/>
  <c r="AH60" i="1"/>
  <c r="AG60" i="1"/>
  <c r="AF60" i="1"/>
  <c r="AE60" i="1"/>
  <c r="AD60" i="1"/>
  <c r="Z60" i="1"/>
  <c r="O60" i="1"/>
  <c r="L60" i="1"/>
  <c r="K60" i="1"/>
  <c r="BW59" i="1"/>
  <c r="BJ59" i="1"/>
  <c r="BF59" i="1"/>
  <c r="BD59" i="1"/>
  <c r="AP59" i="1"/>
  <c r="AO59" i="1"/>
  <c r="AL59" i="1"/>
  <c r="AJ59" i="1"/>
  <c r="AH59" i="1"/>
  <c r="AG59" i="1"/>
  <c r="AF59" i="1"/>
  <c r="AE59" i="1"/>
  <c r="AD59" i="1"/>
  <c r="Z59" i="1"/>
  <c r="O59" i="1"/>
  <c r="L59" i="1"/>
  <c r="J59" i="1"/>
  <c r="BW58" i="1"/>
  <c r="BJ58" i="1"/>
  <c r="BD58" i="1"/>
  <c r="AX58" i="1"/>
  <c r="AP58" i="1"/>
  <c r="BI58" i="1" s="1"/>
  <c r="AC58" i="1" s="1"/>
  <c r="AO58" i="1"/>
  <c r="AL58" i="1"/>
  <c r="AJ58" i="1"/>
  <c r="AH58" i="1"/>
  <c r="AG58" i="1"/>
  <c r="AF58" i="1"/>
  <c r="AE58" i="1"/>
  <c r="AD58" i="1"/>
  <c r="Z58" i="1"/>
  <c r="O58" i="1"/>
  <c r="BF58" i="1" s="1"/>
  <c r="L58" i="1"/>
  <c r="K58" i="1"/>
  <c r="J58" i="1"/>
  <c r="BW57" i="1"/>
  <c r="BJ57" i="1"/>
  <c r="BD57" i="1"/>
  <c r="AP57" i="1"/>
  <c r="BI57" i="1" s="1"/>
  <c r="AC57" i="1" s="1"/>
  <c r="AO57" i="1"/>
  <c r="AL57" i="1"/>
  <c r="AJ57" i="1"/>
  <c r="AH57" i="1"/>
  <c r="AG57" i="1"/>
  <c r="AF57" i="1"/>
  <c r="AE57" i="1"/>
  <c r="AD57" i="1"/>
  <c r="Z57" i="1"/>
  <c r="O57" i="1"/>
  <c r="BF57" i="1" s="1"/>
  <c r="L57" i="1"/>
  <c r="M57" i="1" s="1"/>
  <c r="K57" i="1"/>
  <c r="J57" i="1"/>
  <c r="BW56" i="1"/>
  <c r="BJ56" i="1"/>
  <c r="BD56" i="1"/>
  <c r="AP56" i="1"/>
  <c r="AO56" i="1"/>
  <c r="AW56" i="1" s="1"/>
  <c r="AL56" i="1"/>
  <c r="AJ56" i="1"/>
  <c r="AH56" i="1"/>
  <c r="AG56" i="1"/>
  <c r="AF56" i="1"/>
  <c r="AE56" i="1"/>
  <c r="AD56" i="1"/>
  <c r="Z56" i="1"/>
  <c r="O56" i="1"/>
  <c r="BF56" i="1" s="1"/>
  <c r="L56" i="1"/>
  <c r="M56" i="1" s="1"/>
  <c r="K56" i="1"/>
  <c r="J56" i="1"/>
  <c r="BW55" i="1"/>
  <c r="BJ55" i="1"/>
  <c r="BI55" i="1"/>
  <c r="AC55" i="1" s="1"/>
  <c r="BH55" i="1"/>
  <c r="AB55" i="1" s="1"/>
  <c r="BD55" i="1"/>
  <c r="AX55" i="1"/>
  <c r="AV55" i="1"/>
  <c r="AP55" i="1"/>
  <c r="K55" i="1" s="1"/>
  <c r="AO55" i="1"/>
  <c r="AW55" i="1" s="1"/>
  <c r="AL55" i="1"/>
  <c r="AK55" i="1"/>
  <c r="AJ55" i="1"/>
  <c r="AH55" i="1"/>
  <c r="AG55" i="1"/>
  <c r="AF55" i="1"/>
  <c r="AE55" i="1"/>
  <c r="AD55" i="1"/>
  <c r="Z55" i="1"/>
  <c r="O55" i="1"/>
  <c r="BF55" i="1" s="1"/>
  <c r="L55" i="1"/>
  <c r="J55" i="1"/>
  <c r="BW54" i="1"/>
  <c r="BJ54" i="1"/>
  <c r="BD54" i="1"/>
  <c r="AX54" i="1"/>
  <c r="AP54" i="1"/>
  <c r="BI54" i="1" s="1"/>
  <c r="AC54" i="1" s="1"/>
  <c r="AO54" i="1"/>
  <c r="AL54" i="1"/>
  <c r="AJ54" i="1"/>
  <c r="AH54" i="1"/>
  <c r="AG54" i="1"/>
  <c r="AF54" i="1"/>
  <c r="AE54" i="1"/>
  <c r="AD54" i="1"/>
  <c r="Z54" i="1"/>
  <c r="O54" i="1"/>
  <c r="BF54" i="1" s="1"/>
  <c r="L54" i="1"/>
  <c r="K54" i="1"/>
  <c r="BW53" i="1"/>
  <c r="BJ53" i="1"/>
  <c r="BI53" i="1"/>
  <c r="AC53" i="1" s="1"/>
  <c r="BH53" i="1"/>
  <c r="BD53" i="1"/>
  <c r="AX53" i="1"/>
  <c r="AV53" i="1"/>
  <c r="AP53" i="1"/>
  <c r="AO53" i="1"/>
  <c r="AW53" i="1" s="1"/>
  <c r="AL53" i="1"/>
  <c r="AK53" i="1"/>
  <c r="AJ53" i="1"/>
  <c r="AH53" i="1"/>
  <c r="AG53" i="1"/>
  <c r="AF53" i="1"/>
  <c r="AE53" i="1"/>
  <c r="AD53" i="1"/>
  <c r="AB53" i="1"/>
  <c r="Z53" i="1"/>
  <c r="O53" i="1"/>
  <c r="BF53" i="1" s="1"/>
  <c r="L53" i="1"/>
  <c r="M53" i="1" s="1"/>
  <c r="K53" i="1"/>
  <c r="J53" i="1"/>
  <c r="BW52" i="1"/>
  <c r="BJ52" i="1"/>
  <c r="BH52" i="1"/>
  <c r="AB52" i="1" s="1"/>
  <c r="BD52" i="1"/>
  <c r="AP52" i="1"/>
  <c r="BI52" i="1" s="1"/>
  <c r="AC52" i="1" s="1"/>
  <c r="AO52" i="1"/>
  <c r="AW52" i="1" s="1"/>
  <c r="AL52" i="1"/>
  <c r="AJ52" i="1"/>
  <c r="AH52" i="1"/>
  <c r="AG52" i="1"/>
  <c r="AF52" i="1"/>
  <c r="AE52" i="1"/>
  <c r="AD52" i="1"/>
  <c r="Z52" i="1"/>
  <c r="O52" i="1"/>
  <c r="BF52" i="1" s="1"/>
  <c r="L52" i="1"/>
  <c r="BW51" i="1"/>
  <c r="BJ51" i="1"/>
  <c r="BI51" i="1"/>
  <c r="AC51" i="1" s="1"/>
  <c r="BD51" i="1"/>
  <c r="AX51" i="1"/>
  <c r="AP51" i="1"/>
  <c r="AO51" i="1"/>
  <c r="AL51" i="1"/>
  <c r="AK51" i="1"/>
  <c r="AJ51" i="1"/>
  <c r="AH51" i="1"/>
  <c r="AG51" i="1"/>
  <c r="AF51" i="1"/>
  <c r="AE51" i="1"/>
  <c r="AD51" i="1"/>
  <c r="Z51" i="1"/>
  <c r="O51" i="1"/>
  <c r="BF51" i="1" s="1"/>
  <c r="L51" i="1"/>
  <c r="K51" i="1"/>
  <c r="J51" i="1"/>
  <c r="BW50" i="1"/>
  <c r="BJ50" i="1"/>
  <c r="BH50" i="1"/>
  <c r="AB50" i="1" s="1"/>
  <c r="BD50" i="1"/>
  <c r="AP50" i="1"/>
  <c r="BI50" i="1" s="1"/>
  <c r="AC50" i="1" s="1"/>
  <c r="AO50" i="1"/>
  <c r="AL50" i="1"/>
  <c r="AJ50" i="1"/>
  <c r="AH50" i="1"/>
  <c r="AG50" i="1"/>
  <c r="AF50" i="1"/>
  <c r="AE50" i="1"/>
  <c r="AD50" i="1"/>
  <c r="Z50" i="1"/>
  <c r="O50" i="1"/>
  <c r="BF50" i="1" s="1"/>
  <c r="L50" i="1"/>
  <c r="BW49" i="1"/>
  <c r="BJ49" i="1"/>
  <c r="BI49" i="1"/>
  <c r="AC49" i="1" s="1"/>
  <c r="BD49" i="1"/>
  <c r="AX49" i="1"/>
  <c r="AP49" i="1"/>
  <c r="AO49" i="1"/>
  <c r="AL49" i="1"/>
  <c r="AJ49" i="1"/>
  <c r="AH49" i="1"/>
  <c r="AG49" i="1"/>
  <c r="AF49" i="1"/>
  <c r="AE49" i="1"/>
  <c r="AD49" i="1"/>
  <c r="Z49" i="1"/>
  <c r="O49" i="1"/>
  <c r="BF49" i="1" s="1"/>
  <c r="L49" i="1"/>
  <c r="K49" i="1"/>
  <c r="BW48" i="1"/>
  <c r="BJ48" i="1"/>
  <c r="BI48" i="1"/>
  <c r="AC48" i="1" s="1"/>
  <c r="BH48" i="1"/>
  <c r="AB48" i="1" s="1"/>
  <c r="BD48" i="1"/>
  <c r="AX48" i="1"/>
  <c r="AV48" i="1"/>
  <c r="AP48" i="1"/>
  <c r="K48" i="1" s="1"/>
  <c r="AO48" i="1"/>
  <c r="AW48" i="1" s="1"/>
  <c r="AL48" i="1"/>
  <c r="AK48" i="1"/>
  <c r="AJ48" i="1"/>
  <c r="AH48" i="1"/>
  <c r="AG48" i="1"/>
  <c r="AF48" i="1"/>
  <c r="AE48" i="1"/>
  <c r="AD48" i="1"/>
  <c r="Z48" i="1"/>
  <c r="O48" i="1"/>
  <c r="BF48" i="1" s="1"/>
  <c r="L48" i="1"/>
  <c r="J48" i="1"/>
  <c r="BW47" i="1"/>
  <c r="BJ47" i="1"/>
  <c r="BH47" i="1"/>
  <c r="AB47" i="1" s="1"/>
  <c r="BD47" i="1"/>
  <c r="AP47" i="1"/>
  <c r="AO47" i="1"/>
  <c r="AL47" i="1"/>
  <c r="AJ47" i="1"/>
  <c r="AH47" i="1"/>
  <c r="AG47" i="1"/>
  <c r="AF47" i="1"/>
  <c r="AE47" i="1"/>
  <c r="AD47" i="1"/>
  <c r="Z47" i="1"/>
  <c r="O47" i="1"/>
  <c r="BF47" i="1" s="1"/>
  <c r="L47" i="1"/>
  <c r="K47" i="1"/>
  <c r="BW46" i="1"/>
  <c r="BJ46" i="1"/>
  <c r="BI46" i="1"/>
  <c r="AC46" i="1" s="1"/>
  <c r="BD46" i="1"/>
  <c r="AP46" i="1"/>
  <c r="K46" i="1" s="1"/>
  <c r="AO46" i="1"/>
  <c r="AW46" i="1" s="1"/>
  <c r="AL46" i="1"/>
  <c r="AK46" i="1"/>
  <c r="AJ46" i="1"/>
  <c r="AH46" i="1"/>
  <c r="AG46" i="1"/>
  <c r="AF46" i="1"/>
  <c r="AE46" i="1"/>
  <c r="AD46" i="1"/>
  <c r="Z46" i="1"/>
  <c r="O46" i="1"/>
  <c r="BF46" i="1" s="1"/>
  <c r="L46" i="1"/>
  <c r="M46" i="1" s="1"/>
  <c r="J46" i="1"/>
  <c r="BW45" i="1"/>
  <c r="BJ45" i="1"/>
  <c r="BH45" i="1"/>
  <c r="AB45" i="1" s="1"/>
  <c r="BD45" i="1"/>
  <c r="AP45" i="1"/>
  <c r="AO45" i="1"/>
  <c r="AL45" i="1"/>
  <c r="AJ45" i="1"/>
  <c r="AH45" i="1"/>
  <c r="AG45" i="1"/>
  <c r="AF45" i="1"/>
  <c r="AE45" i="1"/>
  <c r="AD45" i="1"/>
  <c r="Z45" i="1"/>
  <c r="O45" i="1"/>
  <c r="BF45" i="1" s="1"/>
  <c r="L45" i="1"/>
  <c r="BW44" i="1"/>
  <c r="BJ44" i="1"/>
  <c r="BI44" i="1"/>
  <c r="AC44" i="1" s="1"/>
  <c r="BD44" i="1"/>
  <c r="AX44" i="1"/>
  <c r="AP44" i="1"/>
  <c r="AO44" i="1"/>
  <c r="AL44" i="1"/>
  <c r="AK44" i="1"/>
  <c r="AJ44" i="1"/>
  <c r="AH44" i="1"/>
  <c r="AG44" i="1"/>
  <c r="AF44" i="1"/>
  <c r="AE44" i="1"/>
  <c r="AD44" i="1"/>
  <c r="Z44" i="1"/>
  <c r="O44" i="1"/>
  <c r="BF44" i="1" s="1"/>
  <c r="L44" i="1"/>
  <c r="M44" i="1" s="1"/>
  <c r="K44" i="1"/>
  <c r="J44" i="1"/>
  <c r="BW43" i="1"/>
  <c r="BJ43" i="1"/>
  <c r="BH43" i="1"/>
  <c r="AB43" i="1" s="1"/>
  <c r="BD43" i="1"/>
  <c r="AP43" i="1"/>
  <c r="AO43" i="1"/>
  <c r="AW43" i="1" s="1"/>
  <c r="AL43" i="1"/>
  <c r="AJ43" i="1"/>
  <c r="AH43" i="1"/>
  <c r="AG43" i="1"/>
  <c r="AF43" i="1"/>
  <c r="AE43" i="1"/>
  <c r="AD43" i="1"/>
  <c r="Z43" i="1"/>
  <c r="O43" i="1"/>
  <c r="BF43" i="1" s="1"/>
  <c r="L43" i="1"/>
  <c r="BW42" i="1"/>
  <c r="BJ42" i="1"/>
  <c r="BD42" i="1"/>
  <c r="AX42" i="1"/>
  <c r="AV42" i="1" s="1"/>
  <c r="AP42" i="1"/>
  <c r="BI42" i="1" s="1"/>
  <c r="AC42" i="1" s="1"/>
  <c r="AO42" i="1"/>
  <c r="AW42" i="1" s="1"/>
  <c r="AL42" i="1"/>
  <c r="AK42" i="1"/>
  <c r="AJ42" i="1"/>
  <c r="AH42" i="1"/>
  <c r="AG42" i="1"/>
  <c r="AF42" i="1"/>
  <c r="AE42" i="1"/>
  <c r="AD42" i="1"/>
  <c r="Z42" i="1"/>
  <c r="O42" i="1"/>
  <c r="BF42" i="1" s="1"/>
  <c r="L42" i="1"/>
  <c r="M42" i="1" s="1"/>
  <c r="K42" i="1"/>
  <c r="J42" i="1"/>
  <c r="BW41" i="1"/>
  <c r="BJ41" i="1"/>
  <c r="BH41" i="1"/>
  <c r="AB41" i="1" s="1"/>
  <c r="BD41" i="1"/>
  <c r="AP41" i="1"/>
  <c r="AO41" i="1"/>
  <c r="AW41" i="1" s="1"/>
  <c r="AL41" i="1"/>
  <c r="AK41" i="1"/>
  <c r="AJ41" i="1"/>
  <c r="AH41" i="1"/>
  <c r="AG41" i="1"/>
  <c r="AF41" i="1"/>
  <c r="AE41" i="1"/>
  <c r="AD41" i="1"/>
  <c r="Z41" i="1"/>
  <c r="O41" i="1"/>
  <c r="BF41" i="1" s="1"/>
  <c r="L41" i="1"/>
  <c r="M41" i="1" s="1"/>
  <c r="J41" i="1"/>
  <c r="BW40" i="1"/>
  <c r="BJ40" i="1"/>
  <c r="BH40" i="1"/>
  <c r="AB40" i="1" s="1"/>
  <c r="BD40" i="1"/>
  <c r="AP40" i="1"/>
  <c r="AO40" i="1"/>
  <c r="AL40" i="1"/>
  <c r="AJ40" i="1"/>
  <c r="AH40" i="1"/>
  <c r="AG40" i="1"/>
  <c r="AF40" i="1"/>
  <c r="AE40" i="1"/>
  <c r="AD40" i="1"/>
  <c r="Z40" i="1"/>
  <c r="O40" i="1"/>
  <c r="BF40" i="1" s="1"/>
  <c r="L40" i="1"/>
  <c r="K40" i="1"/>
  <c r="BW39" i="1"/>
  <c r="BJ39" i="1"/>
  <c r="BI39" i="1"/>
  <c r="AC39" i="1" s="1"/>
  <c r="BH39" i="1"/>
  <c r="AB39" i="1" s="1"/>
  <c r="BD39" i="1"/>
  <c r="AX39" i="1"/>
  <c r="AV39" i="1"/>
  <c r="AP39" i="1"/>
  <c r="K39" i="1" s="1"/>
  <c r="AO39" i="1"/>
  <c r="AW39" i="1" s="1"/>
  <c r="AL39" i="1"/>
  <c r="AK39" i="1"/>
  <c r="AJ39" i="1"/>
  <c r="AH39" i="1"/>
  <c r="AG39" i="1"/>
  <c r="AF39" i="1"/>
  <c r="AE39" i="1"/>
  <c r="AD39" i="1"/>
  <c r="Z39" i="1"/>
  <c r="O39" i="1"/>
  <c r="BF39" i="1" s="1"/>
  <c r="L39" i="1"/>
  <c r="J39" i="1"/>
  <c r="BW38" i="1"/>
  <c r="BJ38" i="1"/>
  <c r="BH38" i="1"/>
  <c r="BD38" i="1"/>
  <c r="AX38" i="1"/>
  <c r="AP38" i="1"/>
  <c r="BI38" i="1" s="1"/>
  <c r="AC38" i="1" s="1"/>
  <c r="AO38" i="1"/>
  <c r="AL38" i="1"/>
  <c r="AJ38" i="1"/>
  <c r="AH38" i="1"/>
  <c r="AG38" i="1"/>
  <c r="AF38" i="1"/>
  <c r="AE38" i="1"/>
  <c r="AD38" i="1"/>
  <c r="AB38" i="1"/>
  <c r="Z38" i="1"/>
  <c r="O38" i="1"/>
  <c r="BF38" i="1" s="1"/>
  <c r="L38" i="1"/>
  <c r="K38" i="1"/>
  <c r="BW37" i="1"/>
  <c r="BJ37" i="1"/>
  <c r="BI37" i="1"/>
  <c r="AC37" i="1" s="1"/>
  <c r="BH37" i="1"/>
  <c r="BD37" i="1"/>
  <c r="AX37" i="1"/>
  <c r="AV37" i="1"/>
  <c r="AP37" i="1"/>
  <c r="AO37" i="1"/>
  <c r="AW37" i="1" s="1"/>
  <c r="AL37" i="1"/>
  <c r="AK37" i="1"/>
  <c r="AJ37" i="1"/>
  <c r="AH37" i="1"/>
  <c r="AG37" i="1"/>
  <c r="AF37" i="1"/>
  <c r="AE37" i="1"/>
  <c r="AD37" i="1"/>
  <c r="AB37" i="1"/>
  <c r="Z37" i="1"/>
  <c r="O37" i="1"/>
  <c r="BF37" i="1" s="1"/>
  <c r="L37" i="1"/>
  <c r="M37" i="1" s="1"/>
  <c r="K37" i="1"/>
  <c r="J37" i="1"/>
  <c r="BW36" i="1"/>
  <c r="BJ36" i="1"/>
  <c r="BH36" i="1"/>
  <c r="AF36" i="1" s="1"/>
  <c r="BD36" i="1"/>
  <c r="AP36" i="1"/>
  <c r="AO36" i="1"/>
  <c r="AW36" i="1" s="1"/>
  <c r="AL36" i="1"/>
  <c r="AJ36" i="1"/>
  <c r="AH36" i="1"/>
  <c r="AE36" i="1"/>
  <c r="AD36" i="1"/>
  <c r="AC36" i="1"/>
  <c r="AB36" i="1"/>
  <c r="Z36" i="1"/>
  <c r="O36" i="1"/>
  <c r="BF36" i="1" s="1"/>
  <c r="L36" i="1"/>
  <c r="O35" i="1"/>
  <c r="G13" i="2" s="1"/>
  <c r="BW34" i="1"/>
  <c r="M34" i="1" s="1"/>
  <c r="BJ34" i="1"/>
  <c r="BF34" i="1"/>
  <c r="BD34" i="1"/>
  <c r="AX34" i="1"/>
  <c r="AP34" i="1"/>
  <c r="BI34" i="1" s="1"/>
  <c r="AC34" i="1" s="1"/>
  <c r="AO34" i="1"/>
  <c r="BH34" i="1" s="1"/>
  <c r="AB34" i="1" s="1"/>
  <c r="AL34" i="1"/>
  <c r="AJ34" i="1"/>
  <c r="AH34" i="1"/>
  <c r="AG34" i="1"/>
  <c r="AF34" i="1"/>
  <c r="AE34" i="1"/>
  <c r="AD34" i="1"/>
  <c r="Z34" i="1"/>
  <c r="O34" i="1"/>
  <c r="L34" i="1"/>
  <c r="AK34" i="1" s="1"/>
  <c r="BW33" i="1"/>
  <c r="BJ33" i="1"/>
  <c r="BH33" i="1"/>
  <c r="AB33" i="1" s="1"/>
  <c r="BD33" i="1"/>
  <c r="AW33" i="1"/>
  <c r="AP33" i="1"/>
  <c r="AO33" i="1"/>
  <c r="AL33" i="1"/>
  <c r="AJ33" i="1"/>
  <c r="AH33" i="1"/>
  <c r="AG33" i="1"/>
  <c r="AF33" i="1"/>
  <c r="AE33" i="1"/>
  <c r="AD33" i="1"/>
  <c r="Z33" i="1"/>
  <c r="O33" i="1"/>
  <c r="BF33" i="1" s="1"/>
  <c r="L33" i="1"/>
  <c r="AK33" i="1" s="1"/>
  <c r="J33" i="1"/>
  <c r="BW32" i="1"/>
  <c r="BJ32" i="1"/>
  <c r="BF32" i="1"/>
  <c r="BD32" i="1"/>
  <c r="AX32" i="1"/>
  <c r="AP32" i="1"/>
  <c r="BI32" i="1" s="1"/>
  <c r="AC32" i="1" s="1"/>
  <c r="AO32" i="1"/>
  <c r="AL32" i="1"/>
  <c r="AJ32" i="1"/>
  <c r="AH32" i="1"/>
  <c r="AG32" i="1"/>
  <c r="AF32" i="1"/>
  <c r="AE32" i="1"/>
  <c r="AD32" i="1"/>
  <c r="Z32" i="1"/>
  <c r="O32" i="1"/>
  <c r="L32" i="1"/>
  <c r="K32" i="1"/>
  <c r="J32" i="1"/>
  <c r="BW31" i="1"/>
  <c r="BJ31" i="1"/>
  <c r="BF31" i="1"/>
  <c r="BD31" i="1"/>
  <c r="AP31" i="1"/>
  <c r="AO31" i="1"/>
  <c r="BH31" i="1" s="1"/>
  <c r="AB31" i="1" s="1"/>
  <c r="AL31" i="1"/>
  <c r="AJ31" i="1"/>
  <c r="AH31" i="1"/>
  <c r="AG31" i="1"/>
  <c r="AF31" i="1"/>
  <c r="AE31" i="1"/>
  <c r="AD31" i="1"/>
  <c r="Z31" i="1"/>
  <c r="O31" i="1"/>
  <c r="L31" i="1"/>
  <c r="AK31" i="1" s="1"/>
  <c r="K31" i="1"/>
  <c r="BW30" i="1"/>
  <c r="BJ30" i="1"/>
  <c r="BF30" i="1"/>
  <c r="BD30" i="1"/>
  <c r="AP30" i="1"/>
  <c r="BI30" i="1" s="1"/>
  <c r="AO30" i="1"/>
  <c r="BH30" i="1" s="1"/>
  <c r="AB30" i="1" s="1"/>
  <c r="AL30" i="1"/>
  <c r="AJ30" i="1"/>
  <c r="AH30" i="1"/>
  <c r="AG30" i="1"/>
  <c r="AF30" i="1"/>
  <c r="AE30" i="1"/>
  <c r="AD30" i="1"/>
  <c r="AC30" i="1"/>
  <c r="Z30" i="1"/>
  <c r="O30" i="1"/>
  <c r="L30" i="1"/>
  <c r="AK30" i="1" s="1"/>
  <c r="K30" i="1"/>
  <c r="BW29" i="1"/>
  <c r="M29" i="1" s="1"/>
  <c r="BJ29" i="1"/>
  <c r="BD29" i="1"/>
  <c r="AX29" i="1"/>
  <c r="AP29" i="1"/>
  <c r="BI29" i="1" s="1"/>
  <c r="AO29" i="1"/>
  <c r="AW29" i="1" s="1"/>
  <c r="AL29" i="1"/>
  <c r="AU27" i="1" s="1"/>
  <c r="AJ29" i="1"/>
  <c r="AH29" i="1"/>
  <c r="AG29" i="1"/>
  <c r="AF29" i="1"/>
  <c r="AE29" i="1"/>
  <c r="AD29" i="1"/>
  <c r="AC29" i="1"/>
  <c r="Z29" i="1"/>
  <c r="O29" i="1"/>
  <c r="BF29" i="1" s="1"/>
  <c r="L29" i="1"/>
  <c r="AK29" i="1" s="1"/>
  <c r="K29" i="1"/>
  <c r="J29" i="1"/>
  <c r="BW28" i="1"/>
  <c r="BJ28" i="1"/>
  <c r="BH28" i="1"/>
  <c r="AB28" i="1" s="1"/>
  <c r="BF28" i="1"/>
  <c r="BD28" i="1"/>
  <c r="AW28" i="1"/>
  <c r="AP28" i="1"/>
  <c r="BI28" i="1" s="1"/>
  <c r="AC28" i="1" s="1"/>
  <c r="AO28" i="1"/>
  <c r="AL28" i="1"/>
  <c r="AJ28" i="1"/>
  <c r="AH28" i="1"/>
  <c r="AG28" i="1"/>
  <c r="AF28" i="1"/>
  <c r="AE28" i="1"/>
  <c r="AD28" i="1"/>
  <c r="Z28" i="1"/>
  <c r="O28" i="1"/>
  <c r="O27" i="1" s="1"/>
  <c r="G12" i="2" s="1"/>
  <c r="L28" i="1"/>
  <c r="AK28" i="1" s="1"/>
  <c r="J28" i="1"/>
  <c r="AS27" i="1"/>
  <c r="BW26" i="1"/>
  <c r="BJ26" i="1"/>
  <c r="BF26" i="1"/>
  <c r="BD26" i="1"/>
  <c r="AP26" i="1"/>
  <c r="BI26" i="1" s="1"/>
  <c r="AC26" i="1" s="1"/>
  <c r="AO26" i="1"/>
  <c r="BH26" i="1" s="1"/>
  <c r="AB26" i="1" s="1"/>
  <c r="AL26" i="1"/>
  <c r="AJ26" i="1"/>
  <c r="AH26" i="1"/>
  <c r="AG26" i="1"/>
  <c r="AF26" i="1"/>
  <c r="AE26" i="1"/>
  <c r="AD26" i="1"/>
  <c r="Z26" i="1"/>
  <c r="O26" i="1"/>
  <c r="L26" i="1"/>
  <c r="AK26" i="1" s="1"/>
  <c r="BW25" i="1"/>
  <c r="BJ25" i="1"/>
  <c r="BH25" i="1"/>
  <c r="AB25" i="1" s="1"/>
  <c r="BD25" i="1"/>
  <c r="AW25" i="1"/>
  <c r="AP25" i="1"/>
  <c r="BI25" i="1" s="1"/>
  <c r="AC25" i="1" s="1"/>
  <c r="AO25" i="1"/>
  <c r="AL25" i="1"/>
  <c r="AJ25" i="1"/>
  <c r="AH25" i="1"/>
  <c r="AG25" i="1"/>
  <c r="AF25" i="1"/>
  <c r="AE25" i="1"/>
  <c r="AD25" i="1"/>
  <c r="Z25" i="1"/>
  <c r="O25" i="1"/>
  <c r="BF25" i="1" s="1"/>
  <c r="L25" i="1"/>
  <c r="AK25" i="1" s="1"/>
  <c r="J25" i="1"/>
  <c r="BW24" i="1"/>
  <c r="BJ24" i="1"/>
  <c r="BF24" i="1"/>
  <c r="BD24" i="1"/>
  <c r="AX24" i="1"/>
  <c r="AP24" i="1"/>
  <c r="BI24" i="1" s="1"/>
  <c r="AC24" i="1" s="1"/>
  <c r="AO24" i="1"/>
  <c r="BH24" i="1" s="1"/>
  <c r="AB24" i="1" s="1"/>
  <c r="AL24" i="1"/>
  <c r="AJ24" i="1"/>
  <c r="AH24" i="1"/>
  <c r="AG24" i="1"/>
  <c r="AF24" i="1"/>
  <c r="AE24" i="1"/>
  <c r="AD24" i="1"/>
  <c r="Z24" i="1"/>
  <c r="O24" i="1"/>
  <c r="L24" i="1"/>
  <c r="AK24" i="1" s="1"/>
  <c r="K24" i="1"/>
  <c r="J24" i="1"/>
  <c r="BW23" i="1"/>
  <c r="BJ23" i="1"/>
  <c r="BF23" i="1"/>
  <c r="BD23" i="1"/>
  <c r="AP23" i="1"/>
  <c r="BI23" i="1" s="1"/>
  <c r="AO23" i="1"/>
  <c r="BH23" i="1" s="1"/>
  <c r="AB23" i="1" s="1"/>
  <c r="AL23" i="1"/>
  <c r="AJ23" i="1"/>
  <c r="AH23" i="1"/>
  <c r="AG23" i="1"/>
  <c r="AF23" i="1"/>
  <c r="AE23" i="1"/>
  <c r="AD23" i="1"/>
  <c r="AC23" i="1"/>
  <c r="Z23" i="1"/>
  <c r="O23" i="1"/>
  <c r="L23" i="1"/>
  <c r="AK23" i="1" s="1"/>
  <c r="BW22" i="1"/>
  <c r="BJ22" i="1"/>
  <c r="BD22" i="1"/>
  <c r="AP22" i="1"/>
  <c r="BI22" i="1" s="1"/>
  <c r="AG22" i="1" s="1"/>
  <c r="AO22" i="1"/>
  <c r="AW22" i="1" s="1"/>
  <c r="AL22" i="1"/>
  <c r="AJ22" i="1"/>
  <c r="AH22" i="1"/>
  <c r="AE22" i="1"/>
  <c r="AD22" i="1"/>
  <c r="AC22" i="1"/>
  <c r="AB22" i="1"/>
  <c r="Z22" i="1"/>
  <c r="O22" i="1"/>
  <c r="BF22" i="1" s="1"/>
  <c r="L22" i="1"/>
  <c r="AK22" i="1" s="1"/>
  <c r="J22" i="1"/>
  <c r="BW21" i="1"/>
  <c r="BJ21" i="1"/>
  <c r="BD21" i="1"/>
  <c r="AP21" i="1"/>
  <c r="BI21" i="1" s="1"/>
  <c r="AG21" i="1" s="1"/>
  <c r="AO21" i="1"/>
  <c r="AW21" i="1" s="1"/>
  <c r="AL21" i="1"/>
  <c r="AJ21" i="1"/>
  <c r="AH21" i="1"/>
  <c r="AE21" i="1"/>
  <c r="AD21" i="1"/>
  <c r="AC21" i="1"/>
  <c r="AB21" i="1"/>
  <c r="Z21" i="1"/>
  <c r="O21" i="1"/>
  <c r="BF21" i="1" s="1"/>
  <c r="L21" i="1"/>
  <c r="AK21" i="1" s="1"/>
  <c r="K21" i="1"/>
  <c r="J21" i="1"/>
  <c r="BW20" i="1"/>
  <c r="BJ20" i="1"/>
  <c r="BD20" i="1"/>
  <c r="AP20" i="1"/>
  <c r="AX20" i="1" s="1"/>
  <c r="AO20" i="1"/>
  <c r="AW20" i="1" s="1"/>
  <c r="AL20" i="1"/>
  <c r="AJ20" i="1"/>
  <c r="AH20" i="1"/>
  <c r="AE20" i="1"/>
  <c r="AD20" i="1"/>
  <c r="AC20" i="1"/>
  <c r="AB20" i="1"/>
  <c r="Z20" i="1"/>
  <c r="O20" i="1"/>
  <c r="BF20" i="1" s="1"/>
  <c r="L20" i="1"/>
  <c r="AK20" i="1" s="1"/>
  <c r="K20" i="1"/>
  <c r="BW19" i="1"/>
  <c r="BJ19" i="1"/>
  <c r="BI19" i="1"/>
  <c r="AG19" i="1" s="1"/>
  <c r="BD19" i="1"/>
  <c r="AP19" i="1"/>
  <c r="AX19" i="1" s="1"/>
  <c r="AO19" i="1"/>
  <c r="BH19" i="1" s="1"/>
  <c r="AF19" i="1" s="1"/>
  <c r="AL19" i="1"/>
  <c r="AJ19" i="1"/>
  <c r="AH19" i="1"/>
  <c r="AE19" i="1"/>
  <c r="AD19" i="1"/>
  <c r="AC19" i="1"/>
  <c r="AB19" i="1"/>
  <c r="Z19" i="1"/>
  <c r="O19" i="1"/>
  <c r="BF19" i="1" s="1"/>
  <c r="L19" i="1"/>
  <c r="AK19" i="1" s="1"/>
  <c r="BW18" i="1"/>
  <c r="BJ18" i="1"/>
  <c r="BD18" i="1"/>
  <c r="AP18" i="1"/>
  <c r="BI18" i="1" s="1"/>
  <c r="AC18" i="1" s="1"/>
  <c r="AO18" i="1"/>
  <c r="BH18" i="1" s="1"/>
  <c r="AB18" i="1" s="1"/>
  <c r="AL18" i="1"/>
  <c r="AJ18" i="1"/>
  <c r="AH18" i="1"/>
  <c r="AG18" i="1"/>
  <c r="AF18" i="1"/>
  <c r="AE18" i="1"/>
  <c r="AD18" i="1"/>
  <c r="Z18" i="1"/>
  <c r="O18" i="1"/>
  <c r="BF18" i="1" s="1"/>
  <c r="L18" i="1"/>
  <c r="AK18" i="1" s="1"/>
  <c r="J18" i="1"/>
  <c r="BW17" i="1"/>
  <c r="BJ17" i="1"/>
  <c r="BD17" i="1"/>
  <c r="AP17" i="1"/>
  <c r="BI17" i="1" s="1"/>
  <c r="AC17" i="1" s="1"/>
  <c r="AO17" i="1"/>
  <c r="AW17" i="1" s="1"/>
  <c r="AL17" i="1"/>
  <c r="AJ17" i="1"/>
  <c r="AH17" i="1"/>
  <c r="AG17" i="1"/>
  <c r="AF17" i="1"/>
  <c r="AE17" i="1"/>
  <c r="AD17" i="1"/>
  <c r="Z17" i="1"/>
  <c r="O17" i="1"/>
  <c r="O12" i="1" s="1"/>
  <c r="G11" i="2" s="1"/>
  <c r="L17" i="1"/>
  <c r="AK17" i="1" s="1"/>
  <c r="K17" i="1"/>
  <c r="J17" i="1"/>
  <c r="BW16" i="1"/>
  <c r="BJ16" i="1"/>
  <c r="BD16" i="1"/>
  <c r="AP16" i="1"/>
  <c r="BI16" i="1" s="1"/>
  <c r="AC16" i="1" s="1"/>
  <c r="AO16" i="1"/>
  <c r="AW16" i="1" s="1"/>
  <c r="AL16" i="1"/>
  <c r="AJ16" i="1"/>
  <c r="AH16" i="1"/>
  <c r="AG16" i="1"/>
  <c r="AF16" i="1"/>
  <c r="AE16" i="1"/>
  <c r="AD16" i="1"/>
  <c r="Z16" i="1"/>
  <c r="O16" i="1"/>
  <c r="BF16" i="1" s="1"/>
  <c r="L16" i="1"/>
  <c r="AK16" i="1" s="1"/>
  <c r="K16" i="1"/>
  <c r="BW15" i="1"/>
  <c r="BJ15" i="1"/>
  <c r="BI15" i="1"/>
  <c r="AC15" i="1" s="1"/>
  <c r="BD15" i="1"/>
  <c r="AP15" i="1"/>
  <c r="AX15" i="1" s="1"/>
  <c r="AO15" i="1"/>
  <c r="BH15" i="1" s="1"/>
  <c r="AB15" i="1" s="1"/>
  <c r="AL15" i="1"/>
  <c r="AJ15" i="1"/>
  <c r="AH15" i="1"/>
  <c r="AG15" i="1"/>
  <c r="AF15" i="1"/>
  <c r="AE15" i="1"/>
  <c r="AD15" i="1"/>
  <c r="Z15" i="1"/>
  <c r="O15" i="1"/>
  <c r="BF15" i="1" s="1"/>
  <c r="L15" i="1"/>
  <c r="AK15" i="1" s="1"/>
  <c r="BW14" i="1"/>
  <c r="BJ14" i="1"/>
  <c r="BD14" i="1"/>
  <c r="AP14" i="1"/>
  <c r="BI14" i="1" s="1"/>
  <c r="AC14" i="1" s="1"/>
  <c r="AO14" i="1"/>
  <c r="BH14" i="1" s="1"/>
  <c r="AB14" i="1" s="1"/>
  <c r="AL14" i="1"/>
  <c r="AJ14" i="1"/>
  <c r="AH14" i="1"/>
  <c r="AG14" i="1"/>
  <c r="AF14" i="1"/>
  <c r="AE14" i="1"/>
  <c r="AD14" i="1"/>
  <c r="Z14" i="1"/>
  <c r="O14" i="1"/>
  <c r="BF14" i="1" s="1"/>
  <c r="L14" i="1"/>
  <c r="AK14" i="1" s="1"/>
  <c r="J14" i="1"/>
  <c r="BW13" i="1"/>
  <c r="BJ13" i="1"/>
  <c r="BF13" i="1"/>
  <c r="BD13" i="1"/>
  <c r="AP13" i="1"/>
  <c r="BI13" i="1" s="1"/>
  <c r="AC13" i="1" s="1"/>
  <c r="AO13" i="1"/>
  <c r="BH13" i="1" s="1"/>
  <c r="AB13" i="1" s="1"/>
  <c r="AL13" i="1"/>
  <c r="AU12" i="1" s="1"/>
  <c r="AJ13" i="1"/>
  <c r="AH13" i="1"/>
  <c r="AG13" i="1"/>
  <c r="AF13" i="1"/>
  <c r="AE13" i="1"/>
  <c r="C17" i="3" s="1"/>
  <c r="AD13" i="1"/>
  <c r="Z13" i="1"/>
  <c r="O13" i="1"/>
  <c r="L13" i="1"/>
  <c r="AK13" i="1" s="1"/>
  <c r="AT12" i="1" s="1"/>
  <c r="K13" i="1"/>
  <c r="AU1" i="1"/>
  <c r="AT1" i="1"/>
  <c r="AS1" i="1"/>
  <c r="M52" i="1" l="1"/>
  <c r="M39" i="1"/>
  <c r="M36" i="1"/>
  <c r="M55" i="1"/>
  <c r="M58" i="1"/>
  <c r="M43" i="1"/>
  <c r="M48" i="1"/>
  <c r="M51" i="1"/>
  <c r="AV17" i="1"/>
  <c r="BH16" i="1"/>
  <c r="AB16" i="1" s="1"/>
  <c r="C14" i="3" s="1"/>
  <c r="BH20" i="1"/>
  <c r="AF20" i="1" s="1"/>
  <c r="C18" i="3" s="1"/>
  <c r="BH22" i="1"/>
  <c r="AF22" i="1" s="1"/>
  <c r="AW38" i="1"/>
  <c r="J38" i="1"/>
  <c r="AX40" i="1"/>
  <c r="BC40" i="1" s="1"/>
  <c r="BI40" i="1"/>
  <c r="AC40" i="1" s="1"/>
  <c r="M50" i="1"/>
  <c r="AK50" i="1"/>
  <c r="BH60" i="1"/>
  <c r="AB60" i="1" s="1"/>
  <c r="J60" i="1"/>
  <c r="AW60" i="1"/>
  <c r="AV60" i="1" s="1"/>
  <c r="BH61" i="1"/>
  <c r="AB61" i="1" s="1"/>
  <c r="AW61" i="1"/>
  <c r="AX81" i="1"/>
  <c r="K81" i="1"/>
  <c r="BH83" i="1"/>
  <c r="AB83" i="1" s="1"/>
  <c r="J83" i="1"/>
  <c r="AW83" i="1"/>
  <c r="AX91" i="1"/>
  <c r="K91" i="1"/>
  <c r="L12" i="1"/>
  <c r="F11" i="2" s="1"/>
  <c r="I11" i="2" s="1"/>
  <c r="BH17" i="1"/>
  <c r="AB17" i="1" s="1"/>
  <c r="BI20" i="1"/>
  <c r="AG20" i="1" s="1"/>
  <c r="BH21" i="1"/>
  <c r="AF21" i="1" s="1"/>
  <c r="AX26" i="1"/>
  <c r="M26" i="1"/>
  <c r="M28" i="1"/>
  <c r="BI31" i="1"/>
  <c r="AC31" i="1" s="1"/>
  <c r="AX31" i="1"/>
  <c r="BI33" i="1"/>
  <c r="AC33" i="1" s="1"/>
  <c r="K33" i="1"/>
  <c r="K43" i="1"/>
  <c r="AX43" i="1"/>
  <c r="AV43" i="1" s="1"/>
  <c r="AW44" i="1"/>
  <c r="AV44" i="1" s="1"/>
  <c r="BH44" i="1"/>
  <c r="AB44" i="1" s="1"/>
  <c r="AW49" i="1"/>
  <c r="AV49" i="1" s="1"/>
  <c r="J49" i="1"/>
  <c r="BH49" i="1"/>
  <c r="AB49" i="1" s="1"/>
  <c r="AX64" i="1"/>
  <c r="K64" i="1"/>
  <c r="BH73" i="1"/>
  <c r="AB73" i="1" s="1"/>
  <c r="J73" i="1"/>
  <c r="AW73" i="1"/>
  <c r="AV73" i="1" s="1"/>
  <c r="BH77" i="1"/>
  <c r="AB77" i="1" s="1"/>
  <c r="AW77" i="1"/>
  <c r="AV77" i="1" s="1"/>
  <c r="J77" i="1"/>
  <c r="AK81" i="1"/>
  <c r="M81" i="1"/>
  <c r="AX85" i="1"/>
  <c r="BC85" i="1" s="1"/>
  <c r="K85" i="1"/>
  <c r="BH86" i="1"/>
  <c r="AB86" i="1" s="1"/>
  <c r="J86" i="1"/>
  <c r="AW86" i="1"/>
  <c r="BC86" i="1" s="1"/>
  <c r="AK91" i="1"/>
  <c r="M91" i="1"/>
  <c r="M14" i="1"/>
  <c r="AX16" i="1"/>
  <c r="AV16" i="1" s="1"/>
  <c r="M18" i="1"/>
  <c r="AW18" i="1"/>
  <c r="M22" i="1"/>
  <c r="AX25" i="1"/>
  <c r="AV25" i="1" s="1"/>
  <c r="M25" i="1"/>
  <c r="AX28" i="1"/>
  <c r="AV28" i="1" s="1"/>
  <c r="BH29" i="1"/>
  <c r="AB29" i="1" s="1"/>
  <c r="BH32" i="1"/>
  <c r="AB32" i="1" s="1"/>
  <c r="AW32" i="1"/>
  <c r="K36" i="1"/>
  <c r="AX36" i="1"/>
  <c r="AV36" i="1" s="1"/>
  <c r="BI36" i="1"/>
  <c r="AG36" i="1" s="1"/>
  <c r="C19" i="3" s="1"/>
  <c r="AX41" i="1"/>
  <c r="AV41" i="1" s="1"/>
  <c r="K41" i="1"/>
  <c r="BI41" i="1"/>
  <c r="AC41" i="1" s="1"/>
  <c r="AK43" i="1"/>
  <c r="AW45" i="1"/>
  <c r="J45" i="1"/>
  <c r="AX46" i="1"/>
  <c r="AV46" i="1" s="1"/>
  <c r="AW47" i="1"/>
  <c r="J47" i="1"/>
  <c r="M49" i="1"/>
  <c r="AK49" i="1"/>
  <c r="AW50" i="1"/>
  <c r="BC50" i="1" s="1"/>
  <c r="J50" i="1"/>
  <c r="AW51" i="1"/>
  <c r="BH51" i="1"/>
  <c r="AB51" i="1" s="1"/>
  <c r="AK52" i="1"/>
  <c r="AK60" i="1"/>
  <c r="M60" i="1"/>
  <c r="AX68" i="1"/>
  <c r="BC68" i="1" s="1"/>
  <c r="K68" i="1"/>
  <c r="BI68" i="1"/>
  <c r="AC68" i="1" s="1"/>
  <c r="M71" i="1"/>
  <c r="AX71" i="1"/>
  <c r="K71" i="1"/>
  <c r="BI71" i="1"/>
  <c r="AC71" i="1" s="1"/>
  <c r="AK77" i="1"/>
  <c r="M77" i="1"/>
  <c r="BH82" i="1"/>
  <c r="AB82" i="1" s="1"/>
  <c r="J82" i="1"/>
  <c r="AW82" i="1"/>
  <c r="AK32" i="1"/>
  <c r="AT27" i="1" s="1"/>
  <c r="M32" i="1"/>
  <c r="M45" i="1"/>
  <c r="AK45" i="1"/>
  <c r="M47" i="1"/>
  <c r="AK47" i="1"/>
  <c r="M54" i="1"/>
  <c r="AK54" i="1"/>
  <c r="BH64" i="1"/>
  <c r="AB64" i="1" s="1"/>
  <c r="AW64" i="1"/>
  <c r="AV64" i="1" s="1"/>
  <c r="J64" i="1"/>
  <c r="AV79" i="1"/>
  <c r="BC79" i="1"/>
  <c r="C29" i="3"/>
  <c r="F29" i="3" s="1"/>
  <c r="M38" i="1"/>
  <c r="AK38" i="1"/>
  <c r="M40" i="1"/>
  <c r="AK40" i="1"/>
  <c r="BI43" i="1"/>
  <c r="AC43" i="1" s="1"/>
  <c r="K52" i="1"/>
  <c r="AX52" i="1"/>
  <c r="AV52" i="1" s="1"/>
  <c r="M64" i="1"/>
  <c r="BC66" i="1"/>
  <c r="BH71" i="1"/>
  <c r="AB71" i="1" s="1"/>
  <c r="AW71" i="1"/>
  <c r="J71" i="1"/>
  <c r="AW14" i="1"/>
  <c r="C20" i="3"/>
  <c r="M15" i="1"/>
  <c r="M16" i="1"/>
  <c r="AX17" i="1"/>
  <c r="M17" i="1"/>
  <c r="M19" i="1"/>
  <c r="M20" i="1"/>
  <c r="AX21" i="1"/>
  <c r="AV21" i="1" s="1"/>
  <c r="M21" i="1"/>
  <c r="M23" i="1"/>
  <c r="M24" i="1"/>
  <c r="AW24" i="1"/>
  <c r="K25" i="1"/>
  <c r="K26" i="1"/>
  <c r="L27" i="1"/>
  <c r="F12" i="2" s="1"/>
  <c r="I12" i="2" s="1"/>
  <c r="K28" i="1"/>
  <c r="AX30" i="1"/>
  <c r="M30" i="1"/>
  <c r="AX33" i="1"/>
  <c r="AV33" i="1" s="1"/>
  <c r="M33" i="1"/>
  <c r="AK36" i="1"/>
  <c r="AW40" i="1"/>
  <c r="J40" i="1"/>
  <c r="AX45" i="1"/>
  <c r="K45" i="1"/>
  <c r="BI45" i="1"/>
  <c r="AC45" i="1" s="1"/>
  <c r="AX47" i="1"/>
  <c r="BI47" i="1"/>
  <c r="AC47" i="1" s="1"/>
  <c r="K50" i="1"/>
  <c r="AX50" i="1"/>
  <c r="AW54" i="1"/>
  <c r="AV54" i="1" s="1"/>
  <c r="J54" i="1"/>
  <c r="BH54" i="1"/>
  <c r="AB54" i="1" s="1"/>
  <c r="BH59" i="1"/>
  <c r="AB59" i="1" s="1"/>
  <c r="AW59" i="1"/>
  <c r="J61" i="1"/>
  <c r="BH62" i="1"/>
  <c r="AB62" i="1" s="1"/>
  <c r="AW62" i="1"/>
  <c r="BH65" i="1"/>
  <c r="AB65" i="1" s="1"/>
  <c r="AW65" i="1"/>
  <c r="M68" i="1"/>
  <c r="AV68" i="1"/>
  <c r="BH72" i="1"/>
  <c r="AB72" i="1" s="1"/>
  <c r="AW72" i="1"/>
  <c r="BI81" i="1"/>
  <c r="AC81" i="1" s="1"/>
  <c r="BI91" i="1"/>
  <c r="AC91" i="1" s="1"/>
  <c r="M31" i="1"/>
  <c r="K34" i="1"/>
  <c r="J36" i="1"/>
  <c r="BC39" i="1"/>
  <c r="BH42" i="1"/>
  <c r="AB42" i="1" s="1"/>
  <c r="J43" i="1"/>
  <c r="J52" i="1"/>
  <c r="BC55" i="1"/>
  <c r="BH56" i="1"/>
  <c r="AB56" i="1" s="1"/>
  <c r="BI62" i="1"/>
  <c r="AC62" i="1" s="1"/>
  <c r="J68" i="1"/>
  <c r="J70" i="1"/>
  <c r="BI73" i="1"/>
  <c r="AC73" i="1" s="1"/>
  <c r="K75" i="1"/>
  <c r="J76" i="1"/>
  <c r="AW76" i="1"/>
  <c r="BI77" i="1"/>
  <c r="AC77" i="1" s="1"/>
  <c r="K79" i="1"/>
  <c r="AW80" i="1"/>
  <c r="AW81" i="1"/>
  <c r="AV81" i="1" s="1"/>
  <c r="BI83" i="1"/>
  <c r="AC83" i="1" s="1"/>
  <c r="J85" i="1"/>
  <c r="AW85" i="1"/>
  <c r="J89" i="1"/>
  <c r="AW90" i="1"/>
  <c r="AW91" i="1"/>
  <c r="AW94" i="1"/>
  <c r="AV38" i="1"/>
  <c r="BC43" i="1"/>
  <c r="BH46" i="1"/>
  <c r="AB46" i="1" s="1"/>
  <c r="BI75" i="1"/>
  <c r="AC75" i="1" s="1"/>
  <c r="M75" i="1"/>
  <c r="M79" i="1"/>
  <c r="AV87" i="1"/>
  <c r="BI87" i="1"/>
  <c r="AC87" i="1" s="1"/>
  <c r="BI89" i="1"/>
  <c r="AC89" i="1" s="1"/>
  <c r="M93" i="1"/>
  <c r="BI93" i="1"/>
  <c r="AC93" i="1" s="1"/>
  <c r="M13" i="1"/>
  <c r="M12" i="1" s="1"/>
  <c r="AW13" i="1"/>
  <c r="AV13" i="1" s="1"/>
  <c r="AS12" i="1"/>
  <c r="J13" i="1"/>
  <c r="AX13" i="1"/>
  <c r="AV20" i="1"/>
  <c r="BC20" i="1"/>
  <c r="BF17" i="1"/>
  <c r="BC61" i="1"/>
  <c r="AX65" i="1"/>
  <c r="AV65" i="1" s="1"/>
  <c r="BI65" i="1"/>
  <c r="AC65" i="1" s="1"/>
  <c r="K65" i="1"/>
  <c r="AX78" i="1"/>
  <c r="AV78" i="1" s="1"/>
  <c r="BI78" i="1"/>
  <c r="AC78" i="1" s="1"/>
  <c r="K78" i="1"/>
  <c r="AV91" i="1"/>
  <c r="BC91" i="1"/>
  <c r="AX94" i="1"/>
  <c r="BI94" i="1"/>
  <c r="AC94" i="1" s="1"/>
  <c r="K94" i="1"/>
  <c r="AV24" i="1"/>
  <c r="BC24" i="1"/>
  <c r="AV32" i="1"/>
  <c r="BC32" i="1"/>
  <c r="BC54" i="1"/>
  <c r="M59" i="1"/>
  <c r="AK59" i="1"/>
  <c r="AX59" i="1"/>
  <c r="BI59" i="1"/>
  <c r="AC59" i="1" s="1"/>
  <c r="K59" i="1"/>
  <c r="M72" i="1"/>
  <c r="AK72" i="1"/>
  <c r="AX72" i="1"/>
  <c r="AV72" i="1" s="1"/>
  <c r="BI72" i="1"/>
  <c r="AC72" i="1" s="1"/>
  <c r="K72" i="1"/>
  <c r="BC81" i="1"/>
  <c r="M82" i="1"/>
  <c r="AK82" i="1"/>
  <c r="BC84" i="1"/>
  <c r="M88" i="1"/>
  <c r="AK88" i="1"/>
  <c r="AX88" i="1"/>
  <c r="AV88" i="1" s="1"/>
  <c r="BI88" i="1"/>
  <c r="AC88" i="1" s="1"/>
  <c r="K88" i="1"/>
  <c r="C21" i="3"/>
  <c r="C27" i="3"/>
  <c r="K14" i="1"/>
  <c r="AX14" i="1"/>
  <c r="AV14" i="1" s="1"/>
  <c r="J15" i="1"/>
  <c r="AW15" i="1"/>
  <c r="BC17" i="1"/>
  <c r="K18" i="1"/>
  <c r="AX18" i="1"/>
  <c r="J19" i="1"/>
  <c r="AW19" i="1"/>
  <c r="BC21" i="1"/>
  <c r="K22" i="1"/>
  <c r="AX22" i="1"/>
  <c r="J23" i="1"/>
  <c r="AW23" i="1"/>
  <c r="J31" i="1"/>
  <c r="AW31" i="1"/>
  <c r="BC37" i="1"/>
  <c r="BC41" i="1"/>
  <c r="BC45" i="1"/>
  <c r="BC53" i="1"/>
  <c r="BI56" i="1"/>
  <c r="AC56" i="1" s="1"/>
  <c r="AX56" i="1"/>
  <c r="AS69" i="1"/>
  <c r="AX70" i="1"/>
  <c r="AV70" i="1" s="1"/>
  <c r="BI70" i="1"/>
  <c r="AC70" i="1" s="1"/>
  <c r="K70" i="1"/>
  <c r="AU69" i="1"/>
  <c r="AV83" i="1"/>
  <c r="BC83" i="1"/>
  <c r="AX86" i="1"/>
  <c r="BI86" i="1"/>
  <c r="AC86" i="1" s="1"/>
  <c r="K86" i="1"/>
  <c r="AV29" i="1"/>
  <c r="BC29" i="1"/>
  <c r="AV62" i="1"/>
  <c r="BC62" i="1"/>
  <c r="AV75" i="1"/>
  <c r="BC75" i="1"/>
  <c r="C16" i="3"/>
  <c r="AV22" i="1"/>
  <c r="BC28" i="1"/>
  <c r="BC38" i="1"/>
  <c r="BC42" i="1"/>
  <c r="AV56" i="1"/>
  <c r="BC56" i="1"/>
  <c r="K15" i="1"/>
  <c r="J16" i="1"/>
  <c r="K19" i="1"/>
  <c r="J20" i="1"/>
  <c r="BC22" i="1"/>
  <c r="K23" i="1"/>
  <c r="AX23" i="1"/>
  <c r="J26" i="1"/>
  <c r="AW26" i="1"/>
  <c r="J30" i="1"/>
  <c r="AW30" i="1"/>
  <c r="J34" i="1"/>
  <c r="AW34" i="1"/>
  <c r="BC44" i="1"/>
  <c r="BC48" i="1"/>
  <c r="AW57" i="1"/>
  <c r="BH57" i="1"/>
  <c r="AB57" i="1" s="1"/>
  <c r="AS35" i="1"/>
  <c r="AU35" i="1"/>
  <c r="BC60" i="1"/>
  <c r="M61" i="1"/>
  <c r="AK61" i="1"/>
  <c r="M67" i="1"/>
  <c r="AK67" i="1"/>
  <c r="AX67" i="1"/>
  <c r="AV67" i="1" s="1"/>
  <c r="BI67" i="1"/>
  <c r="AC67" i="1" s="1"/>
  <c r="K67" i="1"/>
  <c r="BC73" i="1"/>
  <c r="M74" i="1"/>
  <c r="AK74" i="1"/>
  <c r="M80" i="1"/>
  <c r="AK80" i="1"/>
  <c r="AX80" i="1"/>
  <c r="BI80" i="1"/>
  <c r="AC80" i="1" s="1"/>
  <c r="K80" i="1"/>
  <c r="BC89" i="1"/>
  <c r="M90" i="1"/>
  <c r="AK90" i="1"/>
  <c r="BH58" i="1"/>
  <c r="AB58" i="1" s="1"/>
  <c r="AW58" i="1"/>
  <c r="AX61" i="1"/>
  <c r="BI61" i="1"/>
  <c r="AC61" i="1" s="1"/>
  <c r="M63" i="1"/>
  <c r="BC65" i="1"/>
  <c r="AX74" i="1"/>
  <c r="AV74" i="1" s="1"/>
  <c r="BI74" i="1"/>
  <c r="AC74" i="1" s="1"/>
  <c r="M76" i="1"/>
  <c r="AX82" i="1"/>
  <c r="AV82" i="1" s="1"/>
  <c r="BI82" i="1"/>
  <c r="AC82" i="1" s="1"/>
  <c r="M84" i="1"/>
  <c r="AX90" i="1"/>
  <c r="AV90" i="1" s="1"/>
  <c r="BI90" i="1"/>
  <c r="AC90" i="1" s="1"/>
  <c r="M92" i="1"/>
  <c r="BC94" i="1"/>
  <c r="I28" i="4"/>
  <c r="F30" i="4" s="1"/>
  <c r="L35" i="1"/>
  <c r="F13" i="2" s="1"/>
  <c r="I13" i="2" s="1"/>
  <c r="AX57" i="1"/>
  <c r="AX63" i="1"/>
  <c r="AV63" i="1" s="1"/>
  <c r="BI63" i="1"/>
  <c r="AC63" i="1" s="1"/>
  <c r="M65" i="1"/>
  <c r="M70" i="1"/>
  <c r="BC72" i="1"/>
  <c r="AX76" i="1"/>
  <c r="BI76" i="1"/>
  <c r="AC76" i="1" s="1"/>
  <c r="M78" i="1"/>
  <c r="AX84" i="1"/>
  <c r="AV84" i="1" s="1"/>
  <c r="BI84" i="1"/>
  <c r="AC84" i="1" s="1"/>
  <c r="M86" i="1"/>
  <c r="AX92" i="1"/>
  <c r="AV92" i="1" s="1"/>
  <c r="BI92" i="1"/>
  <c r="AC92" i="1" s="1"/>
  <c r="BC93" i="1"/>
  <c r="M94" i="1"/>
  <c r="AK56" i="1"/>
  <c r="AK57" i="1"/>
  <c r="AK58" i="1"/>
  <c r="C15" i="3" l="1"/>
  <c r="C22" i="3" s="1"/>
  <c r="BC47" i="1"/>
  <c r="AV47" i="1"/>
  <c r="BC14" i="1"/>
  <c r="AV59" i="1"/>
  <c r="BC16" i="1"/>
  <c r="J69" i="1"/>
  <c r="D14" i="2" s="1"/>
  <c r="AV50" i="1"/>
  <c r="AV40" i="1"/>
  <c r="AV71" i="1"/>
  <c r="BC71" i="1"/>
  <c r="J27" i="1"/>
  <c r="D12" i="2" s="1"/>
  <c r="BC51" i="1"/>
  <c r="AV51" i="1"/>
  <c r="BC77" i="1"/>
  <c r="K35" i="1"/>
  <c r="E13" i="2" s="1"/>
  <c r="BC82" i="1"/>
  <c r="BC63" i="1"/>
  <c r="BC52" i="1"/>
  <c r="BC36" i="1"/>
  <c r="BC33" i="1"/>
  <c r="BC25" i="1"/>
  <c r="AV86" i="1"/>
  <c r="BC49" i="1"/>
  <c r="AV85" i="1"/>
  <c r="J35" i="1"/>
  <c r="D13" i="2" s="1"/>
  <c r="M27" i="1"/>
  <c r="C28" i="3"/>
  <c r="F28" i="3" s="1"/>
  <c r="AV76" i="1"/>
  <c r="BC64" i="1"/>
  <c r="AV61" i="1"/>
  <c r="AV80" i="1"/>
  <c r="BC46" i="1"/>
  <c r="AV18" i="1"/>
  <c r="J12" i="1"/>
  <c r="D11" i="2" s="1"/>
  <c r="AV94" i="1"/>
  <c r="K27" i="1"/>
  <c r="E12" i="2" s="1"/>
  <c r="AV45" i="1"/>
  <c r="BC13" i="1"/>
  <c r="M69" i="1"/>
  <c r="BC18" i="1"/>
  <c r="BC88" i="1"/>
  <c r="BC67" i="1"/>
  <c r="BC92" i="1"/>
  <c r="AV26" i="1"/>
  <c r="BC26" i="1"/>
  <c r="L95" i="1"/>
  <c r="AT35" i="1"/>
  <c r="BC74" i="1"/>
  <c r="AV19" i="1"/>
  <c r="BC19" i="1"/>
  <c r="K12" i="1"/>
  <c r="E11" i="2" s="1"/>
  <c r="M35" i="1"/>
  <c r="BC90" i="1"/>
  <c r="AV58" i="1"/>
  <c r="BC58" i="1"/>
  <c r="I28" i="3"/>
  <c r="I29" i="3" s="1"/>
  <c r="AV34" i="1"/>
  <c r="BC34" i="1"/>
  <c r="AV23" i="1"/>
  <c r="BC23" i="1"/>
  <c r="BC80" i="1"/>
  <c r="BC59" i="1"/>
  <c r="BC78" i="1"/>
  <c r="BC70" i="1"/>
  <c r="BC76" i="1"/>
  <c r="AV57" i="1"/>
  <c r="BC57" i="1"/>
  <c r="AV30" i="1"/>
  <c r="BC30" i="1"/>
  <c r="F15" i="2"/>
  <c r="K69" i="1"/>
  <c r="E14" i="2" s="1"/>
  <c r="AV31" i="1"/>
  <c r="BC31" i="1"/>
  <c r="AV15" i="1"/>
  <c r="BC15" i="1"/>
  <c r="AT69" i="1"/>
  <c r="M95" i="1" l="1"/>
</calcChain>
</file>

<file path=xl/sharedStrings.xml><?xml version="1.0" encoding="utf-8"?>
<sst xmlns="http://schemas.openxmlformats.org/spreadsheetml/2006/main" count="1351" uniqueCount="381">
  <si>
    <t>Stavební rozpočet</t>
  </si>
  <si>
    <t>Název stavby:</t>
  </si>
  <si>
    <t>Areál společnosti FORESTINA s.r.o. – Horažďovice, Blatenská 587</t>
  </si>
  <si>
    <t>Doba výstavby:</t>
  </si>
  <si>
    <t xml:space="preserve"> </t>
  </si>
  <si>
    <t>Objednatel:</t>
  </si>
  <si>
    <t> </t>
  </si>
  <si>
    <t>Druh stavby:</t>
  </si>
  <si>
    <t>Zdravotně technické instalace</t>
  </si>
  <si>
    <t>Začátek výstavby:</t>
  </si>
  <si>
    <t>Projektant:</t>
  </si>
  <si>
    <t>Ing. Michal Albrecht</t>
  </si>
  <si>
    <t>Lokalita:</t>
  </si>
  <si>
    <t>!!!! Pracovní verze !!!!</t>
  </si>
  <si>
    <t>Konec výstavby:</t>
  </si>
  <si>
    <t>Zhotovitel:</t>
  </si>
  <si>
    <t>JKSO:</t>
  </si>
  <si>
    <t>Zpracováno dne:</t>
  </si>
  <si>
    <t>11.06.2025</t>
  </si>
  <si>
    <t>Zpracoval:</t>
  </si>
  <si>
    <t>Č</t>
  </si>
  <si>
    <t>Objekt</t>
  </si>
  <si>
    <t>Kód</t>
  </si>
  <si>
    <t>Zkrácený popis / Varianta</t>
  </si>
  <si>
    <t>MJ</t>
  </si>
  <si>
    <t>Množství</t>
  </si>
  <si>
    <t>Cena/MJ</t>
  </si>
  <si>
    <t>Sazba DPH</t>
  </si>
  <si>
    <t>Náklady (Kč)</t>
  </si>
  <si>
    <t>Hmotnost (t)</t>
  </si>
  <si>
    <t>Cenová</t>
  </si>
  <si>
    <t>ISWORK</t>
  </si>
  <si>
    <t>GROUPCODE</t>
  </si>
  <si>
    <t>VATTAX</t>
  </si>
  <si>
    <t>Rozměry</t>
  </si>
  <si>
    <t>(Kč)</t>
  </si>
  <si>
    <t>Dodávka</t>
  </si>
  <si>
    <t>Montáž</t>
  </si>
  <si>
    <t>Celkem</t>
  </si>
  <si>
    <t>Celkem vč. DPH</t>
  </si>
  <si>
    <t>Jednot.</t>
  </si>
  <si>
    <t>soustava</t>
  </si>
  <si>
    <t>Přesuny</t>
  </si>
  <si>
    <t>Typ skupiny</t>
  </si>
  <si>
    <t>HSV mat</t>
  </si>
  <si>
    <t>HSV prac</t>
  </si>
  <si>
    <t>PSV mat</t>
  </si>
  <si>
    <t>PSV prac</t>
  </si>
  <si>
    <t>Mont mat</t>
  </si>
  <si>
    <t>Mont prac</t>
  </si>
  <si>
    <t>Ostatní mat.</t>
  </si>
  <si>
    <t>MAT</t>
  </si>
  <si>
    <t>WORK</t>
  </si>
  <si>
    <t>CELK</t>
  </si>
  <si>
    <t/>
  </si>
  <si>
    <t>13</t>
  </si>
  <si>
    <t>Zemní práce</t>
  </si>
  <si>
    <t>1</t>
  </si>
  <si>
    <t>132201212R00</t>
  </si>
  <si>
    <t>Hloubení rýh š.do 200 cm hor.3 do 1000m3,STROJNĚ</t>
  </si>
  <si>
    <t>m3</t>
  </si>
  <si>
    <t>RTS I / 2025</t>
  </si>
  <si>
    <t>13_</t>
  </si>
  <si>
    <t>1_</t>
  </si>
  <si>
    <t>_</t>
  </si>
  <si>
    <t>P</t>
  </si>
  <si>
    <t>2</t>
  </si>
  <si>
    <t>132201219R00</t>
  </si>
  <si>
    <t>Příplatek za lepivost - hloubení rýh 200cm v hor.3</t>
  </si>
  <si>
    <t>3</t>
  </si>
  <si>
    <t>132301212R00</t>
  </si>
  <si>
    <t>Hloubení rýh š.do 200 cm hor.4 do 1000 m3, STROJNĚ</t>
  </si>
  <si>
    <t>4</t>
  </si>
  <si>
    <t>132301219R00</t>
  </si>
  <si>
    <t>Příplatek za lepivost - hloubení rýh 200cm v hor.4</t>
  </si>
  <si>
    <t>5</t>
  </si>
  <si>
    <t>139600012RA0</t>
  </si>
  <si>
    <t>Ruční výkop v hornině 3</t>
  </si>
  <si>
    <t>6</t>
  </si>
  <si>
    <t>119001421R00</t>
  </si>
  <si>
    <t>Dočasné zajištění kabelů - do počtu 3 kabelů</t>
  </si>
  <si>
    <t>m</t>
  </si>
  <si>
    <t>7</t>
  </si>
  <si>
    <t>460400001R00</t>
  </si>
  <si>
    <t>Pažení kabelové rýhy šířky 1,3 m, hloubky do 2 m</t>
  </si>
  <si>
    <t>8</t>
  </si>
  <si>
    <t>460400002R00</t>
  </si>
  <si>
    <t>Pažení kabelové rýhy šířky 1,3 m, hloubky do 4 m</t>
  </si>
  <si>
    <t>9</t>
  </si>
  <si>
    <t>460400101R00</t>
  </si>
  <si>
    <t>Odstranění pažení z rýhy š.do 1,3 m, hl. do 2 m</t>
  </si>
  <si>
    <t>10</t>
  </si>
  <si>
    <t>460400102R00</t>
  </si>
  <si>
    <t>Odstranění pažení z rýhy š.do 1,3 m, hl. do 2-4 m</t>
  </si>
  <si>
    <t>11</t>
  </si>
  <si>
    <t>174101101R00</t>
  </si>
  <si>
    <t>Zásyp jam, rýh, šachet se zhutněním</t>
  </si>
  <si>
    <t>12</t>
  </si>
  <si>
    <t>175101101R00</t>
  </si>
  <si>
    <t>Obsyp potrubí bez prohození sypaniny</t>
  </si>
  <si>
    <t>451572111R00</t>
  </si>
  <si>
    <t>Lože pod potrubí z kameniva těženého 0 - 4 mm</t>
  </si>
  <si>
    <t>14</t>
  </si>
  <si>
    <t>457571214R00</t>
  </si>
  <si>
    <t>Filtr.vrstvy z nezhut.kam.těž.hr.32-63, bez úpravy</t>
  </si>
  <si>
    <t>21</t>
  </si>
  <si>
    <t>Úprava podloží a základové spáry</t>
  </si>
  <si>
    <t>15</t>
  </si>
  <si>
    <t>212850003RA0</t>
  </si>
  <si>
    <t>Drenáž podél základu objektu z dren. trub d 160 mm</t>
  </si>
  <si>
    <t>21_</t>
  </si>
  <si>
    <t>2_</t>
  </si>
  <si>
    <t>16</t>
  </si>
  <si>
    <t>212753117T00</t>
  </si>
  <si>
    <t>Montáž ohebné drenážní trubky do rýhy DN 200, bez lože</t>
  </si>
  <si>
    <t>RTS I / 2022</t>
  </si>
  <si>
    <t>17</t>
  </si>
  <si>
    <t>28611226.A</t>
  </si>
  <si>
    <t>Trubka PVC drenážní flexibilní d 200 mm</t>
  </si>
  <si>
    <t>M</t>
  </si>
  <si>
    <t>18</t>
  </si>
  <si>
    <t>28611322.A</t>
  </si>
  <si>
    <t>T kus PVC d 200 mm pro drenážní trubky</t>
  </si>
  <si>
    <t>kus</t>
  </si>
  <si>
    <t>19</t>
  </si>
  <si>
    <t>213151121R00</t>
  </si>
  <si>
    <t>Obalení vsakovacích bloků geotextílií</t>
  </si>
  <si>
    <t>m2</t>
  </si>
  <si>
    <t>20</t>
  </si>
  <si>
    <t>213151111R00</t>
  </si>
  <si>
    <t>Montáž vsakovacího bloku nebo tunelu do V 450 l</t>
  </si>
  <si>
    <t>69370510</t>
  </si>
  <si>
    <t>Geotextilie netkaná MOKRUTEX HQ PP 200 g/m2</t>
  </si>
  <si>
    <t>87</t>
  </si>
  <si>
    <t>Potrubí z trub plastických, skleněných a čedičových</t>
  </si>
  <si>
    <t>22</t>
  </si>
  <si>
    <t>230180022R00</t>
  </si>
  <si>
    <t>Montáž trub z plastických hmot PE, PP, 63 x 5,7</t>
  </si>
  <si>
    <t>87_</t>
  </si>
  <si>
    <t>8_</t>
  </si>
  <si>
    <t>23</t>
  </si>
  <si>
    <t>286134121</t>
  </si>
  <si>
    <t>Trubka tlaková AQUALINE RC1 PE100 63x5,8 mm PN16</t>
  </si>
  <si>
    <t>24</t>
  </si>
  <si>
    <t>871353121R00</t>
  </si>
  <si>
    <t>Montáž trub z plastu, gumový kroužek, DN 200</t>
  </si>
  <si>
    <t>25</t>
  </si>
  <si>
    <t>28611260.A</t>
  </si>
  <si>
    <t>Trubka kanalizační KGEM SN 8 PVC 160x4,7x1000</t>
  </si>
  <si>
    <t>26</t>
  </si>
  <si>
    <t>28611261.A</t>
  </si>
  <si>
    <t>Trubka kanalizační KGEM SN 8 PVC 160x4,7x3000</t>
  </si>
  <si>
    <t>27</t>
  </si>
  <si>
    <t>28611262.A</t>
  </si>
  <si>
    <t>Trubka kanalizační KGEM SN 8 PVC 160x4,7x5000</t>
  </si>
  <si>
    <t>28</t>
  </si>
  <si>
    <t>28611263.A</t>
  </si>
  <si>
    <t>Trubka kanalizační KGEM SN 8 PVC 200x5,9x1000</t>
  </si>
  <si>
    <t>29</t>
  </si>
  <si>
    <t>28611264.A</t>
  </si>
  <si>
    <t>Trubka kanalizační KGEM SN 8 PVC 200x5,9x3000</t>
  </si>
  <si>
    <t>30</t>
  </si>
  <si>
    <t>28611265.A</t>
  </si>
  <si>
    <t>Trubka kanalizační KGEM SN 8 PVC 200x5,9x5000</t>
  </si>
  <si>
    <t>31</t>
  </si>
  <si>
    <t>871373121R00</t>
  </si>
  <si>
    <t>Montáž trub kanaliz. z plastu, hrdlových, DN 300</t>
  </si>
  <si>
    <t>32</t>
  </si>
  <si>
    <t>28611266.A</t>
  </si>
  <si>
    <t>Trubka kanalizační KGEM SN 8 PVC 250x7,3x1000</t>
  </si>
  <si>
    <t>33</t>
  </si>
  <si>
    <t>28611268.A</t>
  </si>
  <si>
    <t>Trubka kanalizační KGEM SN 8 PVC 250x7,3x5000</t>
  </si>
  <si>
    <t>34</t>
  </si>
  <si>
    <t>28611270.A</t>
  </si>
  <si>
    <t>Trubka kanalizační KGEM SN 8 PVC 315x9,2x1000</t>
  </si>
  <si>
    <t>35</t>
  </si>
  <si>
    <t>28611272.A</t>
  </si>
  <si>
    <t>Trubka kanalizační KGEM SN 8 PVC 315x9,2x5000</t>
  </si>
  <si>
    <t>36</t>
  </si>
  <si>
    <t>871393121R00</t>
  </si>
  <si>
    <t>Montáž trub kanaliz. z plastu, hrdlových, DN 400</t>
  </si>
  <si>
    <t>37</t>
  </si>
  <si>
    <t>28611273.A</t>
  </si>
  <si>
    <t>Trubka kanalizační KGEM SN 8 PVC 400x11,7x1000</t>
  </si>
  <si>
    <t>38</t>
  </si>
  <si>
    <t>28611275.A</t>
  </si>
  <si>
    <t>Trubka kanalizační KGEM SN 8 PVC 400x11,7x5000</t>
  </si>
  <si>
    <t>39</t>
  </si>
  <si>
    <t>871413121R00</t>
  </si>
  <si>
    <t>Montáž trub kanaliz. z plastu, hrdlových, DN 500</t>
  </si>
  <si>
    <t>40</t>
  </si>
  <si>
    <t>28611278.A</t>
  </si>
  <si>
    <t>Trubka kanalizační KGEM SN 8 PVC 500x14,6x5000</t>
  </si>
  <si>
    <t>41</t>
  </si>
  <si>
    <t>28651692.A</t>
  </si>
  <si>
    <t>Redukce kanalizační KGR 160/ 125 PVC</t>
  </si>
  <si>
    <t>42</t>
  </si>
  <si>
    <t>28651693.A</t>
  </si>
  <si>
    <t>Redukce kanalizační KGR 200/ 160 PVC</t>
  </si>
  <si>
    <t>43</t>
  </si>
  <si>
    <t>28651811.A</t>
  </si>
  <si>
    <t>Přesuvka kanalizační KGU 125 PVC</t>
  </si>
  <si>
    <t>44</t>
  </si>
  <si>
    <t>28651812.A</t>
  </si>
  <si>
    <t>Přesuvka kanalizační KGU 160 PVC</t>
  </si>
  <si>
    <t>45</t>
  </si>
  <si>
    <t>28651813.A</t>
  </si>
  <si>
    <t>Přesuvka kanalizační KGU 200 PVC</t>
  </si>
  <si>
    <t>46</t>
  </si>
  <si>
    <t>28651708.A</t>
  </si>
  <si>
    <t>Odbočka kanalizační KGEA 200/ 160/45° PVC</t>
  </si>
  <si>
    <t>47</t>
  </si>
  <si>
    <t>28651718.A</t>
  </si>
  <si>
    <t>Odbočka kanalizační KGEA 315/ 200/45° PVC</t>
  </si>
  <si>
    <t>48</t>
  </si>
  <si>
    <t>28651724.A</t>
  </si>
  <si>
    <t>Odbočka kanalizační KGEA 400/200/45° PVC</t>
  </si>
  <si>
    <t>49</t>
  </si>
  <si>
    <t>28651666.A</t>
  </si>
  <si>
    <t>Koleno kanalizační KGB 200/ 30° PVC</t>
  </si>
  <si>
    <t>50</t>
  </si>
  <si>
    <t>28651662.A</t>
  </si>
  <si>
    <t>Koleno kanalizační KGB 160/ 45° PVC</t>
  </si>
  <si>
    <t>51</t>
  </si>
  <si>
    <t>28651667.A</t>
  </si>
  <si>
    <t>Koleno kanalizační KGB 200/ 45° PVC</t>
  </si>
  <si>
    <t>52</t>
  </si>
  <si>
    <t>28651672.A</t>
  </si>
  <si>
    <t>Koleno kanalizační KGB 250/ 45° PVC</t>
  </si>
  <si>
    <t>53</t>
  </si>
  <si>
    <t>28651680.A</t>
  </si>
  <si>
    <t>Koleno kanalizační KGB 400/ 45° PVC</t>
  </si>
  <si>
    <t>54</t>
  </si>
  <si>
    <t>89</t>
  </si>
  <si>
    <t>Ostatní konstrukce a práce na trubním vedení</t>
  </si>
  <si>
    <t>55</t>
  </si>
  <si>
    <t>800176003VL</t>
  </si>
  <si>
    <t>MEA (vpusti, vsakovací bloky, čerpání...) včetně dopravy a montáže</t>
  </si>
  <si>
    <t>soubor</t>
  </si>
  <si>
    <t>vlastní</t>
  </si>
  <si>
    <t>89_</t>
  </si>
  <si>
    <t>56</t>
  </si>
  <si>
    <t>800176004VL</t>
  </si>
  <si>
    <t>Nová čěrpací stanice</t>
  </si>
  <si>
    <t>57</t>
  </si>
  <si>
    <t>800176006VL</t>
  </si>
  <si>
    <t>Požární nádrž vystrojení</t>
  </si>
  <si>
    <t>58</t>
  </si>
  <si>
    <t>800176007VL</t>
  </si>
  <si>
    <t>Vypustní objekt</t>
  </si>
  <si>
    <t>59</t>
  </si>
  <si>
    <t>55340325</t>
  </si>
  <si>
    <t>Poklop D 400-GU-B-1 litinový, bez odvětrání</t>
  </si>
  <si>
    <t>60</t>
  </si>
  <si>
    <t>891319111R00</t>
  </si>
  <si>
    <t>Montáž navrtávacích pasů DN 150</t>
  </si>
  <si>
    <t>61</t>
  </si>
  <si>
    <t>28610010VL</t>
  </si>
  <si>
    <t>T-kus odbočkový navrtávací HACOM 3370 150-2" + pružná vložka</t>
  </si>
  <si>
    <t>62</t>
  </si>
  <si>
    <t>891211111R00</t>
  </si>
  <si>
    <t>Montáž vodovodních šoupátek ve výkopu DN 50</t>
  </si>
  <si>
    <t>63</t>
  </si>
  <si>
    <t>42228000VL1</t>
  </si>
  <si>
    <t>HAWLE šoupátko 2800 ISO D63-2" PN16, voda</t>
  </si>
  <si>
    <t>Vlastní</t>
  </si>
  <si>
    <t>64</t>
  </si>
  <si>
    <t>42293200VL1</t>
  </si>
  <si>
    <t>HAWLE souprava zemní pro přípojky 9101 3/4"-2" (1,5m) nutno doměřit na místě</t>
  </si>
  <si>
    <t>65</t>
  </si>
  <si>
    <t>899401112R00</t>
  </si>
  <si>
    <t>Osazení poklopů litinových šoupátkových</t>
  </si>
  <si>
    <t>66</t>
  </si>
  <si>
    <t>42200730</t>
  </si>
  <si>
    <t>HAWLE poklop uliční lehký 1550  - voda</t>
  </si>
  <si>
    <t>67</t>
  </si>
  <si>
    <t>850-005ZTIVD</t>
  </si>
  <si>
    <t>Napojení potrubím DN250 na stávající betonovou šachtu DN1000 včetně pryžového těsnění</t>
  </si>
  <si>
    <t>Kpl</t>
  </si>
  <si>
    <t>68</t>
  </si>
  <si>
    <t>Napojení potrubím DN250 navrtáním na stávající kanalizaci PVC DN500 včetně pryžového těsnění</t>
  </si>
  <si>
    <t>69</t>
  </si>
  <si>
    <t>894411111R00</t>
  </si>
  <si>
    <t>Zřízení šachet z dílců,dno C 25/30, potrubí DN 200</t>
  </si>
  <si>
    <t>70</t>
  </si>
  <si>
    <t>894411121R00</t>
  </si>
  <si>
    <t>Zřízení šachet z dílců, dno C25/30, potrubí DN 300</t>
  </si>
  <si>
    <t>71</t>
  </si>
  <si>
    <t>894118001R00</t>
  </si>
  <si>
    <t>Přípl.za dalších 0,60m výšky vstupu,šachty na potr</t>
  </si>
  <si>
    <t>72</t>
  </si>
  <si>
    <t>59224347.A</t>
  </si>
  <si>
    <t>Prstenec vyrovnávací šachetní TBW-Q.1 63/6</t>
  </si>
  <si>
    <t>73</t>
  </si>
  <si>
    <t>59224346</t>
  </si>
  <si>
    <t>Prstenec vyrovnávací šachetní TBW-Q.1 63/4</t>
  </si>
  <si>
    <t>74</t>
  </si>
  <si>
    <t>59224353.A</t>
  </si>
  <si>
    <t>Konus šachetní TBR-Q.1 100-63/58/12 KPS</t>
  </si>
  <si>
    <t>75</t>
  </si>
  <si>
    <t>59224358.A</t>
  </si>
  <si>
    <t>Skruž šachetní TBS-Q.1 100/25/12 PS</t>
  </si>
  <si>
    <t>76</t>
  </si>
  <si>
    <t>59224361.A</t>
  </si>
  <si>
    <t>Skruž šachetní TBS-Q.1 100/50/12 PS</t>
  </si>
  <si>
    <t>77</t>
  </si>
  <si>
    <t>59224364.A</t>
  </si>
  <si>
    <t>Skruž šachetní TBS-Q.1 100/100/12 PS</t>
  </si>
  <si>
    <t>78</t>
  </si>
  <si>
    <t>59224366.A</t>
  </si>
  <si>
    <t>Dno šachetní TBZ-Q.1 100/60 V max. 40</t>
  </si>
  <si>
    <t>79</t>
  </si>
  <si>
    <t>899102111R00</t>
  </si>
  <si>
    <t>Osazení poklopu s rámem do 100 kg</t>
  </si>
  <si>
    <t>Celkem:</t>
  </si>
  <si>
    <t>Poznámka:</t>
  </si>
  <si>
    <t>Stavební rozpočet - rekapitulace</t>
  </si>
  <si>
    <t>Zkrácený popis</t>
  </si>
  <si>
    <t>Náklady (Kč) - dodávka</t>
  </si>
  <si>
    <t>Náklady (Kč) - Montáž</t>
  </si>
  <si>
    <t>Náklady (Kč) - celkem</t>
  </si>
  <si>
    <t>Celková hmotnost (t)</t>
  </si>
  <si>
    <t>T</t>
  </si>
  <si>
    <t>Krycí list rozpočtu</t>
  </si>
  <si>
    <t>IČO/DIČ:</t>
  </si>
  <si>
    <t>Položek:</t>
  </si>
  <si>
    <t>Datum:</t>
  </si>
  <si>
    <t>Rozpočtové náklady v Kč</t>
  </si>
  <si>
    <t>A</t>
  </si>
  <si>
    <t>Základní rozpočtové náklady</t>
  </si>
  <si>
    <t>B</t>
  </si>
  <si>
    <t>Doplňkové náklady</t>
  </si>
  <si>
    <t>C</t>
  </si>
  <si>
    <t>Náklady na umístění stavby (NUS)</t>
  </si>
  <si>
    <t>HSV</t>
  </si>
  <si>
    <t>Dodávky</t>
  </si>
  <si>
    <t>Práce přesčas</t>
  </si>
  <si>
    <t>Zařízení staveniště</t>
  </si>
  <si>
    <t>Bez pevné podl.</t>
  </si>
  <si>
    <t>Mimostav. doprava</t>
  </si>
  <si>
    <t>PSV</t>
  </si>
  <si>
    <t>Kulturní památka</t>
  </si>
  <si>
    <t>Územní vlivy</t>
  </si>
  <si>
    <t>Vytyčení podzemních</t>
  </si>
  <si>
    <t>Provozní vlivy</t>
  </si>
  <si>
    <t>"M"</t>
  </si>
  <si>
    <t>Ostatní</t>
  </si>
  <si>
    <t>NUS z rozpočtu</t>
  </si>
  <si>
    <t>Ostatní materiál</t>
  </si>
  <si>
    <t>Přesun hmot a sutí</t>
  </si>
  <si>
    <t>ZRN celkem</t>
  </si>
  <si>
    <t>DN celkem</t>
  </si>
  <si>
    <t>NUS celkem</t>
  </si>
  <si>
    <t>DN celkem z obj.</t>
  </si>
  <si>
    <t>NUS celkem z obj.</t>
  </si>
  <si>
    <t>VORN celkem</t>
  </si>
  <si>
    <t>VORN celkem z obj.</t>
  </si>
  <si>
    <t>Základ 0%</t>
  </si>
  <si>
    <t>Základ 12%</t>
  </si>
  <si>
    <t>DPH 12%</t>
  </si>
  <si>
    <t>Celkem bez DPH</t>
  </si>
  <si>
    <t>Základ 21%</t>
  </si>
  <si>
    <t>DPH 21%</t>
  </si>
  <si>
    <t>Celkem včetně DPH</t>
  </si>
  <si>
    <t>Projektant</t>
  </si>
  <si>
    <t>Objednatel</t>
  </si>
  <si>
    <t>Zhotovitel</t>
  </si>
  <si>
    <t>Datum, razítko a podpis</t>
  </si>
  <si>
    <t>Vedlejší a ostatní rozpočtové náklady</t>
  </si>
  <si>
    <t>Vedlejší rozpočtové náklady VRN</t>
  </si>
  <si>
    <t>Doplňkové náklady DN</t>
  </si>
  <si>
    <t>Kč</t>
  </si>
  <si>
    <t>%</t>
  </si>
  <si>
    <t>Základna</t>
  </si>
  <si>
    <t>Celkem DN</t>
  </si>
  <si>
    <t>Celkem NUS</t>
  </si>
  <si>
    <t>Celkem VRN</t>
  </si>
  <si>
    <t>Ostatní rozpočtové náklady ORN</t>
  </si>
  <si>
    <t>Ostatní rozpočtové náklady (ORN)</t>
  </si>
  <si>
    <t>Celkem 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</si>
</sst>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  <charset val="1"/>
    </font>
    <font>
      <sz val="18"/>
      <color rgb="FF000000"/>
      <name val="Arial"/>
      <charset val="238"/>
    </font>
    <font>
      <b/>
      <sz val="10"/>
      <color rgb="FF000000"/>
      <name val="Arial"/>
      <charset val="238"/>
    </font>
    <font>
      <sz val="10"/>
      <color rgb="FF000000"/>
      <name val="Arial"/>
      <charset val="238"/>
    </font>
    <font>
      <i/>
      <sz val="8"/>
      <color rgb="FF000000"/>
      <name val="Arial"/>
      <charset val="238"/>
    </font>
    <font>
      <b/>
      <sz val="18"/>
      <color rgb="FF000000"/>
      <name val="Arial"/>
      <charset val="238"/>
    </font>
    <font>
      <b/>
      <sz val="20"/>
      <color rgb="FF000000"/>
      <name val="Arial"/>
      <charset val="238"/>
    </font>
    <font>
      <b/>
      <sz val="11"/>
      <color rgb="FF000000"/>
      <name val="Arial"/>
      <charset val="238"/>
    </font>
    <font>
      <b/>
      <sz val="12"/>
      <color rgb="FF000000"/>
      <name val="Arial"/>
      <charset val="238"/>
    </font>
    <font>
      <sz val="12"/>
      <color rgb="FF000000"/>
      <name val="Arial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8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1">
    <xf numFmtId="0" fontId="0" fillId="0" borderId="0" xfId="0"/>
    <xf numFmtId="4" fontId="2" fillId="2" borderId="0" xfId="0" applyNumberFormat="1" applyFont="1" applyFill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3" fillId="2" borderId="36" xfId="0" applyFont="1" applyFill="1" applyBorder="1" applyAlignment="1">
      <alignment horizontal="left" vertical="center"/>
    </xf>
    <xf numFmtId="0" fontId="2" fillId="2" borderId="37" xfId="0" applyFont="1" applyFill="1" applyBorder="1" applyAlignment="1">
      <alignment horizontal="left" vertical="center"/>
    </xf>
    <xf numFmtId="0" fontId="3" fillId="2" borderId="37" xfId="0" applyFont="1" applyFill="1" applyBorder="1" applyAlignment="1">
      <alignment horizontal="left" vertical="center"/>
    </xf>
    <xf numFmtId="4" fontId="2" fillId="2" borderId="37" xfId="0" applyNumberFormat="1" applyFont="1" applyFill="1" applyBorder="1" applyAlignment="1">
      <alignment horizontal="right" vertical="center"/>
    </xf>
    <xf numFmtId="0" fontId="2" fillId="2" borderId="37" xfId="0" applyFont="1" applyFill="1" applyBorder="1" applyAlignment="1">
      <alignment horizontal="right" vertical="center"/>
    </xf>
    <xf numFmtId="0" fontId="2" fillId="2" borderId="38" xfId="0" applyFont="1" applyFill="1" applyBorder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2" borderId="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6" xfId="0" applyFont="1" applyFill="1" applyBorder="1" applyAlignment="1">
      <alignment horizontal="right" vertical="center"/>
    </xf>
    <xf numFmtId="0" fontId="3" fillId="0" borderId="39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4" fontId="3" fillId="0" borderId="40" xfId="0" applyNumberFormat="1" applyFont="1" applyBorder="1" applyAlignment="1">
      <alignment horizontal="right" vertical="center"/>
    </xf>
    <xf numFmtId="1" fontId="3" fillId="0" borderId="40" xfId="0" applyNumberFormat="1" applyFont="1" applyBorder="1" applyAlignment="1">
      <alignment horizontal="right" vertical="center"/>
    </xf>
    <xf numFmtId="0" fontId="3" fillId="0" borderId="41" xfId="0" applyFont="1" applyBorder="1" applyAlignment="1">
      <alignment horizontal="right" vertical="center"/>
    </xf>
    <xf numFmtId="0" fontId="2" fillId="0" borderId="42" xfId="0" applyFont="1" applyBorder="1" applyAlignment="1">
      <alignment horizontal="left" vertical="center"/>
    </xf>
    <xf numFmtId="4" fontId="2" fillId="0" borderId="42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2" fillId="0" borderId="43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4" fontId="3" fillId="0" borderId="37" xfId="0" applyNumberFormat="1" applyFont="1" applyBorder="1" applyAlignment="1">
      <alignment horizontal="right" vertical="center"/>
    </xf>
    <xf numFmtId="4" fontId="3" fillId="0" borderId="38" xfId="0" applyNumberFormat="1" applyFont="1" applyBorder="1" applyAlignment="1">
      <alignment horizontal="right" vertical="center"/>
    </xf>
    <xf numFmtId="0" fontId="3" fillId="0" borderId="47" xfId="0" applyFont="1" applyBorder="1" applyAlignment="1">
      <alignment horizontal="right" vertical="center"/>
    </xf>
    <xf numFmtId="4" fontId="3" fillId="0" borderId="6" xfId="0" applyNumberFormat="1" applyFont="1" applyBorder="1" applyAlignment="1">
      <alignment horizontal="right" vertical="center"/>
    </xf>
    <xf numFmtId="4" fontId="3" fillId="0" borderId="41" xfId="0" applyNumberFormat="1" applyFont="1" applyBorder="1" applyAlignment="1">
      <alignment horizontal="right" vertical="center"/>
    </xf>
    <xf numFmtId="0" fontId="6" fillId="2" borderId="49" xfId="0" applyFont="1" applyFill="1" applyBorder="1" applyAlignment="1">
      <alignment horizontal="center" vertical="center"/>
    </xf>
    <xf numFmtId="0" fontId="6" fillId="2" borderId="52" xfId="0" applyFont="1" applyFill="1" applyBorder="1" applyAlignment="1">
      <alignment horizontal="center" vertical="center"/>
    </xf>
    <xf numFmtId="0" fontId="8" fillId="0" borderId="53" xfId="0" applyFont="1" applyBorder="1" applyAlignment="1">
      <alignment horizontal="left" vertical="center"/>
    </xf>
    <xf numFmtId="0" fontId="9" fillId="0" borderId="54" xfId="0" applyFont="1" applyBorder="1" applyAlignment="1">
      <alignment horizontal="left" vertical="center"/>
    </xf>
    <xf numFmtId="4" fontId="9" fillId="0" borderId="54" xfId="0" applyNumberFormat="1" applyFont="1" applyBorder="1" applyAlignment="1">
      <alignment horizontal="right" vertical="center"/>
    </xf>
    <xf numFmtId="0" fontId="8" fillId="0" borderId="57" xfId="0" applyFont="1" applyBorder="1" applyAlignment="1">
      <alignment horizontal="left" vertical="center"/>
    </xf>
    <xf numFmtId="0" fontId="9" fillId="0" borderId="54" xfId="0" applyFont="1" applyBorder="1" applyAlignment="1">
      <alignment horizontal="right" vertical="center"/>
    </xf>
    <xf numFmtId="4" fontId="9" fillId="0" borderId="61" xfId="0" applyNumberFormat="1" applyFont="1" applyBorder="1" applyAlignment="1">
      <alignment horizontal="right" vertical="center"/>
    </xf>
    <xf numFmtId="0" fontId="9" fillId="0" borderId="61" xfId="0" applyFont="1" applyBorder="1" applyAlignment="1">
      <alignment horizontal="right" vertical="center"/>
    </xf>
    <xf numFmtId="4" fontId="9" fillId="0" borderId="52" xfId="0" applyNumberFormat="1" applyFont="1" applyBorder="1" applyAlignment="1">
      <alignment horizontal="right" vertical="center"/>
    </xf>
    <xf numFmtId="4" fontId="9" fillId="0" borderId="30" xfId="0" applyNumberFormat="1" applyFont="1" applyBorder="1" applyAlignment="1">
      <alignment horizontal="right" vertical="center"/>
    </xf>
    <xf numFmtId="4" fontId="8" fillId="2" borderId="51" xfId="0" applyNumberFormat="1" applyFont="1" applyFill="1" applyBorder="1" applyAlignment="1">
      <alignment horizontal="right" vertical="center"/>
    </xf>
    <xf numFmtId="4" fontId="8" fillId="2" borderId="56" xfId="0" applyNumberFormat="1" applyFont="1" applyFill="1" applyBorder="1" applyAlignment="1">
      <alignment horizontal="right" vertical="center"/>
    </xf>
    <xf numFmtId="0" fontId="4" fillId="0" borderId="37" xfId="0" applyFont="1" applyBorder="1" applyAlignment="1">
      <alignment horizontal="left" vertical="center"/>
    </xf>
    <xf numFmtId="0" fontId="2" fillId="0" borderId="19" xfId="0" applyFont="1" applyBorder="1" applyAlignment="1">
      <alignment horizontal="right" vertical="center"/>
    </xf>
    <xf numFmtId="4" fontId="3" fillId="0" borderId="54" xfId="0" applyNumberFormat="1" applyFont="1" applyBorder="1" applyAlignment="1">
      <alignment horizontal="right" vertical="center"/>
    </xf>
    <xf numFmtId="0" fontId="3" fillId="0" borderId="54" xfId="0" applyFont="1" applyBorder="1" applyAlignment="1">
      <alignment horizontal="left" vertical="center"/>
    </xf>
    <xf numFmtId="4" fontId="3" fillId="0" borderId="80" xfId="0" applyNumberFormat="1" applyFont="1" applyBorder="1" applyAlignment="1">
      <alignment horizontal="right" vertical="center"/>
    </xf>
    <xf numFmtId="0" fontId="3" fillId="0" borderId="80" xfId="0" applyFont="1" applyBorder="1" applyAlignment="1">
      <alignment horizontal="left" vertical="center"/>
    </xf>
    <xf numFmtId="0" fontId="2" fillId="0" borderId="84" xfId="0" applyFont="1" applyBorder="1" applyAlignment="1">
      <alignment horizontal="left" vertical="center"/>
    </xf>
    <xf numFmtId="0" fontId="2" fillId="0" borderId="84" xfId="0" applyFont="1" applyBorder="1" applyAlignment="1">
      <alignment horizontal="right" vertical="center"/>
    </xf>
    <xf numFmtId="4" fontId="2" fillId="0" borderId="84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2" borderId="37" xfId="0" applyFont="1" applyFill="1" applyBorder="1" applyAlignment="1">
      <alignment horizontal="left" vertical="center" wrapText="1"/>
    </xf>
    <xf numFmtId="0" fontId="2" fillId="2" borderId="37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0" borderId="40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left" vertical="center"/>
    </xf>
    <xf numFmtId="1" fontId="3" fillId="0" borderId="6" xfId="0" applyNumberFormat="1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5" fillId="0" borderId="48" xfId="0" applyFont="1" applyBorder="1" applyAlignment="1">
      <alignment horizontal="center" vertical="center"/>
    </xf>
    <xf numFmtId="0" fontId="7" fillId="0" borderId="50" xfId="0" applyFont="1" applyBorder="1" applyAlignment="1">
      <alignment horizontal="left" vertical="center"/>
    </xf>
    <xf numFmtId="0" fontId="7" fillId="0" borderId="51" xfId="0" applyFont="1" applyBorder="1" applyAlignment="1">
      <alignment horizontal="left" vertical="center"/>
    </xf>
    <xf numFmtId="0" fontId="8" fillId="0" borderId="58" xfId="0" applyFont="1" applyBorder="1" applyAlignment="1">
      <alignment horizontal="left" vertical="center"/>
    </xf>
    <xf numFmtId="0" fontId="8" fillId="0" borderId="56" xfId="0" applyFont="1" applyBorder="1" applyAlignment="1">
      <alignment horizontal="left" vertical="center"/>
    </xf>
    <xf numFmtId="0" fontId="8" fillId="0" borderId="59" xfId="0" applyFont="1" applyBorder="1" applyAlignment="1">
      <alignment horizontal="left" vertical="center"/>
    </xf>
    <xf numFmtId="0" fontId="8" fillId="0" borderId="60" xfId="0" applyFont="1" applyBorder="1" applyAlignment="1">
      <alignment horizontal="left" vertical="center"/>
    </xf>
    <xf numFmtId="0" fontId="8" fillId="0" borderId="63" xfId="0" applyFont="1" applyBorder="1" applyAlignment="1">
      <alignment horizontal="left" vertical="center"/>
    </xf>
    <xf numFmtId="0" fontId="8" fillId="0" borderId="51" xfId="0" applyFont="1" applyBorder="1" applyAlignment="1">
      <alignment horizontal="left" vertical="center"/>
    </xf>
    <xf numFmtId="0" fontId="9" fillId="0" borderId="55" xfId="0" applyFont="1" applyBorder="1" applyAlignment="1">
      <alignment horizontal="left" vertical="center"/>
    </xf>
    <xf numFmtId="0" fontId="9" fillId="0" borderId="56" xfId="0" applyFont="1" applyBorder="1" applyAlignment="1">
      <alignment horizontal="left" vertical="center"/>
    </xf>
    <xf numFmtId="0" fontId="9" fillId="0" borderId="62" xfId="0" applyFont="1" applyBorder="1" applyAlignment="1">
      <alignment horizontal="left" vertical="center"/>
    </xf>
    <xf numFmtId="0" fontId="9" fillId="0" borderId="60" xfId="0" applyFont="1" applyBorder="1" applyAlignment="1">
      <alignment horizontal="left" vertical="center"/>
    </xf>
    <xf numFmtId="0" fontId="8" fillId="0" borderId="50" xfId="0" applyFont="1" applyBorder="1" applyAlignment="1">
      <alignment horizontal="left" vertical="center"/>
    </xf>
    <xf numFmtId="0" fontId="8" fillId="0" borderId="55" xfId="0" applyFont="1" applyBorder="1" applyAlignment="1">
      <alignment horizontal="left" vertical="center"/>
    </xf>
    <xf numFmtId="0" fontId="8" fillId="2" borderId="63" xfId="0" applyFont="1" applyFill="1" applyBorder="1" applyAlignment="1">
      <alignment horizontal="left" vertical="center"/>
    </xf>
    <xf numFmtId="0" fontId="8" fillId="2" borderId="64" xfId="0" applyFont="1" applyFill="1" applyBorder="1" applyAlignment="1">
      <alignment horizontal="left" vertical="center"/>
    </xf>
    <xf numFmtId="0" fontId="8" fillId="2" borderId="58" xfId="0" applyFont="1" applyFill="1" applyBorder="1" applyAlignment="1">
      <alignment horizontal="left" vertical="center"/>
    </xf>
    <xf numFmtId="0" fontId="8" fillId="2" borderId="65" xfId="0" applyFont="1" applyFill="1" applyBorder="1" applyAlignment="1">
      <alignment horizontal="left" vertical="center"/>
    </xf>
    <xf numFmtId="0" fontId="8" fillId="2" borderId="50" xfId="0" applyFont="1" applyFill="1" applyBorder="1" applyAlignment="1">
      <alignment horizontal="left" vertical="center"/>
    </xf>
    <xf numFmtId="0" fontId="8" fillId="2" borderId="55" xfId="0" applyFont="1" applyFill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9" fillId="0" borderId="67" xfId="0" applyFont="1" applyBorder="1" applyAlignment="1">
      <alignment horizontal="left" vertical="center"/>
    </xf>
    <xf numFmtId="0" fontId="9" fillId="0" borderId="68" xfId="0" applyFont="1" applyBorder="1" applyAlignment="1">
      <alignment horizontal="left" vertical="center"/>
    </xf>
    <xf numFmtId="0" fontId="9" fillId="0" borderId="70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71" xfId="0" applyFont="1" applyBorder="1" applyAlignment="1">
      <alignment horizontal="left" vertical="center"/>
    </xf>
    <xf numFmtId="0" fontId="9" fillId="0" borderId="73" xfId="0" applyFont="1" applyBorder="1" applyAlignment="1">
      <alignment horizontal="left" vertical="center"/>
    </xf>
    <xf numFmtId="0" fontId="9" fillId="0" borderId="74" xfId="0" applyFont="1" applyBorder="1" applyAlignment="1">
      <alignment horizontal="left" vertical="center"/>
    </xf>
    <xf numFmtId="0" fontId="9" fillId="0" borderId="75" xfId="0" applyFont="1" applyBorder="1" applyAlignment="1">
      <alignment horizontal="left" vertical="center"/>
    </xf>
    <xf numFmtId="0" fontId="9" fillId="0" borderId="69" xfId="0" applyFont="1" applyBorder="1" applyAlignment="1">
      <alignment horizontal="left" vertical="center"/>
    </xf>
    <xf numFmtId="0" fontId="9" fillId="0" borderId="72" xfId="0" applyFont="1" applyBorder="1" applyAlignment="1">
      <alignment horizontal="left" vertical="center"/>
    </xf>
    <xf numFmtId="0" fontId="9" fillId="0" borderId="76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3" fillId="0" borderId="58" xfId="0" applyFont="1" applyBorder="1" applyAlignment="1">
      <alignment horizontal="left" vertical="center"/>
    </xf>
    <xf numFmtId="0" fontId="3" fillId="0" borderId="65" xfId="0" applyFont="1" applyBorder="1" applyAlignment="1">
      <alignment horizontal="left" vertical="center"/>
    </xf>
    <xf numFmtId="0" fontId="3" fillId="0" borderId="56" xfId="0" applyFont="1" applyBorder="1" applyAlignment="1">
      <alignment horizontal="left" vertical="center"/>
    </xf>
    <xf numFmtId="0" fontId="3" fillId="0" borderId="77" xfId="0" applyFont="1" applyBorder="1" applyAlignment="1">
      <alignment horizontal="left" vertical="center"/>
    </xf>
    <xf numFmtId="0" fontId="3" fillId="0" borderId="78" xfId="0" applyFont="1" applyBorder="1" applyAlignment="1">
      <alignment horizontal="left" vertical="center"/>
    </xf>
    <xf numFmtId="0" fontId="3" fillId="0" borderId="79" xfId="0" applyFont="1" applyBorder="1" applyAlignment="1">
      <alignment horizontal="left" vertical="center"/>
    </xf>
    <xf numFmtId="0" fontId="2" fillId="0" borderId="81" xfId="0" applyFont="1" applyBorder="1" applyAlignment="1">
      <alignment horizontal="left" vertical="center"/>
    </xf>
    <xf numFmtId="0" fontId="2" fillId="0" borderId="82" xfId="0" applyFont="1" applyBorder="1" applyAlignment="1">
      <alignment horizontal="left" vertical="center"/>
    </xf>
    <xf numFmtId="0" fontId="2" fillId="0" borderId="83" xfId="0" applyFont="1" applyBorder="1" applyAlignment="1">
      <alignment horizontal="left" vertical="center"/>
    </xf>
    <xf numFmtId="0" fontId="8" fillId="0" borderId="81" xfId="0" applyFont="1" applyBorder="1" applyAlignment="1">
      <alignment horizontal="left" vertical="center"/>
    </xf>
    <xf numFmtId="0" fontId="8" fillId="0" borderId="82" xfId="0" applyFont="1" applyBorder="1" applyAlignment="1">
      <alignment horizontal="left" vertical="center"/>
    </xf>
    <xf numFmtId="0" fontId="8" fillId="0" borderId="83" xfId="0" applyFont="1" applyBorder="1" applyAlignment="1">
      <alignment horizontal="left" vertical="center"/>
    </xf>
    <xf numFmtId="4" fontId="8" fillId="0" borderId="85" xfId="0" applyNumberFormat="1" applyFont="1" applyBorder="1" applyAlignment="1">
      <alignment horizontal="right" vertical="center"/>
    </xf>
    <xf numFmtId="0" fontId="8" fillId="0" borderId="82" xfId="0" applyFont="1" applyBorder="1" applyAlignment="1">
      <alignment horizontal="right" vertical="center"/>
    </xf>
    <xf numFmtId="0" fontId="8" fillId="0" borderId="83" xfId="0" applyFont="1" applyBorder="1" applyAlignment="1">
      <alignment horizontal="righ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66750" cy="666750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750" cy="666750"/>
        </a:xfrm>
        <a:prstGeom prst="rect">
          <a:avLst/>
        </a:prstGeom>
        <a:noFill/>
        <a:ln w="9525">
          <a:noFill/>
        </a:ln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666750" cy="666750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750" cy="666750"/>
        </a:xfrm>
        <a:prstGeom prst="rect">
          <a:avLst/>
        </a:prstGeom>
        <a:noFill/>
        <a:ln w="9525">
          <a:noFill/>
        </a:ln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666750" cy="666750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750" cy="666750"/>
        </a:xfrm>
        <a:prstGeom prst="rect">
          <a:avLst/>
        </a:prstGeom>
        <a:noFill/>
        <a:ln w="9525">
          <a:noFill/>
        </a:ln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666750" cy="666750"/>
    <xdr:pic>
      <xdr:nvPicPr>
        <xdr:cNvPr id="2" name="Obráze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750" cy="666750"/>
        </a:xfrm>
        <a:prstGeom prst="rect">
          <a:avLst/>
        </a:prstGeom>
        <a:noFill/>
        <a:ln w="9525">
          <a:noFill/>
        </a:ln>
      </xdr:spPr>
    </xdr:pic>
    <xdr:clientData/>
  </xdr:absolute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Z97"/>
  <sheetViews>
    <sheetView tabSelected="1" workbookViewId="0">
      <pane ySplit="11" topLeftCell="A75" activePane="bottomLeft" state="frozen"/>
      <selection pane="bottomLeft" activeCell="I13" sqref="I13:I94"/>
    </sheetView>
  </sheetViews>
  <sheetFormatPr defaultColWidth="12.140625" defaultRowHeight="15" customHeight="1" x14ac:dyDescent="0.25"/>
  <cols>
    <col min="1" max="1" width="4" customWidth="1"/>
    <col min="2" max="2" width="7.5703125" customWidth="1"/>
    <col min="3" max="3" width="17.85546875" customWidth="1"/>
    <col min="4" max="4" width="42.85546875" customWidth="1"/>
    <col min="5" max="5" width="35.7109375" customWidth="1"/>
    <col min="6" max="6" width="9.42578125" customWidth="1"/>
    <col min="7" max="7" width="12.85546875" customWidth="1"/>
    <col min="8" max="8" width="12" customWidth="1"/>
    <col min="9" max="9" width="11.140625" customWidth="1"/>
    <col min="10" max="13" width="15.7109375" customWidth="1"/>
    <col min="14" max="15" width="11.7109375" customWidth="1"/>
    <col min="16" max="16" width="17" customWidth="1"/>
    <col min="25" max="75" width="12.140625" hidden="1"/>
    <col min="76" max="76" width="78.5703125" hidden="1" customWidth="1"/>
    <col min="77" max="78" width="12.140625" hidden="1"/>
  </cols>
  <sheetData>
    <row r="1" spans="1:76" ht="54.75" customHeight="1" x14ac:dyDescent="0.2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AS1" s="1">
        <f>SUM(AJ1:AJ2)</f>
        <v>0</v>
      </c>
      <c r="AT1" s="1">
        <f>SUM(AK1:AK2)</f>
        <v>0</v>
      </c>
      <c r="AU1" s="1">
        <f>SUM(AL1:AL2)</f>
        <v>0</v>
      </c>
    </row>
    <row r="2" spans="1:76" x14ac:dyDescent="0.25">
      <c r="A2" s="82" t="s">
        <v>1</v>
      </c>
      <c r="B2" s="83"/>
      <c r="C2" s="83"/>
      <c r="D2" s="91" t="s">
        <v>2</v>
      </c>
      <c r="E2" s="92"/>
      <c r="F2" s="83" t="s">
        <v>3</v>
      </c>
      <c r="G2" s="83"/>
      <c r="H2" s="83" t="s">
        <v>4</v>
      </c>
      <c r="I2" s="89" t="s">
        <v>5</v>
      </c>
      <c r="J2" s="83"/>
      <c r="K2" s="83" t="s">
        <v>6</v>
      </c>
      <c r="L2" s="83"/>
      <c r="M2" s="83"/>
      <c r="N2" s="83"/>
      <c r="O2" s="83"/>
      <c r="P2" s="94"/>
    </row>
    <row r="3" spans="1:76" x14ac:dyDescent="0.25">
      <c r="A3" s="84"/>
      <c r="B3" s="85"/>
      <c r="C3" s="85"/>
      <c r="D3" s="93"/>
      <c r="E3" s="93"/>
      <c r="F3" s="85"/>
      <c r="G3" s="85"/>
      <c r="H3" s="85"/>
      <c r="I3" s="85"/>
      <c r="J3" s="85"/>
      <c r="K3" s="85"/>
      <c r="L3" s="85"/>
      <c r="M3" s="85"/>
      <c r="N3" s="85"/>
      <c r="O3" s="85"/>
      <c r="P3" s="95"/>
    </row>
    <row r="4" spans="1:76" x14ac:dyDescent="0.25">
      <c r="A4" s="86" t="s">
        <v>7</v>
      </c>
      <c r="B4" s="85"/>
      <c r="C4" s="85"/>
      <c r="D4" s="90" t="s">
        <v>8</v>
      </c>
      <c r="E4" s="85"/>
      <c r="F4" s="85" t="s">
        <v>9</v>
      </c>
      <c r="G4" s="85"/>
      <c r="H4" s="85" t="s">
        <v>4</v>
      </c>
      <c r="I4" s="90" t="s">
        <v>10</v>
      </c>
      <c r="J4" s="85"/>
      <c r="K4" s="90" t="s">
        <v>11</v>
      </c>
      <c r="L4" s="85"/>
      <c r="M4" s="85"/>
      <c r="N4" s="85"/>
      <c r="O4" s="85"/>
      <c r="P4" s="95"/>
    </row>
    <row r="5" spans="1:76" x14ac:dyDescent="0.25">
      <c r="A5" s="84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95"/>
    </row>
    <row r="6" spans="1:76" x14ac:dyDescent="0.25">
      <c r="A6" s="86" t="s">
        <v>12</v>
      </c>
      <c r="B6" s="85"/>
      <c r="C6" s="85"/>
      <c r="D6" s="90" t="s">
        <v>13</v>
      </c>
      <c r="E6" s="85"/>
      <c r="F6" s="85" t="s">
        <v>14</v>
      </c>
      <c r="G6" s="85"/>
      <c r="H6" s="85" t="s">
        <v>4</v>
      </c>
      <c r="I6" s="90" t="s">
        <v>15</v>
      </c>
      <c r="J6" s="85"/>
      <c r="K6" s="85" t="s">
        <v>6</v>
      </c>
      <c r="L6" s="85"/>
      <c r="M6" s="85"/>
      <c r="N6" s="85"/>
      <c r="O6" s="85"/>
      <c r="P6" s="95"/>
    </row>
    <row r="7" spans="1:76" x14ac:dyDescent="0.25">
      <c r="A7" s="84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95"/>
    </row>
    <row r="8" spans="1:76" x14ac:dyDescent="0.25">
      <c r="A8" s="86" t="s">
        <v>16</v>
      </c>
      <c r="B8" s="85"/>
      <c r="C8" s="85"/>
      <c r="D8" s="90" t="s">
        <v>4</v>
      </c>
      <c r="E8" s="85"/>
      <c r="F8" s="85" t="s">
        <v>17</v>
      </c>
      <c r="G8" s="85"/>
      <c r="H8" s="85" t="s">
        <v>18</v>
      </c>
      <c r="I8" s="90" t="s">
        <v>19</v>
      </c>
      <c r="J8" s="85"/>
      <c r="K8" s="90" t="s">
        <v>11</v>
      </c>
      <c r="L8" s="85"/>
      <c r="M8" s="85"/>
      <c r="N8" s="85"/>
      <c r="O8" s="85"/>
      <c r="P8" s="95"/>
    </row>
    <row r="9" spans="1:76" x14ac:dyDescent="0.25">
      <c r="A9" s="87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96"/>
    </row>
    <row r="10" spans="1:76" x14ac:dyDescent="0.25">
      <c r="A10" s="5" t="s">
        <v>20</v>
      </c>
      <c r="B10" s="6" t="s">
        <v>21</v>
      </c>
      <c r="C10" s="6" t="s">
        <v>22</v>
      </c>
      <c r="D10" s="97" t="s">
        <v>23</v>
      </c>
      <c r="E10" s="98"/>
      <c r="F10" s="6" t="s">
        <v>24</v>
      </c>
      <c r="G10" s="7" t="s">
        <v>25</v>
      </c>
      <c r="H10" s="8" t="s">
        <v>26</v>
      </c>
      <c r="I10" s="9" t="s">
        <v>27</v>
      </c>
      <c r="J10" s="101" t="s">
        <v>28</v>
      </c>
      <c r="K10" s="102"/>
      <c r="L10" s="103"/>
      <c r="M10" s="10" t="s">
        <v>28</v>
      </c>
      <c r="N10" s="104" t="s">
        <v>29</v>
      </c>
      <c r="O10" s="105"/>
      <c r="P10" s="11" t="s">
        <v>30</v>
      </c>
      <c r="BK10" s="12" t="s">
        <v>31</v>
      </c>
      <c r="BL10" s="13" t="s">
        <v>32</v>
      </c>
      <c r="BW10" s="13" t="s">
        <v>33</v>
      </c>
    </row>
    <row r="11" spans="1:76" x14ac:dyDescent="0.25">
      <c r="A11" s="14" t="s">
        <v>4</v>
      </c>
      <c r="B11" s="15" t="s">
        <v>4</v>
      </c>
      <c r="C11" s="15" t="s">
        <v>4</v>
      </c>
      <c r="D11" s="99" t="s">
        <v>34</v>
      </c>
      <c r="E11" s="100"/>
      <c r="F11" s="15" t="s">
        <v>4</v>
      </c>
      <c r="G11" s="15" t="s">
        <v>4</v>
      </c>
      <c r="H11" s="16" t="s">
        <v>35</v>
      </c>
      <c r="I11" s="17" t="s">
        <v>4</v>
      </c>
      <c r="J11" s="18" t="s">
        <v>36</v>
      </c>
      <c r="K11" s="19" t="s">
        <v>37</v>
      </c>
      <c r="L11" s="20" t="s">
        <v>38</v>
      </c>
      <c r="M11" s="21" t="s">
        <v>39</v>
      </c>
      <c r="N11" s="22" t="s">
        <v>40</v>
      </c>
      <c r="O11" s="23" t="s">
        <v>38</v>
      </c>
      <c r="P11" s="24" t="s">
        <v>41</v>
      </c>
      <c r="Z11" s="12" t="s">
        <v>42</v>
      </c>
      <c r="AA11" s="12" t="s">
        <v>43</v>
      </c>
      <c r="AB11" s="12" t="s">
        <v>44</v>
      </c>
      <c r="AC11" s="12" t="s">
        <v>45</v>
      </c>
      <c r="AD11" s="12" t="s">
        <v>46</v>
      </c>
      <c r="AE11" s="12" t="s">
        <v>47</v>
      </c>
      <c r="AF11" s="12" t="s">
        <v>48</v>
      </c>
      <c r="AG11" s="12" t="s">
        <v>49</v>
      </c>
      <c r="AH11" s="12" t="s">
        <v>50</v>
      </c>
      <c r="BH11" s="12" t="s">
        <v>51</v>
      </c>
      <c r="BI11" s="12" t="s">
        <v>52</v>
      </c>
      <c r="BJ11" s="12" t="s">
        <v>53</v>
      </c>
    </row>
    <row r="12" spans="1:76" x14ac:dyDescent="0.25">
      <c r="A12" s="25" t="s">
        <v>54</v>
      </c>
      <c r="B12" s="26" t="s">
        <v>54</v>
      </c>
      <c r="C12" s="26" t="s">
        <v>55</v>
      </c>
      <c r="D12" s="106" t="s">
        <v>56</v>
      </c>
      <c r="E12" s="107"/>
      <c r="F12" s="27" t="s">
        <v>4</v>
      </c>
      <c r="G12" s="27" t="s">
        <v>4</v>
      </c>
      <c r="H12" s="27" t="s">
        <v>4</v>
      </c>
      <c r="I12" s="27" t="s">
        <v>4</v>
      </c>
      <c r="J12" s="28">
        <f>SUM(J13:J26)</f>
        <v>0</v>
      </c>
      <c r="K12" s="28">
        <f>SUM(K13:K26)</f>
        <v>0</v>
      </c>
      <c r="L12" s="28">
        <f>SUM(L13:L26)</f>
        <v>0</v>
      </c>
      <c r="M12" s="28">
        <f>SUM(M13:M26)</f>
        <v>0</v>
      </c>
      <c r="N12" s="29" t="s">
        <v>54</v>
      </c>
      <c r="O12" s="28">
        <f>SUM(O13:O26)</f>
        <v>412.66212000000002</v>
      </c>
      <c r="P12" s="30" t="s">
        <v>54</v>
      </c>
      <c r="AI12" s="12" t="s">
        <v>54</v>
      </c>
      <c r="AS12" s="1">
        <f>SUM(AJ13:AJ26)</f>
        <v>0</v>
      </c>
      <c r="AT12" s="1">
        <f>SUM(AK13:AK26)</f>
        <v>0</v>
      </c>
      <c r="AU12" s="1">
        <f>SUM(AL13:AL26)</f>
        <v>0</v>
      </c>
    </row>
    <row r="13" spans="1:76" x14ac:dyDescent="0.25">
      <c r="A13" s="2" t="s">
        <v>57</v>
      </c>
      <c r="B13" s="3" t="s">
        <v>54</v>
      </c>
      <c r="C13" s="3" t="s">
        <v>58</v>
      </c>
      <c r="D13" s="90" t="s">
        <v>59</v>
      </c>
      <c r="E13" s="85"/>
      <c r="F13" s="3" t="s">
        <v>60</v>
      </c>
      <c r="G13" s="31">
        <v>2100</v>
      </c>
      <c r="H13" s="31"/>
      <c r="I13" s="32"/>
      <c r="J13" s="31">
        <f t="shared" ref="J13:J26" si="0">ROUND(G13*AO13,2)</f>
        <v>0</v>
      </c>
      <c r="K13" s="31">
        <f t="shared" ref="K13:K26" si="1">ROUND(G13*AP13,2)</f>
        <v>0</v>
      </c>
      <c r="L13" s="31">
        <f t="shared" ref="L13:L26" si="2">ROUND(G13*H13,2)</f>
        <v>0</v>
      </c>
      <c r="M13" s="31">
        <f t="shared" ref="M13:M26" si="3">L13*(1+BW13/100)</f>
        <v>0</v>
      </c>
      <c r="N13" s="31">
        <v>0</v>
      </c>
      <c r="O13" s="31">
        <f t="shared" ref="O13:O26" si="4">G13*N13</f>
        <v>0</v>
      </c>
      <c r="P13" s="33" t="s">
        <v>61</v>
      </c>
      <c r="Z13" s="31">
        <f t="shared" ref="Z13:Z26" si="5">ROUND(IF(AQ13="5",BJ13,0),2)</f>
        <v>0</v>
      </c>
      <c r="AB13" s="31">
        <f t="shared" ref="AB13:AB26" si="6">ROUND(IF(AQ13="1",BH13,0),2)</f>
        <v>0</v>
      </c>
      <c r="AC13" s="31">
        <f t="shared" ref="AC13:AC26" si="7">ROUND(IF(AQ13="1",BI13,0),2)</f>
        <v>0</v>
      </c>
      <c r="AD13" s="31">
        <f t="shared" ref="AD13:AD26" si="8">ROUND(IF(AQ13="7",BH13,0),2)</f>
        <v>0</v>
      </c>
      <c r="AE13" s="31">
        <f t="shared" ref="AE13:AE26" si="9">ROUND(IF(AQ13="7",BI13,0),2)</f>
        <v>0</v>
      </c>
      <c r="AF13" s="31">
        <f t="shared" ref="AF13:AF26" si="10">ROUND(IF(AQ13="2",BH13,0),2)</f>
        <v>0</v>
      </c>
      <c r="AG13" s="31">
        <f t="shared" ref="AG13:AG26" si="11">ROUND(IF(AQ13="2",BI13,0),2)</f>
        <v>0</v>
      </c>
      <c r="AH13" s="31">
        <f t="shared" ref="AH13:AH26" si="12">ROUND(IF(AQ13="0",BJ13,0),2)</f>
        <v>0</v>
      </c>
      <c r="AI13" s="12" t="s">
        <v>54</v>
      </c>
      <c r="AJ13" s="31">
        <f t="shared" ref="AJ13:AJ26" si="13">IF(AN13=0,L13,0)</f>
        <v>0</v>
      </c>
      <c r="AK13" s="31">
        <f t="shared" ref="AK13:AK26" si="14">IF(AN13=12,L13,0)</f>
        <v>0</v>
      </c>
      <c r="AL13" s="31">
        <f t="shared" ref="AL13:AL26" si="15">IF(AN13=21,L13,0)</f>
        <v>0</v>
      </c>
      <c r="AN13" s="31">
        <v>12</v>
      </c>
      <c r="AO13" s="31">
        <f>H13*0</f>
        <v>0</v>
      </c>
      <c r="AP13" s="31">
        <f>H13*(1-0)</f>
        <v>0</v>
      </c>
      <c r="AQ13" s="34" t="s">
        <v>57</v>
      </c>
      <c r="AV13" s="31">
        <f t="shared" ref="AV13:AV26" si="16">ROUND(AW13+AX13,2)</f>
        <v>0</v>
      </c>
      <c r="AW13" s="31">
        <f t="shared" ref="AW13:AW26" si="17">ROUND(G13*AO13,2)</f>
        <v>0</v>
      </c>
      <c r="AX13" s="31">
        <f t="shared" ref="AX13:AX26" si="18">ROUND(G13*AP13,2)</f>
        <v>0</v>
      </c>
      <c r="AY13" s="34" t="s">
        <v>62</v>
      </c>
      <c r="AZ13" s="34" t="s">
        <v>63</v>
      </c>
      <c r="BA13" s="12" t="s">
        <v>64</v>
      </c>
      <c r="BC13" s="31">
        <f t="shared" ref="BC13:BC26" si="19">AW13+AX13</f>
        <v>0</v>
      </c>
      <c r="BD13" s="31">
        <f t="shared" ref="BD13:BD26" si="20">H13/(100-BE13)*100</f>
        <v>0</v>
      </c>
      <c r="BE13" s="31">
        <v>0</v>
      </c>
      <c r="BF13" s="31">
        <f t="shared" ref="BF13:BF26" si="21">O13</f>
        <v>0</v>
      </c>
      <c r="BH13" s="31">
        <f t="shared" ref="BH13:BH26" si="22">G13*AO13</f>
        <v>0</v>
      </c>
      <c r="BI13" s="31">
        <f t="shared" ref="BI13:BI26" si="23">G13*AP13</f>
        <v>0</v>
      </c>
      <c r="BJ13" s="31">
        <f t="shared" ref="BJ13:BJ26" si="24">G13*H13</f>
        <v>0</v>
      </c>
      <c r="BK13" s="34" t="s">
        <v>65</v>
      </c>
      <c r="BL13" s="31">
        <v>13</v>
      </c>
      <c r="BW13" s="31">
        <f t="shared" ref="BW13:BW26" si="25">I13</f>
        <v>0</v>
      </c>
      <c r="BX13" s="4" t="s">
        <v>59</v>
      </c>
    </row>
    <row r="14" spans="1:76" x14ac:dyDescent="0.25">
      <c r="A14" s="2" t="s">
        <v>66</v>
      </c>
      <c r="B14" s="3" t="s">
        <v>54</v>
      </c>
      <c r="C14" s="3" t="s">
        <v>67</v>
      </c>
      <c r="D14" s="90" t="s">
        <v>68</v>
      </c>
      <c r="E14" s="85"/>
      <c r="F14" s="3" t="s">
        <v>60</v>
      </c>
      <c r="G14" s="31">
        <v>2100</v>
      </c>
      <c r="H14" s="31"/>
      <c r="I14" s="32"/>
      <c r="J14" s="31">
        <f t="shared" si="0"/>
        <v>0</v>
      </c>
      <c r="K14" s="31">
        <f t="shared" si="1"/>
        <v>0</v>
      </c>
      <c r="L14" s="31">
        <f t="shared" si="2"/>
        <v>0</v>
      </c>
      <c r="M14" s="31">
        <f t="shared" si="3"/>
        <v>0</v>
      </c>
      <c r="N14" s="31">
        <v>0</v>
      </c>
      <c r="O14" s="31">
        <f t="shared" si="4"/>
        <v>0</v>
      </c>
      <c r="P14" s="33" t="s">
        <v>61</v>
      </c>
      <c r="Z14" s="31">
        <f t="shared" si="5"/>
        <v>0</v>
      </c>
      <c r="AB14" s="31">
        <f t="shared" si="6"/>
        <v>0</v>
      </c>
      <c r="AC14" s="31">
        <f t="shared" si="7"/>
        <v>0</v>
      </c>
      <c r="AD14" s="31">
        <f t="shared" si="8"/>
        <v>0</v>
      </c>
      <c r="AE14" s="31">
        <f t="shared" si="9"/>
        <v>0</v>
      </c>
      <c r="AF14" s="31">
        <f t="shared" si="10"/>
        <v>0</v>
      </c>
      <c r="AG14" s="31">
        <f t="shared" si="11"/>
        <v>0</v>
      </c>
      <c r="AH14" s="31">
        <f t="shared" si="12"/>
        <v>0</v>
      </c>
      <c r="AI14" s="12" t="s">
        <v>54</v>
      </c>
      <c r="AJ14" s="31">
        <f t="shared" si="13"/>
        <v>0</v>
      </c>
      <c r="AK14" s="31">
        <f t="shared" si="14"/>
        <v>0</v>
      </c>
      <c r="AL14" s="31">
        <f t="shared" si="15"/>
        <v>0</v>
      </c>
      <c r="AN14" s="31">
        <v>12</v>
      </c>
      <c r="AO14" s="31">
        <f>H14*0</f>
        <v>0</v>
      </c>
      <c r="AP14" s="31">
        <f>H14*(1-0)</f>
        <v>0</v>
      </c>
      <c r="AQ14" s="34" t="s">
        <v>57</v>
      </c>
      <c r="AV14" s="31">
        <f t="shared" si="16"/>
        <v>0</v>
      </c>
      <c r="AW14" s="31">
        <f t="shared" si="17"/>
        <v>0</v>
      </c>
      <c r="AX14" s="31">
        <f t="shared" si="18"/>
        <v>0</v>
      </c>
      <c r="AY14" s="34" t="s">
        <v>62</v>
      </c>
      <c r="AZ14" s="34" t="s">
        <v>63</v>
      </c>
      <c r="BA14" s="12" t="s">
        <v>64</v>
      </c>
      <c r="BC14" s="31">
        <f t="shared" si="19"/>
        <v>0</v>
      </c>
      <c r="BD14" s="31">
        <f t="shared" si="20"/>
        <v>0</v>
      </c>
      <c r="BE14" s="31">
        <v>0</v>
      </c>
      <c r="BF14" s="31">
        <f t="shared" si="21"/>
        <v>0</v>
      </c>
      <c r="BH14" s="31">
        <f t="shared" si="22"/>
        <v>0</v>
      </c>
      <c r="BI14" s="31">
        <f t="shared" si="23"/>
        <v>0</v>
      </c>
      <c r="BJ14" s="31">
        <f t="shared" si="24"/>
        <v>0</v>
      </c>
      <c r="BK14" s="34" t="s">
        <v>65</v>
      </c>
      <c r="BL14" s="31">
        <v>13</v>
      </c>
      <c r="BW14" s="31">
        <f t="shared" si="25"/>
        <v>0</v>
      </c>
      <c r="BX14" s="4" t="s">
        <v>68</v>
      </c>
    </row>
    <row r="15" spans="1:76" x14ac:dyDescent="0.25">
      <c r="A15" s="2" t="s">
        <v>69</v>
      </c>
      <c r="B15" s="3" t="s">
        <v>54</v>
      </c>
      <c r="C15" s="3" t="s">
        <v>70</v>
      </c>
      <c r="D15" s="90" t="s">
        <v>71</v>
      </c>
      <c r="E15" s="85"/>
      <c r="F15" s="3" t="s">
        <v>60</v>
      </c>
      <c r="G15" s="31">
        <v>2100</v>
      </c>
      <c r="H15" s="31"/>
      <c r="I15" s="32"/>
      <c r="J15" s="31">
        <f t="shared" si="0"/>
        <v>0</v>
      </c>
      <c r="K15" s="31">
        <f t="shared" si="1"/>
        <v>0</v>
      </c>
      <c r="L15" s="31">
        <f t="shared" si="2"/>
        <v>0</v>
      </c>
      <c r="M15" s="31">
        <f t="shared" si="3"/>
        <v>0</v>
      </c>
      <c r="N15" s="31">
        <v>0</v>
      </c>
      <c r="O15" s="31">
        <f t="shared" si="4"/>
        <v>0</v>
      </c>
      <c r="P15" s="33" t="s">
        <v>61</v>
      </c>
      <c r="Z15" s="31">
        <f t="shared" si="5"/>
        <v>0</v>
      </c>
      <c r="AB15" s="31">
        <f t="shared" si="6"/>
        <v>0</v>
      </c>
      <c r="AC15" s="31">
        <f t="shared" si="7"/>
        <v>0</v>
      </c>
      <c r="AD15" s="31">
        <f t="shared" si="8"/>
        <v>0</v>
      </c>
      <c r="AE15" s="31">
        <f t="shared" si="9"/>
        <v>0</v>
      </c>
      <c r="AF15" s="31">
        <f t="shared" si="10"/>
        <v>0</v>
      </c>
      <c r="AG15" s="31">
        <f t="shared" si="11"/>
        <v>0</v>
      </c>
      <c r="AH15" s="31">
        <f t="shared" si="12"/>
        <v>0</v>
      </c>
      <c r="AI15" s="12" t="s">
        <v>54</v>
      </c>
      <c r="AJ15" s="31">
        <f t="shared" si="13"/>
        <v>0</v>
      </c>
      <c r="AK15" s="31">
        <f t="shared" si="14"/>
        <v>0</v>
      </c>
      <c r="AL15" s="31">
        <f t="shared" si="15"/>
        <v>0</v>
      </c>
      <c r="AN15" s="31">
        <v>12</v>
      </c>
      <c r="AO15" s="31">
        <f>H15*0</f>
        <v>0</v>
      </c>
      <c r="AP15" s="31">
        <f>H15*(1-0)</f>
        <v>0</v>
      </c>
      <c r="AQ15" s="34" t="s">
        <v>57</v>
      </c>
      <c r="AV15" s="31">
        <f t="shared" si="16"/>
        <v>0</v>
      </c>
      <c r="AW15" s="31">
        <f t="shared" si="17"/>
        <v>0</v>
      </c>
      <c r="AX15" s="31">
        <f t="shared" si="18"/>
        <v>0</v>
      </c>
      <c r="AY15" s="34" t="s">
        <v>62</v>
      </c>
      <c r="AZ15" s="34" t="s">
        <v>63</v>
      </c>
      <c r="BA15" s="12" t="s">
        <v>64</v>
      </c>
      <c r="BC15" s="31">
        <f t="shared" si="19"/>
        <v>0</v>
      </c>
      <c r="BD15" s="31">
        <f t="shared" si="20"/>
        <v>0</v>
      </c>
      <c r="BE15" s="31">
        <v>0</v>
      </c>
      <c r="BF15" s="31">
        <f t="shared" si="21"/>
        <v>0</v>
      </c>
      <c r="BH15" s="31">
        <f t="shared" si="22"/>
        <v>0</v>
      </c>
      <c r="BI15" s="31">
        <f t="shared" si="23"/>
        <v>0</v>
      </c>
      <c r="BJ15" s="31">
        <f t="shared" si="24"/>
        <v>0</v>
      </c>
      <c r="BK15" s="34" t="s">
        <v>65</v>
      </c>
      <c r="BL15" s="31">
        <v>13</v>
      </c>
      <c r="BW15" s="31">
        <f t="shared" si="25"/>
        <v>0</v>
      </c>
      <c r="BX15" s="4" t="s">
        <v>71</v>
      </c>
    </row>
    <row r="16" spans="1:76" x14ac:dyDescent="0.25">
      <c r="A16" s="2" t="s">
        <v>72</v>
      </c>
      <c r="B16" s="3" t="s">
        <v>54</v>
      </c>
      <c r="C16" s="3" t="s">
        <v>73</v>
      </c>
      <c r="D16" s="90" t="s">
        <v>74</v>
      </c>
      <c r="E16" s="85"/>
      <c r="F16" s="3" t="s">
        <v>60</v>
      </c>
      <c r="G16" s="31">
        <v>2100</v>
      </c>
      <c r="H16" s="31"/>
      <c r="I16" s="32"/>
      <c r="J16" s="31">
        <f t="shared" si="0"/>
        <v>0</v>
      </c>
      <c r="K16" s="31">
        <f t="shared" si="1"/>
        <v>0</v>
      </c>
      <c r="L16" s="31">
        <f t="shared" si="2"/>
        <v>0</v>
      </c>
      <c r="M16" s="31">
        <f t="shared" si="3"/>
        <v>0</v>
      </c>
      <c r="N16" s="31">
        <v>0</v>
      </c>
      <c r="O16" s="31">
        <f t="shared" si="4"/>
        <v>0</v>
      </c>
      <c r="P16" s="33" t="s">
        <v>61</v>
      </c>
      <c r="Z16" s="31">
        <f t="shared" si="5"/>
        <v>0</v>
      </c>
      <c r="AB16" s="31">
        <f t="shared" si="6"/>
        <v>0</v>
      </c>
      <c r="AC16" s="31">
        <f t="shared" si="7"/>
        <v>0</v>
      </c>
      <c r="AD16" s="31">
        <f t="shared" si="8"/>
        <v>0</v>
      </c>
      <c r="AE16" s="31">
        <f t="shared" si="9"/>
        <v>0</v>
      </c>
      <c r="AF16" s="31">
        <f t="shared" si="10"/>
        <v>0</v>
      </c>
      <c r="AG16" s="31">
        <f t="shared" si="11"/>
        <v>0</v>
      </c>
      <c r="AH16" s="31">
        <f t="shared" si="12"/>
        <v>0</v>
      </c>
      <c r="AI16" s="12" t="s">
        <v>54</v>
      </c>
      <c r="AJ16" s="31">
        <f t="shared" si="13"/>
        <v>0</v>
      </c>
      <c r="AK16" s="31">
        <f t="shared" si="14"/>
        <v>0</v>
      </c>
      <c r="AL16" s="31">
        <f t="shared" si="15"/>
        <v>0</v>
      </c>
      <c r="AN16" s="31">
        <v>12</v>
      </c>
      <c r="AO16" s="31">
        <f>H16*0</f>
        <v>0</v>
      </c>
      <c r="AP16" s="31">
        <f>H16*(1-0)</f>
        <v>0</v>
      </c>
      <c r="AQ16" s="34" t="s">
        <v>57</v>
      </c>
      <c r="AV16" s="31">
        <f t="shared" si="16"/>
        <v>0</v>
      </c>
      <c r="AW16" s="31">
        <f t="shared" si="17"/>
        <v>0</v>
      </c>
      <c r="AX16" s="31">
        <f t="shared" si="18"/>
        <v>0</v>
      </c>
      <c r="AY16" s="34" t="s">
        <v>62</v>
      </c>
      <c r="AZ16" s="34" t="s">
        <v>63</v>
      </c>
      <c r="BA16" s="12" t="s">
        <v>64</v>
      </c>
      <c r="BC16" s="31">
        <f t="shared" si="19"/>
        <v>0</v>
      </c>
      <c r="BD16" s="31">
        <f t="shared" si="20"/>
        <v>0</v>
      </c>
      <c r="BE16" s="31">
        <v>0</v>
      </c>
      <c r="BF16" s="31">
        <f t="shared" si="21"/>
        <v>0</v>
      </c>
      <c r="BH16" s="31">
        <f t="shared" si="22"/>
        <v>0</v>
      </c>
      <c r="BI16" s="31">
        <f t="shared" si="23"/>
        <v>0</v>
      </c>
      <c r="BJ16" s="31">
        <f t="shared" si="24"/>
        <v>0</v>
      </c>
      <c r="BK16" s="34" t="s">
        <v>65</v>
      </c>
      <c r="BL16" s="31">
        <v>13</v>
      </c>
      <c r="BW16" s="31">
        <f t="shared" si="25"/>
        <v>0</v>
      </c>
      <c r="BX16" s="4" t="s">
        <v>74</v>
      </c>
    </row>
    <row r="17" spans="1:76" x14ac:dyDescent="0.25">
      <c r="A17" s="2" t="s">
        <v>75</v>
      </c>
      <c r="B17" s="3" t="s">
        <v>54</v>
      </c>
      <c r="C17" s="3" t="s">
        <v>76</v>
      </c>
      <c r="D17" s="90" t="s">
        <v>77</v>
      </c>
      <c r="E17" s="85"/>
      <c r="F17" s="3" t="s">
        <v>60</v>
      </c>
      <c r="G17" s="31">
        <v>50</v>
      </c>
      <c r="H17" s="31"/>
      <c r="I17" s="32"/>
      <c r="J17" s="31">
        <f t="shared" si="0"/>
        <v>0</v>
      </c>
      <c r="K17" s="31">
        <f t="shared" si="1"/>
        <v>0</v>
      </c>
      <c r="L17" s="31">
        <f t="shared" si="2"/>
        <v>0</v>
      </c>
      <c r="M17" s="31">
        <f t="shared" si="3"/>
        <v>0</v>
      </c>
      <c r="N17" s="31">
        <v>0</v>
      </c>
      <c r="O17" s="31">
        <f t="shared" si="4"/>
        <v>0</v>
      </c>
      <c r="P17" s="33" t="s">
        <v>61</v>
      </c>
      <c r="Z17" s="31">
        <f t="shared" si="5"/>
        <v>0</v>
      </c>
      <c r="AB17" s="31">
        <f t="shared" si="6"/>
        <v>0</v>
      </c>
      <c r="AC17" s="31">
        <f t="shared" si="7"/>
        <v>0</v>
      </c>
      <c r="AD17" s="31">
        <f t="shared" si="8"/>
        <v>0</v>
      </c>
      <c r="AE17" s="31">
        <f t="shared" si="9"/>
        <v>0</v>
      </c>
      <c r="AF17" s="31">
        <f t="shared" si="10"/>
        <v>0</v>
      </c>
      <c r="AG17" s="31">
        <f t="shared" si="11"/>
        <v>0</v>
      </c>
      <c r="AH17" s="31">
        <f t="shared" si="12"/>
        <v>0</v>
      </c>
      <c r="AI17" s="12" t="s">
        <v>54</v>
      </c>
      <c r="AJ17" s="31">
        <f t="shared" si="13"/>
        <v>0</v>
      </c>
      <c r="AK17" s="31">
        <f t="shared" si="14"/>
        <v>0</v>
      </c>
      <c r="AL17" s="31">
        <f t="shared" si="15"/>
        <v>0</v>
      </c>
      <c r="AN17" s="31">
        <v>12</v>
      </c>
      <c r="AO17" s="31">
        <f>H17*0</f>
        <v>0</v>
      </c>
      <c r="AP17" s="31">
        <f>H17*(1-0)</f>
        <v>0</v>
      </c>
      <c r="AQ17" s="34" t="s">
        <v>57</v>
      </c>
      <c r="AV17" s="31">
        <f t="shared" si="16"/>
        <v>0</v>
      </c>
      <c r="AW17" s="31">
        <f t="shared" si="17"/>
        <v>0</v>
      </c>
      <c r="AX17" s="31">
        <f t="shared" si="18"/>
        <v>0</v>
      </c>
      <c r="AY17" s="34" t="s">
        <v>62</v>
      </c>
      <c r="AZ17" s="34" t="s">
        <v>63</v>
      </c>
      <c r="BA17" s="12" t="s">
        <v>64</v>
      </c>
      <c r="BC17" s="31">
        <f t="shared" si="19"/>
        <v>0</v>
      </c>
      <c r="BD17" s="31">
        <f t="shared" si="20"/>
        <v>0</v>
      </c>
      <c r="BE17" s="31">
        <v>0</v>
      </c>
      <c r="BF17" s="31">
        <f t="shared" si="21"/>
        <v>0</v>
      </c>
      <c r="BH17" s="31">
        <f t="shared" si="22"/>
        <v>0</v>
      </c>
      <c r="BI17" s="31">
        <f t="shared" si="23"/>
        <v>0</v>
      </c>
      <c r="BJ17" s="31">
        <f t="shared" si="24"/>
        <v>0</v>
      </c>
      <c r="BK17" s="34" t="s">
        <v>65</v>
      </c>
      <c r="BL17" s="31">
        <v>13</v>
      </c>
      <c r="BW17" s="31">
        <f t="shared" si="25"/>
        <v>0</v>
      </c>
      <c r="BX17" s="4" t="s">
        <v>77</v>
      </c>
    </row>
    <row r="18" spans="1:76" x14ac:dyDescent="0.25">
      <c r="A18" s="2" t="s">
        <v>78</v>
      </c>
      <c r="B18" s="3" t="s">
        <v>54</v>
      </c>
      <c r="C18" s="3" t="s">
        <v>79</v>
      </c>
      <c r="D18" s="90" t="s">
        <v>80</v>
      </c>
      <c r="E18" s="85"/>
      <c r="F18" s="3" t="s">
        <v>81</v>
      </c>
      <c r="G18" s="31">
        <v>4</v>
      </c>
      <c r="H18" s="31"/>
      <c r="I18" s="32"/>
      <c r="J18" s="31">
        <f t="shared" si="0"/>
        <v>0</v>
      </c>
      <c r="K18" s="31">
        <f t="shared" si="1"/>
        <v>0</v>
      </c>
      <c r="L18" s="31">
        <f t="shared" si="2"/>
        <v>0</v>
      </c>
      <c r="M18" s="31">
        <f t="shared" si="3"/>
        <v>0</v>
      </c>
      <c r="N18" s="31">
        <v>2.478E-2</v>
      </c>
      <c r="O18" s="31">
        <f t="shared" si="4"/>
        <v>9.912E-2</v>
      </c>
      <c r="P18" s="33" t="s">
        <v>61</v>
      </c>
      <c r="Z18" s="31">
        <f t="shared" si="5"/>
        <v>0</v>
      </c>
      <c r="AB18" s="31">
        <f t="shared" si="6"/>
        <v>0</v>
      </c>
      <c r="AC18" s="31">
        <f t="shared" si="7"/>
        <v>0</v>
      </c>
      <c r="AD18" s="31">
        <f t="shared" si="8"/>
        <v>0</v>
      </c>
      <c r="AE18" s="31">
        <f t="shared" si="9"/>
        <v>0</v>
      </c>
      <c r="AF18" s="31">
        <f t="shared" si="10"/>
        <v>0</v>
      </c>
      <c r="AG18" s="31">
        <f t="shared" si="11"/>
        <v>0</v>
      </c>
      <c r="AH18" s="31">
        <f t="shared" si="12"/>
        <v>0</v>
      </c>
      <c r="AI18" s="12" t="s">
        <v>54</v>
      </c>
      <c r="AJ18" s="31">
        <f t="shared" si="13"/>
        <v>0</v>
      </c>
      <c r="AK18" s="31">
        <f t="shared" si="14"/>
        <v>0</v>
      </c>
      <c r="AL18" s="31">
        <f t="shared" si="15"/>
        <v>0</v>
      </c>
      <c r="AN18" s="31">
        <v>12</v>
      </c>
      <c r="AO18" s="31">
        <f>H18*0.247093788</f>
        <v>0</v>
      </c>
      <c r="AP18" s="31">
        <f>H18*(1-0.247093788)</f>
        <v>0</v>
      </c>
      <c r="AQ18" s="34" t="s">
        <v>57</v>
      </c>
      <c r="AV18" s="31">
        <f t="shared" si="16"/>
        <v>0</v>
      </c>
      <c r="AW18" s="31">
        <f t="shared" si="17"/>
        <v>0</v>
      </c>
      <c r="AX18" s="31">
        <f t="shared" si="18"/>
        <v>0</v>
      </c>
      <c r="AY18" s="34" t="s">
        <v>62</v>
      </c>
      <c r="AZ18" s="34" t="s">
        <v>63</v>
      </c>
      <c r="BA18" s="12" t="s">
        <v>64</v>
      </c>
      <c r="BC18" s="31">
        <f t="shared" si="19"/>
        <v>0</v>
      </c>
      <c r="BD18" s="31">
        <f t="shared" si="20"/>
        <v>0</v>
      </c>
      <c r="BE18" s="31">
        <v>0</v>
      </c>
      <c r="BF18" s="31">
        <f t="shared" si="21"/>
        <v>9.912E-2</v>
      </c>
      <c r="BH18" s="31">
        <f t="shared" si="22"/>
        <v>0</v>
      </c>
      <c r="BI18" s="31">
        <f t="shared" si="23"/>
        <v>0</v>
      </c>
      <c r="BJ18" s="31">
        <f t="shared" si="24"/>
        <v>0</v>
      </c>
      <c r="BK18" s="34" t="s">
        <v>65</v>
      </c>
      <c r="BL18" s="31">
        <v>13</v>
      </c>
      <c r="BW18" s="31">
        <f t="shared" si="25"/>
        <v>0</v>
      </c>
      <c r="BX18" s="4" t="s">
        <v>80</v>
      </c>
    </row>
    <row r="19" spans="1:76" x14ac:dyDescent="0.25">
      <c r="A19" s="2" t="s">
        <v>82</v>
      </c>
      <c r="B19" s="3" t="s">
        <v>54</v>
      </c>
      <c r="C19" s="3" t="s">
        <v>83</v>
      </c>
      <c r="D19" s="90" t="s">
        <v>84</v>
      </c>
      <c r="E19" s="85"/>
      <c r="F19" s="3" t="s">
        <v>81</v>
      </c>
      <c r="G19" s="31">
        <v>300</v>
      </c>
      <c r="H19" s="31"/>
      <c r="I19" s="32"/>
      <c r="J19" s="31">
        <f t="shared" si="0"/>
        <v>0</v>
      </c>
      <c r="K19" s="31">
        <f t="shared" si="1"/>
        <v>0</v>
      </c>
      <c r="L19" s="31">
        <f t="shared" si="2"/>
        <v>0</v>
      </c>
      <c r="M19" s="31">
        <f t="shared" si="3"/>
        <v>0</v>
      </c>
      <c r="N19" s="31">
        <v>1.519E-2</v>
      </c>
      <c r="O19" s="31">
        <f t="shared" si="4"/>
        <v>4.5570000000000004</v>
      </c>
      <c r="P19" s="33" t="s">
        <v>61</v>
      </c>
      <c r="Z19" s="31">
        <f t="shared" si="5"/>
        <v>0</v>
      </c>
      <c r="AB19" s="31">
        <f t="shared" si="6"/>
        <v>0</v>
      </c>
      <c r="AC19" s="31">
        <f t="shared" si="7"/>
        <v>0</v>
      </c>
      <c r="AD19" s="31">
        <f t="shared" si="8"/>
        <v>0</v>
      </c>
      <c r="AE19" s="31">
        <f t="shared" si="9"/>
        <v>0</v>
      </c>
      <c r="AF19" s="31">
        <f t="shared" si="10"/>
        <v>0</v>
      </c>
      <c r="AG19" s="31">
        <f t="shared" si="11"/>
        <v>0</v>
      </c>
      <c r="AH19" s="31">
        <f t="shared" si="12"/>
        <v>0</v>
      </c>
      <c r="AI19" s="12" t="s">
        <v>54</v>
      </c>
      <c r="AJ19" s="31">
        <f t="shared" si="13"/>
        <v>0</v>
      </c>
      <c r="AK19" s="31">
        <f t="shared" si="14"/>
        <v>0</v>
      </c>
      <c r="AL19" s="31">
        <f t="shared" si="15"/>
        <v>0</v>
      </c>
      <c r="AN19" s="31">
        <v>12</v>
      </c>
      <c r="AO19" s="31">
        <f>H19*0.279664</f>
        <v>0</v>
      </c>
      <c r="AP19" s="31">
        <f>H19*(1-0.279664)</f>
        <v>0</v>
      </c>
      <c r="AQ19" s="34" t="s">
        <v>66</v>
      </c>
      <c r="AV19" s="31">
        <f t="shared" si="16"/>
        <v>0</v>
      </c>
      <c r="AW19" s="31">
        <f t="shared" si="17"/>
        <v>0</v>
      </c>
      <c r="AX19" s="31">
        <f t="shared" si="18"/>
        <v>0</v>
      </c>
      <c r="AY19" s="34" t="s">
        <v>62</v>
      </c>
      <c r="AZ19" s="34" t="s">
        <v>63</v>
      </c>
      <c r="BA19" s="12" t="s">
        <v>64</v>
      </c>
      <c r="BC19" s="31">
        <f t="shared" si="19"/>
        <v>0</v>
      </c>
      <c r="BD19" s="31">
        <f t="shared" si="20"/>
        <v>0</v>
      </c>
      <c r="BE19" s="31">
        <v>0</v>
      </c>
      <c r="BF19" s="31">
        <f t="shared" si="21"/>
        <v>4.5570000000000004</v>
      </c>
      <c r="BH19" s="31">
        <f t="shared" si="22"/>
        <v>0</v>
      </c>
      <c r="BI19" s="31">
        <f t="shared" si="23"/>
        <v>0</v>
      </c>
      <c r="BJ19" s="31">
        <f t="shared" si="24"/>
        <v>0</v>
      </c>
      <c r="BK19" s="34" t="s">
        <v>65</v>
      </c>
      <c r="BL19" s="31">
        <v>13</v>
      </c>
      <c r="BW19" s="31">
        <f t="shared" si="25"/>
        <v>0</v>
      </c>
      <c r="BX19" s="4" t="s">
        <v>84</v>
      </c>
    </row>
    <row r="20" spans="1:76" x14ac:dyDescent="0.25">
      <c r="A20" s="2" t="s">
        <v>85</v>
      </c>
      <c r="B20" s="3" t="s">
        <v>54</v>
      </c>
      <c r="C20" s="3" t="s">
        <v>86</v>
      </c>
      <c r="D20" s="90" t="s">
        <v>87</v>
      </c>
      <c r="E20" s="85"/>
      <c r="F20" s="3" t="s">
        <v>81</v>
      </c>
      <c r="G20" s="31">
        <v>200</v>
      </c>
      <c r="H20" s="31"/>
      <c r="I20" s="32"/>
      <c r="J20" s="31">
        <f t="shared" si="0"/>
        <v>0</v>
      </c>
      <c r="K20" s="31">
        <f t="shared" si="1"/>
        <v>0</v>
      </c>
      <c r="L20" s="31">
        <f t="shared" si="2"/>
        <v>0</v>
      </c>
      <c r="M20" s="31">
        <f t="shared" si="3"/>
        <v>0</v>
      </c>
      <c r="N20" s="31">
        <v>3.108E-2</v>
      </c>
      <c r="O20" s="31">
        <f t="shared" si="4"/>
        <v>6.2160000000000002</v>
      </c>
      <c r="P20" s="33" t="s">
        <v>61</v>
      </c>
      <c r="Z20" s="31">
        <f t="shared" si="5"/>
        <v>0</v>
      </c>
      <c r="AB20" s="31">
        <f t="shared" si="6"/>
        <v>0</v>
      </c>
      <c r="AC20" s="31">
        <f t="shared" si="7"/>
        <v>0</v>
      </c>
      <c r="AD20" s="31">
        <f t="shared" si="8"/>
        <v>0</v>
      </c>
      <c r="AE20" s="31">
        <f t="shared" si="9"/>
        <v>0</v>
      </c>
      <c r="AF20" s="31">
        <f t="shared" si="10"/>
        <v>0</v>
      </c>
      <c r="AG20" s="31">
        <f t="shared" si="11"/>
        <v>0</v>
      </c>
      <c r="AH20" s="31">
        <f t="shared" si="12"/>
        <v>0</v>
      </c>
      <c r="AI20" s="12" t="s">
        <v>54</v>
      </c>
      <c r="AJ20" s="31">
        <f t="shared" si="13"/>
        <v>0</v>
      </c>
      <c r="AK20" s="31">
        <f t="shared" si="14"/>
        <v>0</v>
      </c>
      <c r="AL20" s="31">
        <f t="shared" si="15"/>
        <v>0</v>
      </c>
      <c r="AN20" s="31">
        <v>12</v>
      </c>
      <c r="AO20" s="31">
        <f>H20*0.244704413</f>
        <v>0</v>
      </c>
      <c r="AP20" s="31">
        <f>H20*(1-0.244704413)</f>
        <v>0</v>
      </c>
      <c r="AQ20" s="34" t="s">
        <v>66</v>
      </c>
      <c r="AV20" s="31">
        <f t="shared" si="16"/>
        <v>0</v>
      </c>
      <c r="AW20" s="31">
        <f t="shared" si="17"/>
        <v>0</v>
      </c>
      <c r="AX20" s="31">
        <f t="shared" si="18"/>
        <v>0</v>
      </c>
      <c r="AY20" s="34" t="s">
        <v>62</v>
      </c>
      <c r="AZ20" s="34" t="s">
        <v>63</v>
      </c>
      <c r="BA20" s="12" t="s">
        <v>64</v>
      </c>
      <c r="BC20" s="31">
        <f t="shared" si="19"/>
        <v>0</v>
      </c>
      <c r="BD20" s="31">
        <f t="shared" si="20"/>
        <v>0</v>
      </c>
      <c r="BE20" s="31">
        <v>0</v>
      </c>
      <c r="BF20" s="31">
        <f t="shared" si="21"/>
        <v>6.2160000000000002</v>
      </c>
      <c r="BH20" s="31">
        <f t="shared" si="22"/>
        <v>0</v>
      </c>
      <c r="BI20" s="31">
        <f t="shared" si="23"/>
        <v>0</v>
      </c>
      <c r="BJ20" s="31">
        <f t="shared" si="24"/>
        <v>0</v>
      </c>
      <c r="BK20" s="34" t="s">
        <v>65</v>
      </c>
      <c r="BL20" s="31">
        <v>13</v>
      </c>
      <c r="BW20" s="31">
        <f t="shared" si="25"/>
        <v>0</v>
      </c>
      <c r="BX20" s="4" t="s">
        <v>87</v>
      </c>
    </row>
    <row r="21" spans="1:76" x14ac:dyDescent="0.25">
      <c r="A21" s="2" t="s">
        <v>88</v>
      </c>
      <c r="B21" s="3" t="s">
        <v>54</v>
      </c>
      <c r="C21" s="3" t="s">
        <v>89</v>
      </c>
      <c r="D21" s="90" t="s">
        <v>90</v>
      </c>
      <c r="E21" s="85"/>
      <c r="F21" s="3" t="s">
        <v>81</v>
      </c>
      <c r="G21" s="31">
        <v>300</v>
      </c>
      <c r="H21" s="31"/>
      <c r="I21" s="32"/>
      <c r="J21" s="31">
        <f t="shared" si="0"/>
        <v>0</v>
      </c>
      <c r="K21" s="31">
        <f t="shared" si="1"/>
        <v>0</v>
      </c>
      <c r="L21" s="31">
        <f t="shared" si="2"/>
        <v>0</v>
      </c>
      <c r="M21" s="31">
        <f t="shared" si="3"/>
        <v>0</v>
      </c>
      <c r="N21" s="31">
        <v>0</v>
      </c>
      <c r="O21" s="31">
        <f t="shared" si="4"/>
        <v>0</v>
      </c>
      <c r="P21" s="33" t="s">
        <v>61</v>
      </c>
      <c r="Z21" s="31">
        <f t="shared" si="5"/>
        <v>0</v>
      </c>
      <c r="AB21" s="31">
        <f t="shared" si="6"/>
        <v>0</v>
      </c>
      <c r="AC21" s="31">
        <f t="shared" si="7"/>
        <v>0</v>
      </c>
      <c r="AD21" s="31">
        <f t="shared" si="8"/>
        <v>0</v>
      </c>
      <c r="AE21" s="31">
        <f t="shared" si="9"/>
        <v>0</v>
      </c>
      <c r="AF21" s="31">
        <f t="shared" si="10"/>
        <v>0</v>
      </c>
      <c r="AG21" s="31">
        <f t="shared" si="11"/>
        <v>0</v>
      </c>
      <c r="AH21" s="31">
        <f t="shared" si="12"/>
        <v>0</v>
      </c>
      <c r="AI21" s="12" t="s">
        <v>54</v>
      </c>
      <c r="AJ21" s="31">
        <f t="shared" si="13"/>
        <v>0</v>
      </c>
      <c r="AK21" s="31">
        <f t="shared" si="14"/>
        <v>0</v>
      </c>
      <c r="AL21" s="31">
        <f t="shared" si="15"/>
        <v>0</v>
      </c>
      <c r="AN21" s="31">
        <v>12</v>
      </c>
      <c r="AO21" s="31">
        <f>H21*0</f>
        <v>0</v>
      </c>
      <c r="AP21" s="31">
        <f>H21*(1-0)</f>
        <v>0</v>
      </c>
      <c r="AQ21" s="34" t="s">
        <v>66</v>
      </c>
      <c r="AV21" s="31">
        <f t="shared" si="16"/>
        <v>0</v>
      </c>
      <c r="AW21" s="31">
        <f t="shared" si="17"/>
        <v>0</v>
      </c>
      <c r="AX21" s="31">
        <f t="shared" si="18"/>
        <v>0</v>
      </c>
      <c r="AY21" s="34" t="s">
        <v>62</v>
      </c>
      <c r="AZ21" s="34" t="s">
        <v>63</v>
      </c>
      <c r="BA21" s="12" t="s">
        <v>64</v>
      </c>
      <c r="BC21" s="31">
        <f t="shared" si="19"/>
        <v>0</v>
      </c>
      <c r="BD21" s="31">
        <f t="shared" si="20"/>
        <v>0</v>
      </c>
      <c r="BE21" s="31">
        <v>0</v>
      </c>
      <c r="BF21" s="31">
        <f t="shared" si="21"/>
        <v>0</v>
      </c>
      <c r="BH21" s="31">
        <f t="shared" si="22"/>
        <v>0</v>
      </c>
      <c r="BI21" s="31">
        <f t="shared" si="23"/>
        <v>0</v>
      </c>
      <c r="BJ21" s="31">
        <f t="shared" si="24"/>
        <v>0</v>
      </c>
      <c r="BK21" s="34" t="s">
        <v>65</v>
      </c>
      <c r="BL21" s="31">
        <v>13</v>
      </c>
      <c r="BW21" s="31">
        <f t="shared" si="25"/>
        <v>0</v>
      </c>
      <c r="BX21" s="4" t="s">
        <v>90</v>
      </c>
    </row>
    <row r="22" spans="1:76" x14ac:dyDescent="0.25">
      <c r="A22" s="2" t="s">
        <v>91</v>
      </c>
      <c r="B22" s="3" t="s">
        <v>54</v>
      </c>
      <c r="C22" s="3" t="s">
        <v>92</v>
      </c>
      <c r="D22" s="90" t="s">
        <v>93</v>
      </c>
      <c r="E22" s="85"/>
      <c r="F22" s="3" t="s">
        <v>81</v>
      </c>
      <c r="G22" s="31">
        <v>200</v>
      </c>
      <c r="H22" s="31"/>
      <c r="I22" s="32"/>
      <c r="J22" s="31">
        <f t="shared" si="0"/>
        <v>0</v>
      </c>
      <c r="K22" s="31">
        <f t="shared" si="1"/>
        <v>0</v>
      </c>
      <c r="L22" s="31">
        <f t="shared" si="2"/>
        <v>0</v>
      </c>
      <c r="M22" s="31">
        <f t="shared" si="3"/>
        <v>0</v>
      </c>
      <c r="N22" s="31">
        <v>0</v>
      </c>
      <c r="O22" s="31">
        <f t="shared" si="4"/>
        <v>0</v>
      </c>
      <c r="P22" s="33" t="s">
        <v>61</v>
      </c>
      <c r="Z22" s="31">
        <f t="shared" si="5"/>
        <v>0</v>
      </c>
      <c r="AB22" s="31">
        <f t="shared" si="6"/>
        <v>0</v>
      </c>
      <c r="AC22" s="31">
        <f t="shared" si="7"/>
        <v>0</v>
      </c>
      <c r="AD22" s="31">
        <f t="shared" si="8"/>
        <v>0</v>
      </c>
      <c r="AE22" s="31">
        <f t="shared" si="9"/>
        <v>0</v>
      </c>
      <c r="AF22" s="31">
        <f t="shared" si="10"/>
        <v>0</v>
      </c>
      <c r="AG22" s="31">
        <f t="shared" si="11"/>
        <v>0</v>
      </c>
      <c r="AH22" s="31">
        <f t="shared" si="12"/>
        <v>0</v>
      </c>
      <c r="AI22" s="12" t="s">
        <v>54</v>
      </c>
      <c r="AJ22" s="31">
        <f t="shared" si="13"/>
        <v>0</v>
      </c>
      <c r="AK22" s="31">
        <f t="shared" si="14"/>
        <v>0</v>
      </c>
      <c r="AL22" s="31">
        <f t="shared" si="15"/>
        <v>0</v>
      </c>
      <c r="AN22" s="31">
        <v>12</v>
      </c>
      <c r="AO22" s="31">
        <f>H22*0</f>
        <v>0</v>
      </c>
      <c r="AP22" s="31">
        <f>H22*(1-0)</f>
        <v>0</v>
      </c>
      <c r="AQ22" s="34" t="s">
        <v>66</v>
      </c>
      <c r="AV22" s="31">
        <f t="shared" si="16"/>
        <v>0</v>
      </c>
      <c r="AW22" s="31">
        <f t="shared" si="17"/>
        <v>0</v>
      </c>
      <c r="AX22" s="31">
        <f t="shared" si="18"/>
        <v>0</v>
      </c>
      <c r="AY22" s="34" t="s">
        <v>62</v>
      </c>
      <c r="AZ22" s="34" t="s">
        <v>63</v>
      </c>
      <c r="BA22" s="12" t="s">
        <v>64</v>
      </c>
      <c r="BC22" s="31">
        <f t="shared" si="19"/>
        <v>0</v>
      </c>
      <c r="BD22" s="31">
        <f t="shared" si="20"/>
        <v>0</v>
      </c>
      <c r="BE22" s="31">
        <v>0</v>
      </c>
      <c r="BF22" s="31">
        <f t="shared" si="21"/>
        <v>0</v>
      </c>
      <c r="BH22" s="31">
        <f t="shared" si="22"/>
        <v>0</v>
      </c>
      <c r="BI22" s="31">
        <f t="shared" si="23"/>
        <v>0</v>
      </c>
      <c r="BJ22" s="31">
        <f t="shared" si="24"/>
        <v>0</v>
      </c>
      <c r="BK22" s="34" t="s">
        <v>65</v>
      </c>
      <c r="BL22" s="31">
        <v>13</v>
      </c>
      <c r="BW22" s="31">
        <f t="shared" si="25"/>
        <v>0</v>
      </c>
      <c r="BX22" s="4" t="s">
        <v>93</v>
      </c>
    </row>
    <row r="23" spans="1:76" x14ac:dyDescent="0.25">
      <c r="A23" s="2" t="s">
        <v>94</v>
      </c>
      <c r="B23" s="3" t="s">
        <v>54</v>
      </c>
      <c r="C23" s="3" t="s">
        <v>95</v>
      </c>
      <c r="D23" s="90" t="s">
        <v>96</v>
      </c>
      <c r="E23" s="85"/>
      <c r="F23" s="3" t="s">
        <v>60</v>
      </c>
      <c r="G23" s="31">
        <v>3500</v>
      </c>
      <c r="H23" s="31"/>
      <c r="I23" s="32"/>
      <c r="J23" s="31">
        <f t="shared" si="0"/>
        <v>0</v>
      </c>
      <c r="K23" s="31">
        <f t="shared" si="1"/>
        <v>0</v>
      </c>
      <c r="L23" s="31">
        <f t="shared" si="2"/>
        <v>0</v>
      </c>
      <c r="M23" s="31">
        <f t="shared" si="3"/>
        <v>0</v>
      </c>
      <c r="N23" s="31">
        <v>0</v>
      </c>
      <c r="O23" s="31">
        <f t="shared" si="4"/>
        <v>0</v>
      </c>
      <c r="P23" s="33" t="s">
        <v>61</v>
      </c>
      <c r="Z23" s="31">
        <f t="shared" si="5"/>
        <v>0</v>
      </c>
      <c r="AB23" s="31">
        <f t="shared" si="6"/>
        <v>0</v>
      </c>
      <c r="AC23" s="31">
        <f t="shared" si="7"/>
        <v>0</v>
      </c>
      <c r="AD23" s="31">
        <f t="shared" si="8"/>
        <v>0</v>
      </c>
      <c r="AE23" s="31">
        <f t="shared" si="9"/>
        <v>0</v>
      </c>
      <c r="AF23" s="31">
        <f t="shared" si="10"/>
        <v>0</v>
      </c>
      <c r="AG23" s="31">
        <f t="shared" si="11"/>
        <v>0</v>
      </c>
      <c r="AH23" s="31">
        <f t="shared" si="12"/>
        <v>0</v>
      </c>
      <c r="AI23" s="12" t="s">
        <v>54</v>
      </c>
      <c r="AJ23" s="31">
        <f t="shared" si="13"/>
        <v>0</v>
      </c>
      <c r="AK23" s="31">
        <f t="shared" si="14"/>
        <v>0</v>
      </c>
      <c r="AL23" s="31">
        <f t="shared" si="15"/>
        <v>0</v>
      </c>
      <c r="AN23" s="31">
        <v>12</v>
      </c>
      <c r="AO23" s="31">
        <f>H23*0</f>
        <v>0</v>
      </c>
      <c r="AP23" s="31">
        <f>H23*(1-0)</f>
        <v>0</v>
      </c>
      <c r="AQ23" s="34" t="s">
        <v>57</v>
      </c>
      <c r="AV23" s="31">
        <f t="shared" si="16"/>
        <v>0</v>
      </c>
      <c r="AW23" s="31">
        <f t="shared" si="17"/>
        <v>0</v>
      </c>
      <c r="AX23" s="31">
        <f t="shared" si="18"/>
        <v>0</v>
      </c>
      <c r="AY23" s="34" t="s">
        <v>62</v>
      </c>
      <c r="AZ23" s="34" t="s">
        <v>63</v>
      </c>
      <c r="BA23" s="12" t="s">
        <v>64</v>
      </c>
      <c r="BC23" s="31">
        <f t="shared" si="19"/>
        <v>0</v>
      </c>
      <c r="BD23" s="31">
        <f t="shared" si="20"/>
        <v>0</v>
      </c>
      <c r="BE23" s="31">
        <v>0</v>
      </c>
      <c r="BF23" s="31">
        <f t="shared" si="21"/>
        <v>0</v>
      </c>
      <c r="BH23" s="31">
        <f t="shared" si="22"/>
        <v>0</v>
      </c>
      <c r="BI23" s="31">
        <f t="shared" si="23"/>
        <v>0</v>
      </c>
      <c r="BJ23" s="31">
        <f t="shared" si="24"/>
        <v>0</v>
      </c>
      <c r="BK23" s="34" t="s">
        <v>65</v>
      </c>
      <c r="BL23" s="31">
        <v>13</v>
      </c>
      <c r="BW23" s="31">
        <f t="shared" si="25"/>
        <v>0</v>
      </c>
      <c r="BX23" s="4" t="s">
        <v>96</v>
      </c>
    </row>
    <row r="24" spans="1:76" x14ac:dyDescent="0.25">
      <c r="A24" s="2" t="s">
        <v>97</v>
      </c>
      <c r="B24" s="3" t="s">
        <v>54</v>
      </c>
      <c r="C24" s="3" t="s">
        <v>98</v>
      </c>
      <c r="D24" s="90" t="s">
        <v>99</v>
      </c>
      <c r="E24" s="85"/>
      <c r="F24" s="3" t="s">
        <v>60</v>
      </c>
      <c r="G24" s="31">
        <v>500</v>
      </c>
      <c r="H24" s="31"/>
      <c r="I24" s="32"/>
      <c r="J24" s="31">
        <f t="shared" si="0"/>
        <v>0</v>
      </c>
      <c r="K24" s="31">
        <f t="shared" si="1"/>
        <v>0</v>
      </c>
      <c r="L24" s="31">
        <f t="shared" si="2"/>
        <v>0</v>
      </c>
      <c r="M24" s="31">
        <f t="shared" si="3"/>
        <v>0</v>
      </c>
      <c r="N24" s="31">
        <v>0</v>
      </c>
      <c r="O24" s="31">
        <f t="shared" si="4"/>
        <v>0</v>
      </c>
      <c r="P24" s="33" t="s">
        <v>61</v>
      </c>
      <c r="Z24" s="31">
        <f t="shared" si="5"/>
        <v>0</v>
      </c>
      <c r="AB24" s="31">
        <f t="shared" si="6"/>
        <v>0</v>
      </c>
      <c r="AC24" s="31">
        <f t="shared" si="7"/>
        <v>0</v>
      </c>
      <c r="AD24" s="31">
        <f t="shared" si="8"/>
        <v>0</v>
      </c>
      <c r="AE24" s="31">
        <f t="shared" si="9"/>
        <v>0</v>
      </c>
      <c r="AF24" s="31">
        <f t="shared" si="10"/>
        <v>0</v>
      </c>
      <c r="AG24" s="31">
        <f t="shared" si="11"/>
        <v>0</v>
      </c>
      <c r="AH24" s="31">
        <f t="shared" si="12"/>
        <v>0</v>
      </c>
      <c r="AI24" s="12" t="s">
        <v>54</v>
      </c>
      <c r="AJ24" s="31">
        <f t="shared" si="13"/>
        <v>0</v>
      </c>
      <c r="AK24" s="31">
        <f t="shared" si="14"/>
        <v>0</v>
      </c>
      <c r="AL24" s="31">
        <f t="shared" si="15"/>
        <v>0</v>
      </c>
      <c r="AN24" s="31">
        <v>12</v>
      </c>
      <c r="AO24" s="31">
        <f>H24*0</f>
        <v>0</v>
      </c>
      <c r="AP24" s="31">
        <f>H24*(1-0)</f>
        <v>0</v>
      </c>
      <c r="AQ24" s="34" t="s">
        <v>57</v>
      </c>
      <c r="AV24" s="31">
        <f t="shared" si="16"/>
        <v>0</v>
      </c>
      <c r="AW24" s="31">
        <f t="shared" si="17"/>
        <v>0</v>
      </c>
      <c r="AX24" s="31">
        <f t="shared" si="18"/>
        <v>0</v>
      </c>
      <c r="AY24" s="34" t="s">
        <v>62</v>
      </c>
      <c r="AZ24" s="34" t="s">
        <v>63</v>
      </c>
      <c r="BA24" s="12" t="s">
        <v>64</v>
      </c>
      <c r="BC24" s="31">
        <f t="shared" si="19"/>
        <v>0</v>
      </c>
      <c r="BD24" s="31">
        <f t="shared" si="20"/>
        <v>0</v>
      </c>
      <c r="BE24" s="31">
        <v>0</v>
      </c>
      <c r="BF24" s="31">
        <f t="shared" si="21"/>
        <v>0</v>
      </c>
      <c r="BH24" s="31">
        <f t="shared" si="22"/>
        <v>0</v>
      </c>
      <c r="BI24" s="31">
        <f t="shared" si="23"/>
        <v>0</v>
      </c>
      <c r="BJ24" s="31">
        <f t="shared" si="24"/>
        <v>0</v>
      </c>
      <c r="BK24" s="34" t="s">
        <v>65</v>
      </c>
      <c r="BL24" s="31">
        <v>13</v>
      </c>
      <c r="BW24" s="31">
        <f t="shared" si="25"/>
        <v>0</v>
      </c>
      <c r="BX24" s="4" t="s">
        <v>99</v>
      </c>
    </row>
    <row r="25" spans="1:76" x14ac:dyDescent="0.25">
      <c r="A25" s="2" t="s">
        <v>55</v>
      </c>
      <c r="B25" s="3" t="s">
        <v>54</v>
      </c>
      <c r="C25" s="3" t="s">
        <v>100</v>
      </c>
      <c r="D25" s="90" t="s">
        <v>101</v>
      </c>
      <c r="E25" s="85"/>
      <c r="F25" s="3" t="s">
        <v>60</v>
      </c>
      <c r="G25" s="31">
        <v>200</v>
      </c>
      <c r="H25" s="31"/>
      <c r="I25" s="32"/>
      <c r="J25" s="31">
        <f t="shared" si="0"/>
        <v>0</v>
      </c>
      <c r="K25" s="31">
        <f t="shared" si="1"/>
        <v>0</v>
      </c>
      <c r="L25" s="31">
        <f t="shared" si="2"/>
        <v>0</v>
      </c>
      <c r="M25" s="31">
        <f t="shared" si="3"/>
        <v>0</v>
      </c>
      <c r="N25" s="31">
        <v>1.1322000000000001</v>
      </c>
      <c r="O25" s="31">
        <f t="shared" si="4"/>
        <v>226.44000000000003</v>
      </c>
      <c r="P25" s="33" t="s">
        <v>61</v>
      </c>
      <c r="Z25" s="31">
        <f t="shared" si="5"/>
        <v>0</v>
      </c>
      <c r="AB25" s="31">
        <f t="shared" si="6"/>
        <v>0</v>
      </c>
      <c r="AC25" s="31">
        <f t="shared" si="7"/>
        <v>0</v>
      </c>
      <c r="AD25" s="31">
        <f t="shared" si="8"/>
        <v>0</v>
      </c>
      <c r="AE25" s="31">
        <f t="shared" si="9"/>
        <v>0</v>
      </c>
      <c r="AF25" s="31">
        <f t="shared" si="10"/>
        <v>0</v>
      </c>
      <c r="AG25" s="31">
        <f t="shared" si="11"/>
        <v>0</v>
      </c>
      <c r="AH25" s="31">
        <f t="shared" si="12"/>
        <v>0</v>
      </c>
      <c r="AI25" s="12" t="s">
        <v>54</v>
      </c>
      <c r="AJ25" s="31">
        <f t="shared" si="13"/>
        <v>0</v>
      </c>
      <c r="AK25" s="31">
        <f t="shared" si="14"/>
        <v>0</v>
      </c>
      <c r="AL25" s="31">
        <f t="shared" si="15"/>
        <v>0</v>
      </c>
      <c r="AN25" s="31">
        <v>12</v>
      </c>
      <c r="AO25" s="31">
        <f>H25*0.451860014</f>
        <v>0</v>
      </c>
      <c r="AP25" s="31">
        <f>H25*(1-0.451860014)</f>
        <v>0</v>
      </c>
      <c r="AQ25" s="34" t="s">
        <v>57</v>
      </c>
      <c r="AV25" s="31">
        <f t="shared" si="16"/>
        <v>0</v>
      </c>
      <c r="AW25" s="31">
        <f t="shared" si="17"/>
        <v>0</v>
      </c>
      <c r="AX25" s="31">
        <f t="shared" si="18"/>
        <v>0</v>
      </c>
      <c r="AY25" s="34" t="s">
        <v>62</v>
      </c>
      <c r="AZ25" s="34" t="s">
        <v>63</v>
      </c>
      <c r="BA25" s="12" t="s">
        <v>64</v>
      </c>
      <c r="BC25" s="31">
        <f t="shared" si="19"/>
        <v>0</v>
      </c>
      <c r="BD25" s="31">
        <f t="shared" si="20"/>
        <v>0</v>
      </c>
      <c r="BE25" s="31">
        <v>0</v>
      </c>
      <c r="BF25" s="31">
        <f t="shared" si="21"/>
        <v>226.44000000000003</v>
      </c>
      <c r="BH25" s="31">
        <f t="shared" si="22"/>
        <v>0</v>
      </c>
      <c r="BI25" s="31">
        <f t="shared" si="23"/>
        <v>0</v>
      </c>
      <c r="BJ25" s="31">
        <f t="shared" si="24"/>
        <v>0</v>
      </c>
      <c r="BK25" s="34" t="s">
        <v>65</v>
      </c>
      <c r="BL25" s="31">
        <v>13</v>
      </c>
      <c r="BW25" s="31">
        <f t="shared" si="25"/>
        <v>0</v>
      </c>
      <c r="BX25" s="4" t="s">
        <v>101</v>
      </c>
    </row>
    <row r="26" spans="1:76" x14ac:dyDescent="0.25">
      <c r="A26" s="2" t="s">
        <v>102</v>
      </c>
      <c r="B26" s="3" t="s">
        <v>54</v>
      </c>
      <c r="C26" s="3" t="s">
        <v>103</v>
      </c>
      <c r="D26" s="90" t="s">
        <v>104</v>
      </c>
      <c r="E26" s="85"/>
      <c r="F26" s="3" t="s">
        <v>60</v>
      </c>
      <c r="G26" s="31">
        <v>100</v>
      </c>
      <c r="H26" s="31"/>
      <c r="I26" s="32"/>
      <c r="J26" s="31">
        <f t="shared" si="0"/>
        <v>0</v>
      </c>
      <c r="K26" s="31">
        <f t="shared" si="1"/>
        <v>0</v>
      </c>
      <c r="L26" s="31">
        <f t="shared" si="2"/>
        <v>0</v>
      </c>
      <c r="M26" s="31">
        <f t="shared" si="3"/>
        <v>0</v>
      </c>
      <c r="N26" s="31">
        <v>1.7535000000000001</v>
      </c>
      <c r="O26" s="31">
        <f t="shared" si="4"/>
        <v>175.35</v>
      </c>
      <c r="P26" s="33" t="s">
        <v>61</v>
      </c>
      <c r="Z26" s="31">
        <f t="shared" si="5"/>
        <v>0</v>
      </c>
      <c r="AB26" s="31">
        <f t="shared" si="6"/>
        <v>0</v>
      </c>
      <c r="AC26" s="31">
        <f t="shared" si="7"/>
        <v>0</v>
      </c>
      <c r="AD26" s="31">
        <f t="shared" si="8"/>
        <v>0</v>
      </c>
      <c r="AE26" s="31">
        <f t="shared" si="9"/>
        <v>0</v>
      </c>
      <c r="AF26" s="31">
        <f t="shared" si="10"/>
        <v>0</v>
      </c>
      <c r="AG26" s="31">
        <f t="shared" si="11"/>
        <v>0</v>
      </c>
      <c r="AH26" s="31">
        <f t="shared" si="12"/>
        <v>0</v>
      </c>
      <c r="AI26" s="12" t="s">
        <v>54</v>
      </c>
      <c r="AJ26" s="31">
        <f t="shared" si="13"/>
        <v>0</v>
      </c>
      <c r="AK26" s="31">
        <f t="shared" si="14"/>
        <v>0</v>
      </c>
      <c r="AL26" s="31">
        <f t="shared" si="15"/>
        <v>0</v>
      </c>
      <c r="AN26" s="31">
        <v>12</v>
      </c>
      <c r="AO26" s="31">
        <f>H26*0.861722222</f>
        <v>0</v>
      </c>
      <c r="AP26" s="31">
        <f>H26*(1-0.861722222)</f>
        <v>0</v>
      </c>
      <c r="AQ26" s="34" t="s">
        <v>57</v>
      </c>
      <c r="AV26" s="31">
        <f t="shared" si="16"/>
        <v>0</v>
      </c>
      <c r="AW26" s="31">
        <f t="shared" si="17"/>
        <v>0</v>
      </c>
      <c r="AX26" s="31">
        <f t="shared" si="18"/>
        <v>0</v>
      </c>
      <c r="AY26" s="34" t="s">
        <v>62</v>
      </c>
      <c r="AZ26" s="34" t="s">
        <v>63</v>
      </c>
      <c r="BA26" s="12" t="s">
        <v>64</v>
      </c>
      <c r="BC26" s="31">
        <f t="shared" si="19"/>
        <v>0</v>
      </c>
      <c r="BD26" s="31">
        <f t="shared" si="20"/>
        <v>0</v>
      </c>
      <c r="BE26" s="31">
        <v>0</v>
      </c>
      <c r="BF26" s="31">
        <f t="shared" si="21"/>
        <v>175.35</v>
      </c>
      <c r="BH26" s="31">
        <f t="shared" si="22"/>
        <v>0</v>
      </c>
      <c r="BI26" s="31">
        <f t="shared" si="23"/>
        <v>0</v>
      </c>
      <c r="BJ26" s="31">
        <f t="shared" si="24"/>
        <v>0</v>
      </c>
      <c r="BK26" s="34" t="s">
        <v>65</v>
      </c>
      <c r="BL26" s="31">
        <v>13</v>
      </c>
      <c r="BW26" s="31">
        <f t="shared" si="25"/>
        <v>0</v>
      </c>
      <c r="BX26" s="4" t="s">
        <v>104</v>
      </c>
    </row>
    <row r="27" spans="1:76" x14ac:dyDescent="0.25">
      <c r="A27" s="35" t="s">
        <v>54</v>
      </c>
      <c r="B27" s="36" t="s">
        <v>54</v>
      </c>
      <c r="C27" s="36" t="s">
        <v>105</v>
      </c>
      <c r="D27" s="108" t="s">
        <v>106</v>
      </c>
      <c r="E27" s="109"/>
      <c r="F27" s="37" t="s">
        <v>4</v>
      </c>
      <c r="G27" s="37" t="s">
        <v>4</v>
      </c>
      <c r="H27" s="37"/>
      <c r="I27" s="37"/>
      <c r="J27" s="1">
        <f>SUM(J28:J34)</f>
        <v>0</v>
      </c>
      <c r="K27" s="1">
        <f>SUM(K28:K34)</f>
        <v>0</v>
      </c>
      <c r="L27" s="1">
        <f>SUM(L28:L34)</f>
        <v>0</v>
      </c>
      <c r="M27" s="1">
        <f>SUM(M28:M34)</f>
        <v>0</v>
      </c>
      <c r="N27" s="12" t="s">
        <v>54</v>
      </c>
      <c r="O27" s="1">
        <f>SUM(O28:O34)</f>
        <v>81.816000000000003</v>
      </c>
      <c r="P27" s="38" t="s">
        <v>54</v>
      </c>
      <c r="AI27" s="12" t="s">
        <v>54</v>
      </c>
      <c r="AS27" s="1">
        <f>SUM(AJ28:AJ34)</f>
        <v>0</v>
      </c>
      <c r="AT27" s="1">
        <f>SUM(AK28:AK34)</f>
        <v>0</v>
      </c>
      <c r="AU27" s="1">
        <f>SUM(AL28:AL34)</f>
        <v>0</v>
      </c>
    </row>
    <row r="28" spans="1:76" x14ac:dyDescent="0.25">
      <c r="A28" s="2" t="s">
        <v>107</v>
      </c>
      <c r="B28" s="3" t="s">
        <v>54</v>
      </c>
      <c r="C28" s="3" t="s">
        <v>108</v>
      </c>
      <c r="D28" s="90" t="s">
        <v>109</v>
      </c>
      <c r="E28" s="85"/>
      <c r="F28" s="3" t="s">
        <v>81</v>
      </c>
      <c r="G28" s="31">
        <v>200</v>
      </c>
      <c r="H28" s="31"/>
      <c r="I28" s="32"/>
      <c r="J28" s="31">
        <f t="shared" ref="J28:J34" si="26">ROUND(G28*AO28,2)</f>
        <v>0</v>
      </c>
      <c r="K28" s="31">
        <f t="shared" ref="K28:K34" si="27">ROUND(G28*AP28,2)</f>
        <v>0</v>
      </c>
      <c r="L28" s="31">
        <f t="shared" ref="L28:L34" si="28">ROUND(G28*H28,2)</f>
        <v>0</v>
      </c>
      <c r="M28" s="31">
        <f t="shared" ref="M28:M34" si="29">L28*(1+BW28/100)</f>
        <v>0</v>
      </c>
      <c r="N28" s="31">
        <v>0.40392</v>
      </c>
      <c r="O28" s="31">
        <f t="shared" ref="O28:O34" si="30">G28*N28</f>
        <v>80.784000000000006</v>
      </c>
      <c r="P28" s="33" t="s">
        <v>61</v>
      </c>
      <c r="Z28" s="31">
        <f t="shared" ref="Z28:Z34" si="31">ROUND(IF(AQ28="5",BJ28,0),2)</f>
        <v>0</v>
      </c>
      <c r="AB28" s="31">
        <f t="shared" ref="AB28:AB34" si="32">ROUND(IF(AQ28="1",BH28,0),2)</f>
        <v>0</v>
      </c>
      <c r="AC28" s="31">
        <f t="shared" ref="AC28:AC34" si="33">ROUND(IF(AQ28="1",BI28,0),2)</f>
        <v>0</v>
      </c>
      <c r="AD28" s="31">
        <f t="shared" ref="AD28:AD34" si="34">ROUND(IF(AQ28="7",BH28,0),2)</f>
        <v>0</v>
      </c>
      <c r="AE28" s="31">
        <f t="shared" ref="AE28:AE34" si="35">ROUND(IF(AQ28="7",BI28,0),2)</f>
        <v>0</v>
      </c>
      <c r="AF28" s="31">
        <f t="shared" ref="AF28:AF34" si="36">ROUND(IF(AQ28="2",BH28,0),2)</f>
        <v>0</v>
      </c>
      <c r="AG28" s="31">
        <f t="shared" ref="AG28:AG34" si="37">ROUND(IF(AQ28="2",BI28,0),2)</f>
        <v>0</v>
      </c>
      <c r="AH28" s="31">
        <f t="shared" ref="AH28:AH34" si="38">ROUND(IF(AQ28="0",BJ28,0),2)</f>
        <v>0</v>
      </c>
      <c r="AI28" s="12" t="s">
        <v>54</v>
      </c>
      <c r="AJ28" s="31">
        <f t="shared" ref="AJ28:AJ34" si="39">IF(AN28=0,L28,0)</f>
        <v>0</v>
      </c>
      <c r="AK28" s="31">
        <f t="shared" ref="AK28:AK34" si="40">IF(AN28=12,L28,0)</f>
        <v>0</v>
      </c>
      <c r="AL28" s="31">
        <f t="shared" ref="AL28:AL34" si="41">IF(AN28=21,L28,0)</f>
        <v>0</v>
      </c>
      <c r="AN28" s="31">
        <v>12</v>
      </c>
      <c r="AO28" s="31">
        <f>H28*0.661648327</f>
        <v>0</v>
      </c>
      <c r="AP28" s="31">
        <f>H28*(1-0.661648327)</f>
        <v>0</v>
      </c>
      <c r="AQ28" s="34" t="s">
        <v>57</v>
      </c>
      <c r="AV28" s="31">
        <f t="shared" ref="AV28:AV34" si="42">ROUND(AW28+AX28,2)</f>
        <v>0</v>
      </c>
      <c r="AW28" s="31">
        <f t="shared" ref="AW28:AW34" si="43">ROUND(G28*AO28,2)</f>
        <v>0</v>
      </c>
      <c r="AX28" s="31">
        <f t="shared" ref="AX28:AX34" si="44">ROUND(G28*AP28,2)</f>
        <v>0</v>
      </c>
      <c r="AY28" s="34" t="s">
        <v>110</v>
      </c>
      <c r="AZ28" s="34" t="s">
        <v>111</v>
      </c>
      <c r="BA28" s="12" t="s">
        <v>64</v>
      </c>
      <c r="BC28" s="31">
        <f t="shared" ref="BC28:BC34" si="45">AW28+AX28</f>
        <v>0</v>
      </c>
      <c r="BD28" s="31">
        <f t="shared" ref="BD28:BD34" si="46">H28/(100-BE28)*100</f>
        <v>0</v>
      </c>
      <c r="BE28" s="31">
        <v>0</v>
      </c>
      <c r="BF28" s="31">
        <f t="shared" ref="BF28:BF34" si="47">O28</f>
        <v>80.784000000000006</v>
      </c>
      <c r="BH28" s="31">
        <f t="shared" ref="BH28:BH34" si="48">G28*AO28</f>
        <v>0</v>
      </c>
      <c r="BI28" s="31">
        <f t="shared" ref="BI28:BI34" si="49">G28*AP28</f>
        <v>0</v>
      </c>
      <c r="BJ28" s="31">
        <f t="shared" ref="BJ28:BJ34" si="50">G28*H28</f>
        <v>0</v>
      </c>
      <c r="BK28" s="34" t="s">
        <v>65</v>
      </c>
      <c r="BL28" s="31">
        <v>21</v>
      </c>
      <c r="BW28" s="31">
        <f t="shared" ref="BW28:BW34" si="51">I28</f>
        <v>0</v>
      </c>
      <c r="BX28" s="4" t="s">
        <v>109</v>
      </c>
    </row>
    <row r="29" spans="1:76" x14ac:dyDescent="0.25">
      <c r="A29" s="2" t="s">
        <v>112</v>
      </c>
      <c r="B29" s="3" t="s">
        <v>54</v>
      </c>
      <c r="C29" s="3" t="s">
        <v>113</v>
      </c>
      <c r="D29" s="90" t="s">
        <v>114</v>
      </c>
      <c r="E29" s="85"/>
      <c r="F29" s="3" t="s">
        <v>81</v>
      </c>
      <c r="G29" s="31">
        <v>200</v>
      </c>
      <c r="H29" s="31"/>
      <c r="I29" s="32"/>
      <c r="J29" s="31">
        <f t="shared" si="26"/>
        <v>0</v>
      </c>
      <c r="K29" s="31">
        <f t="shared" si="27"/>
        <v>0</v>
      </c>
      <c r="L29" s="31">
        <f t="shared" si="28"/>
        <v>0</v>
      </c>
      <c r="M29" s="31">
        <f t="shared" si="29"/>
        <v>0</v>
      </c>
      <c r="N29" s="31">
        <v>0</v>
      </c>
      <c r="O29" s="31">
        <f t="shared" si="30"/>
        <v>0</v>
      </c>
      <c r="P29" s="33" t="s">
        <v>115</v>
      </c>
      <c r="Z29" s="31">
        <f t="shared" si="31"/>
        <v>0</v>
      </c>
      <c r="AB29" s="31">
        <f t="shared" si="32"/>
        <v>0</v>
      </c>
      <c r="AC29" s="31">
        <f t="shared" si="33"/>
        <v>0</v>
      </c>
      <c r="AD29" s="31">
        <f t="shared" si="34"/>
        <v>0</v>
      </c>
      <c r="AE29" s="31">
        <f t="shared" si="35"/>
        <v>0</v>
      </c>
      <c r="AF29" s="31">
        <f t="shared" si="36"/>
        <v>0</v>
      </c>
      <c r="AG29" s="31">
        <f t="shared" si="37"/>
        <v>0</v>
      </c>
      <c r="AH29" s="31">
        <f t="shared" si="38"/>
        <v>0</v>
      </c>
      <c r="AI29" s="12" t="s">
        <v>54</v>
      </c>
      <c r="AJ29" s="31">
        <f t="shared" si="39"/>
        <v>0</v>
      </c>
      <c r="AK29" s="31">
        <f t="shared" si="40"/>
        <v>0</v>
      </c>
      <c r="AL29" s="31">
        <f t="shared" si="41"/>
        <v>0</v>
      </c>
      <c r="AN29" s="31">
        <v>12</v>
      </c>
      <c r="AO29" s="31">
        <f>H29*0</f>
        <v>0</v>
      </c>
      <c r="AP29" s="31">
        <f>H29*(1-0)</f>
        <v>0</v>
      </c>
      <c r="AQ29" s="34" t="s">
        <v>57</v>
      </c>
      <c r="AV29" s="31">
        <f t="shared" si="42"/>
        <v>0</v>
      </c>
      <c r="AW29" s="31">
        <f t="shared" si="43"/>
        <v>0</v>
      </c>
      <c r="AX29" s="31">
        <f t="shared" si="44"/>
        <v>0</v>
      </c>
      <c r="AY29" s="34" t="s">
        <v>110</v>
      </c>
      <c r="AZ29" s="34" t="s">
        <v>111</v>
      </c>
      <c r="BA29" s="12" t="s">
        <v>64</v>
      </c>
      <c r="BC29" s="31">
        <f t="shared" si="45"/>
        <v>0</v>
      </c>
      <c r="BD29" s="31">
        <f t="shared" si="46"/>
        <v>0</v>
      </c>
      <c r="BE29" s="31">
        <v>0</v>
      </c>
      <c r="BF29" s="31">
        <f t="shared" si="47"/>
        <v>0</v>
      </c>
      <c r="BH29" s="31">
        <f t="shared" si="48"/>
        <v>0</v>
      </c>
      <c r="BI29" s="31">
        <f t="shared" si="49"/>
        <v>0</v>
      </c>
      <c r="BJ29" s="31">
        <f t="shared" si="50"/>
        <v>0</v>
      </c>
      <c r="BK29" s="34" t="s">
        <v>65</v>
      </c>
      <c r="BL29" s="31">
        <v>21</v>
      </c>
      <c r="BW29" s="31">
        <f t="shared" si="51"/>
        <v>0</v>
      </c>
      <c r="BX29" s="4" t="s">
        <v>114</v>
      </c>
    </row>
    <row r="30" spans="1:76" x14ac:dyDescent="0.25">
      <c r="A30" s="2" t="s">
        <v>116</v>
      </c>
      <c r="B30" s="3" t="s">
        <v>54</v>
      </c>
      <c r="C30" s="3" t="s">
        <v>117</v>
      </c>
      <c r="D30" s="90" t="s">
        <v>118</v>
      </c>
      <c r="E30" s="85"/>
      <c r="F30" s="3" t="s">
        <v>81</v>
      </c>
      <c r="G30" s="31">
        <v>200</v>
      </c>
      <c r="H30" s="31"/>
      <c r="I30" s="32"/>
      <c r="J30" s="31">
        <f t="shared" si="26"/>
        <v>0</v>
      </c>
      <c r="K30" s="31">
        <f t="shared" si="27"/>
        <v>0</v>
      </c>
      <c r="L30" s="31">
        <f t="shared" si="28"/>
        <v>0</v>
      </c>
      <c r="M30" s="31">
        <f t="shared" si="29"/>
        <v>0</v>
      </c>
      <c r="N30" s="31">
        <v>9.6000000000000002E-4</v>
      </c>
      <c r="O30" s="31">
        <f t="shared" si="30"/>
        <v>0.192</v>
      </c>
      <c r="P30" s="33" t="s">
        <v>61</v>
      </c>
      <c r="Z30" s="31">
        <f t="shared" si="31"/>
        <v>0</v>
      </c>
      <c r="AB30" s="31">
        <f t="shared" si="32"/>
        <v>0</v>
      </c>
      <c r="AC30" s="31">
        <f t="shared" si="33"/>
        <v>0</v>
      </c>
      <c r="AD30" s="31">
        <f t="shared" si="34"/>
        <v>0</v>
      </c>
      <c r="AE30" s="31">
        <f t="shared" si="35"/>
        <v>0</v>
      </c>
      <c r="AF30" s="31">
        <f t="shared" si="36"/>
        <v>0</v>
      </c>
      <c r="AG30" s="31">
        <f t="shared" si="37"/>
        <v>0</v>
      </c>
      <c r="AH30" s="31">
        <f t="shared" si="38"/>
        <v>0</v>
      </c>
      <c r="AI30" s="12" t="s">
        <v>54</v>
      </c>
      <c r="AJ30" s="31">
        <f t="shared" si="39"/>
        <v>0</v>
      </c>
      <c r="AK30" s="31">
        <f t="shared" si="40"/>
        <v>0</v>
      </c>
      <c r="AL30" s="31">
        <f t="shared" si="41"/>
        <v>0</v>
      </c>
      <c r="AN30" s="31">
        <v>12</v>
      </c>
      <c r="AO30" s="31">
        <f>H30*1</f>
        <v>0</v>
      </c>
      <c r="AP30" s="31">
        <f>H30*(1-1)</f>
        <v>0</v>
      </c>
      <c r="AQ30" s="34" t="s">
        <v>57</v>
      </c>
      <c r="AV30" s="31">
        <f t="shared" si="42"/>
        <v>0</v>
      </c>
      <c r="AW30" s="31">
        <f t="shared" si="43"/>
        <v>0</v>
      </c>
      <c r="AX30" s="31">
        <f t="shared" si="44"/>
        <v>0</v>
      </c>
      <c r="AY30" s="34" t="s">
        <v>110</v>
      </c>
      <c r="AZ30" s="34" t="s">
        <v>111</v>
      </c>
      <c r="BA30" s="12" t="s">
        <v>64</v>
      </c>
      <c r="BC30" s="31">
        <f t="shared" si="45"/>
        <v>0</v>
      </c>
      <c r="BD30" s="31">
        <f t="shared" si="46"/>
        <v>0</v>
      </c>
      <c r="BE30" s="31">
        <v>0</v>
      </c>
      <c r="BF30" s="31">
        <f t="shared" si="47"/>
        <v>0.192</v>
      </c>
      <c r="BH30" s="31">
        <f t="shared" si="48"/>
        <v>0</v>
      </c>
      <c r="BI30" s="31">
        <f t="shared" si="49"/>
        <v>0</v>
      </c>
      <c r="BJ30" s="31">
        <f t="shared" si="50"/>
        <v>0</v>
      </c>
      <c r="BK30" s="34" t="s">
        <v>119</v>
      </c>
      <c r="BL30" s="31">
        <v>21</v>
      </c>
      <c r="BW30" s="31">
        <f t="shared" si="51"/>
        <v>0</v>
      </c>
      <c r="BX30" s="4" t="s">
        <v>118</v>
      </c>
    </row>
    <row r="31" spans="1:76" x14ac:dyDescent="0.25">
      <c r="A31" s="2" t="s">
        <v>120</v>
      </c>
      <c r="B31" s="3" t="s">
        <v>54</v>
      </c>
      <c r="C31" s="3" t="s">
        <v>121</v>
      </c>
      <c r="D31" s="90" t="s">
        <v>122</v>
      </c>
      <c r="E31" s="85"/>
      <c r="F31" s="3" t="s">
        <v>123</v>
      </c>
      <c r="G31" s="31">
        <v>4</v>
      </c>
      <c r="H31" s="31"/>
      <c r="I31" s="32"/>
      <c r="J31" s="31">
        <f t="shared" si="26"/>
        <v>0</v>
      </c>
      <c r="K31" s="31">
        <f t="shared" si="27"/>
        <v>0</v>
      </c>
      <c r="L31" s="31">
        <f t="shared" si="28"/>
        <v>0</v>
      </c>
      <c r="M31" s="31">
        <f t="shared" si="29"/>
        <v>0</v>
      </c>
      <c r="N31" s="31">
        <v>0</v>
      </c>
      <c r="O31" s="31">
        <f t="shared" si="30"/>
        <v>0</v>
      </c>
      <c r="P31" s="33" t="s">
        <v>61</v>
      </c>
      <c r="Z31" s="31">
        <f t="shared" si="31"/>
        <v>0</v>
      </c>
      <c r="AB31" s="31">
        <f t="shared" si="32"/>
        <v>0</v>
      </c>
      <c r="AC31" s="31">
        <f t="shared" si="33"/>
        <v>0</v>
      </c>
      <c r="AD31" s="31">
        <f t="shared" si="34"/>
        <v>0</v>
      </c>
      <c r="AE31" s="31">
        <f t="shared" si="35"/>
        <v>0</v>
      </c>
      <c r="AF31" s="31">
        <f t="shared" si="36"/>
        <v>0</v>
      </c>
      <c r="AG31" s="31">
        <f t="shared" si="37"/>
        <v>0</v>
      </c>
      <c r="AH31" s="31">
        <f t="shared" si="38"/>
        <v>0</v>
      </c>
      <c r="AI31" s="12" t="s">
        <v>54</v>
      </c>
      <c r="AJ31" s="31">
        <f t="shared" si="39"/>
        <v>0</v>
      </c>
      <c r="AK31" s="31">
        <f t="shared" si="40"/>
        <v>0</v>
      </c>
      <c r="AL31" s="31">
        <f t="shared" si="41"/>
        <v>0</v>
      </c>
      <c r="AN31" s="31">
        <v>12</v>
      </c>
      <c r="AO31" s="31">
        <f>H31*1</f>
        <v>0</v>
      </c>
      <c r="AP31" s="31">
        <f>H31*(1-1)</f>
        <v>0</v>
      </c>
      <c r="AQ31" s="34" t="s">
        <v>57</v>
      </c>
      <c r="AV31" s="31">
        <f t="shared" si="42"/>
        <v>0</v>
      </c>
      <c r="AW31" s="31">
        <f t="shared" si="43"/>
        <v>0</v>
      </c>
      <c r="AX31" s="31">
        <f t="shared" si="44"/>
        <v>0</v>
      </c>
      <c r="AY31" s="34" t="s">
        <v>110</v>
      </c>
      <c r="AZ31" s="34" t="s">
        <v>111</v>
      </c>
      <c r="BA31" s="12" t="s">
        <v>64</v>
      </c>
      <c r="BC31" s="31">
        <f t="shared" si="45"/>
        <v>0</v>
      </c>
      <c r="BD31" s="31">
        <f t="shared" si="46"/>
        <v>0</v>
      </c>
      <c r="BE31" s="31">
        <v>0</v>
      </c>
      <c r="BF31" s="31">
        <f t="shared" si="47"/>
        <v>0</v>
      </c>
      <c r="BH31" s="31">
        <f t="shared" si="48"/>
        <v>0</v>
      </c>
      <c r="BI31" s="31">
        <f t="shared" si="49"/>
        <v>0</v>
      </c>
      <c r="BJ31" s="31">
        <f t="shared" si="50"/>
        <v>0</v>
      </c>
      <c r="BK31" s="34" t="s">
        <v>119</v>
      </c>
      <c r="BL31" s="31">
        <v>21</v>
      </c>
      <c r="BW31" s="31">
        <f t="shared" si="51"/>
        <v>0</v>
      </c>
      <c r="BX31" s="4" t="s">
        <v>122</v>
      </c>
    </row>
    <row r="32" spans="1:76" x14ac:dyDescent="0.25">
      <c r="A32" s="2" t="s">
        <v>124</v>
      </c>
      <c r="B32" s="3" t="s">
        <v>54</v>
      </c>
      <c r="C32" s="3" t="s">
        <v>125</v>
      </c>
      <c r="D32" s="90" t="s">
        <v>126</v>
      </c>
      <c r="E32" s="85"/>
      <c r="F32" s="3" t="s">
        <v>127</v>
      </c>
      <c r="G32" s="31">
        <v>3500</v>
      </c>
      <c r="H32" s="31"/>
      <c r="I32" s="32"/>
      <c r="J32" s="31">
        <f t="shared" si="26"/>
        <v>0</v>
      </c>
      <c r="K32" s="31">
        <f t="shared" si="27"/>
        <v>0</v>
      </c>
      <c r="L32" s="31">
        <f t="shared" si="28"/>
        <v>0</v>
      </c>
      <c r="M32" s="31">
        <f t="shared" si="29"/>
        <v>0</v>
      </c>
      <c r="N32" s="31">
        <v>4.0000000000000003E-5</v>
      </c>
      <c r="O32" s="31">
        <f t="shared" si="30"/>
        <v>0.14000000000000001</v>
      </c>
      <c r="P32" s="33" t="s">
        <v>61</v>
      </c>
      <c r="Z32" s="31">
        <f t="shared" si="31"/>
        <v>0</v>
      </c>
      <c r="AB32" s="31">
        <f t="shared" si="32"/>
        <v>0</v>
      </c>
      <c r="AC32" s="31">
        <f t="shared" si="33"/>
        <v>0</v>
      </c>
      <c r="AD32" s="31">
        <f t="shared" si="34"/>
        <v>0</v>
      </c>
      <c r="AE32" s="31">
        <f t="shared" si="35"/>
        <v>0</v>
      </c>
      <c r="AF32" s="31">
        <f t="shared" si="36"/>
        <v>0</v>
      </c>
      <c r="AG32" s="31">
        <f t="shared" si="37"/>
        <v>0</v>
      </c>
      <c r="AH32" s="31">
        <f t="shared" si="38"/>
        <v>0</v>
      </c>
      <c r="AI32" s="12" t="s">
        <v>54</v>
      </c>
      <c r="AJ32" s="31">
        <f t="shared" si="39"/>
        <v>0</v>
      </c>
      <c r="AK32" s="31">
        <f t="shared" si="40"/>
        <v>0</v>
      </c>
      <c r="AL32" s="31">
        <f t="shared" si="41"/>
        <v>0</v>
      </c>
      <c r="AN32" s="31">
        <v>12</v>
      </c>
      <c r="AO32" s="31">
        <f>H32*0.018133333</f>
        <v>0</v>
      </c>
      <c r="AP32" s="31">
        <f>H32*(1-0.018133333)</f>
        <v>0</v>
      </c>
      <c r="AQ32" s="34" t="s">
        <v>57</v>
      </c>
      <c r="AV32" s="31">
        <f t="shared" si="42"/>
        <v>0</v>
      </c>
      <c r="AW32" s="31">
        <f t="shared" si="43"/>
        <v>0</v>
      </c>
      <c r="AX32" s="31">
        <f t="shared" si="44"/>
        <v>0</v>
      </c>
      <c r="AY32" s="34" t="s">
        <v>110</v>
      </c>
      <c r="AZ32" s="34" t="s">
        <v>111</v>
      </c>
      <c r="BA32" s="12" t="s">
        <v>64</v>
      </c>
      <c r="BC32" s="31">
        <f t="shared" si="45"/>
        <v>0</v>
      </c>
      <c r="BD32" s="31">
        <f t="shared" si="46"/>
        <v>0</v>
      </c>
      <c r="BE32" s="31">
        <v>0</v>
      </c>
      <c r="BF32" s="31">
        <f t="shared" si="47"/>
        <v>0.14000000000000001</v>
      </c>
      <c r="BH32" s="31">
        <f t="shared" si="48"/>
        <v>0</v>
      </c>
      <c r="BI32" s="31">
        <f t="shared" si="49"/>
        <v>0</v>
      </c>
      <c r="BJ32" s="31">
        <f t="shared" si="50"/>
        <v>0</v>
      </c>
      <c r="BK32" s="34" t="s">
        <v>65</v>
      </c>
      <c r="BL32" s="31">
        <v>21</v>
      </c>
      <c r="BW32" s="31">
        <f t="shared" si="51"/>
        <v>0</v>
      </c>
      <c r="BX32" s="4" t="s">
        <v>126</v>
      </c>
    </row>
    <row r="33" spans="1:76" x14ac:dyDescent="0.25">
      <c r="A33" s="2" t="s">
        <v>128</v>
      </c>
      <c r="B33" s="3" t="s">
        <v>54</v>
      </c>
      <c r="C33" s="3" t="s">
        <v>129</v>
      </c>
      <c r="D33" s="90" t="s">
        <v>130</v>
      </c>
      <c r="E33" s="85"/>
      <c r="F33" s="3" t="s">
        <v>123</v>
      </c>
      <c r="G33" s="31">
        <v>1400</v>
      </c>
      <c r="H33" s="31"/>
      <c r="I33" s="32"/>
      <c r="J33" s="31">
        <f t="shared" si="26"/>
        <v>0</v>
      </c>
      <c r="K33" s="31">
        <f t="shared" si="27"/>
        <v>0</v>
      </c>
      <c r="L33" s="31">
        <f t="shared" si="28"/>
        <v>0</v>
      </c>
      <c r="M33" s="31">
        <f t="shared" si="29"/>
        <v>0</v>
      </c>
      <c r="N33" s="31">
        <v>0</v>
      </c>
      <c r="O33" s="31">
        <f t="shared" si="30"/>
        <v>0</v>
      </c>
      <c r="P33" s="33" t="s">
        <v>61</v>
      </c>
      <c r="Z33" s="31">
        <f t="shared" si="31"/>
        <v>0</v>
      </c>
      <c r="AB33" s="31">
        <f t="shared" si="32"/>
        <v>0</v>
      </c>
      <c r="AC33" s="31">
        <f t="shared" si="33"/>
        <v>0</v>
      </c>
      <c r="AD33" s="31">
        <f t="shared" si="34"/>
        <v>0</v>
      </c>
      <c r="AE33" s="31">
        <f t="shared" si="35"/>
        <v>0</v>
      </c>
      <c r="AF33" s="31">
        <f t="shared" si="36"/>
        <v>0</v>
      </c>
      <c r="AG33" s="31">
        <f t="shared" si="37"/>
        <v>0</v>
      </c>
      <c r="AH33" s="31">
        <f t="shared" si="38"/>
        <v>0</v>
      </c>
      <c r="AI33" s="12" t="s">
        <v>54</v>
      </c>
      <c r="AJ33" s="31">
        <f t="shared" si="39"/>
        <v>0</v>
      </c>
      <c r="AK33" s="31">
        <f t="shared" si="40"/>
        <v>0</v>
      </c>
      <c r="AL33" s="31">
        <f t="shared" si="41"/>
        <v>0</v>
      </c>
      <c r="AN33" s="31">
        <v>12</v>
      </c>
      <c r="AO33" s="31">
        <f>H33*0</f>
        <v>0</v>
      </c>
      <c r="AP33" s="31">
        <f>H33*(1-0)</f>
        <v>0</v>
      </c>
      <c r="AQ33" s="34" t="s">
        <v>57</v>
      </c>
      <c r="AV33" s="31">
        <f t="shared" si="42"/>
        <v>0</v>
      </c>
      <c r="AW33" s="31">
        <f t="shared" si="43"/>
        <v>0</v>
      </c>
      <c r="AX33" s="31">
        <f t="shared" si="44"/>
        <v>0</v>
      </c>
      <c r="AY33" s="34" t="s">
        <v>110</v>
      </c>
      <c r="AZ33" s="34" t="s">
        <v>111</v>
      </c>
      <c r="BA33" s="12" t="s">
        <v>64</v>
      </c>
      <c r="BC33" s="31">
        <f t="shared" si="45"/>
        <v>0</v>
      </c>
      <c r="BD33" s="31">
        <f t="shared" si="46"/>
        <v>0</v>
      </c>
      <c r="BE33" s="31">
        <v>0</v>
      </c>
      <c r="BF33" s="31">
        <f t="shared" si="47"/>
        <v>0</v>
      </c>
      <c r="BH33" s="31">
        <f t="shared" si="48"/>
        <v>0</v>
      </c>
      <c r="BI33" s="31">
        <f t="shared" si="49"/>
        <v>0</v>
      </c>
      <c r="BJ33" s="31">
        <f t="shared" si="50"/>
        <v>0</v>
      </c>
      <c r="BK33" s="34" t="s">
        <v>65</v>
      </c>
      <c r="BL33" s="31">
        <v>21</v>
      </c>
      <c r="BW33" s="31">
        <f t="shared" si="51"/>
        <v>0</v>
      </c>
      <c r="BX33" s="4" t="s">
        <v>130</v>
      </c>
    </row>
    <row r="34" spans="1:76" x14ac:dyDescent="0.25">
      <c r="A34" s="2" t="s">
        <v>105</v>
      </c>
      <c r="B34" s="3" t="s">
        <v>54</v>
      </c>
      <c r="C34" s="3" t="s">
        <v>131</v>
      </c>
      <c r="D34" s="90" t="s">
        <v>132</v>
      </c>
      <c r="E34" s="85"/>
      <c r="F34" s="3" t="s">
        <v>127</v>
      </c>
      <c r="G34" s="31">
        <v>3500</v>
      </c>
      <c r="H34" s="31"/>
      <c r="I34" s="32"/>
      <c r="J34" s="31">
        <f t="shared" si="26"/>
        <v>0</v>
      </c>
      <c r="K34" s="31">
        <f t="shared" si="27"/>
        <v>0</v>
      </c>
      <c r="L34" s="31">
        <f t="shared" si="28"/>
        <v>0</v>
      </c>
      <c r="M34" s="31">
        <f t="shared" si="29"/>
        <v>0</v>
      </c>
      <c r="N34" s="31">
        <v>2.0000000000000001E-4</v>
      </c>
      <c r="O34" s="31">
        <f t="shared" si="30"/>
        <v>0.70000000000000007</v>
      </c>
      <c r="P34" s="33" t="s">
        <v>61</v>
      </c>
      <c r="Z34" s="31">
        <f t="shared" si="31"/>
        <v>0</v>
      </c>
      <c r="AB34" s="31">
        <f t="shared" si="32"/>
        <v>0</v>
      </c>
      <c r="AC34" s="31">
        <f t="shared" si="33"/>
        <v>0</v>
      </c>
      <c r="AD34" s="31">
        <f t="shared" si="34"/>
        <v>0</v>
      </c>
      <c r="AE34" s="31">
        <f t="shared" si="35"/>
        <v>0</v>
      </c>
      <c r="AF34" s="31">
        <f t="shared" si="36"/>
        <v>0</v>
      </c>
      <c r="AG34" s="31">
        <f t="shared" si="37"/>
        <v>0</v>
      </c>
      <c r="AH34" s="31">
        <f t="shared" si="38"/>
        <v>0</v>
      </c>
      <c r="AI34" s="12" t="s">
        <v>54</v>
      </c>
      <c r="AJ34" s="31">
        <f t="shared" si="39"/>
        <v>0</v>
      </c>
      <c r="AK34" s="31">
        <f t="shared" si="40"/>
        <v>0</v>
      </c>
      <c r="AL34" s="31">
        <f t="shared" si="41"/>
        <v>0</v>
      </c>
      <c r="AN34" s="31">
        <v>12</v>
      </c>
      <c r="AO34" s="31">
        <f>H34*1</f>
        <v>0</v>
      </c>
      <c r="AP34" s="31">
        <f>H34*(1-1)</f>
        <v>0</v>
      </c>
      <c r="AQ34" s="34" t="s">
        <v>57</v>
      </c>
      <c r="AV34" s="31">
        <f t="shared" si="42"/>
        <v>0</v>
      </c>
      <c r="AW34" s="31">
        <f t="shared" si="43"/>
        <v>0</v>
      </c>
      <c r="AX34" s="31">
        <f t="shared" si="44"/>
        <v>0</v>
      </c>
      <c r="AY34" s="34" t="s">
        <v>110</v>
      </c>
      <c r="AZ34" s="34" t="s">
        <v>111</v>
      </c>
      <c r="BA34" s="12" t="s">
        <v>64</v>
      </c>
      <c r="BC34" s="31">
        <f t="shared" si="45"/>
        <v>0</v>
      </c>
      <c r="BD34" s="31">
        <f t="shared" si="46"/>
        <v>0</v>
      </c>
      <c r="BE34" s="31">
        <v>0</v>
      </c>
      <c r="BF34" s="31">
        <f t="shared" si="47"/>
        <v>0.70000000000000007</v>
      </c>
      <c r="BH34" s="31">
        <f t="shared" si="48"/>
        <v>0</v>
      </c>
      <c r="BI34" s="31">
        <f t="shared" si="49"/>
        <v>0</v>
      </c>
      <c r="BJ34" s="31">
        <f t="shared" si="50"/>
        <v>0</v>
      </c>
      <c r="BK34" s="34" t="s">
        <v>119</v>
      </c>
      <c r="BL34" s="31">
        <v>21</v>
      </c>
      <c r="BW34" s="31">
        <f t="shared" si="51"/>
        <v>0</v>
      </c>
      <c r="BX34" s="4" t="s">
        <v>132</v>
      </c>
    </row>
    <row r="35" spans="1:76" x14ac:dyDescent="0.25">
      <c r="A35" s="35" t="s">
        <v>54</v>
      </c>
      <c r="B35" s="36" t="s">
        <v>54</v>
      </c>
      <c r="C35" s="36" t="s">
        <v>133</v>
      </c>
      <c r="D35" s="108" t="s">
        <v>134</v>
      </c>
      <c r="E35" s="109"/>
      <c r="F35" s="37" t="s">
        <v>4</v>
      </c>
      <c r="G35" s="37" t="s">
        <v>4</v>
      </c>
      <c r="H35" s="37"/>
      <c r="I35" s="37"/>
      <c r="J35" s="1">
        <f>SUM(J36:J68)</f>
        <v>0</v>
      </c>
      <c r="K35" s="1">
        <f>SUM(K36:K68)</f>
        <v>0</v>
      </c>
      <c r="L35" s="1">
        <f>SUM(L36:L68)</f>
        <v>0</v>
      </c>
      <c r="M35" s="1">
        <f>SUM(M36:M68)</f>
        <v>0</v>
      </c>
      <c r="N35" s="12" t="s">
        <v>54</v>
      </c>
      <c r="O35" s="1">
        <f>SUM(O36:O68)</f>
        <v>12.415640000000002</v>
      </c>
      <c r="P35" s="38" t="s">
        <v>54</v>
      </c>
      <c r="AI35" s="12" t="s">
        <v>54</v>
      </c>
      <c r="AS35" s="1">
        <f>SUM(AJ36:AJ68)</f>
        <v>0</v>
      </c>
      <c r="AT35" s="1">
        <f>SUM(AK36:AK68)</f>
        <v>0</v>
      </c>
      <c r="AU35" s="1">
        <f>SUM(AL36:AL68)</f>
        <v>0</v>
      </c>
    </row>
    <row r="36" spans="1:76" x14ac:dyDescent="0.25">
      <c r="A36" s="2" t="s">
        <v>135</v>
      </c>
      <c r="B36" s="3" t="s">
        <v>54</v>
      </c>
      <c r="C36" s="3" t="s">
        <v>136</v>
      </c>
      <c r="D36" s="90" t="s">
        <v>137</v>
      </c>
      <c r="E36" s="85"/>
      <c r="F36" s="3" t="s">
        <v>81</v>
      </c>
      <c r="G36" s="31">
        <v>60</v>
      </c>
      <c r="H36" s="31"/>
      <c r="I36" s="32"/>
      <c r="J36" s="31">
        <f t="shared" ref="J36:J68" si="52">ROUND(G36*AO36,2)</f>
        <v>0</v>
      </c>
      <c r="K36" s="31">
        <f t="shared" ref="K36:K68" si="53">ROUND(G36*AP36,2)</f>
        <v>0</v>
      </c>
      <c r="L36" s="31">
        <f t="shared" ref="L36:L68" si="54">ROUND(G36*H36,2)</f>
        <v>0</v>
      </c>
      <c r="M36" s="31">
        <f t="shared" ref="M36:M68" si="55">L36*(1+BW36/100)</f>
        <v>0</v>
      </c>
      <c r="N36" s="31">
        <v>0</v>
      </c>
      <c r="O36" s="31">
        <f t="shared" ref="O36:O68" si="56">G36*N36</f>
        <v>0</v>
      </c>
      <c r="P36" s="33" t="s">
        <v>61</v>
      </c>
      <c r="Z36" s="31">
        <f t="shared" ref="Z36:Z68" si="57">ROUND(IF(AQ36="5",BJ36,0),2)</f>
        <v>0</v>
      </c>
      <c r="AB36" s="31">
        <f t="shared" ref="AB36:AB68" si="58">ROUND(IF(AQ36="1",BH36,0),2)</f>
        <v>0</v>
      </c>
      <c r="AC36" s="31">
        <f t="shared" ref="AC36:AC68" si="59">ROUND(IF(AQ36="1",BI36,0),2)</f>
        <v>0</v>
      </c>
      <c r="AD36" s="31">
        <f t="shared" ref="AD36:AD68" si="60">ROUND(IF(AQ36="7",BH36,0),2)</f>
        <v>0</v>
      </c>
      <c r="AE36" s="31">
        <f t="shared" ref="AE36:AE68" si="61">ROUND(IF(AQ36="7",BI36,0),2)</f>
        <v>0</v>
      </c>
      <c r="AF36" s="31">
        <f t="shared" ref="AF36:AF68" si="62">ROUND(IF(AQ36="2",BH36,0),2)</f>
        <v>0</v>
      </c>
      <c r="AG36" s="31">
        <f t="shared" ref="AG36:AG68" si="63">ROUND(IF(AQ36="2",BI36,0),2)</f>
        <v>0</v>
      </c>
      <c r="AH36" s="31">
        <f t="shared" ref="AH36:AH68" si="64">ROUND(IF(AQ36="0",BJ36,0),2)</f>
        <v>0</v>
      </c>
      <c r="AI36" s="12" t="s">
        <v>54</v>
      </c>
      <c r="AJ36" s="31">
        <f t="shared" ref="AJ36:AJ68" si="65">IF(AN36=0,L36,0)</f>
        <v>0</v>
      </c>
      <c r="AK36" s="31">
        <f t="shared" ref="AK36:AK68" si="66">IF(AN36=12,L36,0)</f>
        <v>0</v>
      </c>
      <c r="AL36" s="31">
        <f t="shared" ref="AL36:AL68" si="67">IF(AN36=21,L36,0)</f>
        <v>0</v>
      </c>
      <c r="AN36" s="31">
        <v>12</v>
      </c>
      <c r="AO36" s="31">
        <f>H36*0</f>
        <v>0</v>
      </c>
      <c r="AP36" s="31">
        <f>H36*(1-0)</f>
        <v>0</v>
      </c>
      <c r="AQ36" s="34" t="s">
        <v>66</v>
      </c>
      <c r="AV36" s="31">
        <f t="shared" ref="AV36:AV68" si="68">ROUND(AW36+AX36,2)</f>
        <v>0</v>
      </c>
      <c r="AW36" s="31">
        <f t="shared" ref="AW36:AW68" si="69">ROUND(G36*AO36,2)</f>
        <v>0</v>
      </c>
      <c r="AX36" s="31">
        <f t="shared" ref="AX36:AX68" si="70">ROUND(G36*AP36,2)</f>
        <v>0</v>
      </c>
      <c r="AY36" s="34" t="s">
        <v>138</v>
      </c>
      <c r="AZ36" s="34" t="s">
        <v>139</v>
      </c>
      <c r="BA36" s="12" t="s">
        <v>64</v>
      </c>
      <c r="BC36" s="31">
        <f t="shared" ref="BC36:BC68" si="71">AW36+AX36</f>
        <v>0</v>
      </c>
      <c r="BD36" s="31">
        <f t="shared" ref="BD36:BD68" si="72">H36/(100-BE36)*100</f>
        <v>0</v>
      </c>
      <c r="BE36" s="31">
        <v>0</v>
      </c>
      <c r="BF36" s="31">
        <f t="shared" ref="BF36:BF68" si="73">O36</f>
        <v>0</v>
      </c>
      <c r="BH36" s="31">
        <f t="shared" ref="BH36:BH68" si="74">G36*AO36</f>
        <v>0</v>
      </c>
      <c r="BI36" s="31">
        <f t="shared" ref="BI36:BI68" si="75">G36*AP36</f>
        <v>0</v>
      </c>
      <c r="BJ36" s="31">
        <f t="shared" ref="BJ36:BJ68" si="76">G36*H36</f>
        <v>0</v>
      </c>
      <c r="BK36" s="34" t="s">
        <v>65</v>
      </c>
      <c r="BL36" s="31">
        <v>87</v>
      </c>
      <c r="BW36" s="31">
        <f t="shared" ref="BW36:BW68" si="77">I36</f>
        <v>0</v>
      </c>
      <c r="BX36" s="4" t="s">
        <v>137</v>
      </c>
    </row>
    <row r="37" spans="1:76" x14ac:dyDescent="0.25">
      <c r="A37" s="2" t="s">
        <v>140</v>
      </c>
      <c r="B37" s="3" t="s">
        <v>54</v>
      </c>
      <c r="C37" s="3" t="s">
        <v>141</v>
      </c>
      <c r="D37" s="90" t="s">
        <v>142</v>
      </c>
      <c r="E37" s="85"/>
      <c r="F37" s="3" t="s">
        <v>81</v>
      </c>
      <c r="G37" s="31">
        <v>60</v>
      </c>
      <c r="H37" s="31"/>
      <c r="I37" s="32"/>
      <c r="J37" s="31">
        <f t="shared" si="52"/>
        <v>0</v>
      </c>
      <c r="K37" s="31">
        <f t="shared" si="53"/>
        <v>0</v>
      </c>
      <c r="L37" s="31">
        <f t="shared" si="54"/>
        <v>0</v>
      </c>
      <c r="M37" s="31">
        <f t="shared" si="55"/>
        <v>0</v>
      </c>
      <c r="N37" s="31">
        <v>1.0499999999999999E-3</v>
      </c>
      <c r="O37" s="31">
        <f t="shared" si="56"/>
        <v>6.3E-2</v>
      </c>
      <c r="P37" s="33" t="s">
        <v>61</v>
      </c>
      <c r="Z37" s="31">
        <f t="shared" si="57"/>
        <v>0</v>
      </c>
      <c r="AB37" s="31">
        <f t="shared" si="58"/>
        <v>0</v>
      </c>
      <c r="AC37" s="31">
        <f t="shared" si="59"/>
        <v>0</v>
      </c>
      <c r="AD37" s="31">
        <f t="shared" si="60"/>
        <v>0</v>
      </c>
      <c r="AE37" s="31">
        <f t="shared" si="61"/>
        <v>0</v>
      </c>
      <c r="AF37" s="31">
        <f t="shared" si="62"/>
        <v>0</v>
      </c>
      <c r="AG37" s="31">
        <f t="shared" si="63"/>
        <v>0</v>
      </c>
      <c r="AH37" s="31">
        <f t="shared" si="64"/>
        <v>0</v>
      </c>
      <c r="AI37" s="12" t="s">
        <v>54</v>
      </c>
      <c r="AJ37" s="31">
        <f t="shared" si="65"/>
        <v>0</v>
      </c>
      <c r="AK37" s="31">
        <f t="shared" si="66"/>
        <v>0</v>
      </c>
      <c r="AL37" s="31">
        <f t="shared" si="67"/>
        <v>0</v>
      </c>
      <c r="AN37" s="31">
        <v>12</v>
      </c>
      <c r="AO37" s="31">
        <f>H37*1</f>
        <v>0</v>
      </c>
      <c r="AP37" s="31">
        <f>H37*(1-1)</f>
        <v>0</v>
      </c>
      <c r="AQ37" s="34" t="s">
        <v>57</v>
      </c>
      <c r="AV37" s="31">
        <f t="shared" si="68"/>
        <v>0</v>
      </c>
      <c r="AW37" s="31">
        <f t="shared" si="69"/>
        <v>0</v>
      </c>
      <c r="AX37" s="31">
        <f t="shared" si="70"/>
        <v>0</v>
      </c>
      <c r="AY37" s="34" t="s">
        <v>138</v>
      </c>
      <c r="AZ37" s="34" t="s">
        <v>139</v>
      </c>
      <c r="BA37" s="12" t="s">
        <v>64</v>
      </c>
      <c r="BC37" s="31">
        <f t="shared" si="71"/>
        <v>0</v>
      </c>
      <c r="BD37" s="31">
        <f t="shared" si="72"/>
        <v>0</v>
      </c>
      <c r="BE37" s="31">
        <v>0</v>
      </c>
      <c r="BF37" s="31">
        <f t="shared" si="73"/>
        <v>6.3E-2</v>
      </c>
      <c r="BH37" s="31">
        <f t="shared" si="74"/>
        <v>0</v>
      </c>
      <c r="BI37" s="31">
        <f t="shared" si="75"/>
        <v>0</v>
      </c>
      <c r="BJ37" s="31">
        <f t="shared" si="76"/>
        <v>0</v>
      </c>
      <c r="BK37" s="34" t="s">
        <v>119</v>
      </c>
      <c r="BL37" s="31">
        <v>87</v>
      </c>
      <c r="BW37" s="31">
        <f t="shared" si="77"/>
        <v>0</v>
      </c>
      <c r="BX37" s="4" t="s">
        <v>142</v>
      </c>
    </row>
    <row r="38" spans="1:76" x14ac:dyDescent="0.25">
      <c r="A38" s="2" t="s">
        <v>143</v>
      </c>
      <c r="B38" s="3" t="s">
        <v>54</v>
      </c>
      <c r="C38" s="3" t="s">
        <v>144</v>
      </c>
      <c r="D38" s="90" t="s">
        <v>145</v>
      </c>
      <c r="E38" s="85"/>
      <c r="F38" s="3" t="s">
        <v>81</v>
      </c>
      <c r="G38" s="31">
        <v>400</v>
      </c>
      <c r="H38" s="31"/>
      <c r="I38" s="32"/>
      <c r="J38" s="31">
        <f t="shared" si="52"/>
        <v>0</v>
      </c>
      <c r="K38" s="31">
        <f t="shared" si="53"/>
        <v>0</v>
      </c>
      <c r="L38" s="31">
        <f t="shared" si="54"/>
        <v>0</v>
      </c>
      <c r="M38" s="31">
        <f t="shared" si="55"/>
        <v>0</v>
      </c>
      <c r="N38" s="31">
        <v>1.0000000000000001E-5</v>
      </c>
      <c r="O38" s="31">
        <f t="shared" si="56"/>
        <v>4.0000000000000001E-3</v>
      </c>
      <c r="P38" s="33" t="s">
        <v>61</v>
      </c>
      <c r="Z38" s="31">
        <f t="shared" si="57"/>
        <v>0</v>
      </c>
      <c r="AB38" s="31">
        <f t="shared" si="58"/>
        <v>0</v>
      </c>
      <c r="AC38" s="31">
        <f t="shared" si="59"/>
        <v>0</v>
      </c>
      <c r="AD38" s="31">
        <f t="shared" si="60"/>
        <v>0</v>
      </c>
      <c r="AE38" s="31">
        <f t="shared" si="61"/>
        <v>0</v>
      </c>
      <c r="AF38" s="31">
        <f t="shared" si="62"/>
        <v>0</v>
      </c>
      <c r="AG38" s="31">
        <f t="shared" si="63"/>
        <v>0</v>
      </c>
      <c r="AH38" s="31">
        <f t="shared" si="64"/>
        <v>0</v>
      </c>
      <c r="AI38" s="12" t="s">
        <v>54</v>
      </c>
      <c r="AJ38" s="31">
        <f t="shared" si="65"/>
        <v>0</v>
      </c>
      <c r="AK38" s="31">
        <f t="shared" si="66"/>
        <v>0</v>
      </c>
      <c r="AL38" s="31">
        <f t="shared" si="67"/>
        <v>0</v>
      </c>
      <c r="AN38" s="31">
        <v>12</v>
      </c>
      <c r="AO38" s="31">
        <f>H38*0.004981373</f>
        <v>0</v>
      </c>
      <c r="AP38" s="31">
        <f>H38*(1-0.004981373)</f>
        <v>0</v>
      </c>
      <c r="AQ38" s="34" t="s">
        <v>57</v>
      </c>
      <c r="AV38" s="31">
        <f t="shared" si="68"/>
        <v>0</v>
      </c>
      <c r="AW38" s="31">
        <f t="shared" si="69"/>
        <v>0</v>
      </c>
      <c r="AX38" s="31">
        <f t="shared" si="70"/>
        <v>0</v>
      </c>
      <c r="AY38" s="34" t="s">
        <v>138</v>
      </c>
      <c r="AZ38" s="34" t="s">
        <v>139</v>
      </c>
      <c r="BA38" s="12" t="s">
        <v>64</v>
      </c>
      <c r="BC38" s="31">
        <f t="shared" si="71"/>
        <v>0</v>
      </c>
      <c r="BD38" s="31">
        <f t="shared" si="72"/>
        <v>0</v>
      </c>
      <c r="BE38" s="31">
        <v>0</v>
      </c>
      <c r="BF38" s="31">
        <f t="shared" si="73"/>
        <v>4.0000000000000001E-3</v>
      </c>
      <c r="BH38" s="31">
        <f t="shared" si="74"/>
        <v>0</v>
      </c>
      <c r="BI38" s="31">
        <f t="shared" si="75"/>
        <v>0</v>
      </c>
      <c r="BJ38" s="31">
        <f t="shared" si="76"/>
        <v>0</v>
      </c>
      <c r="BK38" s="34" t="s">
        <v>65</v>
      </c>
      <c r="BL38" s="31">
        <v>87</v>
      </c>
      <c r="BW38" s="31">
        <f t="shared" si="77"/>
        <v>0</v>
      </c>
      <c r="BX38" s="4" t="s">
        <v>145</v>
      </c>
    </row>
    <row r="39" spans="1:76" x14ac:dyDescent="0.25">
      <c r="A39" s="2" t="s">
        <v>146</v>
      </c>
      <c r="B39" s="3" t="s">
        <v>54</v>
      </c>
      <c r="C39" s="3" t="s">
        <v>147</v>
      </c>
      <c r="D39" s="90" t="s">
        <v>148</v>
      </c>
      <c r="E39" s="85"/>
      <c r="F39" s="3" t="s">
        <v>123</v>
      </c>
      <c r="G39" s="31">
        <v>20</v>
      </c>
      <c r="H39" s="31"/>
      <c r="I39" s="32"/>
      <c r="J39" s="31">
        <f t="shared" si="52"/>
        <v>0</v>
      </c>
      <c r="K39" s="31">
        <f t="shared" si="53"/>
        <v>0</v>
      </c>
      <c r="L39" s="31">
        <f t="shared" si="54"/>
        <v>0</v>
      </c>
      <c r="M39" s="31">
        <f t="shared" si="55"/>
        <v>0</v>
      </c>
      <c r="N39" s="31">
        <v>3.2100000000000002E-3</v>
      </c>
      <c r="O39" s="31">
        <f t="shared" si="56"/>
        <v>6.4200000000000007E-2</v>
      </c>
      <c r="P39" s="33" t="s">
        <v>61</v>
      </c>
      <c r="Z39" s="31">
        <f t="shared" si="57"/>
        <v>0</v>
      </c>
      <c r="AB39" s="31">
        <f t="shared" si="58"/>
        <v>0</v>
      </c>
      <c r="AC39" s="31">
        <f t="shared" si="59"/>
        <v>0</v>
      </c>
      <c r="AD39" s="31">
        <f t="shared" si="60"/>
        <v>0</v>
      </c>
      <c r="AE39" s="31">
        <f t="shared" si="61"/>
        <v>0</v>
      </c>
      <c r="AF39" s="31">
        <f t="shared" si="62"/>
        <v>0</v>
      </c>
      <c r="AG39" s="31">
        <f t="shared" si="63"/>
        <v>0</v>
      </c>
      <c r="AH39" s="31">
        <f t="shared" si="64"/>
        <v>0</v>
      </c>
      <c r="AI39" s="12" t="s">
        <v>54</v>
      </c>
      <c r="AJ39" s="31">
        <f t="shared" si="65"/>
        <v>0</v>
      </c>
      <c r="AK39" s="31">
        <f t="shared" si="66"/>
        <v>0</v>
      </c>
      <c r="AL39" s="31">
        <f t="shared" si="67"/>
        <v>0</v>
      </c>
      <c r="AN39" s="31">
        <v>12</v>
      </c>
      <c r="AO39" s="31">
        <f t="shared" ref="AO39:AO44" si="78">H39*1</f>
        <v>0</v>
      </c>
      <c r="AP39" s="31">
        <f t="shared" ref="AP39:AP44" si="79">H39*(1-1)</f>
        <v>0</v>
      </c>
      <c r="AQ39" s="34" t="s">
        <v>57</v>
      </c>
      <c r="AV39" s="31">
        <f t="shared" si="68"/>
        <v>0</v>
      </c>
      <c r="AW39" s="31">
        <f t="shared" si="69"/>
        <v>0</v>
      </c>
      <c r="AX39" s="31">
        <f t="shared" si="70"/>
        <v>0</v>
      </c>
      <c r="AY39" s="34" t="s">
        <v>138</v>
      </c>
      <c r="AZ39" s="34" t="s">
        <v>139</v>
      </c>
      <c r="BA39" s="12" t="s">
        <v>64</v>
      </c>
      <c r="BC39" s="31">
        <f t="shared" si="71"/>
        <v>0</v>
      </c>
      <c r="BD39" s="31">
        <f t="shared" si="72"/>
        <v>0</v>
      </c>
      <c r="BE39" s="31">
        <v>0</v>
      </c>
      <c r="BF39" s="31">
        <f t="shared" si="73"/>
        <v>6.4200000000000007E-2</v>
      </c>
      <c r="BH39" s="31">
        <f t="shared" si="74"/>
        <v>0</v>
      </c>
      <c r="BI39" s="31">
        <f t="shared" si="75"/>
        <v>0</v>
      </c>
      <c r="BJ39" s="31">
        <f t="shared" si="76"/>
        <v>0</v>
      </c>
      <c r="BK39" s="34" t="s">
        <v>119</v>
      </c>
      <c r="BL39" s="31">
        <v>87</v>
      </c>
      <c r="BW39" s="31">
        <f t="shared" si="77"/>
        <v>0</v>
      </c>
      <c r="BX39" s="4" t="s">
        <v>148</v>
      </c>
    </row>
    <row r="40" spans="1:76" x14ac:dyDescent="0.25">
      <c r="A40" s="2" t="s">
        <v>149</v>
      </c>
      <c r="B40" s="3" t="s">
        <v>54</v>
      </c>
      <c r="C40" s="3" t="s">
        <v>150</v>
      </c>
      <c r="D40" s="90" t="s">
        <v>151</v>
      </c>
      <c r="E40" s="85"/>
      <c r="F40" s="3" t="s">
        <v>123</v>
      </c>
      <c r="G40" s="31">
        <v>10</v>
      </c>
      <c r="H40" s="31"/>
      <c r="I40" s="32"/>
      <c r="J40" s="31">
        <f t="shared" si="52"/>
        <v>0</v>
      </c>
      <c r="K40" s="31">
        <f t="shared" si="53"/>
        <v>0</v>
      </c>
      <c r="L40" s="31">
        <f t="shared" si="54"/>
        <v>0</v>
      </c>
      <c r="M40" s="31">
        <f t="shared" si="55"/>
        <v>0</v>
      </c>
      <c r="N40" s="31">
        <v>9.6299999999999997E-3</v>
      </c>
      <c r="O40" s="31">
        <f t="shared" si="56"/>
        <v>9.6299999999999997E-2</v>
      </c>
      <c r="P40" s="33" t="s">
        <v>61</v>
      </c>
      <c r="Z40" s="31">
        <f t="shared" si="57"/>
        <v>0</v>
      </c>
      <c r="AB40" s="31">
        <f t="shared" si="58"/>
        <v>0</v>
      </c>
      <c r="AC40" s="31">
        <f t="shared" si="59"/>
        <v>0</v>
      </c>
      <c r="AD40" s="31">
        <f t="shared" si="60"/>
        <v>0</v>
      </c>
      <c r="AE40" s="31">
        <f t="shared" si="61"/>
        <v>0</v>
      </c>
      <c r="AF40" s="31">
        <f t="shared" si="62"/>
        <v>0</v>
      </c>
      <c r="AG40" s="31">
        <f t="shared" si="63"/>
        <v>0</v>
      </c>
      <c r="AH40" s="31">
        <f t="shared" si="64"/>
        <v>0</v>
      </c>
      <c r="AI40" s="12" t="s">
        <v>54</v>
      </c>
      <c r="AJ40" s="31">
        <f t="shared" si="65"/>
        <v>0</v>
      </c>
      <c r="AK40" s="31">
        <f t="shared" si="66"/>
        <v>0</v>
      </c>
      <c r="AL40" s="31">
        <f t="shared" si="67"/>
        <v>0</v>
      </c>
      <c r="AN40" s="31">
        <v>12</v>
      </c>
      <c r="AO40" s="31">
        <f t="shared" si="78"/>
        <v>0</v>
      </c>
      <c r="AP40" s="31">
        <f t="shared" si="79"/>
        <v>0</v>
      </c>
      <c r="AQ40" s="34" t="s">
        <v>57</v>
      </c>
      <c r="AV40" s="31">
        <f t="shared" si="68"/>
        <v>0</v>
      </c>
      <c r="AW40" s="31">
        <f t="shared" si="69"/>
        <v>0</v>
      </c>
      <c r="AX40" s="31">
        <f t="shared" si="70"/>
        <v>0</v>
      </c>
      <c r="AY40" s="34" t="s">
        <v>138</v>
      </c>
      <c r="AZ40" s="34" t="s">
        <v>139</v>
      </c>
      <c r="BA40" s="12" t="s">
        <v>64</v>
      </c>
      <c r="BC40" s="31">
        <f t="shared" si="71"/>
        <v>0</v>
      </c>
      <c r="BD40" s="31">
        <f t="shared" si="72"/>
        <v>0</v>
      </c>
      <c r="BE40" s="31">
        <v>0</v>
      </c>
      <c r="BF40" s="31">
        <f t="shared" si="73"/>
        <v>9.6299999999999997E-2</v>
      </c>
      <c r="BH40" s="31">
        <f t="shared" si="74"/>
        <v>0</v>
      </c>
      <c r="BI40" s="31">
        <f t="shared" si="75"/>
        <v>0</v>
      </c>
      <c r="BJ40" s="31">
        <f t="shared" si="76"/>
        <v>0</v>
      </c>
      <c r="BK40" s="34" t="s">
        <v>119</v>
      </c>
      <c r="BL40" s="31">
        <v>87</v>
      </c>
      <c r="BW40" s="31">
        <f t="shared" si="77"/>
        <v>0</v>
      </c>
      <c r="BX40" s="4" t="s">
        <v>151</v>
      </c>
    </row>
    <row r="41" spans="1:76" x14ac:dyDescent="0.25">
      <c r="A41" s="2" t="s">
        <v>152</v>
      </c>
      <c r="B41" s="3" t="s">
        <v>54</v>
      </c>
      <c r="C41" s="3" t="s">
        <v>153</v>
      </c>
      <c r="D41" s="90" t="s">
        <v>154</v>
      </c>
      <c r="E41" s="85"/>
      <c r="F41" s="3" t="s">
        <v>123</v>
      </c>
      <c r="G41" s="31">
        <v>20</v>
      </c>
      <c r="H41" s="31"/>
      <c r="I41" s="32"/>
      <c r="J41" s="31">
        <f t="shared" si="52"/>
        <v>0</v>
      </c>
      <c r="K41" s="31">
        <f t="shared" si="53"/>
        <v>0</v>
      </c>
      <c r="L41" s="31">
        <f t="shared" si="54"/>
        <v>0</v>
      </c>
      <c r="M41" s="31">
        <f t="shared" si="55"/>
        <v>0</v>
      </c>
      <c r="N41" s="31">
        <v>1.6049999999999998E-2</v>
      </c>
      <c r="O41" s="31">
        <f t="shared" si="56"/>
        <v>0.32099999999999995</v>
      </c>
      <c r="P41" s="33" t="s">
        <v>61</v>
      </c>
      <c r="Z41" s="31">
        <f t="shared" si="57"/>
        <v>0</v>
      </c>
      <c r="AB41" s="31">
        <f t="shared" si="58"/>
        <v>0</v>
      </c>
      <c r="AC41" s="31">
        <f t="shared" si="59"/>
        <v>0</v>
      </c>
      <c r="AD41" s="31">
        <f t="shared" si="60"/>
        <v>0</v>
      </c>
      <c r="AE41" s="31">
        <f t="shared" si="61"/>
        <v>0</v>
      </c>
      <c r="AF41" s="31">
        <f t="shared" si="62"/>
        <v>0</v>
      </c>
      <c r="AG41" s="31">
        <f t="shared" si="63"/>
        <v>0</v>
      </c>
      <c r="AH41" s="31">
        <f t="shared" si="64"/>
        <v>0</v>
      </c>
      <c r="AI41" s="12" t="s">
        <v>54</v>
      </c>
      <c r="AJ41" s="31">
        <f t="shared" si="65"/>
        <v>0</v>
      </c>
      <c r="AK41" s="31">
        <f t="shared" si="66"/>
        <v>0</v>
      </c>
      <c r="AL41" s="31">
        <f t="shared" si="67"/>
        <v>0</v>
      </c>
      <c r="AN41" s="31">
        <v>12</v>
      </c>
      <c r="AO41" s="31">
        <f t="shared" si="78"/>
        <v>0</v>
      </c>
      <c r="AP41" s="31">
        <f t="shared" si="79"/>
        <v>0</v>
      </c>
      <c r="AQ41" s="34" t="s">
        <v>57</v>
      </c>
      <c r="AV41" s="31">
        <f t="shared" si="68"/>
        <v>0</v>
      </c>
      <c r="AW41" s="31">
        <f t="shared" si="69"/>
        <v>0</v>
      </c>
      <c r="AX41" s="31">
        <f t="shared" si="70"/>
        <v>0</v>
      </c>
      <c r="AY41" s="34" t="s">
        <v>138</v>
      </c>
      <c r="AZ41" s="34" t="s">
        <v>139</v>
      </c>
      <c r="BA41" s="12" t="s">
        <v>64</v>
      </c>
      <c r="BC41" s="31">
        <f t="shared" si="71"/>
        <v>0</v>
      </c>
      <c r="BD41" s="31">
        <f t="shared" si="72"/>
        <v>0</v>
      </c>
      <c r="BE41" s="31">
        <v>0</v>
      </c>
      <c r="BF41" s="31">
        <f t="shared" si="73"/>
        <v>0.32099999999999995</v>
      </c>
      <c r="BH41" s="31">
        <f t="shared" si="74"/>
        <v>0</v>
      </c>
      <c r="BI41" s="31">
        <f t="shared" si="75"/>
        <v>0</v>
      </c>
      <c r="BJ41" s="31">
        <f t="shared" si="76"/>
        <v>0</v>
      </c>
      <c r="BK41" s="34" t="s">
        <v>119</v>
      </c>
      <c r="BL41" s="31">
        <v>87</v>
      </c>
      <c r="BW41" s="31">
        <f t="shared" si="77"/>
        <v>0</v>
      </c>
      <c r="BX41" s="4" t="s">
        <v>154</v>
      </c>
    </row>
    <row r="42" spans="1:76" x14ac:dyDescent="0.25">
      <c r="A42" s="2" t="s">
        <v>155</v>
      </c>
      <c r="B42" s="3" t="s">
        <v>54</v>
      </c>
      <c r="C42" s="3" t="s">
        <v>156</v>
      </c>
      <c r="D42" s="90" t="s">
        <v>157</v>
      </c>
      <c r="E42" s="85"/>
      <c r="F42" s="3" t="s">
        <v>123</v>
      </c>
      <c r="G42" s="31">
        <v>20</v>
      </c>
      <c r="H42" s="31"/>
      <c r="I42" s="32"/>
      <c r="J42" s="31">
        <f t="shared" si="52"/>
        <v>0</v>
      </c>
      <c r="K42" s="31">
        <f t="shared" si="53"/>
        <v>0</v>
      </c>
      <c r="L42" s="31">
        <f t="shared" si="54"/>
        <v>0</v>
      </c>
      <c r="M42" s="31">
        <f t="shared" si="55"/>
        <v>0</v>
      </c>
      <c r="N42" s="31">
        <v>5.0400000000000002E-3</v>
      </c>
      <c r="O42" s="31">
        <f t="shared" si="56"/>
        <v>0.1008</v>
      </c>
      <c r="P42" s="33" t="s">
        <v>61</v>
      </c>
      <c r="Z42" s="31">
        <f t="shared" si="57"/>
        <v>0</v>
      </c>
      <c r="AB42" s="31">
        <f t="shared" si="58"/>
        <v>0</v>
      </c>
      <c r="AC42" s="31">
        <f t="shared" si="59"/>
        <v>0</v>
      </c>
      <c r="AD42" s="31">
        <f t="shared" si="60"/>
        <v>0</v>
      </c>
      <c r="AE42" s="31">
        <f t="shared" si="61"/>
        <v>0</v>
      </c>
      <c r="AF42" s="31">
        <f t="shared" si="62"/>
        <v>0</v>
      </c>
      <c r="AG42" s="31">
        <f t="shared" si="63"/>
        <v>0</v>
      </c>
      <c r="AH42" s="31">
        <f t="shared" si="64"/>
        <v>0</v>
      </c>
      <c r="AI42" s="12" t="s">
        <v>54</v>
      </c>
      <c r="AJ42" s="31">
        <f t="shared" si="65"/>
        <v>0</v>
      </c>
      <c r="AK42" s="31">
        <f t="shared" si="66"/>
        <v>0</v>
      </c>
      <c r="AL42" s="31">
        <f t="shared" si="67"/>
        <v>0</v>
      </c>
      <c r="AN42" s="31">
        <v>12</v>
      </c>
      <c r="AO42" s="31">
        <f t="shared" si="78"/>
        <v>0</v>
      </c>
      <c r="AP42" s="31">
        <f t="shared" si="79"/>
        <v>0</v>
      </c>
      <c r="AQ42" s="34" t="s">
        <v>57</v>
      </c>
      <c r="AV42" s="31">
        <f t="shared" si="68"/>
        <v>0</v>
      </c>
      <c r="AW42" s="31">
        <f t="shared" si="69"/>
        <v>0</v>
      </c>
      <c r="AX42" s="31">
        <f t="shared" si="70"/>
        <v>0</v>
      </c>
      <c r="AY42" s="34" t="s">
        <v>138</v>
      </c>
      <c r="AZ42" s="34" t="s">
        <v>139</v>
      </c>
      <c r="BA42" s="12" t="s">
        <v>64</v>
      </c>
      <c r="BC42" s="31">
        <f t="shared" si="71"/>
        <v>0</v>
      </c>
      <c r="BD42" s="31">
        <f t="shared" si="72"/>
        <v>0</v>
      </c>
      <c r="BE42" s="31">
        <v>0</v>
      </c>
      <c r="BF42" s="31">
        <f t="shared" si="73"/>
        <v>0.1008</v>
      </c>
      <c r="BH42" s="31">
        <f t="shared" si="74"/>
        <v>0</v>
      </c>
      <c r="BI42" s="31">
        <f t="shared" si="75"/>
        <v>0</v>
      </c>
      <c r="BJ42" s="31">
        <f t="shared" si="76"/>
        <v>0</v>
      </c>
      <c r="BK42" s="34" t="s">
        <v>119</v>
      </c>
      <c r="BL42" s="31">
        <v>87</v>
      </c>
      <c r="BW42" s="31">
        <f t="shared" si="77"/>
        <v>0</v>
      </c>
      <c r="BX42" s="4" t="s">
        <v>157</v>
      </c>
    </row>
    <row r="43" spans="1:76" x14ac:dyDescent="0.25">
      <c r="A43" s="2" t="s">
        <v>158</v>
      </c>
      <c r="B43" s="3" t="s">
        <v>54</v>
      </c>
      <c r="C43" s="3" t="s">
        <v>159</v>
      </c>
      <c r="D43" s="90" t="s">
        <v>160</v>
      </c>
      <c r="E43" s="85"/>
      <c r="F43" s="3" t="s">
        <v>123</v>
      </c>
      <c r="G43" s="31">
        <v>20</v>
      </c>
      <c r="H43" s="31"/>
      <c r="I43" s="32"/>
      <c r="J43" s="31">
        <f t="shared" si="52"/>
        <v>0</v>
      </c>
      <c r="K43" s="31">
        <f t="shared" si="53"/>
        <v>0</v>
      </c>
      <c r="L43" s="31">
        <f t="shared" si="54"/>
        <v>0</v>
      </c>
      <c r="M43" s="31">
        <f t="shared" si="55"/>
        <v>0</v>
      </c>
      <c r="N43" s="31">
        <v>1.512E-2</v>
      </c>
      <c r="O43" s="31">
        <f t="shared" si="56"/>
        <v>0.3024</v>
      </c>
      <c r="P43" s="33" t="s">
        <v>61</v>
      </c>
      <c r="Z43" s="31">
        <f t="shared" si="57"/>
        <v>0</v>
      </c>
      <c r="AB43" s="31">
        <f t="shared" si="58"/>
        <v>0</v>
      </c>
      <c r="AC43" s="31">
        <f t="shared" si="59"/>
        <v>0</v>
      </c>
      <c r="AD43" s="31">
        <f t="shared" si="60"/>
        <v>0</v>
      </c>
      <c r="AE43" s="31">
        <f t="shared" si="61"/>
        <v>0</v>
      </c>
      <c r="AF43" s="31">
        <f t="shared" si="62"/>
        <v>0</v>
      </c>
      <c r="AG43" s="31">
        <f t="shared" si="63"/>
        <v>0</v>
      </c>
      <c r="AH43" s="31">
        <f t="shared" si="64"/>
        <v>0</v>
      </c>
      <c r="AI43" s="12" t="s">
        <v>54</v>
      </c>
      <c r="AJ43" s="31">
        <f t="shared" si="65"/>
        <v>0</v>
      </c>
      <c r="AK43" s="31">
        <f t="shared" si="66"/>
        <v>0</v>
      </c>
      <c r="AL43" s="31">
        <f t="shared" si="67"/>
        <v>0</v>
      </c>
      <c r="AN43" s="31">
        <v>12</v>
      </c>
      <c r="AO43" s="31">
        <f t="shared" si="78"/>
        <v>0</v>
      </c>
      <c r="AP43" s="31">
        <f t="shared" si="79"/>
        <v>0</v>
      </c>
      <c r="AQ43" s="34" t="s">
        <v>57</v>
      </c>
      <c r="AV43" s="31">
        <f t="shared" si="68"/>
        <v>0</v>
      </c>
      <c r="AW43" s="31">
        <f t="shared" si="69"/>
        <v>0</v>
      </c>
      <c r="AX43" s="31">
        <f t="shared" si="70"/>
        <v>0</v>
      </c>
      <c r="AY43" s="34" t="s">
        <v>138</v>
      </c>
      <c r="AZ43" s="34" t="s">
        <v>139</v>
      </c>
      <c r="BA43" s="12" t="s">
        <v>64</v>
      </c>
      <c r="BC43" s="31">
        <f t="shared" si="71"/>
        <v>0</v>
      </c>
      <c r="BD43" s="31">
        <f t="shared" si="72"/>
        <v>0</v>
      </c>
      <c r="BE43" s="31">
        <v>0</v>
      </c>
      <c r="BF43" s="31">
        <f t="shared" si="73"/>
        <v>0.3024</v>
      </c>
      <c r="BH43" s="31">
        <f t="shared" si="74"/>
        <v>0</v>
      </c>
      <c r="BI43" s="31">
        <f t="shared" si="75"/>
        <v>0</v>
      </c>
      <c r="BJ43" s="31">
        <f t="shared" si="76"/>
        <v>0</v>
      </c>
      <c r="BK43" s="34" t="s">
        <v>119</v>
      </c>
      <c r="BL43" s="31">
        <v>87</v>
      </c>
      <c r="BW43" s="31">
        <f t="shared" si="77"/>
        <v>0</v>
      </c>
      <c r="BX43" s="4" t="s">
        <v>160</v>
      </c>
    </row>
    <row r="44" spans="1:76" x14ac:dyDescent="0.25">
      <c r="A44" s="2" t="s">
        <v>161</v>
      </c>
      <c r="B44" s="3" t="s">
        <v>54</v>
      </c>
      <c r="C44" s="3" t="s">
        <v>162</v>
      </c>
      <c r="D44" s="90" t="s">
        <v>163</v>
      </c>
      <c r="E44" s="85"/>
      <c r="F44" s="3" t="s">
        <v>123</v>
      </c>
      <c r="G44" s="31">
        <v>46</v>
      </c>
      <c r="H44" s="31"/>
      <c r="I44" s="32"/>
      <c r="J44" s="31">
        <f t="shared" si="52"/>
        <v>0</v>
      </c>
      <c r="K44" s="31">
        <f t="shared" si="53"/>
        <v>0</v>
      </c>
      <c r="L44" s="31">
        <f t="shared" si="54"/>
        <v>0</v>
      </c>
      <c r="M44" s="31">
        <f t="shared" si="55"/>
        <v>0</v>
      </c>
      <c r="N44" s="31">
        <v>2.52E-2</v>
      </c>
      <c r="O44" s="31">
        <f t="shared" si="56"/>
        <v>1.1592</v>
      </c>
      <c r="P44" s="33" t="s">
        <v>61</v>
      </c>
      <c r="Z44" s="31">
        <f t="shared" si="57"/>
        <v>0</v>
      </c>
      <c r="AB44" s="31">
        <f t="shared" si="58"/>
        <v>0</v>
      </c>
      <c r="AC44" s="31">
        <f t="shared" si="59"/>
        <v>0</v>
      </c>
      <c r="AD44" s="31">
        <f t="shared" si="60"/>
        <v>0</v>
      </c>
      <c r="AE44" s="31">
        <f t="shared" si="61"/>
        <v>0</v>
      </c>
      <c r="AF44" s="31">
        <f t="shared" si="62"/>
        <v>0</v>
      </c>
      <c r="AG44" s="31">
        <f t="shared" si="63"/>
        <v>0</v>
      </c>
      <c r="AH44" s="31">
        <f t="shared" si="64"/>
        <v>0</v>
      </c>
      <c r="AI44" s="12" t="s">
        <v>54</v>
      </c>
      <c r="AJ44" s="31">
        <f t="shared" si="65"/>
        <v>0</v>
      </c>
      <c r="AK44" s="31">
        <f t="shared" si="66"/>
        <v>0</v>
      </c>
      <c r="AL44" s="31">
        <f t="shared" si="67"/>
        <v>0</v>
      </c>
      <c r="AN44" s="31">
        <v>12</v>
      </c>
      <c r="AO44" s="31">
        <f t="shared" si="78"/>
        <v>0</v>
      </c>
      <c r="AP44" s="31">
        <f t="shared" si="79"/>
        <v>0</v>
      </c>
      <c r="AQ44" s="34" t="s">
        <v>57</v>
      </c>
      <c r="AV44" s="31">
        <f t="shared" si="68"/>
        <v>0</v>
      </c>
      <c r="AW44" s="31">
        <f t="shared" si="69"/>
        <v>0</v>
      </c>
      <c r="AX44" s="31">
        <f t="shared" si="70"/>
        <v>0</v>
      </c>
      <c r="AY44" s="34" t="s">
        <v>138</v>
      </c>
      <c r="AZ44" s="34" t="s">
        <v>139</v>
      </c>
      <c r="BA44" s="12" t="s">
        <v>64</v>
      </c>
      <c r="BC44" s="31">
        <f t="shared" si="71"/>
        <v>0</v>
      </c>
      <c r="BD44" s="31">
        <f t="shared" si="72"/>
        <v>0</v>
      </c>
      <c r="BE44" s="31">
        <v>0</v>
      </c>
      <c r="BF44" s="31">
        <f t="shared" si="73"/>
        <v>1.1592</v>
      </c>
      <c r="BH44" s="31">
        <f t="shared" si="74"/>
        <v>0</v>
      </c>
      <c r="BI44" s="31">
        <f t="shared" si="75"/>
        <v>0</v>
      </c>
      <c r="BJ44" s="31">
        <f t="shared" si="76"/>
        <v>0</v>
      </c>
      <c r="BK44" s="34" t="s">
        <v>119</v>
      </c>
      <c r="BL44" s="31">
        <v>87</v>
      </c>
      <c r="BW44" s="31">
        <f t="shared" si="77"/>
        <v>0</v>
      </c>
      <c r="BX44" s="4" t="s">
        <v>163</v>
      </c>
    </row>
    <row r="45" spans="1:76" x14ac:dyDescent="0.25">
      <c r="A45" s="2" t="s">
        <v>164</v>
      </c>
      <c r="B45" s="3" t="s">
        <v>54</v>
      </c>
      <c r="C45" s="3" t="s">
        <v>165</v>
      </c>
      <c r="D45" s="90" t="s">
        <v>166</v>
      </c>
      <c r="E45" s="85"/>
      <c r="F45" s="3" t="s">
        <v>81</v>
      </c>
      <c r="G45" s="31">
        <v>215</v>
      </c>
      <c r="H45" s="31"/>
      <c r="I45" s="32"/>
      <c r="J45" s="31">
        <f t="shared" si="52"/>
        <v>0</v>
      </c>
      <c r="K45" s="31">
        <f t="shared" si="53"/>
        <v>0</v>
      </c>
      <c r="L45" s="31">
        <f t="shared" si="54"/>
        <v>0</v>
      </c>
      <c r="M45" s="31">
        <f t="shared" si="55"/>
        <v>0</v>
      </c>
      <c r="N45" s="31">
        <v>1.0000000000000001E-5</v>
      </c>
      <c r="O45" s="31">
        <f t="shared" si="56"/>
        <v>2.15E-3</v>
      </c>
      <c r="P45" s="33" t="s">
        <v>61</v>
      </c>
      <c r="Z45" s="31">
        <f t="shared" si="57"/>
        <v>0</v>
      </c>
      <c r="AB45" s="31">
        <f t="shared" si="58"/>
        <v>0</v>
      </c>
      <c r="AC45" s="31">
        <f t="shared" si="59"/>
        <v>0</v>
      </c>
      <c r="AD45" s="31">
        <f t="shared" si="60"/>
        <v>0</v>
      </c>
      <c r="AE45" s="31">
        <f t="shared" si="61"/>
        <v>0</v>
      </c>
      <c r="AF45" s="31">
        <f t="shared" si="62"/>
        <v>0</v>
      </c>
      <c r="AG45" s="31">
        <f t="shared" si="63"/>
        <v>0</v>
      </c>
      <c r="AH45" s="31">
        <f t="shared" si="64"/>
        <v>0</v>
      </c>
      <c r="AI45" s="12" t="s">
        <v>54</v>
      </c>
      <c r="AJ45" s="31">
        <f t="shared" si="65"/>
        <v>0</v>
      </c>
      <c r="AK45" s="31">
        <f t="shared" si="66"/>
        <v>0</v>
      </c>
      <c r="AL45" s="31">
        <f t="shared" si="67"/>
        <v>0</v>
      </c>
      <c r="AN45" s="31">
        <v>12</v>
      </c>
      <c r="AO45" s="31">
        <f>H45*0.005571173</f>
        <v>0</v>
      </c>
      <c r="AP45" s="31">
        <f>H45*(1-0.005571173)</f>
        <v>0</v>
      </c>
      <c r="AQ45" s="34" t="s">
        <v>57</v>
      </c>
      <c r="AV45" s="31">
        <f t="shared" si="68"/>
        <v>0</v>
      </c>
      <c r="AW45" s="31">
        <f t="shared" si="69"/>
        <v>0</v>
      </c>
      <c r="AX45" s="31">
        <f t="shared" si="70"/>
        <v>0</v>
      </c>
      <c r="AY45" s="34" t="s">
        <v>138</v>
      </c>
      <c r="AZ45" s="34" t="s">
        <v>139</v>
      </c>
      <c r="BA45" s="12" t="s">
        <v>64</v>
      </c>
      <c r="BC45" s="31">
        <f t="shared" si="71"/>
        <v>0</v>
      </c>
      <c r="BD45" s="31">
        <f t="shared" si="72"/>
        <v>0</v>
      </c>
      <c r="BE45" s="31">
        <v>0</v>
      </c>
      <c r="BF45" s="31">
        <f t="shared" si="73"/>
        <v>2.15E-3</v>
      </c>
      <c r="BH45" s="31">
        <f t="shared" si="74"/>
        <v>0</v>
      </c>
      <c r="BI45" s="31">
        <f t="shared" si="75"/>
        <v>0</v>
      </c>
      <c r="BJ45" s="31">
        <f t="shared" si="76"/>
        <v>0</v>
      </c>
      <c r="BK45" s="34" t="s">
        <v>65</v>
      </c>
      <c r="BL45" s="31">
        <v>87</v>
      </c>
      <c r="BW45" s="31">
        <f t="shared" si="77"/>
        <v>0</v>
      </c>
      <c r="BX45" s="4" t="s">
        <v>166</v>
      </c>
    </row>
    <row r="46" spans="1:76" x14ac:dyDescent="0.25">
      <c r="A46" s="2" t="s">
        <v>167</v>
      </c>
      <c r="B46" s="3" t="s">
        <v>54</v>
      </c>
      <c r="C46" s="3" t="s">
        <v>168</v>
      </c>
      <c r="D46" s="90" t="s">
        <v>169</v>
      </c>
      <c r="E46" s="85"/>
      <c r="F46" s="3" t="s">
        <v>123</v>
      </c>
      <c r="G46" s="31">
        <v>10</v>
      </c>
      <c r="H46" s="31"/>
      <c r="I46" s="32"/>
      <c r="J46" s="31">
        <f t="shared" si="52"/>
        <v>0</v>
      </c>
      <c r="K46" s="31">
        <f t="shared" si="53"/>
        <v>0</v>
      </c>
      <c r="L46" s="31">
        <f t="shared" si="54"/>
        <v>0</v>
      </c>
      <c r="M46" s="31">
        <f t="shared" si="55"/>
        <v>0</v>
      </c>
      <c r="N46" s="31">
        <v>7.79E-3</v>
      </c>
      <c r="O46" s="31">
        <f t="shared" si="56"/>
        <v>7.7899999999999997E-2</v>
      </c>
      <c r="P46" s="33" t="s">
        <v>61</v>
      </c>
      <c r="Z46" s="31">
        <f t="shared" si="57"/>
        <v>0</v>
      </c>
      <c r="AB46" s="31">
        <f t="shared" si="58"/>
        <v>0</v>
      </c>
      <c r="AC46" s="31">
        <f t="shared" si="59"/>
        <v>0</v>
      </c>
      <c r="AD46" s="31">
        <f t="shared" si="60"/>
        <v>0</v>
      </c>
      <c r="AE46" s="31">
        <f t="shared" si="61"/>
        <v>0</v>
      </c>
      <c r="AF46" s="31">
        <f t="shared" si="62"/>
        <v>0</v>
      </c>
      <c r="AG46" s="31">
        <f t="shared" si="63"/>
        <v>0</v>
      </c>
      <c r="AH46" s="31">
        <f t="shared" si="64"/>
        <v>0</v>
      </c>
      <c r="AI46" s="12" t="s">
        <v>54</v>
      </c>
      <c r="AJ46" s="31">
        <f t="shared" si="65"/>
        <v>0</v>
      </c>
      <c r="AK46" s="31">
        <f t="shared" si="66"/>
        <v>0</v>
      </c>
      <c r="AL46" s="31">
        <f t="shared" si="67"/>
        <v>0</v>
      </c>
      <c r="AN46" s="31">
        <v>12</v>
      </c>
      <c r="AO46" s="31">
        <f>H46*1</f>
        <v>0</v>
      </c>
      <c r="AP46" s="31">
        <f>H46*(1-1)</f>
        <v>0</v>
      </c>
      <c r="AQ46" s="34" t="s">
        <v>57</v>
      </c>
      <c r="AV46" s="31">
        <f t="shared" si="68"/>
        <v>0</v>
      </c>
      <c r="AW46" s="31">
        <f t="shared" si="69"/>
        <v>0</v>
      </c>
      <c r="AX46" s="31">
        <f t="shared" si="70"/>
        <v>0</v>
      </c>
      <c r="AY46" s="34" t="s">
        <v>138</v>
      </c>
      <c r="AZ46" s="34" t="s">
        <v>139</v>
      </c>
      <c r="BA46" s="12" t="s">
        <v>64</v>
      </c>
      <c r="BC46" s="31">
        <f t="shared" si="71"/>
        <v>0</v>
      </c>
      <c r="BD46" s="31">
        <f t="shared" si="72"/>
        <v>0</v>
      </c>
      <c r="BE46" s="31">
        <v>0</v>
      </c>
      <c r="BF46" s="31">
        <f t="shared" si="73"/>
        <v>7.7899999999999997E-2</v>
      </c>
      <c r="BH46" s="31">
        <f t="shared" si="74"/>
        <v>0</v>
      </c>
      <c r="BI46" s="31">
        <f t="shared" si="75"/>
        <v>0</v>
      </c>
      <c r="BJ46" s="31">
        <f t="shared" si="76"/>
        <v>0</v>
      </c>
      <c r="BK46" s="34" t="s">
        <v>119</v>
      </c>
      <c r="BL46" s="31">
        <v>87</v>
      </c>
      <c r="BW46" s="31">
        <f t="shared" si="77"/>
        <v>0</v>
      </c>
      <c r="BX46" s="4" t="s">
        <v>169</v>
      </c>
    </row>
    <row r="47" spans="1:76" x14ac:dyDescent="0.25">
      <c r="A47" s="2" t="s">
        <v>170</v>
      </c>
      <c r="B47" s="3" t="s">
        <v>54</v>
      </c>
      <c r="C47" s="3" t="s">
        <v>171</v>
      </c>
      <c r="D47" s="90" t="s">
        <v>172</v>
      </c>
      <c r="E47" s="85"/>
      <c r="F47" s="3" t="s">
        <v>123</v>
      </c>
      <c r="G47" s="31">
        <v>20</v>
      </c>
      <c r="H47" s="31"/>
      <c r="I47" s="32"/>
      <c r="J47" s="31">
        <f t="shared" si="52"/>
        <v>0</v>
      </c>
      <c r="K47" s="31">
        <f t="shared" si="53"/>
        <v>0</v>
      </c>
      <c r="L47" s="31">
        <f t="shared" si="54"/>
        <v>0</v>
      </c>
      <c r="M47" s="31">
        <f t="shared" si="55"/>
        <v>0</v>
      </c>
      <c r="N47" s="31">
        <v>3.8949999999999999E-2</v>
      </c>
      <c r="O47" s="31">
        <f t="shared" si="56"/>
        <v>0.77899999999999991</v>
      </c>
      <c r="P47" s="33" t="s">
        <v>61</v>
      </c>
      <c r="Z47" s="31">
        <f t="shared" si="57"/>
        <v>0</v>
      </c>
      <c r="AB47" s="31">
        <f t="shared" si="58"/>
        <v>0</v>
      </c>
      <c r="AC47" s="31">
        <f t="shared" si="59"/>
        <v>0</v>
      </c>
      <c r="AD47" s="31">
        <f t="shared" si="60"/>
        <v>0</v>
      </c>
      <c r="AE47" s="31">
        <f t="shared" si="61"/>
        <v>0</v>
      </c>
      <c r="AF47" s="31">
        <f t="shared" si="62"/>
        <v>0</v>
      </c>
      <c r="AG47" s="31">
        <f t="shared" si="63"/>
        <v>0</v>
      </c>
      <c r="AH47" s="31">
        <f t="shared" si="64"/>
        <v>0</v>
      </c>
      <c r="AI47" s="12" t="s">
        <v>54</v>
      </c>
      <c r="AJ47" s="31">
        <f t="shared" si="65"/>
        <v>0</v>
      </c>
      <c r="AK47" s="31">
        <f t="shared" si="66"/>
        <v>0</v>
      </c>
      <c r="AL47" s="31">
        <f t="shared" si="67"/>
        <v>0</v>
      </c>
      <c r="AN47" s="31">
        <v>12</v>
      </c>
      <c r="AO47" s="31">
        <f>H47*1</f>
        <v>0</v>
      </c>
      <c r="AP47" s="31">
        <f>H47*(1-1)</f>
        <v>0</v>
      </c>
      <c r="AQ47" s="34" t="s">
        <v>57</v>
      </c>
      <c r="AV47" s="31">
        <f t="shared" si="68"/>
        <v>0</v>
      </c>
      <c r="AW47" s="31">
        <f t="shared" si="69"/>
        <v>0</v>
      </c>
      <c r="AX47" s="31">
        <f t="shared" si="70"/>
        <v>0</v>
      </c>
      <c r="AY47" s="34" t="s">
        <v>138</v>
      </c>
      <c r="AZ47" s="34" t="s">
        <v>139</v>
      </c>
      <c r="BA47" s="12" t="s">
        <v>64</v>
      </c>
      <c r="BC47" s="31">
        <f t="shared" si="71"/>
        <v>0</v>
      </c>
      <c r="BD47" s="31">
        <f t="shared" si="72"/>
        <v>0</v>
      </c>
      <c r="BE47" s="31">
        <v>0</v>
      </c>
      <c r="BF47" s="31">
        <f t="shared" si="73"/>
        <v>0.77899999999999991</v>
      </c>
      <c r="BH47" s="31">
        <f t="shared" si="74"/>
        <v>0</v>
      </c>
      <c r="BI47" s="31">
        <f t="shared" si="75"/>
        <v>0</v>
      </c>
      <c r="BJ47" s="31">
        <f t="shared" si="76"/>
        <v>0</v>
      </c>
      <c r="BK47" s="34" t="s">
        <v>119</v>
      </c>
      <c r="BL47" s="31">
        <v>87</v>
      </c>
      <c r="BW47" s="31">
        <f t="shared" si="77"/>
        <v>0</v>
      </c>
      <c r="BX47" s="4" t="s">
        <v>172</v>
      </c>
    </row>
    <row r="48" spans="1:76" x14ac:dyDescent="0.25">
      <c r="A48" s="2" t="s">
        <v>173</v>
      </c>
      <c r="B48" s="3" t="s">
        <v>54</v>
      </c>
      <c r="C48" s="3" t="s">
        <v>174</v>
      </c>
      <c r="D48" s="90" t="s">
        <v>175</v>
      </c>
      <c r="E48" s="85"/>
      <c r="F48" s="3" t="s">
        <v>123</v>
      </c>
      <c r="G48" s="31">
        <v>15</v>
      </c>
      <c r="H48" s="31"/>
      <c r="I48" s="32"/>
      <c r="J48" s="31">
        <f t="shared" si="52"/>
        <v>0</v>
      </c>
      <c r="K48" s="31">
        <f t="shared" si="53"/>
        <v>0</v>
      </c>
      <c r="L48" s="31">
        <f t="shared" si="54"/>
        <v>0</v>
      </c>
      <c r="M48" s="31">
        <f t="shared" si="55"/>
        <v>0</v>
      </c>
      <c r="N48" s="31">
        <v>1.2370000000000001E-2</v>
      </c>
      <c r="O48" s="31">
        <f t="shared" si="56"/>
        <v>0.18555000000000002</v>
      </c>
      <c r="P48" s="33" t="s">
        <v>61</v>
      </c>
      <c r="Z48" s="31">
        <f t="shared" si="57"/>
        <v>0</v>
      </c>
      <c r="AB48" s="31">
        <f t="shared" si="58"/>
        <v>0</v>
      </c>
      <c r="AC48" s="31">
        <f t="shared" si="59"/>
        <v>0</v>
      </c>
      <c r="AD48" s="31">
        <f t="shared" si="60"/>
        <v>0</v>
      </c>
      <c r="AE48" s="31">
        <f t="shared" si="61"/>
        <v>0</v>
      </c>
      <c r="AF48" s="31">
        <f t="shared" si="62"/>
        <v>0</v>
      </c>
      <c r="AG48" s="31">
        <f t="shared" si="63"/>
        <v>0</v>
      </c>
      <c r="AH48" s="31">
        <f t="shared" si="64"/>
        <v>0</v>
      </c>
      <c r="AI48" s="12" t="s">
        <v>54</v>
      </c>
      <c r="AJ48" s="31">
        <f t="shared" si="65"/>
        <v>0</v>
      </c>
      <c r="AK48" s="31">
        <f t="shared" si="66"/>
        <v>0</v>
      </c>
      <c r="AL48" s="31">
        <f t="shared" si="67"/>
        <v>0</v>
      </c>
      <c r="AN48" s="31">
        <v>12</v>
      </c>
      <c r="AO48" s="31">
        <f>H48*1</f>
        <v>0</v>
      </c>
      <c r="AP48" s="31">
        <f>H48*(1-1)</f>
        <v>0</v>
      </c>
      <c r="AQ48" s="34" t="s">
        <v>57</v>
      </c>
      <c r="AV48" s="31">
        <f t="shared" si="68"/>
        <v>0</v>
      </c>
      <c r="AW48" s="31">
        <f t="shared" si="69"/>
        <v>0</v>
      </c>
      <c r="AX48" s="31">
        <f t="shared" si="70"/>
        <v>0</v>
      </c>
      <c r="AY48" s="34" t="s">
        <v>138</v>
      </c>
      <c r="AZ48" s="34" t="s">
        <v>139</v>
      </c>
      <c r="BA48" s="12" t="s">
        <v>64</v>
      </c>
      <c r="BC48" s="31">
        <f t="shared" si="71"/>
        <v>0</v>
      </c>
      <c r="BD48" s="31">
        <f t="shared" si="72"/>
        <v>0</v>
      </c>
      <c r="BE48" s="31">
        <v>0</v>
      </c>
      <c r="BF48" s="31">
        <f t="shared" si="73"/>
        <v>0.18555000000000002</v>
      </c>
      <c r="BH48" s="31">
        <f t="shared" si="74"/>
        <v>0</v>
      </c>
      <c r="BI48" s="31">
        <f t="shared" si="75"/>
        <v>0</v>
      </c>
      <c r="BJ48" s="31">
        <f t="shared" si="76"/>
        <v>0</v>
      </c>
      <c r="BK48" s="34" t="s">
        <v>119</v>
      </c>
      <c r="BL48" s="31">
        <v>87</v>
      </c>
      <c r="BW48" s="31">
        <f t="shared" si="77"/>
        <v>0</v>
      </c>
      <c r="BX48" s="4" t="s">
        <v>175</v>
      </c>
    </row>
    <row r="49" spans="1:76" x14ac:dyDescent="0.25">
      <c r="A49" s="2" t="s">
        <v>176</v>
      </c>
      <c r="B49" s="3" t="s">
        <v>54</v>
      </c>
      <c r="C49" s="3" t="s">
        <v>177</v>
      </c>
      <c r="D49" s="90" t="s">
        <v>178</v>
      </c>
      <c r="E49" s="85"/>
      <c r="F49" s="3" t="s">
        <v>123</v>
      </c>
      <c r="G49" s="31">
        <v>18</v>
      </c>
      <c r="H49" s="31"/>
      <c r="I49" s="32"/>
      <c r="J49" s="31">
        <f t="shared" si="52"/>
        <v>0</v>
      </c>
      <c r="K49" s="31">
        <f t="shared" si="53"/>
        <v>0</v>
      </c>
      <c r="L49" s="31">
        <f t="shared" si="54"/>
        <v>0</v>
      </c>
      <c r="M49" s="31">
        <f t="shared" si="55"/>
        <v>0</v>
      </c>
      <c r="N49" s="31">
        <v>6.1850000000000002E-2</v>
      </c>
      <c r="O49" s="31">
        <f t="shared" si="56"/>
        <v>1.1133</v>
      </c>
      <c r="P49" s="33" t="s">
        <v>61</v>
      </c>
      <c r="Z49" s="31">
        <f t="shared" si="57"/>
        <v>0</v>
      </c>
      <c r="AB49" s="31">
        <f t="shared" si="58"/>
        <v>0</v>
      </c>
      <c r="AC49" s="31">
        <f t="shared" si="59"/>
        <v>0</v>
      </c>
      <c r="AD49" s="31">
        <f t="shared" si="60"/>
        <v>0</v>
      </c>
      <c r="AE49" s="31">
        <f t="shared" si="61"/>
        <v>0</v>
      </c>
      <c r="AF49" s="31">
        <f t="shared" si="62"/>
        <v>0</v>
      </c>
      <c r="AG49" s="31">
        <f t="shared" si="63"/>
        <v>0</v>
      </c>
      <c r="AH49" s="31">
        <f t="shared" si="64"/>
        <v>0</v>
      </c>
      <c r="AI49" s="12" t="s">
        <v>54</v>
      </c>
      <c r="AJ49" s="31">
        <f t="shared" si="65"/>
        <v>0</v>
      </c>
      <c r="AK49" s="31">
        <f t="shared" si="66"/>
        <v>0</v>
      </c>
      <c r="AL49" s="31">
        <f t="shared" si="67"/>
        <v>0</v>
      </c>
      <c r="AN49" s="31">
        <v>12</v>
      </c>
      <c r="AO49" s="31">
        <f>H49*1</f>
        <v>0</v>
      </c>
      <c r="AP49" s="31">
        <f>H49*(1-1)</f>
        <v>0</v>
      </c>
      <c r="AQ49" s="34" t="s">
        <v>57</v>
      </c>
      <c r="AV49" s="31">
        <f t="shared" si="68"/>
        <v>0</v>
      </c>
      <c r="AW49" s="31">
        <f t="shared" si="69"/>
        <v>0</v>
      </c>
      <c r="AX49" s="31">
        <f t="shared" si="70"/>
        <v>0</v>
      </c>
      <c r="AY49" s="34" t="s">
        <v>138</v>
      </c>
      <c r="AZ49" s="34" t="s">
        <v>139</v>
      </c>
      <c r="BA49" s="12" t="s">
        <v>64</v>
      </c>
      <c r="BC49" s="31">
        <f t="shared" si="71"/>
        <v>0</v>
      </c>
      <c r="BD49" s="31">
        <f t="shared" si="72"/>
        <v>0</v>
      </c>
      <c r="BE49" s="31">
        <v>0</v>
      </c>
      <c r="BF49" s="31">
        <f t="shared" si="73"/>
        <v>1.1133</v>
      </c>
      <c r="BH49" s="31">
        <f t="shared" si="74"/>
        <v>0</v>
      </c>
      <c r="BI49" s="31">
        <f t="shared" si="75"/>
        <v>0</v>
      </c>
      <c r="BJ49" s="31">
        <f t="shared" si="76"/>
        <v>0</v>
      </c>
      <c r="BK49" s="34" t="s">
        <v>119</v>
      </c>
      <c r="BL49" s="31">
        <v>87</v>
      </c>
      <c r="BW49" s="31">
        <f t="shared" si="77"/>
        <v>0</v>
      </c>
      <c r="BX49" s="4" t="s">
        <v>178</v>
      </c>
    </row>
    <row r="50" spans="1:76" x14ac:dyDescent="0.25">
      <c r="A50" s="2" t="s">
        <v>179</v>
      </c>
      <c r="B50" s="3" t="s">
        <v>54</v>
      </c>
      <c r="C50" s="3" t="s">
        <v>180</v>
      </c>
      <c r="D50" s="90" t="s">
        <v>181</v>
      </c>
      <c r="E50" s="85"/>
      <c r="F50" s="3" t="s">
        <v>81</v>
      </c>
      <c r="G50" s="31">
        <v>125</v>
      </c>
      <c r="H50" s="31"/>
      <c r="I50" s="32"/>
      <c r="J50" s="31">
        <f t="shared" si="52"/>
        <v>0</v>
      </c>
      <c r="K50" s="31">
        <f t="shared" si="53"/>
        <v>0</v>
      </c>
      <c r="L50" s="31">
        <f t="shared" si="54"/>
        <v>0</v>
      </c>
      <c r="M50" s="31">
        <f t="shared" si="55"/>
        <v>0</v>
      </c>
      <c r="N50" s="31">
        <v>1.0000000000000001E-5</v>
      </c>
      <c r="O50" s="31">
        <f t="shared" si="56"/>
        <v>1.25E-3</v>
      </c>
      <c r="P50" s="33" t="s">
        <v>61</v>
      </c>
      <c r="Z50" s="31">
        <f t="shared" si="57"/>
        <v>0</v>
      </c>
      <c r="AB50" s="31">
        <f t="shared" si="58"/>
        <v>0</v>
      </c>
      <c r="AC50" s="31">
        <f t="shared" si="59"/>
        <v>0</v>
      </c>
      <c r="AD50" s="31">
        <f t="shared" si="60"/>
        <v>0</v>
      </c>
      <c r="AE50" s="31">
        <f t="shared" si="61"/>
        <v>0</v>
      </c>
      <c r="AF50" s="31">
        <f t="shared" si="62"/>
        <v>0</v>
      </c>
      <c r="AG50" s="31">
        <f t="shared" si="63"/>
        <v>0</v>
      </c>
      <c r="AH50" s="31">
        <f t="shared" si="64"/>
        <v>0</v>
      </c>
      <c r="AI50" s="12" t="s">
        <v>54</v>
      </c>
      <c r="AJ50" s="31">
        <f t="shared" si="65"/>
        <v>0</v>
      </c>
      <c r="AK50" s="31">
        <f t="shared" si="66"/>
        <v>0</v>
      </c>
      <c r="AL50" s="31">
        <f t="shared" si="67"/>
        <v>0</v>
      </c>
      <c r="AN50" s="31">
        <v>12</v>
      </c>
      <c r="AO50" s="31">
        <f>H50*0.004954583</f>
        <v>0</v>
      </c>
      <c r="AP50" s="31">
        <f>H50*(1-0.004954583)</f>
        <v>0</v>
      </c>
      <c r="AQ50" s="34" t="s">
        <v>57</v>
      </c>
      <c r="AV50" s="31">
        <f t="shared" si="68"/>
        <v>0</v>
      </c>
      <c r="AW50" s="31">
        <f t="shared" si="69"/>
        <v>0</v>
      </c>
      <c r="AX50" s="31">
        <f t="shared" si="70"/>
        <v>0</v>
      </c>
      <c r="AY50" s="34" t="s">
        <v>138</v>
      </c>
      <c r="AZ50" s="34" t="s">
        <v>139</v>
      </c>
      <c r="BA50" s="12" t="s">
        <v>64</v>
      </c>
      <c r="BC50" s="31">
        <f t="shared" si="71"/>
        <v>0</v>
      </c>
      <c r="BD50" s="31">
        <f t="shared" si="72"/>
        <v>0</v>
      </c>
      <c r="BE50" s="31">
        <v>0</v>
      </c>
      <c r="BF50" s="31">
        <f t="shared" si="73"/>
        <v>1.25E-3</v>
      </c>
      <c r="BH50" s="31">
        <f t="shared" si="74"/>
        <v>0</v>
      </c>
      <c r="BI50" s="31">
        <f t="shared" si="75"/>
        <v>0</v>
      </c>
      <c r="BJ50" s="31">
        <f t="shared" si="76"/>
        <v>0</v>
      </c>
      <c r="BK50" s="34" t="s">
        <v>65</v>
      </c>
      <c r="BL50" s="31">
        <v>87</v>
      </c>
      <c r="BW50" s="31">
        <f t="shared" si="77"/>
        <v>0</v>
      </c>
      <c r="BX50" s="4" t="s">
        <v>181</v>
      </c>
    </row>
    <row r="51" spans="1:76" x14ac:dyDescent="0.25">
      <c r="A51" s="2" t="s">
        <v>182</v>
      </c>
      <c r="B51" s="3" t="s">
        <v>54</v>
      </c>
      <c r="C51" s="3" t="s">
        <v>183</v>
      </c>
      <c r="D51" s="90" t="s">
        <v>184</v>
      </c>
      <c r="E51" s="85"/>
      <c r="F51" s="3" t="s">
        <v>123</v>
      </c>
      <c r="G51" s="31">
        <v>25</v>
      </c>
      <c r="H51" s="31"/>
      <c r="I51" s="32"/>
      <c r="J51" s="31">
        <f t="shared" si="52"/>
        <v>0</v>
      </c>
      <c r="K51" s="31">
        <f t="shared" si="53"/>
        <v>0</v>
      </c>
      <c r="L51" s="31">
        <f t="shared" si="54"/>
        <v>0</v>
      </c>
      <c r="M51" s="31">
        <f t="shared" si="55"/>
        <v>0</v>
      </c>
      <c r="N51" s="31">
        <v>1.9980000000000001E-2</v>
      </c>
      <c r="O51" s="31">
        <f t="shared" si="56"/>
        <v>0.49950000000000006</v>
      </c>
      <c r="P51" s="33" t="s">
        <v>61</v>
      </c>
      <c r="Z51" s="31">
        <f t="shared" si="57"/>
        <v>0</v>
      </c>
      <c r="AB51" s="31">
        <f t="shared" si="58"/>
        <v>0</v>
      </c>
      <c r="AC51" s="31">
        <f t="shared" si="59"/>
        <v>0</v>
      </c>
      <c r="AD51" s="31">
        <f t="shared" si="60"/>
        <v>0</v>
      </c>
      <c r="AE51" s="31">
        <f t="shared" si="61"/>
        <v>0</v>
      </c>
      <c r="AF51" s="31">
        <f t="shared" si="62"/>
        <v>0</v>
      </c>
      <c r="AG51" s="31">
        <f t="shared" si="63"/>
        <v>0</v>
      </c>
      <c r="AH51" s="31">
        <f t="shared" si="64"/>
        <v>0</v>
      </c>
      <c r="AI51" s="12" t="s">
        <v>54</v>
      </c>
      <c r="AJ51" s="31">
        <f t="shared" si="65"/>
        <v>0</v>
      </c>
      <c r="AK51" s="31">
        <f t="shared" si="66"/>
        <v>0</v>
      </c>
      <c r="AL51" s="31">
        <f t="shared" si="67"/>
        <v>0</v>
      </c>
      <c r="AN51" s="31">
        <v>12</v>
      </c>
      <c r="AO51" s="31">
        <f>H51*1</f>
        <v>0</v>
      </c>
      <c r="AP51" s="31">
        <f>H51*(1-1)</f>
        <v>0</v>
      </c>
      <c r="AQ51" s="34" t="s">
        <v>57</v>
      </c>
      <c r="AV51" s="31">
        <f t="shared" si="68"/>
        <v>0</v>
      </c>
      <c r="AW51" s="31">
        <f t="shared" si="69"/>
        <v>0</v>
      </c>
      <c r="AX51" s="31">
        <f t="shared" si="70"/>
        <v>0</v>
      </c>
      <c r="AY51" s="34" t="s">
        <v>138</v>
      </c>
      <c r="AZ51" s="34" t="s">
        <v>139</v>
      </c>
      <c r="BA51" s="12" t="s">
        <v>64</v>
      </c>
      <c r="BC51" s="31">
        <f t="shared" si="71"/>
        <v>0</v>
      </c>
      <c r="BD51" s="31">
        <f t="shared" si="72"/>
        <v>0</v>
      </c>
      <c r="BE51" s="31">
        <v>0</v>
      </c>
      <c r="BF51" s="31">
        <f t="shared" si="73"/>
        <v>0.49950000000000006</v>
      </c>
      <c r="BH51" s="31">
        <f t="shared" si="74"/>
        <v>0</v>
      </c>
      <c r="BI51" s="31">
        <f t="shared" si="75"/>
        <v>0</v>
      </c>
      <c r="BJ51" s="31">
        <f t="shared" si="76"/>
        <v>0</v>
      </c>
      <c r="BK51" s="34" t="s">
        <v>119</v>
      </c>
      <c r="BL51" s="31">
        <v>87</v>
      </c>
      <c r="BW51" s="31">
        <f t="shared" si="77"/>
        <v>0</v>
      </c>
      <c r="BX51" s="4" t="s">
        <v>184</v>
      </c>
    </row>
    <row r="52" spans="1:76" x14ac:dyDescent="0.25">
      <c r="A52" s="2" t="s">
        <v>185</v>
      </c>
      <c r="B52" s="3" t="s">
        <v>54</v>
      </c>
      <c r="C52" s="3" t="s">
        <v>186</v>
      </c>
      <c r="D52" s="90" t="s">
        <v>187</v>
      </c>
      <c r="E52" s="85"/>
      <c r="F52" s="3" t="s">
        <v>123</v>
      </c>
      <c r="G52" s="31">
        <v>24</v>
      </c>
      <c r="H52" s="31"/>
      <c r="I52" s="32"/>
      <c r="J52" s="31">
        <f t="shared" si="52"/>
        <v>0</v>
      </c>
      <c r="K52" s="31">
        <f t="shared" si="53"/>
        <v>0</v>
      </c>
      <c r="L52" s="31">
        <f t="shared" si="54"/>
        <v>0</v>
      </c>
      <c r="M52" s="31">
        <f t="shared" si="55"/>
        <v>0</v>
      </c>
      <c r="N52" s="31">
        <v>9.9900000000000003E-2</v>
      </c>
      <c r="O52" s="31">
        <f t="shared" si="56"/>
        <v>2.3976000000000002</v>
      </c>
      <c r="P52" s="33" t="s">
        <v>61</v>
      </c>
      <c r="Z52" s="31">
        <f t="shared" si="57"/>
        <v>0</v>
      </c>
      <c r="AB52" s="31">
        <f t="shared" si="58"/>
        <v>0</v>
      </c>
      <c r="AC52" s="31">
        <f t="shared" si="59"/>
        <v>0</v>
      </c>
      <c r="AD52" s="31">
        <f t="shared" si="60"/>
        <v>0</v>
      </c>
      <c r="AE52" s="31">
        <f t="shared" si="61"/>
        <v>0</v>
      </c>
      <c r="AF52" s="31">
        <f t="shared" si="62"/>
        <v>0</v>
      </c>
      <c r="AG52" s="31">
        <f t="shared" si="63"/>
        <v>0</v>
      </c>
      <c r="AH52" s="31">
        <f t="shared" si="64"/>
        <v>0</v>
      </c>
      <c r="AI52" s="12" t="s">
        <v>54</v>
      </c>
      <c r="AJ52" s="31">
        <f t="shared" si="65"/>
        <v>0</v>
      </c>
      <c r="AK52" s="31">
        <f t="shared" si="66"/>
        <v>0</v>
      </c>
      <c r="AL52" s="31">
        <f t="shared" si="67"/>
        <v>0</v>
      </c>
      <c r="AN52" s="31">
        <v>12</v>
      </c>
      <c r="AO52" s="31">
        <f>H52*1</f>
        <v>0</v>
      </c>
      <c r="AP52" s="31">
        <f>H52*(1-1)</f>
        <v>0</v>
      </c>
      <c r="AQ52" s="34" t="s">
        <v>57</v>
      </c>
      <c r="AV52" s="31">
        <f t="shared" si="68"/>
        <v>0</v>
      </c>
      <c r="AW52" s="31">
        <f t="shared" si="69"/>
        <v>0</v>
      </c>
      <c r="AX52" s="31">
        <f t="shared" si="70"/>
        <v>0</v>
      </c>
      <c r="AY52" s="34" t="s">
        <v>138</v>
      </c>
      <c r="AZ52" s="34" t="s">
        <v>139</v>
      </c>
      <c r="BA52" s="12" t="s">
        <v>64</v>
      </c>
      <c r="BC52" s="31">
        <f t="shared" si="71"/>
        <v>0</v>
      </c>
      <c r="BD52" s="31">
        <f t="shared" si="72"/>
        <v>0</v>
      </c>
      <c r="BE52" s="31">
        <v>0</v>
      </c>
      <c r="BF52" s="31">
        <f t="shared" si="73"/>
        <v>2.3976000000000002</v>
      </c>
      <c r="BH52" s="31">
        <f t="shared" si="74"/>
        <v>0</v>
      </c>
      <c r="BI52" s="31">
        <f t="shared" si="75"/>
        <v>0</v>
      </c>
      <c r="BJ52" s="31">
        <f t="shared" si="76"/>
        <v>0</v>
      </c>
      <c r="BK52" s="34" t="s">
        <v>119</v>
      </c>
      <c r="BL52" s="31">
        <v>87</v>
      </c>
      <c r="BW52" s="31">
        <f t="shared" si="77"/>
        <v>0</v>
      </c>
      <c r="BX52" s="4" t="s">
        <v>187</v>
      </c>
    </row>
    <row r="53" spans="1:76" x14ac:dyDescent="0.25">
      <c r="A53" s="2" t="s">
        <v>188</v>
      </c>
      <c r="B53" s="3" t="s">
        <v>54</v>
      </c>
      <c r="C53" s="3" t="s">
        <v>189</v>
      </c>
      <c r="D53" s="90" t="s">
        <v>190</v>
      </c>
      <c r="E53" s="85"/>
      <c r="F53" s="3" t="s">
        <v>81</v>
      </c>
      <c r="G53" s="31">
        <v>140</v>
      </c>
      <c r="H53" s="31"/>
      <c r="I53" s="32"/>
      <c r="J53" s="31">
        <f t="shared" si="52"/>
        <v>0</v>
      </c>
      <c r="K53" s="31">
        <f t="shared" si="53"/>
        <v>0</v>
      </c>
      <c r="L53" s="31">
        <f t="shared" si="54"/>
        <v>0</v>
      </c>
      <c r="M53" s="31">
        <f t="shared" si="55"/>
        <v>0</v>
      </c>
      <c r="N53" s="31">
        <v>1.0000000000000001E-5</v>
      </c>
      <c r="O53" s="31">
        <f t="shared" si="56"/>
        <v>1.4000000000000002E-3</v>
      </c>
      <c r="P53" s="33" t="s">
        <v>61</v>
      </c>
      <c r="Z53" s="31">
        <f t="shared" si="57"/>
        <v>0</v>
      </c>
      <c r="AB53" s="31">
        <f t="shared" si="58"/>
        <v>0</v>
      </c>
      <c r="AC53" s="31">
        <f t="shared" si="59"/>
        <v>0</v>
      </c>
      <c r="AD53" s="31">
        <f t="shared" si="60"/>
        <v>0</v>
      </c>
      <c r="AE53" s="31">
        <f t="shared" si="61"/>
        <v>0</v>
      </c>
      <c r="AF53" s="31">
        <f t="shared" si="62"/>
        <v>0</v>
      </c>
      <c r="AG53" s="31">
        <f t="shared" si="63"/>
        <v>0</v>
      </c>
      <c r="AH53" s="31">
        <f t="shared" si="64"/>
        <v>0</v>
      </c>
      <c r="AI53" s="12" t="s">
        <v>54</v>
      </c>
      <c r="AJ53" s="31">
        <f t="shared" si="65"/>
        <v>0</v>
      </c>
      <c r="AK53" s="31">
        <f t="shared" si="66"/>
        <v>0</v>
      </c>
      <c r="AL53" s="31">
        <f t="shared" si="67"/>
        <v>0</v>
      </c>
      <c r="AN53" s="31">
        <v>12</v>
      </c>
      <c r="AO53" s="31">
        <f>H53*0.004705882</f>
        <v>0</v>
      </c>
      <c r="AP53" s="31">
        <f>H53*(1-0.004705882)</f>
        <v>0</v>
      </c>
      <c r="AQ53" s="34" t="s">
        <v>57</v>
      </c>
      <c r="AV53" s="31">
        <f t="shared" si="68"/>
        <v>0</v>
      </c>
      <c r="AW53" s="31">
        <f t="shared" si="69"/>
        <v>0</v>
      </c>
      <c r="AX53" s="31">
        <f t="shared" si="70"/>
        <v>0</v>
      </c>
      <c r="AY53" s="34" t="s">
        <v>138</v>
      </c>
      <c r="AZ53" s="34" t="s">
        <v>139</v>
      </c>
      <c r="BA53" s="12" t="s">
        <v>64</v>
      </c>
      <c r="BC53" s="31">
        <f t="shared" si="71"/>
        <v>0</v>
      </c>
      <c r="BD53" s="31">
        <f t="shared" si="72"/>
        <v>0</v>
      </c>
      <c r="BE53" s="31">
        <v>0</v>
      </c>
      <c r="BF53" s="31">
        <f t="shared" si="73"/>
        <v>1.4000000000000002E-3</v>
      </c>
      <c r="BH53" s="31">
        <f t="shared" si="74"/>
        <v>0</v>
      </c>
      <c r="BI53" s="31">
        <f t="shared" si="75"/>
        <v>0</v>
      </c>
      <c r="BJ53" s="31">
        <f t="shared" si="76"/>
        <v>0</v>
      </c>
      <c r="BK53" s="34" t="s">
        <v>65</v>
      </c>
      <c r="BL53" s="31">
        <v>87</v>
      </c>
      <c r="BW53" s="31">
        <f t="shared" si="77"/>
        <v>0</v>
      </c>
      <c r="BX53" s="4" t="s">
        <v>190</v>
      </c>
    </row>
    <row r="54" spans="1:76" x14ac:dyDescent="0.25">
      <c r="A54" s="2" t="s">
        <v>191</v>
      </c>
      <c r="B54" s="3" t="s">
        <v>54</v>
      </c>
      <c r="C54" s="3" t="s">
        <v>192</v>
      </c>
      <c r="D54" s="90" t="s">
        <v>193</v>
      </c>
      <c r="E54" s="85"/>
      <c r="F54" s="3" t="s">
        <v>123</v>
      </c>
      <c r="G54" s="31">
        <v>30</v>
      </c>
      <c r="H54" s="31"/>
      <c r="I54" s="32"/>
      <c r="J54" s="31">
        <f t="shared" si="52"/>
        <v>0</v>
      </c>
      <c r="K54" s="31">
        <f t="shared" si="53"/>
        <v>0</v>
      </c>
      <c r="L54" s="31">
        <f t="shared" si="54"/>
        <v>0</v>
      </c>
      <c r="M54" s="31">
        <f t="shared" si="55"/>
        <v>0</v>
      </c>
      <c r="N54" s="31">
        <v>0.15584999999999999</v>
      </c>
      <c r="O54" s="31">
        <f t="shared" si="56"/>
        <v>4.6754999999999995</v>
      </c>
      <c r="P54" s="33" t="s">
        <v>61</v>
      </c>
      <c r="Z54" s="31">
        <f t="shared" si="57"/>
        <v>0</v>
      </c>
      <c r="AB54" s="31">
        <f t="shared" si="58"/>
        <v>0</v>
      </c>
      <c r="AC54" s="31">
        <f t="shared" si="59"/>
        <v>0</v>
      </c>
      <c r="AD54" s="31">
        <f t="shared" si="60"/>
        <v>0</v>
      </c>
      <c r="AE54" s="31">
        <f t="shared" si="61"/>
        <v>0</v>
      </c>
      <c r="AF54" s="31">
        <f t="shared" si="62"/>
        <v>0</v>
      </c>
      <c r="AG54" s="31">
        <f t="shared" si="63"/>
        <v>0</v>
      </c>
      <c r="AH54" s="31">
        <f t="shared" si="64"/>
        <v>0</v>
      </c>
      <c r="AI54" s="12" t="s">
        <v>54</v>
      </c>
      <c r="AJ54" s="31">
        <f t="shared" si="65"/>
        <v>0</v>
      </c>
      <c r="AK54" s="31">
        <f t="shared" si="66"/>
        <v>0</v>
      </c>
      <c r="AL54" s="31">
        <f t="shared" si="67"/>
        <v>0</v>
      </c>
      <c r="AN54" s="31">
        <v>12</v>
      </c>
      <c r="AO54" s="31">
        <f t="shared" ref="AO54:AO67" si="80">H54*1</f>
        <v>0</v>
      </c>
      <c r="AP54" s="31">
        <f t="shared" ref="AP54:AP67" si="81">H54*(1-1)</f>
        <v>0</v>
      </c>
      <c r="AQ54" s="34" t="s">
        <v>57</v>
      </c>
      <c r="AV54" s="31">
        <f t="shared" si="68"/>
        <v>0</v>
      </c>
      <c r="AW54" s="31">
        <f t="shared" si="69"/>
        <v>0</v>
      </c>
      <c r="AX54" s="31">
        <f t="shared" si="70"/>
        <v>0</v>
      </c>
      <c r="AY54" s="34" t="s">
        <v>138</v>
      </c>
      <c r="AZ54" s="34" t="s">
        <v>139</v>
      </c>
      <c r="BA54" s="12" t="s">
        <v>64</v>
      </c>
      <c r="BC54" s="31">
        <f t="shared" si="71"/>
        <v>0</v>
      </c>
      <c r="BD54" s="31">
        <f t="shared" si="72"/>
        <v>0</v>
      </c>
      <c r="BE54" s="31">
        <v>0</v>
      </c>
      <c r="BF54" s="31">
        <f t="shared" si="73"/>
        <v>4.6754999999999995</v>
      </c>
      <c r="BH54" s="31">
        <f t="shared" si="74"/>
        <v>0</v>
      </c>
      <c r="BI54" s="31">
        <f t="shared" si="75"/>
        <v>0</v>
      </c>
      <c r="BJ54" s="31">
        <f t="shared" si="76"/>
        <v>0</v>
      </c>
      <c r="BK54" s="34" t="s">
        <v>119</v>
      </c>
      <c r="BL54" s="31">
        <v>87</v>
      </c>
      <c r="BW54" s="31">
        <f t="shared" si="77"/>
        <v>0</v>
      </c>
      <c r="BX54" s="4" t="s">
        <v>193</v>
      </c>
    </row>
    <row r="55" spans="1:76" x14ac:dyDescent="0.25">
      <c r="A55" s="2" t="s">
        <v>194</v>
      </c>
      <c r="B55" s="3" t="s">
        <v>54</v>
      </c>
      <c r="C55" s="3" t="s">
        <v>195</v>
      </c>
      <c r="D55" s="90" t="s">
        <v>196</v>
      </c>
      <c r="E55" s="85"/>
      <c r="F55" s="3" t="s">
        <v>123</v>
      </c>
      <c r="G55" s="31">
        <v>5</v>
      </c>
      <c r="H55" s="31"/>
      <c r="I55" s="32"/>
      <c r="J55" s="31">
        <f t="shared" si="52"/>
        <v>0</v>
      </c>
      <c r="K55" s="31">
        <f t="shared" si="53"/>
        <v>0</v>
      </c>
      <c r="L55" s="31">
        <f t="shared" si="54"/>
        <v>0</v>
      </c>
      <c r="M55" s="31">
        <f t="shared" si="55"/>
        <v>0</v>
      </c>
      <c r="N55" s="31">
        <v>4.2999999999999999E-4</v>
      </c>
      <c r="O55" s="31">
        <f t="shared" si="56"/>
        <v>2.15E-3</v>
      </c>
      <c r="P55" s="33" t="s">
        <v>61</v>
      </c>
      <c r="Z55" s="31">
        <f t="shared" si="57"/>
        <v>0</v>
      </c>
      <c r="AB55" s="31">
        <f t="shared" si="58"/>
        <v>0</v>
      </c>
      <c r="AC55" s="31">
        <f t="shared" si="59"/>
        <v>0</v>
      </c>
      <c r="AD55" s="31">
        <f t="shared" si="60"/>
        <v>0</v>
      </c>
      <c r="AE55" s="31">
        <f t="shared" si="61"/>
        <v>0</v>
      </c>
      <c r="AF55" s="31">
        <f t="shared" si="62"/>
        <v>0</v>
      </c>
      <c r="AG55" s="31">
        <f t="shared" si="63"/>
        <v>0</v>
      </c>
      <c r="AH55" s="31">
        <f t="shared" si="64"/>
        <v>0</v>
      </c>
      <c r="AI55" s="12" t="s">
        <v>54</v>
      </c>
      <c r="AJ55" s="31">
        <f t="shared" si="65"/>
        <v>0</v>
      </c>
      <c r="AK55" s="31">
        <f t="shared" si="66"/>
        <v>0</v>
      </c>
      <c r="AL55" s="31">
        <f t="shared" si="67"/>
        <v>0</v>
      </c>
      <c r="AN55" s="31">
        <v>12</v>
      </c>
      <c r="AO55" s="31">
        <f t="shared" si="80"/>
        <v>0</v>
      </c>
      <c r="AP55" s="31">
        <f t="shared" si="81"/>
        <v>0</v>
      </c>
      <c r="AQ55" s="34" t="s">
        <v>57</v>
      </c>
      <c r="AV55" s="31">
        <f t="shared" si="68"/>
        <v>0</v>
      </c>
      <c r="AW55" s="31">
        <f t="shared" si="69"/>
        <v>0</v>
      </c>
      <c r="AX55" s="31">
        <f t="shared" si="70"/>
        <v>0</v>
      </c>
      <c r="AY55" s="34" t="s">
        <v>138</v>
      </c>
      <c r="AZ55" s="34" t="s">
        <v>139</v>
      </c>
      <c r="BA55" s="12" t="s">
        <v>64</v>
      </c>
      <c r="BC55" s="31">
        <f t="shared" si="71"/>
        <v>0</v>
      </c>
      <c r="BD55" s="31">
        <f t="shared" si="72"/>
        <v>0</v>
      </c>
      <c r="BE55" s="31">
        <v>0</v>
      </c>
      <c r="BF55" s="31">
        <f t="shared" si="73"/>
        <v>2.15E-3</v>
      </c>
      <c r="BH55" s="31">
        <f t="shared" si="74"/>
        <v>0</v>
      </c>
      <c r="BI55" s="31">
        <f t="shared" si="75"/>
        <v>0</v>
      </c>
      <c r="BJ55" s="31">
        <f t="shared" si="76"/>
        <v>0</v>
      </c>
      <c r="BK55" s="34" t="s">
        <v>119</v>
      </c>
      <c r="BL55" s="31">
        <v>87</v>
      </c>
      <c r="BW55" s="31">
        <f t="shared" si="77"/>
        <v>0</v>
      </c>
      <c r="BX55" s="4" t="s">
        <v>196</v>
      </c>
    </row>
    <row r="56" spans="1:76" x14ac:dyDescent="0.25">
      <c r="A56" s="2" t="s">
        <v>197</v>
      </c>
      <c r="B56" s="3" t="s">
        <v>54</v>
      </c>
      <c r="C56" s="3" t="s">
        <v>198</v>
      </c>
      <c r="D56" s="90" t="s">
        <v>199</v>
      </c>
      <c r="E56" s="85"/>
      <c r="F56" s="3" t="s">
        <v>123</v>
      </c>
      <c r="G56" s="31">
        <v>8</v>
      </c>
      <c r="H56" s="31"/>
      <c r="I56" s="32"/>
      <c r="J56" s="31">
        <f t="shared" si="52"/>
        <v>0</v>
      </c>
      <c r="K56" s="31">
        <f t="shared" si="53"/>
        <v>0</v>
      </c>
      <c r="L56" s="31">
        <f t="shared" si="54"/>
        <v>0</v>
      </c>
      <c r="M56" s="31">
        <f t="shared" si="55"/>
        <v>0</v>
      </c>
      <c r="N56" s="31">
        <v>7.9000000000000001E-4</v>
      </c>
      <c r="O56" s="31">
        <f t="shared" si="56"/>
        <v>6.3200000000000001E-3</v>
      </c>
      <c r="P56" s="33" t="s">
        <v>61</v>
      </c>
      <c r="Z56" s="31">
        <f t="shared" si="57"/>
        <v>0</v>
      </c>
      <c r="AB56" s="31">
        <f t="shared" si="58"/>
        <v>0</v>
      </c>
      <c r="AC56" s="31">
        <f t="shared" si="59"/>
        <v>0</v>
      </c>
      <c r="AD56" s="31">
        <f t="shared" si="60"/>
        <v>0</v>
      </c>
      <c r="AE56" s="31">
        <f t="shared" si="61"/>
        <v>0</v>
      </c>
      <c r="AF56" s="31">
        <f t="shared" si="62"/>
        <v>0</v>
      </c>
      <c r="AG56" s="31">
        <f t="shared" si="63"/>
        <v>0</v>
      </c>
      <c r="AH56" s="31">
        <f t="shared" si="64"/>
        <v>0</v>
      </c>
      <c r="AI56" s="12" t="s">
        <v>54</v>
      </c>
      <c r="AJ56" s="31">
        <f t="shared" si="65"/>
        <v>0</v>
      </c>
      <c r="AK56" s="31">
        <f t="shared" si="66"/>
        <v>0</v>
      </c>
      <c r="AL56" s="31">
        <f t="shared" si="67"/>
        <v>0</v>
      </c>
      <c r="AN56" s="31">
        <v>12</v>
      </c>
      <c r="AO56" s="31">
        <f t="shared" si="80"/>
        <v>0</v>
      </c>
      <c r="AP56" s="31">
        <f t="shared" si="81"/>
        <v>0</v>
      </c>
      <c r="AQ56" s="34" t="s">
        <v>57</v>
      </c>
      <c r="AV56" s="31">
        <f t="shared" si="68"/>
        <v>0</v>
      </c>
      <c r="AW56" s="31">
        <f t="shared" si="69"/>
        <v>0</v>
      </c>
      <c r="AX56" s="31">
        <f t="shared" si="70"/>
        <v>0</v>
      </c>
      <c r="AY56" s="34" t="s">
        <v>138</v>
      </c>
      <c r="AZ56" s="34" t="s">
        <v>139</v>
      </c>
      <c r="BA56" s="12" t="s">
        <v>64</v>
      </c>
      <c r="BC56" s="31">
        <f t="shared" si="71"/>
        <v>0</v>
      </c>
      <c r="BD56" s="31">
        <f t="shared" si="72"/>
        <v>0</v>
      </c>
      <c r="BE56" s="31">
        <v>0</v>
      </c>
      <c r="BF56" s="31">
        <f t="shared" si="73"/>
        <v>6.3200000000000001E-3</v>
      </c>
      <c r="BH56" s="31">
        <f t="shared" si="74"/>
        <v>0</v>
      </c>
      <c r="BI56" s="31">
        <f t="shared" si="75"/>
        <v>0</v>
      </c>
      <c r="BJ56" s="31">
        <f t="shared" si="76"/>
        <v>0</v>
      </c>
      <c r="BK56" s="34" t="s">
        <v>119</v>
      </c>
      <c r="BL56" s="31">
        <v>87</v>
      </c>
      <c r="BW56" s="31">
        <f t="shared" si="77"/>
        <v>0</v>
      </c>
      <c r="BX56" s="4" t="s">
        <v>199</v>
      </c>
    </row>
    <row r="57" spans="1:76" x14ac:dyDescent="0.25">
      <c r="A57" s="2" t="s">
        <v>200</v>
      </c>
      <c r="B57" s="3" t="s">
        <v>54</v>
      </c>
      <c r="C57" s="3" t="s">
        <v>201</v>
      </c>
      <c r="D57" s="90" t="s">
        <v>202</v>
      </c>
      <c r="E57" s="85"/>
      <c r="F57" s="3" t="s">
        <v>123</v>
      </c>
      <c r="G57" s="31">
        <v>8</v>
      </c>
      <c r="H57" s="31"/>
      <c r="I57" s="32"/>
      <c r="J57" s="31">
        <f t="shared" si="52"/>
        <v>0</v>
      </c>
      <c r="K57" s="31">
        <f t="shared" si="53"/>
        <v>0</v>
      </c>
      <c r="L57" s="31">
        <f t="shared" si="54"/>
        <v>0</v>
      </c>
      <c r="M57" s="31">
        <f t="shared" si="55"/>
        <v>0</v>
      </c>
      <c r="N57" s="31">
        <v>4.0999999999999999E-4</v>
      </c>
      <c r="O57" s="31">
        <f t="shared" si="56"/>
        <v>3.2799999999999999E-3</v>
      </c>
      <c r="P57" s="33" t="s">
        <v>61</v>
      </c>
      <c r="Z57" s="31">
        <f t="shared" si="57"/>
        <v>0</v>
      </c>
      <c r="AB57" s="31">
        <f t="shared" si="58"/>
        <v>0</v>
      </c>
      <c r="AC57" s="31">
        <f t="shared" si="59"/>
        <v>0</v>
      </c>
      <c r="AD57" s="31">
        <f t="shared" si="60"/>
        <v>0</v>
      </c>
      <c r="AE57" s="31">
        <f t="shared" si="61"/>
        <v>0</v>
      </c>
      <c r="AF57" s="31">
        <f t="shared" si="62"/>
        <v>0</v>
      </c>
      <c r="AG57" s="31">
        <f t="shared" si="63"/>
        <v>0</v>
      </c>
      <c r="AH57" s="31">
        <f t="shared" si="64"/>
        <v>0</v>
      </c>
      <c r="AI57" s="12" t="s">
        <v>54</v>
      </c>
      <c r="AJ57" s="31">
        <f t="shared" si="65"/>
        <v>0</v>
      </c>
      <c r="AK57" s="31">
        <f t="shared" si="66"/>
        <v>0</v>
      </c>
      <c r="AL57" s="31">
        <f t="shared" si="67"/>
        <v>0</v>
      </c>
      <c r="AN57" s="31">
        <v>12</v>
      </c>
      <c r="AO57" s="31">
        <f t="shared" si="80"/>
        <v>0</v>
      </c>
      <c r="AP57" s="31">
        <f t="shared" si="81"/>
        <v>0</v>
      </c>
      <c r="AQ57" s="34" t="s">
        <v>57</v>
      </c>
      <c r="AV57" s="31">
        <f t="shared" si="68"/>
        <v>0</v>
      </c>
      <c r="AW57" s="31">
        <f t="shared" si="69"/>
        <v>0</v>
      </c>
      <c r="AX57" s="31">
        <f t="shared" si="70"/>
        <v>0</v>
      </c>
      <c r="AY57" s="34" t="s">
        <v>138</v>
      </c>
      <c r="AZ57" s="34" t="s">
        <v>139</v>
      </c>
      <c r="BA57" s="12" t="s">
        <v>64</v>
      </c>
      <c r="BC57" s="31">
        <f t="shared" si="71"/>
        <v>0</v>
      </c>
      <c r="BD57" s="31">
        <f t="shared" si="72"/>
        <v>0</v>
      </c>
      <c r="BE57" s="31">
        <v>0</v>
      </c>
      <c r="BF57" s="31">
        <f t="shared" si="73"/>
        <v>3.2799999999999999E-3</v>
      </c>
      <c r="BH57" s="31">
        <f t="shared" si="74"/>
        <v>0</v>
      </c>
      <c r="BI57" s="31">
        <f t="shared" si="75"/>
        <v>0</v>
      </c>
      <c r="BJ57" s="31">
        <f t="shared" si="76"/>
        <v>0</v>
      </c>
      <c r="BK57" s="34" t="s">
        <v>119</v>
      </c>
      <c r="BL57" s="31">
        <v>87</v>
      </c>
      <c r="BW57" s="31">
        <f t="shared" si="77"/>
        <v>0</v>
      </c>
      <c r="BX57" s="4" t="s">
        <v>202</v>
      </c>
    </row>
    <row r="58" spans="1:76" x14ac:dyDescent="0.25">
      <c r="A58" s="2" t="s">
        <v>203</v>
      </c>
      <c r="B58" s="3" t="s">
        <v>54</v>
      </c>
      <c r="C58" s="3" t="s">
        <v>204</v>
      </c>
      <c r="D58" s="90" t="s">
        <v>205</v>
      </c>
      <c r="E58" s="85"/>
      <c r="F58" s="3" t="s">
        <v>123</v>
      </c>
      <c r="G58" s="31">
        <v>8</v>
      </c>
      <c r="H58" s="31"/>
      <c r="I58" s="32"/>
      <c r="J58" s="31">
        <f t="shared" si="52"/>
        <v>0</v>
      </c>
      <c r="K58" s="31">
        <f t="shared" si="53"/>
        <v>0</v>
      </c>
      <c r="L58" s="31">
        <f t="shared" si="54"/>
        <v>0</v>
      </c>
      <c r="M58" s="31">
        <f t="shared" si="55"/>
        <v>0</v>
      </c>
      <c r="N58" s="31">
        <v>7.2999999999999996E-4</v>
      </c>
      <c r="O58" s="31">
        <f t="shared" si="56"/>
        <v>5.8399999999999997E-3</v>
      </c>
      <c r="P58" s="33" t="s">
        <v>61</v>
      </c>
      <c r="Z58" s="31">
        <f t="shared" si="57"/>
        <v>0</v>
      </c>
      <c r="AB58" s="31">
        <f t="shared" si="58"/>
        <v>0</v>
      </c>
      <c r="AC58" s="31">
        <f t="shared" si="59"/>
        <v>0</v>
      </c>
      <c r="AD58" s="31">
        <f t="shared" si="60"/>
        <v>0</v>
      </c>
      <c r="AE58" s="31">
        <f t="shared" si="61"/>
        <v>0</v>
      </c>
      <c r="AF58" s="31">
        <f t="shared" si="62"/>
        <v>0</v>
      </c>
      <c r="AG58" s="31">
        <f t="shared" si="63"/>
        <v>0</v>
      </c>
      <c r="AH58" s="31">
        <f t="shared" si="64"/>
        <v>0</v>
      </c>
      <c r="AI58" s="12" t="s">
        <v>54</v>
      </c>
      <c r="AJ58" s="31">
        <f t="shared" si="65"/>
        <v>0</v>
      </c>
      <c r="AK58" s="31">
        <f t="shared" si="66"/>
        <v>0</v>
      </c>
      <c r="AL58" s="31">
        <f t="shared" si="67"/>
        <v>0</v>
      </c>
      <c r="AN58" s="31">
        <v>12</v>
      </c>
      <c r="AO58" s="31">
        <f t="shared" si="80"/>
        <v>0</v>
      </c>
      <c r="AP58" s="31">
        <f t="shared" si="81"/>
        <v>0</v>
      </c>
      <c r="AQ58" s="34" t="s">
        <v>57</v>
      </c>
      <c r="AV58" s="31">
        <f t="shared" si="68"/>
        <v>0</v>
      </c>
      <c r="AW58" s="31">
        <f t="shared" si="69"/>
        <v>0</v>
      </c>
      <c r="AX58" s="31">
        <f t="shared" si="70"/>
        <v>0</v>
      </c>
      <c r="AY58" s="34" t="s">
        <v>138</v>
      </c>
      <c r="AZ58" s="34" t="s">
        <v>139</v>
      </c>
      <c r="BA58" s="12" t="s">
        <v>64</v>
      </c>
      <c r="BC58" s="31">
        <f t="shared" si="71"/>
        <v>0</v>
      </c>
      <c r="BD58" s="31">
        <f t="shared" si="72"/>
        <v>0</v>
      </c>
      <c r="BE58" s="31">
        <v>0</v>
      </c>
      <c r="BF58" s="31">
        <f t="shared" si="73"/>
        <v>5.8399999999999997E-3</v>
      </c>
      <c r="BH58" s="31">
        <f t="shared" si="74"/>
        <v>0</v>
      </c>
      <c r="BI58" s="31">
        <f t="shared" si="75"/>
        <v>0</v>
      </c>
      <c r="BJ58" s="31">
        <f t="shared" si="76"/>
        <v>0</v>
      </c>
      <c r="BK58" s="34" t="s">
        <v>119</v>
      </c>
      <c r="BL58" s="31">
        <v>87</v>
      </c>
      <c r="BW58" s="31">
        <f t="shared" si="77"/>
        <v>0</v>
      </c>
      <c r="BX58" s="4" t="s">
        <v>205</v>
      </c>
    </row>
    <row r="59" spans="1:76" x14ac:dyDescent="0.25">
      <c r="A59" s="2" t="s">
        <v>206</v>
      </c>
      <c r="B59" s="3" t="s">
        <v>54</v>
      </c>
      <c r="C59" s="3" t="s">
        <v>207</v>
      </c>
      <c r="D59" s="90" t="s">
        <v>208</v>
      </c>
      <c r="E59" s="85"/>
      <c r="F59" s="3" t="s">
        <v>123</v>
      </c>
      <c r="G59" s="31">
        <v>5</v>
      </c>
      <c r="H59" s="31"/>
      <c r="I59" s="32"/>
      <c r="J59" s="31">
        <f t="shared" si="52"/>
        <v>0</v>
      </c>
      <c r="K59" s="31">
        <f t="shared" si="53"/>
        <v>0</v>
      </c>
      <c r="L59" s="31">
        <f t="shared" si="54"/>
        <v>0</v>
      </c>
      <c r="M59" s="31">
        <f t="shared" si="55"/>
        <v>0</v>
      </c>
      <c r="N59" s="31">
        <v>1.2099999999999999E-3</v>
      </c>
      <c r="O59" s="31">
        <f t="shared" si="56"/>
        <v>6.0499999999999998E-3</v>
      </c>
      <c r="P59" s="33" t="s">
        <v>61</v>
      </c>
      <c r="Z59" s="31">
        <f t="shared" si="57"/>
        <v>0</v>
      </c>
      <c r="AB59" s="31">
        <f t="shared" si="58"/>
        <v>0</v>
      </c>
      <c r="AC59" s="31">
        <f t="shared" si="59"/>
        <v>0</v>
      </c>
      <c r="AD59" s="31">
        <f t="shared" si="60"/>
        <v>0</v>
      </c>
      <c r="AE59" s="31">
        <f t="shared" si="61"/>
        <v>0</v>
      </c>
      <c r="AF59" s="31">
        <f t="shared" si="62"/>
        <v>0</v>
      </c>
      <c r="AG59" s="31">
        <f t="shared" si="63"/>
        <v>0</v>
      </c>
      <c r="AH59" s="31">
        <f t="shared" si="64"/>
        <v>0</v>
      </c>
      <c r="AI59" s="12" t="s">
        <v>54</v>
      </c>
      <c r="AJ59" s="31">
        <f t="shared" si="65"/>
        <v>0</v>
      </c>
      <c r="AK59" s="31">
        <f t="shared" si="66"/>
        <v>0</v>
      </c>
      <c r="AL59" s="31">
        <f t="shared" si="67"/>
        <v>0</v>
      </c>
      <c r="AN59" s="31">
        <v>12</v>
      </c>
      <c r="AO59" s="31">
        <f t="shared" si="80"/>
        <v>0</v>
      </c>
      <c r="AP59" s="31">
        <f t="shared" si="81"/>
        <v>0</v>
      </c>
      <c r="AQ59" s="34" t="s">
        <v>57</v>
      </c>
      <c r="AV59" s="31">
        <f t="shared" si="68"/>
        <v>0</v>
      </c>
      <c r="AW59" s="31">
        <f t="shared" si="69"/>
        <v>0</v>
      </c>
      <c r="AX59" s="31">
        <f t="shared" si="70"/>
        <v>0</v>
      </c>
      <c r="AY59" s="34" t="s">
        <v>138</v>
      </c>
      <c r="AZ59" s="34" t="s">
        <v>139</v>
      </c>
      <c r="BA59" s="12" t="s">
        <v>64</v>
      </c>
      <c r="BC59" s="31">
        <f t="shared" si="71"/>
        <v>0</v>
      </c>
      <c r="BD59" s="31">
        <f t="shared" si="72"/>
        <v>0</v>
      </c>
      <c r="BE59" s="31">
        <v>0</v>
      </c>
      <c r="BF59" s="31">
        <f t="shared" si="73"/>
        <v>6.0499999999999998E-3</v>
      </c>
      <c r="BH59" s="31">
        <f t="shared" si="74"/>
        <v>0</v>
      </c>
      <c r="BI59" s="31">
        <f t="shared" si="75"/>
        <v>0</v>
      </c>
      <c r="BJ59" s="31">
        <f t="shared" si="76"/>
        <v>0</v>
      </c>
      <c r="BK59" s="34" t="s">
        <v>119</v>
      </c>
      <c r="BL59" s="31">
        <v>87</v>
      </c>
      <c r="BW59" s="31">
        <f t="shared" si="77"/>
        <v>0</v>
      </c>
      <c r="BX59" s="4" t="s">
        <v>208</v>
      </c>
    </row>
    <row r="60" spans="1:76" x14ac:dyDescent="0.25">
      <c r="A60" s="2" t="s">
        <v>209</v>
      </c>
      <c r="B60" s="3" t="s">
        <v>54</v>
      </c>
      <c r="C60" s="3" t="s">
        <v>210</v>
      </c>
      <c r="D60" s="90" t="s">
        <v>211</v>
      </c>
      <c r="E60" s="85"/>
      <c r="F60" s="3" t="s">
        <v>123</v>
      </c>
      <c r="G60" s="31">
        <v>12</v>
      </c>
      <c r="H60" s="31"/>
      <c r="I60" s="32"/>
      <c r="J60" s="31">
        <f t="shared" si="52"/>
        <v>0</v>
      </c>
      <c r="K60" s="31">
        <f t="shared" si="53"/>
        <v>0</v>
      </c>
      <c r="L60" s="31">
        <f t="shared" si="54"/>
        <v>0</v>
      </c>
      <c r="M60" s="31">
        <f t="shared" si="55"/>
        <v>0</v>
      </c>
      <c r="N60" s="31">
        <v>2.0699999999999998E-3</v>
      </c>
      <c r="O60" s="31">
        <f t="shared" si="56"/>
        <v>2.4839999999999997E-2</v>
      </c>
      <c r="P60" s="33" t="s">
        <v>61</v>
      </c>
      <c r="Z60" s="31">
        <f t="shared" si="57"/>
        <v>0</v>
      </c>
      <c r="AB60" s="31">
        <f t="shared" si="58"/>
        <v>0</v>
      </c>
      <c r="AC60" s="31">
        <f t="shared" si="59"/>
        <v>0</v>
      </c>
      <c r="AD60" s="31">
        <f t="shared" si="60"/>
        <v>0</v>
      </c>
      <c r="AE60" s="31">
        <f t="shared" si="61"/>
        <v>0</v>
      </c>
      <c r="AF60" s="31">
        <f t="shared" si="62"/>
        <v>0</v>
      </c>
      <c r="AG60" s="31">
        <f t="shared" si="63"/>
        <v>0</v>
      </c>
      <c r="AH60" s="31">
        <f t="shared" si="64"/>
        <v>0</v>
      </c>
      <c r="AI60" s="12" t="s">
        <v>54</v>
      </c>
      <c r="AJ60" s="31">
        <f t="shared" si="65"/>
        <v>0</v>
      </c>
      <c r="AK60" s="31">
        <f t="shared" si="66"/>
        <v>0</v>
      </c>
      <c r="AL60" s="31">
        <f t="shared" si="67"/>
        <v>0</v>
      </c>
      <c r="AN60" s="31">
        <v>12</v>
      </c>
      <c r="AO60" s="31">
        <f t="shared" si="80"/>
        <v>0</v>
      </c>
      <c r="AP60" s="31">
        <f t="shared" si="81"/>
        <v>0</v>
      </c>
      <c r="AQ60" s="34" t="s">
        <v>57</v>
      </c>
      <c r="AV60" s="31">
        <f t="shared" si="68"/>
        <v>0</v>
      </c>
      <c r="AW60" s="31">
        <f t="shared" si="69"/>
        <v>0</v>
      </c>
      <c r="AX60" s="31">
        <f t="shared" si="70"/>
        <v>0</v>
      </c>
      <c r="AY60" s="34" t="s">
        <v>138</v>
      </c>
      <c r="AZ60" s="34" t="s">
        <v>139</v>
      </c>
      <c r="BA60" s="12" t="s">
        <v>64</v>
      </c>
      <c r="BC60" s="31">
        <f t="shared" si="71"/>
        <v>0</v>
      </c>
      <c r="BD60" s="31">
        <f t="shared" si="72"/>
        <v>0</v>
      </c>
      <c r="BE60" s="31">
        <v>0</v>
      </c>
      <c r="BF60" s="31">
        <f t="shared" si="73"/>
        <v>2.4839999999999997E-2</v>
      </c>
      <c r="BH60" s="31">
        <f t="shared" si="74"/>
        <v>0</v>
      </c>
      <c r="BI60" s="31">
        <f t="shared" si="75"/>
        <v>0</v>
      </c>
      <c r="BJ60" s="31">
        <f t="shared" si="76"/>
        <v>0</v>
      </c>
      <c r="BK60" s="34" t="s">
        <v>119</v>
      </c>
      <c r="BL60" s="31">
        <v>87</v>
      </c>
      <c r="BW60" s="31">
        <f t="shared" si="77"/>
        <v>0</v>
      </c>
      <c r="BX60" s="4" t="s">
        <v>211</v>
      </c>
    </row>
    <row r="61" spans="1:76" x14ac:dyDescent="0.25">
      <c r="A61" s="2" t="s">
        <v>212</v>
      </c>
      <c r="B61" s="3" t="s">
        <v>54</v>
      </c>
      <c r="C61" s="3" t="s">
        <v>213</v>
      </c>
      <c r="D61" s="90" t="s">
        <v>214</v>
      </c>
      <c r="E61" s="85"/>
      <c r="F61" s="3" t="s">
        <v>123</v>
      </c>
      <c r="G61" s="31">
        <v>10</v>
      </c>
      <c r="H61" s="31"/>
      <c r="I61" s="32"/>
      <c r="J61" s="31">
        <f t="shared" si="52"/>
        <v>0</v>
      </c>
      <c r="K61" s="31">
        <f t="shared" si="53"/>
        <v>0</v>
      </c>
      <c r="L61" s="31">
        <f t="shared" si="54"/>
        <v>0</v>
      </c>
      <c r="M61" s="31">
        <f t="shared" si="55"/>
        <v>0</v>
      </c>
      <c r="N61" s="31">
        <v>7.1700000000000002E-3</v>
      </c>
      <c r="O61" s="31">
        <f t="shared" si="56"/>
        <v>7.17E-2</v>
      </c>
      <c r="P61" s="33" t="s">
        <v>61</v>
      </c>
      <c r="Z61" s="31">
        <f t="shared" si="57"/>
        <v>0</v>
      </c>
      <c r="AB61" s="31">
        <f t="shared" si="58"/>
        <v>0</v>
      </c>
      <c r="AC61" s="31">
        <f t="shared" si="59"/>
        <v>0</v>
      </c>
      <c r="AD61" s="31">
        <f t="shared" si="60"/>
        <v>0</v>
      </c>
      <c r="AE61" s="31">
        <f t="shared" si="61"/>
        <v>0</v>
      </c>
      <c r="AF61" s="31">
        <f t="shared" si="62"/>
        <v>0</v>
      </c>
      <c r="AG61" s="31">
        <f t="shared" si="63"/>
        <v>0</v>
      </c>
      <c r="AH61" s="31">
        <f t="shared" si="64"/>
        <v>0</v>
      </c>
      <c r="AI61" s="12" t="s">
        <v>54</v>
      </c>
      <c r="AJ61" s="31">
        <f t="shared" si="65"/>
        <v>0</v>
      </c>
      <c r="AK61" s="31">
        <f t="shared" si="66"/>
        <v>0</v>
      </c>
      <c r="AL61" s="31">
        <f t="shared" si="67"/>
        <v>0</v>
      </c>
      <c r="AN61" s="31">
        <v>12</v>
      </c>
      <c r="AO61" s="31">
        <f t="shared" si="80"/>
        <v>0</v>
      </c>
      <c r="AP61" s="31">
        <f t="shared" si="81"/>
        <v>0</v>
      </c>
      <c r="AQ61" s="34" t="s">
        <v>57</v>
      </c>
      <c r="AV61" s="31">
        <f t="shared" si="68"/>
        <v>0</v>
      </c>
      <c r="AW61" s="31">
        <f t="shared" si="69"/>
        <v>0</v>
      </c>
      <c r="AX61" s="31">
        <f t="shared" si="70"/>
        <v>0</v>
      </c>
      <c r="AY61" s="34" t="s">
        <v>138</v>
      </c>
      <c r="AZ61" s="34" t="s">
        <v>139</v>
      </c>
      <c r="BA61" s="12" t="s">
        <v>64</v>
      </c>
      <c r="BC61" s="31">
        <f t="shared" si="71"/>
        <v>0</v>
      </c>
      <c r="BD61" s="31">
        <f t="shared" si="72"/>
        <v>0</v>
      </c>
      <c r="BE61" s="31">
        <v>0</v>
      </c>
      <c r="BF61" s="31">
        <f t="shared" si="73"/>
        <v>7.17E-2</v>
      </c>
      <c r="BH61" s="31">
        <f t="shared" si="74"/>
        <v>0</v>
      </c>
      <c r="BI61" s="31">
        <f t="shared" si="75"/>
        <v>0</v>
      </c>
      <c r="BJ61" s="31">
        <f t="shared" si="76"/>
        <v>0</v>
      </c>
      <c r="BK61" s="34" t="s">
        <v>119</v>
      </c>
      <c r="BL61" s="31">
        <v>87</v>
      </c>
      <c r="BW61" s="31">
        <f t="shared" si="77"/>
        <v>0</v>
      </c>
      <c r="BX61" s="4" t="s">
        <v>214</v>
      </c>
    </row>
    <row r="62" spans="1:76" x14ac:dyDescent="0.25">
      <c r="A62" s="2" t="s">
        <v>215</v>
      </c>
      <c r="B62" s="3" t="s">
        <v>54</v>
      </c>
      <c r="C62" s="3" t="s">
        <v>216</v>
      </c>
      <c r="D62" s="90" t="s">
        <v>217</v>
      </c>
      <c r="E62" s="85"/>
      <c r="F62" s="3" t="s">
        <v>123</v>
      </c>
      <c r="G62" s="31">
        <v>20</v>
      </c>
      <c r="H62" s="31"/>
      <c r="I62" s="32"/>
      <c r="J62" s="31">
        <f t="shared" si="52"/>
        <v>0</v>
      </c>
      <c r="K62" s="31">
        <f t="shared" si="53"/>
        <v>0</v>
      </c>
      <c r="L62" s="31">
        <f t="shared" si="54"/>
        <v>0</v>
      </c>
      <c r="M62" s="31">
        <f t="shared" si="55"/>
        <v>0</v>
      </c>
      <c r="N62" s="31">
        <v>1.46E-2</v>
      </c>
      <c r="O62" s="31">
        <f t="shared" si="56"/>
        <v>0.29199999999999998</v>
      </c>
      <c r="P62" s="33" t="s">
        <v>61</v>
      </c>
      <c r="Z62" s="31">
        <f t="shared" si="57"/>
        <v>0</v>
      </c>
      <c r="AB62" s="31">
        <f t="shared" si="58"/>
        <v>0</v>
      </c>
      <c r="AC62" s="31">
        <f t="shared" si="59"/>
        <v>0</v>
      </c>
      <c r="AD62" s="31">
        <f t="shared" si="60"/>
        <v>0</v>
      </c>
      <c r="AE62" s="31">
        <f t="shared" si="61"/>
        <v>0</v>
      </c>
      <c r="AF62" s="31">
        <f t="shared" si="62"/>
        <v>0</v>
      </c>
      <c r="AG62" s="31">
        <f t="shared" si="63"/>
        <v>0</v>
      </c>
      <c r="AH62" s="31">
        <f t="shared" si="64"/>
        <v>0</v>
      </c>
      <c r="AI62" s="12" t="s">
        <v>54</v>
      </c>
      <c r="AJ62" s="31">
        <f t="shared" si="65"/>
        <v>0</v>
      </c>
      <c r="AK62" s="31">
        <f t="shared" si="66"/>
        <v>0</v>
      </c>
      <c r="AL62" s="31">
        <f t="shared" si="67"/>
        <v>0</v>
      </c>
      <c r="AN62" s="31">
        <v>12</v>
      </c>
      <c r="AO62" s="31">
        <f t="shared" si="80"/>
        <v>0</v>
      </c>
      <c r="AP62" s="31">
        <f t="shared" si="81"/>
        <v>0</v>
      </c>
      <c r="AQ62" s="34" t="s">
        <v>57</v>
      </c>
      <c r="AV62" s="31">
        <f t="shared" si="68"/>
        <v>0</v>
      </c>
      <c r="AW62" s="31">
        <f t="shared" si="69"/>
        <v>0</v>
      </c>
      <c r="AX62" s="31">
        <f t="shared" si="70"/>
        <v>0</v>
      </c>
      <c r="AY62" s="34" t="s">
        <v>138</v>
      </c>
      <c r="AZ62" s="34" t="s">
        <v>139</v>
      </c>
      <c r="BA62" s="12" t="s">
        <v>64</v>
      </c>
      <c r="BC62" s="31">
        <f t="shared" si="71"/>
        <v>0</v>
      </c>
      <c r="BD62" s="31">
        <f t="shared" si="72"/>
        <v>0</v>
      </c>
      <c r="BE62" s="31">
        <v>0</v>
      </c>
      <c r="BF62" s="31">
        <f t="shared" si="73"/>
        <v>0.29199999999999998</v>
      </c>
      <c r="BH62" s="31">
        <f t="shared" si="74"/>
        <v>0</v>
      </c>
      <c r="BI62" s="31">
        <f t="shared" si="75"/>
        <v>0</v>
      </c>
      <c r="BJ62" s="31">
        <f t="shared" si="76"/>
        <v>0</v>
      </c>
      <c r="BK62" s="34" t="s">
        <v>119</v>
      </c>
      <c r="BL62" s="31">
        <v>87</v>
      </c>
      <c r="BW62" s="31">
        <f t="shared" si="77"/>
        <v>0</v>
      </c>
      <c r="BX62" s="4" t="s">
        <v>217</v>
      </c>
    </row>
    <row r="63" spans="1:76" x14ac:dyDescent="0.25">
      <c r="A63" s="2" t="s">
        <v>218</v>
      </c>
      <c r="B63" s="3" t="s">
        <v>54</v>
      </c>
      <c r="C63" s="3" t="s">
        <v>219</v>
      </c>
      <c r="D63" s="90" t="s">
        <v>220</v>
      </c>
      <c r="E63" s="85"/>
      <c r="F63" s="3" t="s">
        <v>123</v>
      </c>
      <c r="G63" s="31">
        <v>2</v>
      </c>
      <c r="H63" s="31"/>
      <c r="I63" s="32"/>
      <c r="J63" s="31">
        <f t="shared" si="52"/>
        <v>0</v>
      </c>
      <c r="K63" s="31">
        <f t="shared" si="53"/>
        <v>0</v>
      </c>
      <c r="L63" s="31">
        <f t="shared" si="54"/>
        <v>0</v>
      </c>
      <c r="M63" s="31">
        <f t="shared" si="55"/>
        <v>0</v>
      </c>
      <c r="N63" s="31">
        <v>1.07E-3</v>
      </c>
      <c r="O63" s="31">
        <f t="shared" si="56"/>
        <v>2.14E-3</v>
      </c>
      <c r="P63" s="33" t="s">
        <v>61</v>
      </c>
      <c r="Z63" s="31">
        <f t="shared" si="57"/>
        <v>0</v>
      </c>
      <c r="AB63" s="31">
        <f t="shared" si="58"/>
        <v>0</v>
      </c>
      <c r="AC63" s="31">
        <f t="shared" si="59"/>
        <v>0</v>
      </c>
      <c r="AD63" s="31">
        <f t="shared" si="60"/>
        <v>0</v>
      </c>
      <c r="AE63" s="31">
        <f t="shared" si="61"/>
        <v>0</v>
      </c>
      <c r="AF63" s="31">
        <f t="shared" si="62"/>
        <v>0</v>
      </c>
      <c r="AG63" s="31">
        <f t="shared" si="63"/>
        <v>0</v>
      </c>
      <c r="AH63" s="31">
        <f t="shared" si="64"/>
        <v>0</v>
      </c>
      <c r="AI63" s="12" t="s">
        <v>54</v>
      </c>
      <c r="AJ63" s="31">
        <f t="shared" si="65"/>
        <v>0</v>
      </c>
      <c r="AK63" s="31">
        <f t="shared" si="66"/>
        <v>0</v>
      </c>
      <c r="AL63" s="31">
        <f t="shared" si="67"/>
        <v>0</v>
      </c>
      <c r="AN63" s="31">
        <v>12</v>
      </c>
      <c r="AO63" s="31">
        <f t="shared" si="80"/>
        <v>0</v>
      </c>
      <c r="AP63" s="31">
        <f t="shared" si="81"/>
        <v>0</v>
      </c>
      <c r="AQ63" s="34" t="s">
        <v>57</v>
      </c>
      <c r="AV63" s="31">
        <f t="shared" si="68"/>
        <v>0</v>
      </c>
      <c r="AW63" s="31">
        <f t="shared" si="69"/>
        <v>0</v>
      </c>
      <c r="AX63" s="31">
        <f t="shared" si="70"/>
        <v>0</v>
      </c>
      <c r="AY63" s="34" t="s">
        <v>138</v>
      </c>
      <c r="AZ63" s="34" t="s">
        <v>139</v>
      </c>
      <c r="BA63" s="12" t="s">
        <v>64</v>
      </c>
      <c r="BC63" s="31">
        <f t="shared" si="71"/>
        <v>0</v>
      </c>
      <c r="BD63" s="31">
        <f t="shared" si="72"/>
        <v>0</v>
      </c>
      <c r="BE63" s="31">
        <v>0</v>
      </c>
      <c r="BF63" s="31">
        <f t="shared" si="73"/>
        <v>2.14E-3</v>
      </c>
      <c r="BH63" s="31">
        <f t="shared" si="74"/>
        <v>0</v>
      </c>
      <c r="BI63" s="31">
        <f t="shared" si="75"/>
        <v>0</v>
      </c>
      <c r="BJ63" s="31">
        <f t="shared" si="76"/>
        <v>0</v>
      </c>
      <c r="BK63" s="34" t="s">
        <v>119</v>
      </c>
      <c r="BL63" s="31">
        <v>87</v>
      </c>
      <c r="BW63" s="31">
        <f t="shared" si="77"/>
        <v>0</v>
      </c>
      <c r="BX63" s="4" t="s">
        <v>220</v>
      </c>
    </row>
    <row r="64" spans="1:76" x14ac:dyDescent="0.25">
      <c r="A64" s="2" t="s">
        <v>221</v>
      </c>
      <c r="B64" s="3" t="s">
        <v>54</v>
      </c>
      <c r="C64" s="3" t="s">
        <v>222</v>
      </c>
      <c r="D64" s="90" t="s">
        <v>223</v>
      </c>
      <c r="E64" s="85"/>
      <c r="F64" s="3" t="s">
        <v>123</v>
      </c>
      <c r="G64" s="31">
        <v>10</v>
      </c>
      <c r="H64" s="31"/>
      <c r="I64" s="32"/>
      <c r="J64" s="31">
        <f t="shared" si="52"/>
        <v>0</v>
      </c>
      <c r="K64" s="31">
        <f t="shared" si="53"/>
        <v>0</v>
      </c>
      <c r="L64" s="31">
        <f t="shared" si="54"/>
        <v>0</v>
      </c>
      <c r="M64" s="31">
        <f t="shared" si="55"/>
        <v>0</v>
      </c>
      <c r="N64" s="31">
        <v>6.6E-4</v>
      </c>
      <c r="O64" s="31">
        <f t="shared" si="56"/>
        <v>6.6E-3</v>
      </c>
      <c r="P64" s="33" t="s">
        <v>61</v>
      </c>
      <c r="Z64" s="31">
        <f t="shared" si="57"/>
        <v>0</v>
      </c>
      <c r="AB64" s="31">
        <f t="shared" si="58"/>
        <v>0</v>
      </c>
      <c r="AC64" s="31">
        <f t="shared" si="59"/>
        <v>0</v>
      </c>
      <c r="AD64" s="31">
        <f t="shared" si="60"/>
        <v>0</v>
      </c>
      <c r="AE64" s="31">
        <f t="shared" si="61"/>
        <v>0</v>
      </c>
      <c r="AF64" s="31">
        <f t="shared" si="62"/>
        <v>0</v>
      </c>
      <c r="AG64" s="31">
        <f t="shared" si="63"/>
        <v>0</v>
      </c>
      <c r="AH64" s="31">
        <f t="shared" si="64"/>
        <v>0</v>
      </c>
      <c r="AI64" s="12" t="s">
        <v>54</v>
      </c>
      <c r="AJ64" s="31">
        <f t="shared" si="65"/>
        <v>0</v>
      </c>
      <c r="AK64" s="31">
        <f t="shared" si="66"/>
        <v>0</v>
      </c>
      <c r="AL64" s="31">
        <f t="shared" si="67"/>
        <v>0</v>
      </c>
      <c r="AN64" s="31">
        <v>12</v>
      </c>
      <c r="AO64" s="31">
        <f t="shared" si="80"/>
        <v>0</v>
      </c>
      <c r="AP64" s="31">
        <f t="shared" si="81"/>
        <v>0</v>
      </c>
      <c r="AQ64" s="34" t="s">
        <v>57</v>
      </c>
      <c r="AV64" s="31">
        <f t="shared" si="68"/>
        <v>0</v>
      </c>
      <c r="AW64" s="31">
        <f t="shared" si="69"/>
        <v>0</v>
      </c>
      <c r="AX64" s="31">
        <f t="shared" si="70"/>
        <v>0</v>
      </c>
      <c r="AY64" s="34" t="s">
        <v>138</v>
      </c>
      <c r="AZ64" s="34" t="s">
        <v>139</v>
      </c>
      <c r="BA64" s="12" t="s">
        <v>64</v>
      </c>
      <c r="BC64" s="31">
        <f t="shared" si="71"/>
        <v>0</v>
      </c>
      <c r="BD64" s="31">
        <f t="shared" si="72"/>
        <v>0</v>
      </c>
      <c r="BE64" s="31">
        <v>0</v>
      </c>
      <c r="BF64" s="31">
        <f t="shared" si="73"/>
        <v>6.6E-3</v>
      </c>
      <c r="BH64" s="31">
        <f t="shared" si="74"/>
        <v>0</v>
      </c>
      <c r="BI64" s="31">
        <f t="shared" si="75"/>
        <v>0</v>
      </c>
      <c r="BJ64" s="31">
        <f t="shared" si="76"/>
        <v>0</v>
      </c>
      <c r="BK64" s="34" t="s">
        <v>119</v>
      </c>
      <c r="BL64" s="31">
        <v>87</v>
      </c>
      <c r="BW64" s="31">
        <f t="shared" si="77"/>
        <v>0</v>
      </c>
      <c r="BX64" s="4" t="s">
        <v>223</v>
      </c>
    </row>
    <row r="65" spans="1:76" x14ac:dyDescent="0.25">
      <c r="A65" s="2" t="s">
        <v>224</v>
      </c>
      <c r="B65" s="3" t="s">
        <v>54</v>
      </c>
      <c r="C65" s="3" t="s">
        <v>225</v>
      </c>
      <c r="D65" s="90" t="s">
        <v>226</v>
      </c>
      <c r="E65" s="85"/>
      <c r="F65" s="3" t="s">
        <v>123</v>
      </c>
      <c r="G65" s="31">
        <v>30</v>
      </c>
      <c r="H65" s="31"/>
      <c r="I65" s="32"/>
      <c r="J65" s="31">
        <f t="shared" si="52"/>
        <v>0</v>
      </c>
      <c r="K65" s="31">
        <f t="shared" si="53"/>
        <v>0</v>
      </c>
      <c r="L65" s="31">
        <f t="shared" si="54"/>
        <v>0</v>
      </c>
      <c r="M65" s="31">
        <f t="shared" si="55"/>
        <v>0</v>
      </c>
      <c r="N65" s="31">
        <v>1.2700000000000001E-3</v>
      </c>
      <c r="O65" s="31">
        <f t="shared" si="56"/>
        <v>3.8100000000000002E-2</v>
      </c>
      <c r="P65" s="33" t="s">
        <v>61</v>
      </c>
      <c r="Z65" s="31">
        <f t="shared" si="57"/>
        <v>0</v>
      </c>
      <c r="AB65" s="31">
        <f t="shared" si="58"/>
        <v>0</v>
      </c>
      <c r="AC65" s="31">
        <f t="shared" si="59"/>
        <v>0</v>
      </c>
      <c r="AD65" s="31">
        <f t="shared" si="60"/>
        <v>0</v>
      </c>
      <c r="AE65" s="31">
        <f t="shared" si="61"/>
        <v>0</v>
      </c>
      <c r="AF65" s="31">
        <f t="shared" si="62"/>
        <v>0</v>
      </c>
      <c r="AG65" s="31">
        <f t="shared" si="63"/>
        <v>0</v>
      </c>
      <c r="AH65" s="31">
        <f t="shared" si="64"/>
        <v>0</v>
      </c>
      <c r="AI65" s="12" t="s">
        <v>54</v>
      </c>
      <c r="AJ65" s="31">
        <f t="shared" si="65"/>
        <v>0</v>
      </c>
      <c r="AK65" s="31">
        <f t="shared" si="66"/>
        <v>0</v>
      </c>
      <c r="AL65" s="31">
        <f t="shared" si="67"/>
        <v>0</v>
      </c>
      <c r="AN65" s="31">
        <v>12</v>
      </c>
      <c r="AO65" s="31">
        <f t="shared" si="80"/>
        <v>0</v>
      </c>
      <c r="AP65" s="31">
        <f t="shared" si="81"/>
        <v>0</v>
      </c>
      <c r="AQ65" s="34" t="s">
        <v>57</v>
      </c>
      <c r="AV65" s="31">
        <f t="shared" si="68"/>
        <v>0</v>
      </c>
      <c r="AW65" s="31">
        <f t="shared" si="69"/>
        <v>0</v>
      </c>
      <c r="AX65" s="31">
        <f t="shared" si="70"/>
        <v>0</v>
      </c>
      <c r="AY65" s="34" t="s">
        <v>138</v>
      </c>
      <c r="AZ65" s="34" t="s">
        <v>139</v>
      </c>
      <c r="BA65" s="12" t="s">
        <v>64</v>
      </c>
      <c r="BC65" s="31">
        <f t="shared" si="71"/>
        <v>0</v>
      </c>
      <c r="BD65" s="31">
        <f t="shared" si="72"/>
        <v>0</v>
      </c>
      <c r="BE65" s="31">
        <v>0</v>
      </c>
      <c r="BF65" s="31">
        <f t="shared" si="73"/>
        <v>3.8100000000000002E-2</v>
      </c>
      <c r="BH65" s="31">
        <f t="shared" si="74"/>
        <v>0</v>
      </c>
      <c r="BI65" s="31">
        <f t="shared" si="75"/>
        <v>0</v>
      </c>
      <c r="BJ65" s="31">
        <f t="shared" si="76"/>
        <v>0</v>
      </c>
      <c r="BK65" s="34" t="s">
        <v>119</v>
      </c>
      <c r="BL65" s="31">
        <v>87</v>
      </c>
      <c r="BW65" s="31">
        <f t="shared" si="77"/>
        <v>0</v>
      </c>
      <c r="BX65" s="4" t="s">
        <v>226</v>
      </c>
    </row>
    <row r="66" spans="1:76" x14ac:dyDescent="0.25">
      <c r="A66" s="2" t="s">
        <v>227</v>
      </c>
      <c r="B66" s="3" t="s">
        <v>54</v>
      </c>
      <c r="C66" s="3" t="s">
        <v>228</v>
      </c>
      <c r="D66" s="90" t="s">
        <v>229</v>
      </c>
      <c r="E66" s="85"/>
      <c r="F66" s="3" t="s">
        <v>123</v>
      </c>
      <c r="G66" s="31">
        <v>12</v>
      </c>
      <c r="H66" s="31"/>
      <c r="I66" s="32"/>
      <c r="J66" s="31">
        <f t="shared" si="52"/>
        <v>0</v>
      </c>
      <c r="K66" s="31">
        <f t="shared" si="53"/>
        <v>0</v>
      </c>
      <c r="L66" s="31">
        <f t="shared" si="54"/>
        <v>0</v>
      </c>
      <c r="M66" s="31">
        <f t="shared" si="55"/>
        <v>0</v>
      </c>
      <c r="N66" s="31">
        <v>2.65E-3</v>
      </c>
      <c r="O66" s="31">
        <f t="shared" si="56"/>
        <v>3.1800000000000002E-2</v>
      </c>
      <c r="P66" s="33" t="s">
        <v>61</v>
      </c>
      <c r="Z66" s="31">
        <f t="shared" si="57"/>
        <v>0</v>
      </c>
      <c r="AB66" s="31">
        <f t="shared" si="58"/>
        <v>0</v>
      </c>
      <c r="AC66" s="31">
        <f t="shared" si="59"/>
        <v>0</v>
      </c>
      <c r="AD66" s="31">
        <f t="shared" si="60"/>
        <v>0</v>
      </c>
      <c r="AE66" s="31">
        <f t="shared" si="61"/>
        <v>0</v>
      </c>
      <c r="AF66" s="31">
        <f t="shared" si="62"/>
        <v>0</v>
      </c>
      <c r="AG66" s="31">
        <f t="shared" si="63"/>
        <v>0</v>
      </c>
      <c r="AH66" s="31">
        <f t="shared" si="64"/>
        <v>0</v>
      </c>
      <c r="AI66" s="12" t="s">
        <v>54</v>
      </c>
      <c r="AJ66" s="31">
        <f t="shared" si="65"/>
        <v>0</v>
      </c>
      <c r="AK66" s="31">
        <f t="shared" si="66"/>
        <v>0</v>
      </c>
      <c r="AL66" s="31">
        <f t="shared" si="67"/>
        <v>0</v>
      </c>
      <c r="AN66" s="31">
        <v>12</v>
      </c>
      <c r="AO66" s="31">
        <f t="shared" si="80"/>
        <v>0</v>
      </c>
      <c r="AP66" s="31">
        <f t="shared" si="81"/>
        <v>0</v>
      </c>
      <c r="AQ66" s="34" t="s">
        <v>57</v>
      </c>
      <c r="AV66" s="31">
        <f t="shared" si="68"/>
        <v>0</v>
      </c>
      <c r="AW66" s="31">
        <f t="shared" si="69"/>
        <v>0</v>
      </c>
      <c r="AX66" s="31">
        <f t="shared" si="70"/>
        <v>0</v>
      </c>
      <c r="AY66" s="34" t="s">
        <v>138</v>
      </c>
      <c r="AZ66" s="34" t="s">
        <v>139</v>
      </c>
      <c r="BA66" s="12" t="s">
        <v>64</v>
      </c>
      <c r="BC66" s="31">
        <f t="shared" si="71"/>
        <v>0</v>
      </c>
      <c r="BD66" s="31">
        <f t="shared" si="72"/>
        <v>0</v>
      </c>
      <c r="BE66" s="31">
        <v>0</v>
      </c>
      <c r="BF66" s="31">
        <f t="shared" si="73"/>
        <v>3.1800000000000002E-2</v>
      </c>
      <c r="BH66" s="31">
        <f t="shared" si="74"/>
        <v>0</v>
      </c>
      <c r="BI66" s="31">
        <f t="shared" si="75"/>
        <v>0</v>
      </c>
      <c r="BJ66" s="31">
        <f t="shared" si="76"/>
        <v>0</v>
      </c>
      <c r="BK66" s="34" t="s">
        <v>119</v>
      </c>
      <c r="BL66" s="31">
        <v>87</v>
      </c>
      <c r="BW66" s="31">
        <f t="shared" si="77"/>
        <v>0</v>
      </c>
      <c r="BX66" s="4" t="s">
        <v>229</v>
      </c>
    </row>
    <row r="67" spans="1:76" x14ac:dyDescent="0.25">
      <c r="A67" s="2" t="s">
        <v>230</v>
      </c>
      <c r="B67" s="3" t="s">
        <v>54</v>
      </c>
      <c r="C67" s="3" t="s">
        <v>231</v>
      </c>
      <c r="D67" s="90" t="s">
        <v>232</v>
      </c>
      <c r="E67" s="85"/>
      <c r="F67" s="3" t="s">
        <v>123</v>
      </c>
      <c r="G67" s="31">
        <v>8</v>
      </c>
      <c r="H67" s="31"/>
      <c r="I67" s="32"/>
      <c r="J67" s="31">
        <f t="shared" si="52"/>
        <v>0</v>
      </c>
      <c r="K67" s="31">
        <f t="shared" si="53"/>
        <v>0</v>
      </c>
      <c r="L67" s="31">
        <f t="shared" si="54"/>
        <v>0</v>
      </c>
      <c r="M67" s="31">
        <f t="shared" si="55"/>
        <v>0</v>
      </c>
      <c r="N67" s="31">
        <v>9.9399999999999992E-3</v>
      </c>
      <c r="O67" s="31">
        <f t="shared" si="56"/>
        <v>7.9519999999999993E-2</v>
      </c>
      <c r="P67" s="33" t="s">
        <v>61</v>
      </c>
      <c r="Z67" s="31">
        <f t="shared" si="57"/>
        <v>0</v>
      </c>
      <c r="AB67" s="31">
        <f t="shared" si="58"/>
        <v>0</v>
      </c>
      <c r="AC67" s="31">
        <f t="shared" si="59"/>
        <v>0</v>
      </c>
      <c r="AD67" s="31">
        <f t="shared" si="60"/>
        <v>0</v>
      </c>
      <c r="AE67" s="31">
        <f t="shared" si="61"/>
        <v>0</v>
      </c>
      <c r="AF67" s="31">
        <f t="shared" si="62"/>
        <v>0</v>
      </c>
      <c r="AG67" s="31">
        <f t="shared" si="63"/>
        <v>0</v>
      </c>
      <c r="AH67" s="31">
        <f t="shared" si="64"/>
        <v>0</v>
      </c>
      <c r="AI67" s="12" t="s">
        <v>54</v>
      </c>
      <c r="AJ67" s="31">
        <f t="shared" si="65"/>
        <v>0</v>
      </c>
      <c r="AK67" s="31">
        <f t="shared" si="66"/>
        <v>0</v>
      </c>
      <c r="AL67" s="31">
        <f t="shared" si="67"/>
        <v>0</v>
      </c>
      <c r="AN67" s="31">
        <v>12</v>
      </c>
      <c r="AO67" s="31">
        <f t="shared" si="80"/>
        <v>0</v>
      </c>
      <c r="AP67" s="31">
        <f t="shared" si="81"/>
        <v>0</v>
      </c>
      <c r="AQ67" s="34" t="s">
        <v>57</v>
      </c>
      <c r="AV67" s="31">
        <f t="shared" si="68"/>
        <v>0</v>
      </c>
      <c r="AW67" s="31">
        <f t="shared" si="69"/>
        <v>0</v>
      </c>
      <c r="AX67" s="31">
        <f t="shared" si="70"/>
        <v>0</v>
      </c>
      <c r="AY67" s="34" t="s">
        <v>138</v>
      </c>
      <c r="AZ67" s="34" t="s">
        <v>139</v>
      </c>
      <c r="BA67" s="12" t="s">
        <v>64</v>
      </c>
      <c r="BC67" s="31">
        <f t="shared" si="71"/>
        <v>0</v>
      </c>
      <c r="BD67" s="31">
        <f t="shared" si="72"/>
        <v>0</v>
      </c>
      <c r="BE67" s="31">
        <v>0</v>
      </c>
      <c r="BF67" s="31">
        <f t="shared" si="73"/>
        <v>7.9519999999999993E-2</v>
      </c>
      <c r="BH67" s="31">
        <f t="shared" si="74"/>
        <v>0</v>
      </c>
      <c r="BI67" s="31">
        <f t="shared" si="75"/>
        <v>0</v>
      </c>
      <c r="BJ67" s="31">
        <f t="shared" si="76"/>
        <v>0</v>
      </c>
      <c r="BK67" s="34" t="s">
        <v>119</v>
      </c>
      <c r="BL67" s="31">
        <v>87</v>
      </c>
      <c r="BW67" s="31">
        <f t="shared" si="77"/>
        <v>0</v>
      </c>
      <c r="BX67" s="4" t="s">
        <v>232</v>
      </c>
    </row>
    <row r="68" spans="1:76" x14ac:dyDescent="0.25">
      <c r="A68" s="2" t="s">
        <v>233</v>
      </c>
      <c r="B68" s="3" t="s">
        <v>54</v>
      </c>
      <c r="C68" s="3" t="s">
        <v>180</v>
      </c>
      <c r="D68" s="90" t="s">
        <v>181</v>
      </c>
      <c r="E68" s="85"/>
      <c r="F68" s="3" t="s">
        <v>81</v>
      </c>
      <c r="G68" s="31">
        <v>125</v>
      </c>
      <c r="H68" s="31"/>
      <c r="I68" s="32"/>
      <c r="J68" s="31">
        <f t="shared" si="52"/>
        <v>0</v>
      </c>
      <c r="K68" s="31">
        <f t="shared" si="53"/>
        <v>0</v>
      </c>
      <c r="L68" s="31">
        <f t="shared" si="54"/>
        <v>0</v>
      </c>
      <c r="M68" s="31">
        <f t="shared" si="55"/>
        <v>0</v>
      </c>
      <c r="N68" s="31">
        <v>1.0000000000000001E-5</v>
      </c>
      <c r="O68" s="31">
        <f t="shared" si="56"/>
        <v>1.25E-3</v>
      </c>
      <c r="P68" s="33" t="s">
        <v>61</v>
      </c>
      <c r="Z68" s="31">
        <f t="shared" si="57"/>
        <v>0</v>
      </c>
      <c r="AB68" s="31">
        <f t="shared" si="58"/>
        <v>0</v>
      </c>
      <c r="AC68" s="31">
        <f t="shared" si="59"/>
        <v>0</v>
      </c>
      <c r="AD68" s="31">
        <f t="shared" si="60"/>
        <v>0</v>
      </c>
      <c r="AE68" s="31">
        <f t="shared" si="61"/>
        <v>0</v>
      </c>
      <c r="AF68" s="31">
        <f t="shared" si="62"/>
        <v>0</v>
      </c>
      <c r="AG68" s="31">
        <f t="shared" si="63"/>
        <v>0</v>
      </c>
      <c r="AH68" s="31">
        <f t="shared" si="64"/>
        <v>0</v>
      </c>
      <c r="AI68" s="12" t="s">
        <v>54</v>
      </c>
      <c r="AJ68" s="31">
        <f t="shared" si="65"/>
        <v>0</v>
      </c>
      <c r="AK68" s="31">
        <f t="shared" si="66"/>
        <v>0</v>
      </c>
      <c r="AL68" s="31">
        <f t="shared" si="67"/>
        <v>0</v>
      </c>
      <c r="AN68" s="31">
        <v>12</v>
      </c>
      <c r="AO68" s="31">
        <f>H68*0.004954583</f>
        <v>0</v>
      </c>
      <c r="AP68" s="31">
        <f>H68*(1-0.004954583)</f>
        <v>0</v>
      </c>
      <c r="AQ68" s="34" t="s">
        <v>57</v>
      </c>
      <c r="AV68" s="31">
        <f t="shared" si="68"/>
        <v>0</v>
      </c>
      <c r="AW68" s="31">
        <f t="shared" si="69"/>
        <v>0</v>
      </c>
      <c r="AX68" s="31">
        <f t="shared" si="70"/>
        <v>0</v>
      </c>
      <c r="AY68" s="34" t="s">
        <v>138</v>
      </c>
      <c r="AZ68" s="34" t="s">
        <v>139</v>
      </c>
      <c r="BA68" s="12" t="s">
        <v>64</v>
      </c>
      <c r="BC68" s="31">
        <f t="shared" si="71"/>
        <v>0</v>
      </c>
      <c r="BD68" s="31">
        <f t="shared" si="72"/>
        <v>0</v>
      </c>
      <c r="BE68" s="31">
        <v>0</v>
      </c>
      <c r="BF68" s="31">
        <f t="shared" si="73"/>
        <v>1.25E-3</v>
      </c>
      <c r="BH68" s="31">
        <f t="shared" si="74"/>
        <v>0</v>
      </c>
      <c r="BI68" s="31">
        <f t="shared" si="75"/>
        <v>0</v>
      </c>
      <c r="BJ68" s="31">
        <f t="shared" si="76"/>
        <v>0</v>
      </c>
      <c r="BK68" s="34" t="s">
        <v>65</v>
      </c>
      <c r="BL68" s="31">
        <v>87</v>
      </c>
      <c r="BW68" s="31">
        <f t="shared" si="77"/>
        <v>0</v>
      </c>
      <c r="BX68" s="4" t="s">
        <v>181</v>
      </c>
    </row>
    <row r="69" spans="1:76" x14ac:dyDescent="0.25">
      <c r="A69" s="35" t="s">
        <v>54</v>
      </c>
      <c r="B69" s="36" t="s">
        <v>54</v>
      </c>
      <c r="C69" s="36" t="s">
        <v>234</v>
      </c>
      <c r="D69" s="108" t="s">
        <v>235</v>
      </c>
      <c r="E69" s="109"/>
      <c r="F69" s="37" t="s">
        <v>4</v>
      </c>
      <c r="G69" s="37" t="s">
        <v>4</v>
      </c>
      <c r="H69" s="37"/>
      <c r="I69" s="37"/>
      <c r="J69" s="1">
        <f>SUM(J70:J94)</f>
        <v>0</v>
      </c>
      <c r="K69" s="1">
        <f>SUM(K70:K94)</f>
        <v>0</v>
      </c>
      <c r="L69" s="1">
        <f>SUM(L70:L94)</f>
        <v>0</v>
      </c>
      <c r="M69" s="1">
        <f>SUM(M70:M94)</f>
        <v>0</v>
      </c>
      <c r="N69" s="12" t="s">
        <v>54</v>
      </c>
      <c r="O69" s="1">
        <f>SUM(O70:O94)</f>
        <v>97.728460000000013</v>
      </c>
      <c r="P69" s="38" t="s">
        <v>54</v>
      </c>
      <c r="AI69" s="12" t="s">
        <v>54</v>
      </c>
      <c r="AS69" s="1">
        <f>SUM(AJ70:AJ94)</f>
        <v>0</v>
      </c>
      <c r="AT69" s="1">
        <f>SUM(AK70:AK94)</f>
        <v>0</v>
      </c>
      <c r="AU69" s="1">
        <f>SUM(AL70:AL94)</f>
        <v>0</v>
      </c>
    </row>
    <row r="70" spans="1:76" x14ac:dyDescent="0.25">
      <c r="A70" s="2" t="s">
        <v>236</v>
      </c>
      <c r="B70" s="3" t="s">
        <v>54</v>
      </c>
      <c r="C70" s="3" t="s">
        <v>237</v>
      </c>
      <c r="D70" s="90" t="s">
        <v>238</v>
      </c>
      <c r="E70" s="85"/>
      <c r="F70" s="3" t="s">
        <v>239</v>
      </c>
      <c r="G70" s="31">
        <v>1</v>
      </c>
      <c r="H70" s="31"/>
      <c r="I70" s="32"/>
      <c r="J70" s="31">
        <f t="shared" ref="J70:J94" si="82">ROUND(G70*AO70,2)</f>
        <v>0</v>
      </c>
      <c r="K70" s="31">
        <f t="shared" ref="K70:K94" si="83">ROUND(G70*AP70,2)</f>
        <v>0</v>
      </c>
      <c r="L70" s="31">
        <f t="shared" ref="L70:L94" si="84">ROUND(G70*H70,2)</f>
        <v>0</v>
      </c>
      <c r="M70" s="31">
        <f t="shared" ref="M70:M94" si="85">L70*(1+BW70/100)</f>
        <v>0</v>
      </c>
      <c r="N70" s="31">
        <v>5.94E-3</v>
      </c>
      <c r="O70" s="31">
        <f t="shared" ref="O70:O94" si="86">G70*N70</f>
        <v>5.94E-3</v>
      </c>
      <c r="P70" s="33" t="s">
        <v>240</v>
      </c>
      <c r="Z70" s="31">
        <f t="shared" ref="Z70:Z94" si="87">ROUND(IF(AQ70="5",BJ70,0),2)</f>
        <v>0</v>
      </c>
      <c r="AB70" s="31">
        <f t="shared" ref="AB70:AB94" si="88">ROUND(IF(AQ70="1",BH70,0),2)</f>
        <v>0</v>
      </c>
      <c r="AC70" s="31">
        <f t="shared" ref="AC70:AC94" si="89">ROUND(IF(AQ70="1",BI70,0),2)</f>
        <v>0</v>
      </c>
      <c r="AD70" s="31">
        <f t="shared" ref="AD70:AD94" si="90">ROUND(IF(AQ70="7",BH70,0),2)</f>
        <v>0</v>
      </c>
      <c r="AE70" s="31">
        <f t="shared" ref="AE70:AE94" si="91">ROUND(IF(AQ70="7",BI70,0),2)</f>
        <v>0</v>
      </c>
      <c r="AF70" s="31">
        <f t="shared" ref="AF70:AF94" si="92">ROUND(IF(AQ70="2",BH70,0),2)</f>
        <v>0</v>
      </c>
      <c r="AG70" s="31">
        <f t="shared" ref="AG70:AG94" si="93">ROUND(IF(AQ70="2",BI70,0),2)</f>
        <v>0</v>
      </c>
      <c r="AH70" s="31">
        <f t="shared" ref="AH70:AH94" si="94">ROUND(IF(AQ70="0",BJ70,0),2)</f>
        <v>0</v>
      </c>
      <c r="AI70" s="12" t="s">
        <v>54</v>
      </c>
      <c r="AJ70" s="31">
        <f t="shared" ref="AJ70:AJ94" si="95">IF(AN70=0,L70,0)</f>
        <v>0</v>
      </c>
      <c r="AK70" s="31">
        <f t="shared" ref="AK70:AK94" si="96">IF(AN70=12,L70,0)</f>
        <v>0</v>
      </c>
      <c r="AL70" s="31">
        <f t="shared" ref="AL70:AL94" si="97">IF(AN70=21,L70,0)</f>
        <v>0</v>
      </c>
      <c r="AN70" s="31">
        <v>12</v>
      </c>
      <c r="AO70" s="31">
        <f>H70*0.897175141</f>
        <v>0</v>
      </c>
      <c r="AP70" s="31">
        <f>H70*(1-0.897175141)</f>
        <v>0</v>
      </c>
      <c r="AQ70" s="34" t="s">
        <v>57</v>
      </c>
      <c r="AV70" s="31">
        <f t="shared" ref="AV70:AV94" si="98">ROUND(AW70+AX70,2)</f>
        <v>0</v>
      </c>
      <c r="AW70" s="31">
        <f t="shared" ref="AW70:AW94" si="99">ROUND(G70*AO70,2)</f>
        <v>0</v>
      </c>
      <c r="AX70" s="31">
        <f t="shared" ref="AX70:AX94" si="100">ROUND(G70*AP70,2)</f>
        <v>0</v>
      </c>
      <c r="AY70" s="34" t="s">
        <v>241</v>
      </c>
      <c r="AZ70" s="34" t="s">
        <v>139</v>
      </c>
      <c r="BA70" s="12" t="s">
        <v>64</v>
      </c>
      <c r="BC70" s="31">
        <f t="shared" ref="BC70:BC94" si="101">AW70+AX70</f>
        <v>0</v>
      </c>
      <c r="BD70" s="31">
        <f t="shared" ref="BD70:BD94" si="102">H70/(100-BE70)*100</f>
        <v>0</v>
      </c>
      <c r="BE70" s="31">
        <v>0</v>
      </c>
      <c r="BF70" s="31">
        <f t="shared" ref="BF70:BF94" si="103">O70</f>
        <v>5.94E-3</v>
      </c>
      <c r="BH70" s="31">
        <f t="shared" ref="BH70:BH94" si="104">G70*AO70</f>
        <v>0</v>
      </c>
      <c r="BI70" s="31">
        <f t="shared" ref="BI70:BI94" si="105">G70*AP70</f>
        <v>0</v>
      </c>
      <c r="BJ70" s="31">
        <f t="shared" ref="BJ70:BJ94" si="106">G70*H70</f>
        <v>0</v>
      </c>
      <c r="BK70" s="34" t="s">
        <v>65</v>
      </c>
      <c r="BL70" s="31">
        <v>89</v>
      </c>
      <c r="BW70" s="31">
        <f t="shared" ref="BW70:BW94" si="107">I70</f>
        <v>0</v>
      </c>
      <c r="BX70" s="4" t="s">
        <v>238</v>
      </c>
    </row>
    <row r="71" spans="1:76" x14ac:dyDescent="0.25">
      <c r="A71" s="2" t="s">
        <v>242</v>
      </c>
      <c r="B71" s="3" t="s">
        <v>54</v>
      </c>
      <c r="C71" s="3" t="s">
        <v>243</v>
      </c>
      <c r="D71" s="90" t="s">
        <v>244</v>
      </c>
      <c r="E71" s="85"/>
      <c r="F71" s="3" t="s">
        <v>239</v>
      </c>
      <c r="G71" s="31">
        <v>1</v>
      </c>
      <c r="H71" s="31"/>
      <c r="I71" s="32"/>
      <c r="J71" s="31">
        <f t="shared" si="82"/>
        <v>0</v>
      </c>
      <c r="K71" s="31">
        <f t="shared" si="83"/>
        <v>0</v>
      </c>
      <c r="L71" s="31">
        <f t="shared" si="84"/>
        <v>0</v>
      </c>
      <c r="M71" s="31">
        <f t="shared" si="85"/>
        <v>0</v>
      </c>
      <c r="N71" s="31">
        <v>5.94E-3</v>
      </c>
      <c r="O71" s="31">
        <f t="shared" si="86"/>
        <v>5.94E-3</v>
      </c>
      <c r="P71" s="33" t="s">
        <v>240</v>
      </c>
      <c r="Z71" s="31">
        <f t="shared" si="87"/>
        <v>0</v>
      </c>
      <c r="AB71" s="31">
        <f t="shared" si="88"/>
        <v>0</v>
      </c>
      <c r="AC71" s="31">
        <f t="shared" si="89"/>
        <v>0</v>
      </c>
      <c r="AD71" s="31">
        <f t="shared" si="90"/>
        <v>0</v>
      </c>
      <c r="AE71" s="31">
        <f t="shared" si="91"/>
        <v>0</v>
      </c>
      <c r="AF71" s="31">
        <f t="shared" si="92"/>
        <v>0</v>
      </c>
      <c r="AG71" s="31">
        <f t="shared" si="93"/>
        <v>0</v>
      </c>
      <c r="AH71" s="31">
        <f t="shared" si="94"/>
        <v>0</v>
      </c>
      <c r="AI71" s="12" t="s">
        <v>54</v>
      </c>
      <c r="AJ71" s="31">
        <f t="shared" si="95"/>
        <v>0</v>
      </c>
      <c r="AK71" s="31">
        <f t="shared" si="96"/>
        <v>0</v>
      </c>
      <c r="AL71" s="31">
        <f t="shared" si="97"/>
        <v>0</v>
      </c>
      <c r="AN71" s="31">
        <v>12</v>
      </c>
      <c r="AO71" s="31">
        <f>H71*1</f>
        <v>0</v>
      </c>
      <c r="AP71" s="31">
        <f>H71*(1-1)</f>
        <v>0</v>
      </c>
      <c r="AQ71" s="34" t="s">
        <v>57</v>
      </c>
      <c r="AV71" s="31">
        <f t="shared" si="98"/>
        <v>0</v>
      </c>
      <c r="AW71" s="31">
        <f t="shared" si="99"/>
        <v>0</v>
      </c>
      <c r="AX71" s="31">
        <f t="shared" si="100"/>
        <v>0</v>
      </c>
      <c r="AY71" s="34" t="s">
        <v>241</v>
      </c>
      <c r="AZ71" s="34" t="s">
        <v>139</v>
      </c>
      <c r="BA71" s="12" t="s">
        <v>64</v>
      </c>
      <c r="BC71" s="31">
        <f t="shared" si="101"/>
        <v>0</v>
      </c>
      <c r="BD71" s="31">
        <f t="shared" si="102"/>
        <v>0</v>
      </c>
      <c r="BE71" s="31">
        <v>0</v>
      </c>
      <c r="BF71" s="31">
        <f t="shared" si="103"/>
        <v>5.94E-3</v>
      </c>
      <c r="BH71" s="31">
        <f t="shared" si="104"/>
        <v>0</v>
      </c>
      <c r="BI71" s="31">
        <f t="shared" si="105"/>
        <v>0</v>
      </c>
      <c r="BJ71" s="31">
        <f t="shared" si="106"/>
        <v>0</v>
      </c>
      <c r="BK71" s="34" t="s">
        <v>65</v>
      </c>
      <c r="BL71" s="31">
        <v>89</v>
      </c>
      <c r="BW71" s="31">
        <f t="shared" si="107"/>
        <v>0</v>
      </c>
      <c r="BX71" s="4" t="s">
        <v>244</v>
      </c>
    </row>
    <row r="72" spans="1:76" x14ac:dyDescent="0.25">
      <c r="A72" s="2" t="s">
        <v>245</v>
      </c>
      <c r="B72" s="3" t="s">
        <v>54</v>
      </c>
      <c r="C72" s="3" t="s">
        <v>246</v>
      </c>
      <c r="D72" s="90" t="s">
        <v>247</v>
      </c>
      <c r="E72" s="85"/>
      <c r="F72" s="3" t="s">
        <v>239</v>
      </c>
      <c r="G72" s="31">
        <v>1</v>
      </c>
      <c r="H72" s="31"/>
      <c r="I72" s="32"/>
      <c r="J72" s="31">
        <f t="shared" si="82"/>
        <v>0</v>
      </c>
      <c r="K72" s="31">
        <f t="shared" si="83"/>
        <v>0</v>
      </c>
      <c r="L72" s="31">
        <f t="shared" si="84"/>
        <v>0</v>
      </c>
      <c r="M72" s="31">
        <f t="shared" si="85"/>
        <v>0</v>
      </c>
      <c r="N72" s="31">
        <v>5.94E-3</v>
      </c>
      <c r="O72" s="31">
        <f t="shared" si="86"/>
        <v>5.94E-3</v>
      </c>
      <c r="P72" s="33" t="s">
        <v>240</v>
      </c>
      <c r="Z72" s="31">
        <f t="shared" si="87"/>
        <v>0</v>
      </c>
      <c r="AB72" s="31">
        <f t="shared" si="88"/>
        <v>0</v>
      </c>
      <c r="AC72" s="31">
        <f t="shared" si="89"/>
        <v>0</v>
      </c>
      <c r="AD72" s="31">
        <f t="shared" si="90"/>
        <v>0</v>
      </c>
      <c r="AE72" s="31">
        <f t="shared" si="91"/>
        <v>0</v>
      </c>
      <c r="AF72" s="31">
        <f t="shared" si="92"/>
        <v>0</v>
      </c>
      <c r="AG72" s="31">
        <f t="shared" si="93"/>
        <v>0</v>
      </c>
      <c r="AH72" s="31">
        <f t="shared" si="94"/>
        <v>0</v>
      </c>
      <c r="AI72" s="12" t="s">
        <v>54</v>
      </c>
      <c r="AJ72" s="31">
        <f t="shared" si="95"/>
        <v>0</v>
      </c>
      <c r="AK72" s="31">
        <f t="shared" si="96"/>
        <v>0</v>
      </c>
      <c r="AL72" s="31">
        <f t="shared" si="97"/>
        <v>0</v>
      </c>
      <c r="AN72" s="31">
        <v>12</v>
      </c>
      <c r="AO72" s="31">
        <f>H72*1</f>
        <v>0</v>
      </c>
      <c r="AP72" s="31">
        <f>H72*(1-1)</f>
        <v>0</v>
      </c>
      <c r="AQ72" s="34" t="s">
        <v>57</v>
      </c>
      <c r="AV72" s="31">
        <f t="shared" si="98"/>
        <v>0</v>
      </c>
      <c r="AW72" s="31">
        <f t="shared" si="99"/>
        <v>0</v>
      </c>
      <c r="AX72" s="31">
        <f t="shared" si="100"/>
        <v>0</v>
      </c>
      <c r="AY72" s="34" t="s">
        <v>241</v>
      </c>
      <c r="AZ72" s="34" t="s">
        <v>139</v>
      </c>
      <c r="BA72" s="12" t="s">
        <v>64</v>
      </c>
      <c r="BC72" s="31">
        <f t="shared" si="101"/>
        <v>0</v>
      </c>
      <c r="BD72" s="31">
        <f t="shared" si="102"/>
        <v>0</v>
      </c>
      <c r="BE72" s="31">
        <v>0</v>
      </c>
      <c r="BF72" s="31">
        <f t="shared" si="103"/>
        <v>5.94E-3</v>
      </c>
      <c r="BH72" s="31">
        <f t="shared" si="104"/>
        <v>0</v>
      </c>
      <c r="BI72" s="31">
        <f t="shared" si="105"/>
        <v>0</v>
      </c>
      <c r="BJ72" s="31">
        <f t="shared" si="106"/>
        <v>0</v>
      </c>
      <c r="BK72" s="34" t="s">
        <v>65</v>
      </c>
      <c r="BL72" s="31">
        <v>89</v>
      </c>
      <c r="BW72" s="31">
        <f t="shared" si="107"/>
        <v>0</v>
      </c>
      <c r="BX72" s="4" t="s">
        <v>247</v>
      </c>
    </row>
    <row r="73" spans="1:76" x14ac:dyDescent="0.25">
      <c r="A73" s="2" t="s">
        <v>248</v>
      </c>
      <c r="B73" s="3" t="s">
        <v>54</v>
      </c>
      <c r="C73" s="3" t="s">
        <v>249</v>
      </c>
      <c r="D73" s="90" t="s">
        <v>250</v>
      </c>
      <c r="E73" s="85"/>
      <c r="F73" s="3" t="s">
        <v>239</v>
      </c>
      <c r="G73" s="31">
        <v>1</v>
      </c>
      <c r="H73" s="31"/>
      <c r="I73" s="32"/>
      <c r="J73" s="31">
        <f t="shared" si="82"/>
        <v>0</v>
      </c>
      <c r="K73" s="31">
        <f t="shared" si="83"/>
        <v>0</v>
      </c>
      <c r="L73" s="31">
        <f t="shared" si="84"/>
        <v>0</v>
      </c>
      <c r="M73" s="31">
        <f t="shared" si="85"/>
        <v>0</v>
      </c>
      <c r="N73" s="31">
        <v>5.94E-3</v>
      </c>
      <c r="O73" s="31">
        <f t="shared" si="86"/>
        <v>5.94E-3</v>
      </c>
      <c r="P73" s="33" t="s">
        <v>240</v>
      </c>
      <c r="Z73" s="31">
        <f t="shared" si="87"/>
        <v>0</v>
      </c>
      <c r="AB73" s="31">
        <f t="shared" si="88"/>
        <v>0</v>
      </c>
      <c r="AC73" s="31">
        <f t="shared" si="89"/>
        <v>0</v>
      </c>
      <c r="AD73" s="31">
        <f t="shared" si="90"/>
        <v>0</v>
      </c>
      <c r="AE73" s="31">
        <f t="shared" si="91"/>
        <v>0</v>
      </c>
      <c r="AF73" s="31">
        <f t="shared" si="92"/>
        <v>0</v>
      </c>
      <c r="AG73" s="31">
        <f t="shared" si="93"/>
        <v>0</v>
      </c>
      <c r="AH73" s="31">
        <f t="shared" si="94"/>
        <v>0</v>
      </c>
      <c r="AI73" s="12" t="s">
        <v>54</v>
      </c>
      <c r="AJ73" s="31">
        <f t="shared" si="95"/>
        <v>0</v>
      </c>
      <c r="AK73" s="31">
        <f t="shared" si="96"/>
        <v>0</v>
      </c>
      <c r="AL73" s="31">
        <f t="shared" si="97"/>
        <v>0</v>
      </c>
      <c r="AN73" s="31">
        <v>12</v>
      </c>
      <c r="AO73" s="31">
        <f>H73*1</f>
        <v>0</v>
      </c>
      <c r="AP73" s="31">
        <f>H73*(1-1)</f>
        <v>0</v>
      </c>
      <c r="AQ73" s="34" t="s">
        <v>57</v>
      </c>
      <c r="AV73" s="31">
        <f t="shared" si="98"/>
        <v>0</v>
      </c>
      <c r="AW73" s="31">
        <f t="shared" si="99"/>
        <v>0</v>
      </c>
      <c r="AX73" s="31">
        <f t="shared" si="100"/>
        <v>0</v>
      </c>
      <c r="AY73" s="34" t="s">
        <v>241</v>
      </c>
      <c r="AZ73" s="34" t="s">
        <v>139</v>
      </c>
      <c r="BA73" s="12" t="s">
        <v>64</v>
      </c>
      <c r="BC73" s="31">
        <f t="shared" si="101"/>
        <v>0</v>
      </c>
      <c r="BD73" s="31">
        <f t="shared" si="102"/>
        <v>0</v>
      </c>
      <c r="BE73" s="31">
        <v>0</v>
      </c>
      <c r="BF73" s="31">
        <f t="shared" si="103"/>
        <v>5.94E-3</v>
      </c>
      <c r="BH73" s="31">
        <f t="shared" si="104"/>
        <v>0</v>
      </c>
      <c r="BI73" s="31">
        <f t="shared" si="105"/>
        <v>0</v>
      </c>
      <c r="BJ73" s="31">
        <f t="shared" si="106"/>
        <v>0</v>
      </c>
      <c r="BK73" s="34" t="s">
        <v>65</v>
      </c>
      <c r="BL73" s="31">
        <v>89</v>
      </c>
      <c r="BW73" s="31">
        <f t="shared" si="107"/>
        <v>0</v>
      </c>
      <c r="BX73" s="4" t="s">
        <v>250</v>
      </c>
    </row>
    <row r="74" spans="1:76" x14ac:dyDescent="0.25">
      <c r="A74" s="2" t="s">
        <v>251</v>
      </c>
      <c r="B74" s="3" t="s">
        <v>54</v>
      </c>
      <c r="C74" s="3" t="s">
        <v>252</v>
      </c>
      <c r="D74" s="90" t="s">
        <v>253</v>
      </c>
      <c r="E74" s="85"/>
      <c r="F74" s="3" t="s">
        <v>123</v>
      </c>
      <c r="G74" s="31">
        <v>18</v>
      </c>
      <c r="H74" s="31"/>
      <c r="I74" s="32"/>
      <c r="J74" s="31">
        <f t="shared" si="82"/>
        <v>0</v>
      </c>
      <c r="K74" s="31">
        <f t="shared" si="83"/>
        <v>0</v>
      </c>
      <c r="L74" s="31">
        <f t="shared" si="84"/>
        <v>0</v>
      </c>
      <c r="M74" s="31">
        <f t="shared" si="85"/>
        <v>0</v>
      </c>
      <c r="N74" s="31">
        <v>0.158</v>
      </c>
      <c r="O74" s="31">
        <f t="shared" si="86"/>
        <v>2.8439999999999999</v>
      </c>
      <c r="P74" s="33" t="s">
        <v>115</v>
      </c>
      <c r="Z74" s="31">
        <f t="shared" si="87"/>
        <v>0</v>
      </c>
      <c r="AB74" s="31">
        <f t="shared" si="88"/>
        <v>0</v>
      </c>
      <c r="AC74" s="31">
        <f t="shared" si="89"/>
        <v>0</v>
      </c>
      <c r="AD74" s="31">
        <f t="shared" si="90"/>
        <v>0</v>
      </c>
      <c r="AE74" s="31">
        <f t="shared" si="91"/>
        <v>0</v>
      </c>
      <c r="AF74" s="31">
        <f t="shared" si="92"/>
        <v>0</v>
      </c>
      <c r="AG74" s="31">
        <f t="shared" si="93"/>
        <v>0</v>
      </c>
      <c r="AH74" s="31">
        <f t="shared" si="94"/>
        <v>0</v>
      </c>
      <c r="AI74" s="12" t="s">
        <v>54</v>
      </c>
      <c r="AJ74" s="31">
        <f t="shared" si="95"/>
        <v>0</v>
      </c>
      <c r="AK74" s="31">
        <f t="shared" si="96"/>
        <v>0</v>
      </c>
      <c r="AL74" s="31">
        <f t="shared" si="97"/>
        <v>0</v>
      </c>
      <c r="AN74" s="31">
        <v>12</v>
      </c>
      <c r="AO74" s="31">
        <f>H74*1</f>
        <v>0</v>
      </c>
      <c r="AP74" s="31">
        <f>H74*(1-1)</f>
        <v>0</v>
      </c>
      <c r="AQ74" s="34" t="s">
        <v>57</v>
      </c>
      <c r="AV74" s="31">
        <f t="shared" si="98"/>
        <v>0</v>
      </c>
      <c r="AW74" s="31">
        <f t="shared" si="99"/>
        <v>0</v>
      </c>
      <c r="AX74" s="31">
        <f t="shared" si="100"/>
        <v>0</v>
      </c>
      <c r="AY74" s="34" t="s">
        <v>241</v>
      </c>
      <c r="AZ74" s="34" t="s">
        <v>139</v>
      </c>
      <c r="BA74" s="12" t="s">
        <v>64</v>
      </c>
      <c r="BC74" s="31">
        <f t="shared" si="101"/>
        <v>0</v>
      </c>
      <c r="BD74" s="31">
        <f t="shared" si="102"/>
        <v>0</v>
      </c>
      <c r="BE74" s="31">
        <v>0</v>
      </c>
      <c r="BF74" s="31">
        <f t="shared" si="103"/>
        <v>2.8439999999999999</v>
      </c>
      <c r="BH74" s="31">
        <f t="shared" si="104"/>
        <v>0</v>
      </c>
      <c r="BI74" s="31">
        <f t="shared" si="105"/>
        <v>0</v>
      </c>
      <c r="BJ74" s="31">
        <f t="shared" si="106"/>
        <v>0</v>
      </c>
      <c r="BK74" s="34" t="s">
        <v>119</v>
      </c>
      <c r="BL74" s="31">
        <v>89</v>
      </c>
      <c r="BW74" s="31">
        <f t="shared" si="107"/>
        <v>0</v>
      </c>
      <c r="BX74" s="4" t="s">
        <v>253</v>
      </c>
    </row>
    <row r="75" spans="1:76" x14ac:dyDescent="0.25">
      <c r="A75" s="2" t="s">
        <v>254</v>
      </c>
      <c r="B75" s="3" t="s">
        <v>54</v>
      </c>
      <c r="C75" s="3" t="s">
        <v>255</v>
      </c>
      <c r="D75" s="90" t="s">
        <v>256</v>
      </c>
      <c r="E75" s="85"/>
      <c r="F75" s="3" t="s">
        <v>123</v>
      </c>
      <c r="G75" s="31">
        <v>1</v>
      </c>
      <c r="H75" s="31"/>
      <c r="I75" s="32"/>
      <c r="J75" s="31">
        <f t="shared" si="82"/>
        <v>0</v>
      </c>
      <c r="K75" s="31">
        <f t="shared" si="83"/>
        <v>0</v>
      </c>
      <c r="L75" s="31">
        <f t="shared" si="84"/>
        <v>0</v>
      </c>
      <c r="M75" s="31">
        <f t="shared" si="85"/>
        <v>0</v>
      </c>
      <c r="N75" s="31">
        <v>0</v>
      </c>
      <c r="O75" s="31">
        <f t="shared" si="86"/>
        <v>0</v>
      </c>
      <c r="P75" s="33" t="s">
        <v>61</v>
      </c>
      <c r="Z75" s="31">
        <f t="shared" si="87"/>
        <v>0</v>
      </c>
      <c r="AB75" s="31">
        <f t="shared" si="88"/>
        <v>0</v>
      </c>
      <c r="AC75" s="31">
        <f t="shared" si="89"/>
        <v>0</v>
      </c>
      <c r="AD75" s="31">
        <f t="shared" si="90"/>
        <v>0</v>
      </c>
      <c r="AE75" s="31">
        <f t="shared" si="91"/>
        <v>0</v>
      </c>
      <c r="AF75" s="31">
        <f t="shared" si="92"/>
        <v>0</v>
      </c>
      <c r="AG75" s="31">
        <f t="shared" si="93"/>
        <v>0</v>
      </c>
      <c r="AH75" s="31">
        <f t="shared" si="94"/>
        <v>0</v>
      </c>
      <c r="AI75" s="12" t="s">
        <v>54</v>
      </c>
      <c r="AJ75" s="31">
        <f t="shared" si="95"/>
        <v>0</v>
      </c>
      <c r="AK75" s="31">
        <f t="shared" si="96"/>
        <v>0</v>
      </c>
      <c r="AL75" s="31">
        <f t="shared" si="97"/>
        <v>0</v>
      </c>
      <c r="AN75" s="31">
        <v>12</v>
      </c>
      <c r="AO75" s="31">
        <f>H75*0</f>
        <v>0</v>
      </c>
      <c r="AP75" s="31">
        <f>H75*(1-0)</f>
        <v>0</v>
      </c>
      <c r="AQ75" s="34" t="s">
        <v>57</v>
      </c>
      <c r="AV75" s="31">
        <f t="shared" si="98"/>
        <v>0</v>
      </c>
      <c r="AW75" s="31">
        <f t="shared" si="99"/>
        <v>0</v>
      </c>
      <c r="AX75" s="31">
        <f t="shared" si="100"/>
        <v>0</v>
      </c>
      <c r="AY75" s="34" t="s">
        <v>241</v>
      </c>
      <c r="AZ75" s="34" t="s">
        <v>139</v>
      </c>
      <c r="BA75" s="12" t="s">
        <v>64</v>
      </c>
      <c r="BC75" s="31">
        <f t="shared" si="101"/>
        <v>0</v>
      </c>
      <c r="BD75" s="31">
        <f t="shared" si="102"/>
        <v>0</v>
      </c>
      <c r="BE75" s="31">
        <v>0</v>
      </c>
      <c r="BF75" s="31">
        <f t="shared" si="103"/>
        <v>0</v>
      </c>
      <c r="BH75" s="31">
        <f t="shared" si="104"/>
        <v>0</v>
      </c>
      <c r="BI75" s="31">
        <f t="shared" si="105"/>
        <v>0</v>
      </c>
      <c r="BJ75" s="31">
        <f t="shared" si="106"/>
        <v>0</v>
      </c>
      <c r="BK75" s="34" t="s">
        <v>65</v>
      </c>
      <c r="BL75" s="31">
        <v>89</v>
      </c>
      <c r="BW75" s="31">
        <f t="shared" si="107"/>
        <v>0</v>
      </c>
      <c r="BX75" s="4" t="s">
        <v>256</v>
      </c>
    </row>
    <row r="76" spans="1:76" x14ac:dyDescent="0.25">
      <c r="A76" s="2" t="s">
        <v>257</v>
      </c>
      <c r="B76" s="3" t="s">
        <v>54</v>
      </c>
      <c r="C76" s="3" t="s">
        <v>258</v>
      </c>
      <c r="D76" s="90" t="s">
        <v>259</v>
      </c>
      <c r="E76" s="85"/>
      <c r="F76" s="3" t="s">
        <v>123</v>
      </c>
      <c r="G76" s="31">
        <v>1</v>
      </c>
      <c r="H76" s="31"/>
      <c r="I76" s="32"/>
      <c r="J76" s="31">
        <f t="shared" si="82"/>
        <v>0</v>
      </c>
      <c r="K76" s="31">
        <f t="shared" si="83"/>
        <v>0</v>
      </c>
      <c r="L76" s="31">
        <f t="shared" si="84"/>
        <v>0</v>
      </c>
      <c r="M76" s="31">
        <f t="shared" si="85"/>
        <v>0</v>
      </c>
      <c r="N76" s="31">
        <v>0</v>
      </c>
      <c r="O76" s="31">
        <f t="shared" si="86"/>
        <v>0</v>
      </c>
      <c r="P76" s="33" t="s">
        <v>115</v>
      </c>
      <c r="Z76" s="31">
        <f t="shared" si="87"/>
        <v>0</v>
      </c>
      <c r="AB76" s="31">
        <f t="shared" si="88"/>
        <v>0</v>
      </c>
      <c r="AC76" s="31">
        <f t="shared" si="89"/>
        <v>0</v>
      </c>
      <c r="AD76" s="31">
        <f t="shared" si="90"/>
        <v>0</v>
      </c>
      <c r="AE76" s="31">
        <f t="shared" si="91"/>
        <v>0</v>
      </c>
      <c r="AF76" s="31">
        <f t="shared" si="92"/>
        <v>0</v>
      </c>
      <c r="AG76" s="31">
        <f t="shared" si="93"/>
        <v>0</v>
      </c>
      <c r="AH76" s="31">
        <f t="shared" si="94"/>
        <v>0</v>
      </c>
      <c r="AI76" s="12" t="s">
        <v>54</v>
      </c>
      <c r="AJ76" s="31">
        <f t="shared" si="95"/>
        <v>0</v>
      </c>
      <c r="AK76" s="31">
        <f t="shared" si="96"/>
        <v>0</v>
      </c>
      <c r="AL76" s="31">
        <f t="shared" si="97"/>
        <v>0</v>
      </c>
      <c r="AN76" s="31">
        <v>12</v>
      </c>
      <c r="AO76" s="31">
        <f>H76*1</f>
        <v>0</v>
      </c>
      <c r="AP76" s="31">
        <f>H76*(1-1)</f>
        <v>0</v>
      </c>
      <c r="AQ76" s="34" t="s">
        <v>57</v>
      </c>
      <c r="AV76" s="31">
        <f t="shared" si="98"/>
        <v>0</v>
      </c>
      <c r="AW76" s="31">
        <f t="shared" si="99"/>
        <v>0</v>
      </c>
      <c r="AX76" s="31">
        <f t="shared" si="100"/>
        <v>0</v>
      </c>
      <c r="AY76" s="34" t="s">
        <v>241</v>
      </c>
      <c r="AZ76" s="34" t="s">
        <v>139</v>
      </c>
      <c r="BA76" s="12" t="s">
        <v>64</v>
      </c>
      <c r="BC76" s="31">
        <f t="shared" si="101"/>
        <v>0</v>
      </c>
      <c r="BD76" s="31">
        <f t="shared" si="102"/>
        <v>0</v>
      </c>
      <c r="BE76" s="31">
        <v>0</v>
      </c>
      <c r="BF76" s="31">
        <f t="shared" si="103"/>
        <v>0</v>
      </c>
      <c r="BH76" s="31">
        <f t="shared" si="104"/>
        <v>0</v>
      </c>
      <c r="BI76" s="31">
        <f t="shared" si="105"/>
        <v>0</v>
      </c>
      <c r="BJ76" s="31">
        <f t="shared" si="106"/>
        <v>0</v>
      </c>
      <c r="BK76" s="34" t="s">
        <v>119</v>
      </c>
      <c r="BL76" s="31">
        <v>89</v>
      </c>
      <c r="BW76" s="31">
        <f t="shared" si="107"/>
        <v>0</v>
      </c>
      <c r="BX76" s="4" t="s">
        <v>259</v>
      </c>
    </row>
    <row r="77" spans="1:76" x14ac:dyDescent="0.25">
      <c r="A77" s="2" t="s">
        <v>260</v>
      </c>
      <c r="B77" s="3" t="s">
        <v>54</v>
      </c>
      <c r="C77" s="3" t="s">
        <v>261</v>
      </c>
      <c r="D77" s="90" t="s">
        <v>262</v>
      </c>
      <c r="E77" s="85"/>
      <c r="F77" s="3" t="s">
        <v>123</v>
      </c>
      <c r="G77" s="31">
        <v>1</v>
      </c>
      <c r="H77" s="31"/>
      <c r="I77" s="32"/>
      <c r="J77" s="31">
        <f t="shared" si="82"/>
        <v>0</v>
      </c>
      <c r="K77" s="31">
        <f t="shared" si="83"/>
        <v>0</v>
      </c>
      <c r="L77" s="31">
        <f t="shared" si="84"/>
        <v>0</v>
      </c>
      <c r="M77" s="31">
        <f t="shared" si="85"/>
        <v>0</v>
      </c>
      <c r="N77" s="31">
        <v>2.1000000000000001E-4</v>
      </c>
      <c r="O77" s="31">
        <f t="shared" si="86"/>
        <v>2.1000000000000001E-4</v>
      </c>
      <c r="P77" s="33" t="s">
        <v>61</v>
      </c>
      <c r="Z77" s="31">
        <f t="shared" si="87"/>
        <v>0</v>
      </c>
      <c r="AB77" s="31">
        <f t="shared" si="88"/>
        <v>0</v>
      </c>
      <c r="AC77" s="31">
        <f t="shared" si="89"/>
        <v>0</v>
      </c>
      <c r="AD77" s="31">
        <f t="shared" si="90"/>
        <v>0</v>
      </c>
      <c r="AE77" s="31">
        <f t="shared" si="91"/>
        <v>0</v>
      </c>
      <c r="AF77" s="31">
        <f t="shared" si="92"/>
        <v>0</v>
      </c>
      <c r="AG77" s="31">
        <f t="shared" si="93"/>
        <v>0</v>
      </c>
      <c r="AH77" s="31">
        <f t="shared" si="94"/>
        <v>0</v>
      </c>
      <c r="AI77" s="12" t="s">
        <v>54</v>
      </c>
      <c r="AJ77" s="31">
        <f t="shared" si="95"/>
        <v>0</v>
      </c>
      <c r="AK77" s="31">
        <f t="shared" si="96"/>
        <v>0</v>
      </c>
      <c r="AL77" s="31">
        <f t="shared" si="97"/>
        <v>0</v>
      </c>
      <c r="AN77" s="31">
        <v>12</v>
      </c>
      <c r="AO77" s="31">
        <f>H77*0.077528528</f>
        <v>0</v>
      </c>
      <c r="AP77" s="31">
        <f>H77*(1-0.077528528)</f>
        <v>0</v>
      </c>
      <c r="AQ77" s="34" t="s">
        <v>57</v>
      </c>
      <c r="AV77" s="31">
        <f t="shared" si="98"/>
        <v>0</v>
      </c>
      <c r="AW77" s="31">
        <f t="shared" si="99"/>
        <v>0</v>
      </c>
      <c r="AX77" s="31">
        <f t="shared" si="100"/>
        <v>0</v>
      </c>
      <c r="AY77" s="34" t="s">
        <v>241</v>
      </c>
      <c r="AZ77" s="34" t="s">
        <v>139</v>
      </c>
      <c r="BA77" s="12" t="s">
        <v>64</v>
      </c>
      <c r="BC77" s="31">
        <f t="shared" si="101"/>
        <v>0</v>
      </c>
      <c r="BD77" s="31">
        <f t="shared" si="102"/>
        <v>0</v>
      </c>
      <c r="BE77" s="31">
        <v>0</v>
      </c>
      <c r="BF77" s="31">
        <f t="shared" si="103"/>
        <v>2.1000000000000001E-4</v>
      </c>
      <c r="BH77" s="31">
        <f t="shared" si="104"/>
        <v>0</v>
      </c>
      <c r="BI77" s="31">
        <f t="shared" si="105"/>
        <v>0</v>
      </c>
      <c r="BJ77" s="31">
        <f t="shared" si="106"/>
        <v>0</v>
      </c>
      <c r="BK77" s="34" t="s">
        <v>65</v>
      </c>
      <c r="BL77" s="31">
        <v>89</v>
      </c>
      <c r="BW77" s="31">
        <f t="shared" si="107"/>
        <v>0</v>
      </c>
      <c r="BX77" s="4" t="s">
        <v>262</v>
      </c>
    </row>
    <row r="78" spans="1:76" x14ac:dyDescent="0.25">
      <c r="A78" s="2" t="s">
        <v>263</v>
      </c>
      <c r="B78" s="3" t="s">
        <v>54</v>
      </c>
      <c r="C78" s="3" t="s">
        <v>264</v>
      </c>
      <c r="D78" s="90" t="s">
        <v>265</v>
      </c>
      <c r="E78" s="85"/>
      <c r="F78" s="3" t="s">
        <v>123</v>
      </c>
      <c r="G78" s="31">
        <v>1</v>
      </c>
      <c r="H78" s="31"/>
      <c r="I78" s="32"/>
      <c r="J78" s="31">
        <f t="shared" si="82"/>
        <v>0</v>
      </c>
      <c r="K78" s="31">
        <f t="shared" si="83"/>
        <v>0</v>
      </c>
      <c r="L78" s="31">
        <f t="shared" si="84"/>
        <v>0</v>
      </c>
      <c r="M78" s="31">
        <f t="shared" si="85"/>
        <v>0</v>
      </c>
      <c r="N78" s="31">
        <v>1.8499999999999999E-2</v>
      </c>
      <c r="O78" s="31">
        <f t="shared" si="86"/>
        <v>1.8499999999999999E-2</v>
      </c>
      <c r="P78" s="33" t="s">
        <v>266</v>
      </c>
      <c r="Z78" s="31">
        <f t="shared" si="87"/>
        <v>0</v>
      </c>
      <c r="AB78" s="31">
        <f t="shared" si="88"/>
        <v>0</v>
      </c>
      <c r="AC78" s="31">
        <f t="shared" si="89"/>
        <v>0</v>
      </c>
      <c r="AD78" s="31">
        <f t="shared" si="90"/>
        <v>0</v>
      </c>
      <c r="AE78" s="31">
        <f t="shared" si="91"/>
        <v>0</v>
      </c>
      <c r="AF78" s="31">
        <f t="shared" si="92"/>
        <v>0</v>
      </c>
      <c r="AG78" s="31">
        <f t="shared" si="93"/>
        <v>0</v>
      </c>
      <c r="AH78" s="31">
        <f t="shared" si="94"/>
        <v>0</v>
      </c>
      <c r="AI78" s="12" t="s">
        <v>54</v>
      </c>
      <c r="AJ78" s="31">
        <f t="shared" si="95"/>
        <v>0</v>
      </c>
      <c r="AK78" s="31">
        <f t="shared" si="96"/>
        <v>0</v>
      </c>
      <c r="AL78" s="31">
        <f t="shared" si="97"/>
        <v>0</v>
      </c>
      <c r="AN78" s="31">
        <v>12</v>
      </c>
      <c r="AO78" s="31">
        <f>H78*1</f>
        <v>0</v>
      </c>
      <c r="AP78" s="31">
        <f>H78*(1-1)</f>
        <v>0</v>
      </c>
      <c r="AQ78" s="34" t="s">
        <v>57</v>
      </c>
      <c r="AV78" s="31">
        <f t="shared" si="98"/>
        <v>0</v>
      </c>
      <c r="AW78" s="31">
        <f t="shared" si="99"/>
        <v>0</v>
      </c>
      <c r="AX78" s="31">
        <f t="shared" si="100"/>
        <v>0</v>
      </c>
      <c r="AY78" s="34" t="s">
        <v>241</v>
      </c>
      <c r="AZ78" s="34" t="s">
        <v>139</v>
      </c>
      <c r="BA78" s="12" t="s">
        <v>64</v>
      </c>
      <c r="BC78" s="31">
        <f t="shared" si="101"/>
        <v>0</v>
      </c>
      <c r="BD78" s="31">
        <f t="shared" si="102"/>
        <v>0</v>
      </c>
      <c r="BE78" s="31">
        <v>0</v>
      </c>
      <c r="BF78" s="31">
        <f t="shared" si="103"/>
        <v>1.8499999999999999E-2</v>
      </c>
      <c r="BH78" s="31">
        <f t="shared" si="104"/>
        <v>0</v>
      </c>
      <c r="BI78" s="31">
        <f t="shared" si="105"/>
        <v>0</v>
      </c>
      <c r="BJ78" s="31">
        <f t="shared" si="106"/>
        <v>0</v>
      </c>
      <c r="BK78" s="34" t="s">
        <v>119</v>
      </c>
      <c r="BL78" s="31">
        <v>89</v>
      </c>
      <c r="BW78" s="31">
        <f t="shared" si="107"/>
        <v>0</v>
      </c>
      <c r="BX78" s="4" t="s">
        <v>265</v>
      </c>
    </row>
    <row r="79" spans="1:76" x14ac:dyDescent="0.25">
      <c r="A79" s="2" t="s">
        <v>267</v>
      </c>
      <c r="B79" s="3" t="s">
        <v>54</v>
      </c>
      <c r="C79" s="3" t="s">
        <v>268</v>
      </c>
      <c r="D79" s="90" t="s">
        <v>269</v>
      </c>
      <c r="E79" s="85"/>
      <c r="F79" s="3" t="s">
        <v>123</v>
      </c>
      <c r="G79" s="31">
        <v>1</v>
      </c>
      <c r="H79" s="31"/>
      <c r="I79" s="32"/>
      <c r="J79" s="31">
        <f t="shared" si="82"/>
        <v>0</v>
      </c>
      <c r="K79" s="31">
        <f t="shared" si="83"/>
        <v>0</v>
      </c>
      <c r="L79" s="31">
        <f t="shared" si="84"/>
        <v>0</v>
      </c>
      <c r="M79" s="31">
        <f t="shared" si="85"/>
        <v>0</v>
      </c>
      <c r="N79" s="31">
        <v>5.3E-3</v>
      </c>
      <c r="O79" s="31">
        <f t="shared" si="86"/>
        <v>5.3E-3</v>
      </c>
      <c r="P79" s="33" t="s">
        <v>266</v>
      </c>
      <c r="Z79" s="31">
        <f t="shared" si="87"/>
        <v>0</v>
      </c>
      <c r="AB79" s="31">
        <f t="shared" si="88"/>
        <v>0</v>
      </c>
      <c r="AC79" s="31">
        <f t="shared" si="89"/>
        <v>0</v>
      </c>
      <c r="AD79" s="31">
        <f t="shared" si="90"/>
        <v>0</v>
      </c>
      <c r="AE79" s="31">
        <f t="shared" si="91"/>
        <v>0</v>
      </c>
      <c r="AF79" s="31">
        <f t="shared" si="92"/>
        <v>0</v>
      </c>
      <c r="AG79" s="31">
        <f t="shared" si="93"/>
        <v>0</v>
      </c>
      <c r="AH79" s="31">
        <f t="shared" si="94"/>
        <v>0</v>
      </c>
      <c r="AI79" s="12" t="s">
        <v>54</v>
      </c>
      <c r="AJ79" s="31">
        <f t="shared" si="95"/>
        <v>0</v>
      </c>
      <c r="AK79" s="31">
        <f t="shared" si="96"/>
        <v>0</v>
      </c>
      <c r="AL79" s="31">
        <f t="shared" si="97"/>
        <v>0</v>
      </c>
      <c r="AN79" s="31">
        <v>12</v>
      </c>
      <c r="AO79" s="31">
        <f>H79*1</f>
        <v>0</v>
      </c>
      <c r="AP79" s="31">
        <f>H79*(1-1)</f>
        <v>0</v>
      </c>
      <c r="AQ79" s="34" t="s">
        <v>57</v>
      </c>
      <c r="AV79" s="31">
        <f t="shared" si="98"/>
        <v>0</v>
      </c>
      <c r="AW79" s="31">
        <f t="shared" si="99"/>
        <v>0</v>
      </c>
      <c r="AX79" s="31">
        <f t="shared" si="100"/>
        <v>0</v>
      </c>
      <c r="AY79" s="34" t="s">
        <v>241</v>
      </c>
      <c r="AZ79" s="34" t="s">
        <v>139</v>
      </c>
      <c r="BA79" s="12" t="s">
        <v>64</v>
      </c>
      <c r="BC79" s="31">
        <f t="shared" si="101"/>
        <v>0</v>
      </c>
      <c r="BD79" s="31">
        <f t="shared" si="102"/>
        <v>0</v>
      </c>
      <c r="BE79" s="31">
        <v>0</v>
      </c>
      <c r="BF79" s="31">
        <f t="shared" si="103"/>
        <v>5.3E-3</v>
      </c>
      <c r="BH79" s="31">
        <f t="shared" si="104"/>
        <v>0</v>
      </c>
      <c r="BI79" s="31">
        <f t="shared" si="105"/>
        <v>0</v>
      </c>
      <c r="BJ79" s="31">
        <f t="shared" si="106"/>
        <v>0</v>
      </c>
      <c r="BK79" s="34" t="s">
        <v>119</v>
      </c>
      <c r="BL79" s="31">
        <v>89</v>
      </c>
      <c r="BW79" s="31">
        <f t="shared" si="107"/>
        <v>0</v>
      </c>
      <c r="BX79" s="4" t="s">
        <v>269</v>
      </c>
    </row>
    <row r="80" spans="1:76" x14ac:dyDescent="0.25">
      <c r="A80" s="2" t="s">
        <v>270</v>
      </c>
      <c r="B80" s="3" t="s">
        <v>54</v>
      </c>
      <c r="C80" s="3" t="s">
        <v>271</v>
      </c>
      <c r="D80" s="90" t="s">
        <v>272</v>
      </c>
      <c r="E80" s="85"/>
      <c r="F80" s="3" t="s">
        <v>123</v>
      </c>
      <c r="G80" s="31">
        <v>1</v>
      </c>
      <c r="H80" s="31"/>
      <c r="I80" s="32"/>
      <c r="J80" s="31">
        <f t="shared" si="82"/>
        <v>0</v>
      </c>
      <c r="K80" s="31">
        <f t="shared" si="83"/>
        <v>0</v>
      </c>
      <c r="L80" s="31">
        <f t="shared" si="84"/>
        <v>0</v>
      </c>
      <c r="M80" s="31">
        <f t="shared" si="85"/>
        <v>0</v>
      </c>
      <c r="N80" s="31">
        <v>0.11178</v>
      </c>
      <c r="O80" s="31">
        <f t="shared" si="86"/>
        <v>0.11178</v>
      </c>
      <c r="P80" s="33" t="s">
        <v>61</v>
      </c>
      <c r="Z80" s="31">
        <f t="shared" si="87"/>
        <v>0</v>
      </c>
      <c r="AB80" s="31">
        <f t="shared" si="88"/>
        <v>0</v>
      </c>
      <c r="AC80" s="31">
        <f t="shared" si="89"/>
        <v>0</v>
      </c>
      <c r="AD80" s="31">
        <f t="shared" si="90"/>
        <v>0</v>
      </c>
      <c r="AE80" s="31">
        <f t="shared" si="91"/>
        <v>0</v>
      </c>
      <c r="AF80" s="31">
        <f t="shared" si="92"/>
        <v>0</v>
      </c>
      <c r="AG80" s="31">
        <f t="shared" si="93"/>
        <v>0</v>
      </c>
      <c r="AH80" s="31">
        <f t="shared" si="94"/>
        <v>0</v>
      </c>
      <c r="AI80" s="12" t="s">
        <v>54</v>
      </c>
      <c r="AJ80" s="31">
        <f t="shared" si="95"/>
        <v>0</v>
      </c>
      <c r="AK80" s="31">
        <f t="shared" si="96"/>
        <v>0</v>
      </c>
      <c r="AL80" s="31">
        <f t="shared" si="97"/>
        <v>0</v>
      </c>
      <c r="AN80" s="31">
        <v>12</v>
      </c>
      <c r="AO80" s="31">
        <f>H80*0.375190072</f>
        <v>0</v>
      </c>
      <c r="AP80" s="31">
        <f>H80*(1-0.375190072)</f>
        <v>0</v>
      </c>
      <c r="AQ80" s="34" t="s">
        <v>57</v>
      </c>
      <c r="AV80" s="31">
        <f t="shared" si="98"/>
        <v>0</v>
      </c>
      <c r="AW80" s="31">
        <f t="shared" si="99"/>
        <v>0</v>
      </c>
      <c r="AX80" s="31">
        <f t="shared" si="100"/>
        <v>0</v>
      </c>
      <c r="AY80" s="34" t="s">
        <v>241</v>
      </c>
      <c r="AZ80" s="34" t="s">
        <v>139</v>
      </c>
      <c r="BA80" s="12" t="s">
        <v>64</v>
      </c>
      <c r="BC80" s="31">
        <f t="shared" si="101"/>
        <v>0</v>
      </c>
      <c r="BD80" s="31">
        <f t="shared" si="102"/>
        <v>0</v>
      </c>
      <c r="BE80" s="31">
        <v>0</v>
      </c>
      <c r="BF80" s="31">
        <f t="shared" si="103"/>
        <v>0.11178</v>
      </c>
      <c r="BH80" s="31">
        <f t="shared" si="104"/>
        <v>0</v>
      </c>
      <c r="BI80" s="31">
        <f t="shared" si="105"/>
        <v>0</v>
      </c>
      <c r="BJ80" s="31">
        <f t="shared" si="106"/>
        <v>0</v>
      </c>
      <c r="BK80" s="34" t="s">
        <v>65</v>
      </c>
      <c r="BL80" s="31">
        <v>89</v>
      </c>
      <c r="BW80" s="31">
        <f t="shared" si="107"/>
        <v>0</v>
      </c>
      <c r="BX80" s="4" t="s">
        <v>272</v>
      </c>
    </row>
    <row r="81" spans="1:76" x14ac:dyDescent="0.25">
      <c r="A81" s="2" t="s">
        <v>273</v>
      </c>
      <c r="B81" s="3" t="s">
        <v>54</v>
      </c>
      <c r="C81" s="3" t="s">
        <v>274</v>
      </c>
      <c r="D81" s="90" t="s">
        <v>275</v>
      </c>
      <c r="E81" s="85"/>
      <c r="F81" s="3" t="s">
        <v>123</v>
      </c>
      <c r="G81" s="31">
        <v>1</v>
      </c>
      <c r="H81" s="31"/>
      <c r="I81" s="32"/>
      <c r="J81" s="31">
        <f t="shared" si="82"/>
        <v>0</v>
      </c>
      <c r="K81" s="31">
        <f t="shared" si="83"/>
        <v>0</v>
      </c>
      <c r="L81" s="31">
        <f t="shared" si="84"/>
        <v>0</v>
      </c>
      <c r="M81" s="31">
        <f t="shared" si="85"/>
        <v>0</v>
      </c>
      <c r="N81" s="31">
        <v>2.8E-3</v>
      </c>
      <c r="O81" s="31">
        <f t="shared" si="86"/>
        <v>2.8E-3</v>
      </c>
      <c r="P81" s="33" t="s">
        <v>61</v>
      </c>
      <c r="Z81" s="31">
        <f t="shared" si="87"/>
        <v>0</v>
      </c>
      <c r="AB81" s="31">
        <f t="shared" si="88"/>
        <v>0</v>
      </c>
      <c r="AC81" s="31">
        <f t="shared" si="89"/>
        <v>0</v>
      </c>
      <c r="AD81" s="31">
        <f t="shared" si="90"/>
        <v>0</v>
      </c>
      <c r="AE81" s="31">
        <f t="shared" si="91"/>
        <v>0</v>
      </c>
      <c r="AF81" s="31">
        <f t="shared" si="92"/>
        <v>0</v>
      </c>
      <c r="AG81" s="31">
        <f t="shared" si="93"/>
        <v>0</v>
      </c>
      <c r="AH81" s="31">
        <f t="shared" si="94"/>
        <v>0</v>
      </c>
      <c r="AI81" s="12" t="s">
        <v>54</v>
      </c>
      <c r="AJ81" s="31">
        <f t="shared" si="95"/>
        <v>0</v>
      </c>
      <c r="AK81" s="31">
        <f t="shared" si="96"/>
        <v>0</v>
      </c>
      <c r="AL81" s="31">
        <f t="shared" si="97"/>
        <v>0</v>
      </c>
      <c r="AN81" s="31">
        <v>12</v>
      </c>
      <c r="AO81" s="31">
        <f>H81*1</f>
        <v>0</v>
      </c>
      <c r="AP81" s="31">
        <f>H81*(1-1)</f>
        <v>0</v>
      </c>
      <c r="AQ81" s="34" t="s">
        <v>57</v>
      </c>
      <c r="AV81" s="31">
        <f t="shared" si="98"/>
        <v>0</v>
      </c>
      <c r="AW81" s="31">
        <f t="shared" si="99"/>
        <v>0</v>
      </c>
      <c r="AX81" s="31">
        <f t="shared" si="100"/>
        <v>0</v>
      </c>
      <c r="AY81" s="34" t="s">
        <v>241</v>
      </c>
      <c r="AZ81" s="34" t="s">
        <v>139</v>
      </c>
      <c r="BA81" s="12" t="s">
        <v>64</v>
      </c>
      <c r="BC81" s="31">
        <f t="shared" si="101"/>
        <v>0</v>
      </c>
      <c r="BD81" s="31">
        <f t="shared" si="102"/>
        <v>0</v>
      </c>
      <c r="BE81" s="31">
        <v>0</v>
      </c>
      <c r="BF81" s="31">
        <f t="shared" si="103"/>
        <v>2.8E-3</v>
      </c>
      <c r="BH81" s="31">
        <f t="shared" si="104"/>
        <v>0</v>
      </c>
      <c r="BI81" s="31">
        <f t="shared" si="105"/>
        <v>0</v>
      </c>
      <c r="BJ81" s="31">
        <f t="shared" si="106"/>
        <v>0</v>
      </c>
      <c r="BK81" s="34" t="s">
        <v>119</v>
      </c>
      <c r="BL81" s="31">
        <v>89</v>
      </c>
      <c r="BW81" s="31">
        <f t="shared" si="107"/>
        <v>0</v>
      </c>
      <c r="BX81" s="4" t="s">
        <v>275</v>
      </c>
    </row>
    <row r="82" spans="1:76" x14ac:dyDescent="0.25">
      <c r="A82" s="2" t="s">
        <v>276</v>
      </c>
      <c r="B82" s="3" t="s">
        <v>54</v>
      </c>
      <c r="C82" s="3" t="s">
        <v>277</v>
      </c>
      <c r="D82" s="90" t="s">
        <v>278</v>
      </c>
      <c r="E82" s="85"/>
      <c r="F82" s="3" t="s">
        <v>279</v>
      </c>
      <c r="G82" s="31">
        <v>1</v>
      </c>
      <c r="H82" s="31"/>
      <c r="I82" s="32"/>
      <c r="J82" s="31">
        <f t="shared" si="82"/>
        <v>0</v>
      </c>
      <c r="K82" s="31">
        <f t="shared" si="83"/>
        <v>0</v>
      </c>
      <c r="L82" s="31">
        <f t="shared" si="84"/>
        <v>0</v>
      </c>
      <c r="M82" s="31">
        <f t="shared" si="85"/>
        <v>0</v>
      </c>
      <c r="N82" s="31">
        <v>0</v>
      </c>
      <c r="O82" s="31">
        <f t="shared" si="86"/>
        <v>0</v>
      </c>
      <c r="P82" s="33" t="s">
        <v>54</v>
      </c>
      <c r="Z82" s="31">
        <f t="shared" si="87"/>
        <v>0</v>
      </c>
      <c r="AB82" s="31">
        <f t="shared" si="88"/>
        <v>0</v>
      </c>
      <c r="AC82" s="31">
        <f t="shared" si="89"/>
        <v>0</v>
      </c>
      <c r="AD82" s="31">
        <f t="shared" si="90"/>
        <v>0</v>
      </c>
      <c r="AE82" s="31">
        <f t="shared" si="91"/>
        <v>0</v>
      </c>
      <c r="AF82" s="31">
        <f t="shared" si="92"/>
        <v>0</v>
      </c>
      <c r="AG82" s="31">
        <f t="shared" si="93"/>
        <v>0</v>
      </c>
      <c r="AH82" s="31">
        <f t="shared" si="94"/>
        <v>0</v>
      </c>
      <c r="AI82" s="12" t="s">
        <v>54</v>
      </c>
      <c r="AJ82" s="31">
        <f t="shared" si="95"/>
        <v>0</v>
      </c>
      <c r="AK82" s="31">
        <f t="shared" si="96"/>
        <v>0</v>
      </c>
      <c r="AL82" s="31">
        <f t="shared" si="97"/>
        <v>0</v>
      </c>
      <c r="AN82" s="31">
        <v>12</v>
      </c>
      <c r="AO82" s="31">
        <f>H82*0.448065903</f>
        <v>0</v>
      </c>
      <c r="AP82" s="31">
        <f>H82*(1-0.448065903)</f>
        <v>0</v>
      </c>
      <c r="AQ82" s="34" t="s">
        <v>57</v>
      </c>
      <c r="AV82" s="31">
        <f t="shared" si="98"/>
        <v>0</v>
      </c>
      <c r="AW82" s="31">
        <f t="shared" si="99"/>
        <v>0</v>
      </c>
      <c r="AX82" s="31">
        <f t="shared" si="100"/>
        <v>0</v>
      </c>
      <c r="AY82" s="34" t="s">
        <v>241</v>
      </c>
      <c r="AZ82" s="34" t="s">
        <v>139</v>
      </c>
      <c r="BA82" s="12" t="s">
        <v>64</v>
      </c>
      <c r="BC82" s="31">
        <f t="shared" si="101"/>
        <v>0</v>
      </c>
      <c r="BD82" s="31">
        <f t="shared" si="102"/>
        <v>0</v>
      </c>
      <c r="BE82" s="31">
        <v>0</v>
      </c>
      <c r="BF82" s="31">
        <f t="shared" si="103"/>
        <v>0</v>
      </c>
      <c r="BH82" s="31">
        <f t="shared" si="104"/>
        <v>0</v>
      </c>
      <c r="BI82" s="31">
        <f t="shared" si="105"/>
        <v>0</v>
      </c>
      <c r="BJ82" s="31">
        <f t="shared" si="106"/>
        <v>0</v>
      </c>
      <c r="BK82" s="34" t="s">
        <v>65</v>
      </c>
      <c r="BL82" s="31">
        <v>89</v>
      </c>
      <c r="BW82" s="31">
        <f t="shared" si="107"/>
        <v>0</v>
      </c>
      <c r="BX82" s="4" t="s">
        <v>278</v>
      </c>
    </row>
    <row r="83" spans="1:76" ht="25.5" x14ac:dyDescent="0.25">
      <c r="A83" s="2" t="s">
        <v>280</v>
      </c>
      <c r="B83" s="3" t="s">
        <v>54</v>
      </c>
      <c r="C83" s="3" t="s">
        <v>277</v>
      </c>
      <c r="D83" s="90" t="s">
        <v>281</v>
      </c>
      <c r="E83" s="85"/>
      <c r="F83" s="3" t="s">
        <v>279</v>
      </c>
      <c r="G83" s="31">
        <v>1</v>
      </c>
      <c r="H83" s="31"/>
      <c r="I83" s="32"/>
      <c r="J83" s="31">
        <f t="shared" si="82"/>
        <v>0</v>
      </c>
      <c r="K83" s="31">
        <f t="shared" si="83"/>
        <v>0</v>
      </c>
      <c r="L83" s="31">
        <f t="shared" si="84"/>
        <v>0</v>
      </c>
      <c r="M83" s="31">
        <f t="shared" si="85"/>
        <v>0</v>
      </c>
      <c r="N83" s="31">
        <v>0</v>
      </c>
      <c r="O83" s="31">
        <f t="shared" si="86"/>
        <v>0</v>
      </c>
      <c r="P83" s="33" t="s">
        <v>54</v>
      </c>
      <c r="Z83" s="31">
        <f t="shared" si="87"/>
        <v>0</v>
      </c>
      <c r="AB83" s="31">
        <f t="shared" si="88"/>
        <v>0</v>
      </c>
      <c r="AC83" s="31">
        <f t="shared" si="89"/>
        <v>0</v>
      </c>
      <c r="AD83" s="31">
        <f t="shared" si="90"/>
        <v>0</v>
      </c>
      <c r="AE83" s="31">
        <f t="shared" si="91"/>
        <v>0</v>
      </c>
      <c r="AF83" s="31">
        <f t="shared" si="92"/>
        <v>0</v>
      </c>
      <c r="AG83" s="31">
        <f t="shared" si="93"/>
        <v>0</v>
      </c>
      <c r="AH83" s="31">
        <f t="shared" si="94"/>
        <v>0</v>
      </c>
      <c r="AI83" s="12" t="s">
        <v>54</v>
      </c>
      <c r="AJ83" s="31">
        <f t="shared" si="95"/>
        <v>0</v>
      </c>
      <c r="AK83" s="31">
        <f t="shared" si="96"/>
        <v>0</v>
      </c>
      <c r="AL83" s="31">
        <f t="shared" si="97"/>
        <v>0</v>
      </c>
      <c r="AN83" s="31">
        <v>12</v>
      </c>
      <c r="AO83" s="31">
        <f>H83*0.448065903</f>
        <v>0</v>
      </c>
      <c r="AP83" s="31">
        <f>H83*(1-0.448065903)</f>
        <v>0</v>
      </c>
      <c r="AQ83" s="34" t="s">
        <v>57</v>
      </c>
      <c r="AV83" s="31">
        <f t="shared" si="98"/>
        <v>0</v>
      </c>
      <c r="AW83" s="31">
        <f t="shared" si="99"/>
        <v>0</v>
      </c>
      <c r="AX83" s="31">
        <f t="shared" si="100"/>
        <v>0</v>
      </c>
      <c r="AY83" s="34" t="s">
        <v>241</v>
      </c>
      <c r="AZ83" s="34" t="s">
        <v>139</v>
      </c>
      <c r="BA83" s="12" t="s">
        <v>64</v>
      </c>
      <c r="BC83" s="31">
        <f t="shared" si="101"/>
        <v>0</v>
      </c>
      <c r="BD83" s="31">
        <f t="shared" si="102"/>
        <v>0</v>
      </c>
      <c r="BE83" s="31">
        <v>0</v>
      </c>
      <c r="BF83" s="31">
        <f t="shared" si="103"/>
        <v>0</v>
      </c>
      <c r="BH83" s="31">
        <f t="shared" si="104"/>
        <v>0</v>
      </c>
      <c r="BI83" s="31">
        <f t="shared" si="105"/>
        <v>0</v>
      </c>
      <c r="BJ83" s="31">
        <f t="shared" si="106"/>
        <v>0</v>
      </c>
      <c r="BK83" s="34" t="s">
        <v>65</v>
      </c>
      <c r="BL83" s="31">
        <v>89</v>
      </c>
      <c r="BW83" s="31">
        <f t="shared" si="107"/>
        <v>0</v>
      </c>
      <c r="BX83" s="4" t="s">
        <v>281</v>
      </c>
    </row>
    <row r="84" spans="1:76" x14ac:dyDescent="0.25">
      <c r="A84" s="2" t="s">
        <v>282</v>
      </c>
      <c r="B84" s="3" t="s">
        <v>54</v>
      </c>
      <c r="C84" s="3" t="s">
        <v>283</v>
      </c>
      <c r="D84" s="90" t="s">
        <v>284</v>
      </c>
      <c r="E84" s="85"/>
      <c r="F84" s="3" t="s">
        <v>123</v>
      </c>
      <c r="G84" s="31">
        <v>3</v>
      </c>
      <c r="H84" s="31"/>
      <c r="I84" s="32"/>
      <c r="J84" s="31">
        <f t="shared" si="82"/>
        <v>0</v>
      </c>
      <c r="K84" s="31">
        <f t="shared" si="83"/>
        <v>0</v>
      </c>
      <c r="L84" s="31">
        <f t="shared" si="84"/>
        <v>0</v>
      </c>
      <c r="M84" s="31">
        <f t="shared" si="85"/>
        <v>0</v>
      </c>
      <c r="N84" s="31">
        <v>2.01431</v>
      </c>
      <c r="O84" s="31">
        <f t="shared" si="86"/>
        <v>6.0429300000000001</v>
      </c>
      <c r="P84" s="33" t="s">
        <v>61</v>
      </c>
      <c r="Z84" s="31">
        <f t="shared" si="87"/>
        <v>0</v>
      </c>
      <c r="AB84" s="31">
        <f t="shared" si="88"/>
        <v>0</v>
      </c>
      <c r="AC84" s="31">
        <f t="shared" si="89"/>
        <v>0</v>
      </c>
      <c r="AD84" s="31">
        <f t="shared" si="90"/>
        <v>0</v>
      </c>
      <c r="AE84" s="31">
        <f t="shared" si="91"/>
        <v>0</v>
      </c>
      <c r="AF84" s="31">
        <f t="shared" si="92"/>
        <v>0</v>
      </c>
      <c r="AG84" s="31">
        <f t="shared" si="93"/>
        <v>0</v>
      </c>
      <c r="AH84" s="31">
        <f t="shared" si="94"/>
        <v>0</v>
      </c>
      <c r="AI84" s="12" t="s">
        <v>54</v>
      </c>
      <c r="AJ84" s="31">
        <f t="shared" si="95"/>
        <v>0</v>
      </c>
      <c r="AK84" s="31">
        <f t="shared" si="96"/>
        <v>0</v>
      </c>
      <c r="AL84" s="31">
        <f t="shared" si="97"/>
        <v>0</v>
      </c>
      <c r="AN84" s="31">
        <v>12</v>
      </c>
      <c r="AO84" s="31">
        <f>H84*0.220632149</f>
        <v>0</v>
      </c>
      <c r="AP84" s="31">
        <f>H84*(1-0.220632149)</f>
        <v>0</v>
      </c>
      <c r="AQ84" s="34" t="s">
        <v>57</v>
      </c>
      <c r="AV84" s="31">
        <f t="shared" si="98"/>
        <v>0</v>
      </c>
      <c r="AW84" s="31">
        <f t="shared" si="99"/>
        <v>0</v>
      </c>
      <c r="AX84" s="31">
        <f t="shared" si="100"/>
        <v>0</v>
      </c>
      <c r="AY84" s="34" t="s">
        <v>241</v>
      </c>
      <c r="AZ84" s="34" t="s">
        <v>139</v>
      </c>
      <c r="BA84" s="12" t="s">
        <v>64</v>
      </c>
      <c r="BC84" s="31">
        <f t="shared" si="101"/>
        <v>0</v>
      </c>
      <c r="BD84" s="31">
        <f t="shared" si="102"/>
        <v>0</v>
      </c>
      <c r="BE84" s="31">
        <v>0</v>
      </c>
      <c r="BF84" s="31">
        <f t="shared" si="103"/>
        <v>6.0429300000000001</v>
      </c>
      <c r="BH84" s="31">
        <f t="shared" si="104"/>
        <v>0</v>
      </c>
      <c r="BI84" s="31">
        <f t="shared" si="105"/>
        <v>0</v>
      </c>
      <c r="BJ84" s="31">
        <f t="shared" si="106"/>
        <v>0</v>
      </c>
      <c r="BK84" s="34" t="s">
        <v>65</v>
      </c>
      <c r="BL84" s="31">
        <v>89</v>
      </c>
      <c r="BW84" s="31">
        <f t="shared" si="107"/>
        <v>0</v>
      </c>
      <c r="BX84" s="4" t="s">
        <v>284</v>
      </c>
    </row>
    <row r="85" spans="1:76" x14ac:dyDescent="0.25">
      <c r="A85" s="2" t="s">
        <v>285</v>
      </c>
      <c r="B85" s="3" t="s">
        <v>54</v>
      </c>
      <c r="C85" s="3" t="s">
        <v>286</v>
      </c>
      <c r="D85" s="90" t="s">
        <v>287</v>
      </c>
      <c r="E85" s="85"/>
      <c r="F85" s="3" t="s">
        <v>123</v>
      </c>
      <c r="G85" s="31">
        <v>15</v>
      </c>
      <c r="H85" s="31"/>
      <c r="I85" s="32"/>
      <c r="J85" s="31">
        <f t="shared" si="82"/>
        <v>0</v>
      </c>
      <c r="K85" s="31">
        <f t="shared" si="83"/>
        <v>0</v>
      </c>
      <c r="L85" s="31">
        <f t="shared" si="84"/>
        <v>0</v>
      </c>
      <c r="M85" s="31">
        <f t="shared" si="85"/>
        <v>0</v>
      </c>
      <c r="N85" s="31">
        <v>2.2089799999999999</v>
      </c>
      <c r="O85" s="31">
        <f t="shared" si="86"/>
        <v>33.134700000000002</v>
      </c>
      <c r="P85" s="33" t="s">
        <v>61</v>
      </c>
      <c r="Z85" s="31">
        <f t="shared" si="87"/>
        <v>0</v>
      </c>
      <c r="AB85" s="31">
        <f t="shared" si="88"/>
        <v>0</v>
      </c>
      <c r="AC85" s="31">
        <f t="shared" si="89"/>
        <v>0</v>
      </c>
      <c r="AD85" s="31">
        <f t="shared" si="90"/>
        <v>0</v>
      </c>
      <c r="AE85" s="31">
        <f t="shared" si="91"/>
        <v>0</v>
      </c>
      <c r="AF85" s="31">
        <f t="shared" si="92"/>
        <v>0</v>
      </c>
      <c r="AG85" s="31">
        <f t="shared" si="93"/>
        <v>0</v>
      </c>
      <c r="AH85" s="31">
        <f t="shared" si="94"/>
        <v>0</v>
      </c>
      <c r="AI85" s="12" t="s">
        <v>54</v>
      </c>
      <c r="AJ85" s="31">
        <f t="shared" si="95"/>
        <v>0</v>
      </c>
      <c r="AK85" s="31">
        <f t="shared" si="96"/>
        <v>0</v>
      </c>
      <c r="AL85" s="31">
        <f t="shared" si="97"/>
        <v>0</v>
      </c>
      <c r="AN85" s="31">
        <v>12</v>
      </c>
      <c r="AO85" s="31">
        <f>H85*0.22176154</f>
        <v>0</v>
      </c>
      <c r="AP85" s="31">
        <f>H85*(1-0.22176154)</f>
        <v>0</v>
      </c>
      <c r="AQ85" s="34" t="s">
        <v>57</v>
      </c>
      <c r="AV85" s="31">
        <f t="shared" si="98"/>
        <v>0</v>
      </c>
      <c r="AW85" s="31">
        <f t="shared" si="99"/>
        <v>0</v>
      </c>
      <c r="AX85" s="31">
        <f t="shared" si="100"/>
        <v>0</v>
      </c>
      <c r="AY85" s="34" t="s">
        <v>241</v>
      </c>
      <c r="AZ85" s="34" t="s">
        <v>139</v>
      </c>
      <c r="BA85" s="12" t="s">
        <v>64</v>
      </c>
      <c r="BC85" s="31">
        <f t="shared" si="101"/>
        <v>0</v>
      </c>
      <c r="BD85" s="31">
        <f t="shared" si="102"/>
        <v>0</v>
      </c>
      <c r="BE85" s="31">
        <v>0</v>
      </c>
      <c r="BF85" s="31">
        <f t="shared" si="103"/>
        <v>33.134700000000002</v>
      </c>
      <c r="BH85" s="31">
        <f t="shared" si="104"/>
        <v>0</v>
      </c>
      <c r="BI85" s="31">
        <f t="shared" si="105"/>
        <v>0</v>
      </c>
      <c r="BJ85" s="31">
        <f t="shared" si="106"/>
        <v>0</v>
      </c>
      <c r="BK85" s="34" t="s">
        <v>65</v>
      </c>
      <c r="BL85" s="31">
        <v>89</v>
      </c>
      <c r="BW85" s="31">
        <f t="shared" si="107"/>
        <v>0</v>
      </c>
      <c r="BX85" s="4" t="s">
        <v>287</v>
      </c>
    </row>
    <row r="86" spans="1:76" x14ac:dyDescent="0.25">
      <c r="A86" s="2" t="s">
        <v>288</v>
      </c>
      <c r="B86" s="3" t="s">
        <v>54</v>
      </c>
      <c r="C86" s="3" t="s">
        <v>289</v>
      </c>
      <c r="D86" s="90" t="s">
        <v>290</v>
      </c>
      <c r="E86" s="85"/>
      <c r="F86" s="3" t="s">
        <v>123</v>
      </c>
      <c r="G86" s="31">
        <v>16</v>
      </c>
      <c r="H86" s="31"/>
      <c r="I86" s="32"/>
      <c r="J86" s="31">
        <f t="shared" si="82"/>
        <v>0</v>
      </c>
      <c r="K86" s="31">
        <f t="shared" si="83"/>
        <v>0</v>
      </c>
      <c r="L86" s="31">
        <f t="shared" si="84"/>
        <v>0</v>
      </c>
      <c r="M86" s="31">
        <f t="shared" si="85"/>
        <v>0</v>
      </c>
      <c r="N86" s="31">
        <v>3.5819999999999998E-2</v>
      </c>
      <c r="O86" s="31">
        <f t="shared" si="86"/>
        <v>0.57311999999999996</v>
      </c>
      <c r="P86" s="33" t="s">
        <v>61</v>
      </c>
      <c r="Z86" s="31">
        <f t="shared" si="87"/>
        <v>0</v>
      </c>
      <c r="AB86" s="31">
        <f t="shared" si="88"/>
        <v>0</v>
      </c>
      <c r="AC86" s="31">
        <f t="shared" si="89"/>
        <v>0</v>
      </c>
      <c r="AD86" s="31">
        <f t="shared" si="90"/>
        <v>0</v>
      </c>
      <c r="AE86" s="31">
        <f t="shared" si="91"/>
        <v>0</v>
      </c>
      <c r="AF86" s="31">
        <f t="shared" si="92"/>
        <v>0</v>
      </c>
      <c r="AG86" s="31">
        <f t="shared" si="93"/>
        <v>0</v>
      </c>
      <c r="AH86" s="31">
        <f t="shared" si="94"/>
        <v>0</v>
      </c>
      <c r="AI86" s="12" t="s">
        <v>54</v>
      </c>
      <c r="AJ86" s="31">
        <f t="shared" si="95"/>
        <v>0</v>
      </c>
      <c r="AK86" s="31">
        <f t="shared" si="96"/>
        <v>0</v>
      </c>
      <c r="AL86" s="31">
        <f t="shared" si="97"/>
        <v>0</v>
      </c>
      <c r="AN86" s="31">
        <v>12</v>
      </c>
      <c r="AO86" s="31">
        <f>H86*0.083495774</f>
        <v>0</v>
      </c>
      <c r="AP86" s="31">
        <f>H86*(1-0.083495774)</f>
        <v>0</v>
      </c>
      <c r="AQ86" s="34" t="s">
        <v>57</v>
      </c>
      <c r="AV86" s="31">
        <f t="shared" si="98"/>
        <v>0</v>
      </c>
      <c r="AW86" s="31">
        <f t="shared" si="99"/>
        <v>0</v>
      </c>
      <c r="AX86" s="31">
        <f t="shared" si="100"/>
        <v>0</v>
      </c>
      <c r="AY86" s="34" t="s">
        <v>241</v>
      </c>
      <c r="AZ86" s="34" t="s">
        <v>139</v>
      </c>
      <c r="BA86" s="12" t="s">
        <v>64</v>
      </c>
      <c r="BC86" s="31">
        <f t="shared" si="101"/>
        <v>0</v>
      </c>
      <c r="BD86" s="31">
        <f t="shared" si="102"/>
        <v>0</v>
      </c>
      <c r="BE86" s="31">
        <v>0</v>
      </c>
      <c r="BF86" s="31">
        <f t="shared" si="103"/>
        <v>0.57311999999999996</v>
      </c>
      <c r="BH86" s="31">
        <f t="shared" si="104"/>
        <v>0</v>
      </c>
      <c r="BI86" s="31">
        <f t="shared" si="105"/>
        <v>0</v>
      </c>
      <c r="BJ86" s="31">
        <f t="shared" si="106"/>
        <v>0</v>
      </c>
      <c r="BK86" s="34" t="s">
        <v>65</v>
      </c>
      <c r="BL86" s="31">
        <v>89</v>
      </c>
      <c r="BW86" s="31">
        <f t="shared" si="107"/>
        <v>0</v>
      </c>
      <c r="BX86" s="4" t="s">
        <v>290</v>
      </c>
    </row>
    <row r="87" spans="1:76" x14ac:dyDescent="0.25">
      <c r="A87" s="2" t="s">
        <v>291</v>
      </c>
      <c r="B87" s="3" t="s">
        <v>54</v>
      </c>
      <c r="C87" s="3" t="s">
        <v>292</v>
      </c>
      <c r="D87" s="90" t="s">
        <v>293</v>
      </c>
      <c r="E87" s="85"/>
      <c r="F87" s="3" t="s">
        <v>123</v>
      </c>
      <c r="G87" s="31">
        <v>15</v>
      </c>
      <c r="H87" s="31"/>
      <c r="I87" s="32"/>
      <c r="J87" s="31">
        <f t="shared" si="82"/>
        <v>0</v>
      </c>
      <c r="K87" s="31">
        <f t="shared" si="83"/>
        <v>0</v>
      </c>
      <c r="L87" s="31">
        <f t="shared" si="84"/>
        <v>0</v>
      </c>
      <c r="M87" s="31">
        <f t="shared" si="85"/>
        <v>0</v>
      </c>
      <c r="N87" s="31">
        <v>0.04</v>
      </c>
      <c r="O87" s="31">
        <f t="shared" si="86"/>
        <v>0.6</v>
      </c>
      <c r="P87" s="33" t="s">
        <v>61</v>
      </c>
      <c r="Z87" s="31">
        <f t="shared" si="87"/>
        <v>0</v>
      </c>
      <c r="AB87" s="31">
        <f t="shared" si="88"/>
        <v>0</v>
      </c>
      <c r="AC87" s="31">
        <f t="shared" si="89"/>
        <v>0</v>
      </c>
      <c r="AD87" s="31">
        <f t="shared" si="90"/>
        <v>0</v>
      </c>
      <c r="AE87" s="31">
        <f t="shared" si="91"/>
        <v>0</v>
      </c>
      <c r="AF87" s="31">
        <f t="shared" si="92"/>
        <v>0</v>
      </c>
      <c r="AG87" s="31">
        <f t="shared" si="93"/>
        <v>0</v>
      </c>
      <c r="AH87" s="31">
        <f t="shared" si="94"/>
        <v>0</v>
      </c>
      <c r="AI87" s="12" t="s">
        <v>54</v>
      </c>
      <c r="AJ87" s="31">
        <f t="shared" si="95"/>
        <v>0</v>
      </c>
      <c r="AK87" s="31">
        <f t="shared" si="96"/>
        <v>0</v>
      </c>
      <c r="AL87" s="31">
        <f t="shared" si="97"/>
        <v>0</v>
      </c>
      <c r="AN87" s="31">
        <v>12</v>
      </c>
      <c r="AO87" s="31">
        <f t="shared" ref="AO87:AO93" si="108">H87*1</f>
        <v>0</v>
      </c>
      <c r="AP87" s="31">
        <f t="shared" ref="AP87:AP93" si="109">H87*(1-1)</f>
        <v>0</v>
      </c>
      <c r="AQ87" s="34" t="s">
        <v>57</v>
      </c>
      <c r="AV87" s="31">
        <f t="shared" si="98"/>
        <v>0</v>
      </c>
      <c r="AW87" s="31">
        <f t="shared" si="99"/>
        <v>0</v>
      </c>
      <c r="AX87" s="31">
        <f t="shared" si="100"/>
        <v>0</v>
      </c>
      <c r="AY87" s="34" t="s">
        <v>241</v>
      </c>
      <c r="AZ87" s="34" t="s">
        <v>139</v>
      </c>
      <c r="BA87" s="12" t="s">
        <v>64</v>
      </c>
      <c r="BC87" s="31">
        <f t="shared" si="101"/>
        <v>0</v>
      </c>
      <c r="BD87" s="31">
        <f t="shared" si="102"/>
        <v>0</v>
      </c>
      <c r="BE87" s="31">
        <v>0</v>
      </c>
      <c r="BF87" s="31">
        <f t="shared" si="103"/>
        <v>0.6</v>
      </c>
      <c r="BH87" s="31">
        <f t="shared" si="104"/>
        <v>0</v>
      </c>
      <c r="BI87" s="31">
        <f t="shared" si="105"/>
        <v>0</v>
      </c>
      <c r="BJ87" s="31">
        <f t="shared" si="106"/>
        <v>0</v>
      </c>
      <c r="BK87" s="34" t="s">
        <v>119</v>
      </c>
      <c r="BL87" s="31">
        <v>89</v>
      </c>
      <c r="BW87" s="31">
        <f t="shared" si="107"/>
        <v>0</v>
      </c>
      <c r="BX87" s="4" t="s">
        <v>293</v>
      </c>
    </row>
    <row r="88" spans="1:76" x14ac:dyDescent="0.25">
      <c r="A88" s="2" t="s">
        <v>294</v>
      </c>
      <c r="B88" s="3" t="s">
        <v>54</v>
      </c>
      <c r="C88" s="3" t="s">
        <v>295</v>
      </c>
      <c r="D88" s="90" t="s">
        <v>296</v>
      </c>
      <c r="E88" s="85"/>
      <c r="F88" s="3" t="s">
        <v>123</v>
      </c>
      <c r="G88" s="31">
        <v>15</v>
      </c>
      <c r="H88" s="31"/>
      <c r="I88" s="32"/>
      <c r="J88" s="31">
        <f t="shared" si="82"/>
        <v>0</v>
      </c>
      <c r="K88" s="31">
        <f t="shared" si="83"/>
        <v>0</v>
      </c>
      <c r="L88" s="31">
        <f t="shared" si="84"/>
        <v>0</v>
      </c>
      <c r="M88" s="31">
        <f t="shared" si="85"/>
        <v>0</v>
      </c>
      <c r="N88" s="31">
        <v>2.8000000000000001E-2</v>
      </c>
      <c r="O88" s="31">
        <f t="shared" si="86"/>
        <v>0.42</v>
      </c>
      <c r="P88" s="33" t="s">
        <v>61</v>
      </c>
      <c r="Z88" s="31">
        <f t="shared" si="87"/>
        <v>0</v>
      </c>
      <c r="AB88" s="31">
        <f t="shared" si="88"/>
        <v>0</v>
      </c>
      <c r="AC88" s="31">
        <f t="shared" si="89"/>
        <v>0</v>
      </c>
      <c r="AD88" s="31">
        <f t="shared" si="90"/>
        <v>0</v>
      </c>
      <c r="AE88" s="31">
        <f t="shared" si="91"/>
        <v>0</v>
      </c>
      <c r="AF88" s="31">
        <f t="shared" si="92"/>
        <v>0</v>
      </c>
      <c r="AG88" s="31">
        <f t="shared" si="93"/>
        <v>0</v>
      </c>
      <c r="AH88" s="31">
        <f t="shared" si="94"/>
        <v>0</v>
      </c>
      <c r="AI88" s="12" t="s">
        <v>54</v>
      </c>
      <c r="AJ88" s="31">
        <f t="shared" si="95"/>
        <v>0</v>
      </c>
      <c r="AK88" s="31">
        <f t="shared" si="96"/>
        <v>0</v>
      </c>
      <c r="AL88" s="31">
        <f t="shared" si="97"/>
        <v>0</v>
      </c>
      <c r="AN88" s="31">
        <v>12</v>
      </c>
      <c r="AO88" s="31">
        <f t="shared" si="108"/>
        <v>0</v>
      </c>
      <c r="AP88" s="31">
        <f t="shared" si="109"/>
        <v>0</v>
      </c>
      <c r="AQ88" s="34" t="s">
        <v>57</v>
      </c>
      <c r="AV88" s="31">
        <f t="shared" si="98"/>
        <v>0</v>
      </c>
      <c r="AW88" s="31">
        <f t="shared" si="99"/>
        <v>0</v>
      </c>
      <c r="AX88" s="31">
        <f t="shared" si="100"/>
        <v>0</v>
      </c>
      <c r="AY88" s="34" t="s">
        <v>241</v>
      </c>
      <c r="AZ88" s="34" t="s">
        <v>139</v>
      </c>
      <c r="BA88" s="12" t="s">
        <v>64</v>
      </c>
      <c r="BC88" s="31">
        <f t="shared" si="101"/>
        <v>0</v>
      </c>
      <c r="BD88" s="31">
        <f t="shared" si="102"/>
        <v>0</v>
      </c>
      <c r="BE88" s="31">
        <v>0</v>
      </c>
      <c r="BF88" s="31">
        <f t="shared" si="103"/>
        <v>0.42</v>
      </c>
      <c r="BH88" s="31">
        <f t="shared" si="104"/>
        <v>0</v>
      </c>
      <c r="BI88" s="31">
        <f t="shared" si="105"/>
        <v>0</v>
      </c>
      <c r="BJ88" s="31">
        <f t="shared" si="106"/>
        <v>0</v>
      </c>
      <c r="BK88" s="34" t="s">
        <v>119</v>
      </c>
      <c r="BL88" s="31">
        <v>89</v>
      </c>
      <c r="BW88" s="31">
        <f t="shared" si="107"/>
        <v>0</v>
      </c>
      <c r="BX88" s="4" t="s">
        <v>296</v>
      </c>
    </row>
    <row r="89" spans="1:76" x14ac:dyDescent="0.25">
      <c r="A89" s="2" t="s">
        <v>297</v>
      </c>
      <c r="B89" s="3" t="s">
        <v>54</v>
      </c>
      <c r="C89" s="3" t="s">
        <v>298</v>
      </c>
      <c r="D89" s="90" t="s">
        <v>299</v>
      </c>
      <c r="E89" s="85"/>
      <c r="F89" s="3" t="s">
        <v>123</v>
      </c>
      <c r="G89" s="31">
        <v>15</v>
      </c>
      <c r="H89" s="31"/>
      <c r="I89" s="32"/>
      <c r="J89" s="31">
        <f t="shared" si="82"/>
        <v>0</v>
      </c>
      <c r="K89" s="31">
        <f t="shared" si="83"/>
        <v>0</v>
      </c>
      <c r="L89" s="31">
        <f t="shared" si="84"/>
        <v>0</v>
      </c>
      <c r="M89" s="31">
        <f t="shared" si="85"/>
        <v>0</v>
      </c>
      <c r="N89" s="31">
        <v>0.58499999999999996</v>
      </c>
      <c r="O89" s="31">
        <f t="shared" si="86"/>
        <v>8.7749999999999986</v>
      </c>
      <c r="P89" s="33" t="s">
        <v>61</v>
      </c>
      <c r="Z89" s="31">
        <f t="shared" si="87"/>
        <v>0</v>
      </c>
      <c r="AB89" s="31">
        <f t="shared" si="88"/>
        <v>0</v>
      </c>
      <c r="AC89" s="31">
        <f t="shared" si="89"/>
        <v>0</v>
      </c>
      <c r="AD89" s="31">
        <f t="shared" si="90"/>
        <v>0</v>
      </c>
      <c r="AE89" s="31">
        <f t="shared" si="91"/>
        <v>0</v>
      </c>
      <c r="AF89" s="31">
        <f t="shared" si="92"/>
        <v>0</v>
      </c>
      <c r="AG89" s="31">
        <f t="shared" si="93"/>
        <v>0</v>
      </c>
      <c r="AH89" s="31">
        <f t="shared" si="94"/>
        <v>0</v>
      </c>
      <c r="AI89" s="12" t="s">
        <v>54</v>
      </c>
      <c r="AJ89" s="31">
        <f t="shared" si="95"/>
        <v>0</v>
      </c>
      <c r="AK89" s="31">
        <f t="shared" si="96"/>
        <v>0</v>
      </c>
      <c r="AL89" s="31">
        <f t="shared" si="97"/>
        <v>0</v>
      </c>
      <c r="AN89" s="31">
        <v>12</v>
      </c>
      <c r="AO89" s="31">
        <f t="shared" si="108"/>
        <v>0</v>
      </c>
      <c r="AP89" s="31">
        <f t="shared" si="109"/>
        <v>0</v>
      </c>
      <c r="AQ89" s="34" t="s">
        <v>57</v>
      </c>
      <c r="AV89" s="31">
        <f t="shared" si="98"/>
        <v>0</v>
      </c>
      <c r="AW89" s="31">
        <f t="shared" si="99"/>
        <v>0</v>
      </c>
      <c r="AX89" s="31">
        <f t="shared" si="100"/>
        <v>0</v>
      </c>
      <c r="AY89" s="34" t="s">
        <v>241</v>
      </c>
      <c r="AZ89" s="34" t="s">
        <v>139</v>
      </c>
      <c r="BA89" s="12" t="s">
        <v>64</v>
      </c>
      <c r="BC89" s="31">
        <f t="shared" si="101"/>
        <v>0</v>
      </c>
      <c r="BD89" s="31">
        <f t="shared" si="102"/>
        <v>0</v>
      </c>
      <c r="BE89" s="31">
        <v>0</v>
      </c>
      <c r="BF89" s="31">
        <f t="shared" si="103"/>
        <v>8.7749999999999986</v>
      </c>
      <c r="BH89" s="31">
        <f t="shared" si="104"/>
        <v>0</v>
      </c>
      <c r="BI89" s="31">
        <f t="shared" si="105"/>
        <v>0</v>
      </c>
      <c r="BJ89" s="31">
        <f t="shared" si="106"/>
        <v>0</v>
      </c>
      <c r="BK89" s="34" t="s">
        <v>119</v>
      </c>
      <c r="BL89" s="31">
        <v>89</v>
      </c>
      <c r="BW89" s="31">
        <f t="shared" si="107"/>
        <v>0</v>
      </c>
      <c r="BX89" s="4" t="s">
        <v>299</v>
      </c>
    </row>
    <row r="90" spans="1:76" x14ac:dyDescent="0.25">
      <c r="A90" s="2" t="s">
        <v>300</v>
      </c>
      <c r="B90" s="3" t="s">
        <v>54</v>
      </c>
      <c r="C90" s="3" t="s">
        <v>301</v>
      </c>
      <c r="D90" s="90" t="s">
        <v>302</v>
      </c>
      <c r="E90" s="85"/>
      <c r="F90" s="3" t="s">
        <v>123</v>
      </c>
      <c r="G90" s="31">
        <v>15</v>
      </c>
      <c r="H90" s="31"/>
      <c r="I90" s="32"/>
      <c r="J90" s="31">
        <f t="shared" si="82"/>
        <v>0</v>
      </c>
      <c r="K90" s="31">
        <f t="shared" si="83"/>
        <v>0</v>
      </c>
      <c r="L90" s="31">
        <f t="shared" si="84"/>
        <v>0</v>
      </c>
      <c r="M90" s="31">
        <f t="shared" si="85"/>
        <v>0</v>
      </c>
      <c r="N90" s="31">
        <v>0.25</v>
      </c>
      <c r="O90" s="31">
        <f t="shared" si="86"/>
        <v>3.75</v>
      </c>
      <c r="P90" s="33" t="s">
        <v>61</v>
      </c>
      <c r="Z90" s="31">
        <f t="shared" si="87"/>
        <v>0</v>
      </c>
      <c r="AB90" s="31">
        <f t="shared" si="88"/>
        <v>0</v>
      </c>
      <c r="AC90" s="31">
        <f t="shared" si="89"/>
        <v>0</v>
      </c>
      <c r="AD90" s="31">
        <f t="shared" si="90"/>
        <v>0</v>
      </c>
      <c r="AE90" s="31">
        <f t="shared" si="91"/>
        <v>0</v>
      </c>
      <c r="AF90" s="31">
        <f t="shared" si="92"/>
        <v>0</v>
      </c>
      <c r="AG90" s="31">
        <f t="shared" si="93"/>
        <v>0</v>
      </c>
      <c r="AH90" s="31">
        <f t="shared" si="94"/>
        <v>0</v>
      </c>
      <c r="AI90" s="12" t="s">
        <v>54</v>
      </c>
      <c r="AJ90" s="31">
        <f t="shared" si="95"/>
        <v>0</v>
      </c>
      <c r="AK90" s="31">
        <f t="shared" si="96"/>
        <v>0</v>
      </c>
      <c r="AL90" s="31">
        <f t="shared" si="97"/>
        <v>0</v>
      </c>
      <c r="AN90" s="31">
        <v>12</v>
      </c>
      <c r="AO90" s="31">
        <f t="shared" si="108"/>
        <v>0</v>
      </c>
      <c r="AP90" s="31">
        <f t="shared" si="109"/>
        <v>0</v>
      </c>
      <c r="AQ90" s="34" t="s">
        <v>57</v>
      </c>
      <c r="AV90" s="31">
        <f t="shared" si="98"/>
        <v>0</v>
      </c>
      <c r="AW90" s="31">
        <f t="shared" si="99"/>
        <v>0</v>
      </c>
      <c r="AX90" s="31">
        <f t="shared" si="100"/>
        <v>0</v>
      </c>
      <c r="AY90" s="34" t="s">
        <v>241</v>
      </c>
      <c r="AZ90" s="34" t="s">
        <v>139</v>
      </c>
      <c r="BA90" s="12" t="s">
        <v>64</v>
      </c>
      <c r="BC90" s="31">
        <f t="shared" si="101"/>
        <v>0</v>
      </c>
      <c r="BD90" s="31">
        <f t="shared" si="102"/>
        <v>0</v>
      </c>
      <c r="BE90" s="31">
        <v>0</v>
      </c>
      <c r="BF90" s="31">
        <f t="shared" si="103"/>
        <v>3.75</v>
      </c>
      <c r="BH90" s="31">
        <f t="shared" si="104"/>
        <v>0</v>
      </c>
      <c r="BI90" s="31">
        <f t="shared" si="105"/>
        <v>0</v>
      </c>
      <c r="BJ90" s="31">
        <f t="shared" si="106"/>
        <v>0</v>
      </c>
      <c r="BK90" s="34" t="s">
        <v>119</v>
      </c>
      <c r="BL90" s="31">
        <v>89</v>
      </c>
      <c r="BW90" s="31">
        <f t="shared" si="107"/>
        <v>0</v>
      </c>
      <c r="BX90" s="4" t="s">
        <v>302</v>
      </c>
    </row>
    <row r="91" spans="1:76" x14ac:dyDescent="0.25">
      <c r="A91" s="2" t="s">
        <v>303</v>
      </c>
      <c r="B91" s="3" t="s">
        <v>54</v>
      </c>
      <c r="C91" s="3" t="s">
        <v>304</v>
      </c>
      <c r="D91" s="90" t="s">
        <v>305</v>
      </c>
      <c r="E91" s="85"/>
      <c r="F91" s="3" t="s">
        <v>123</v>
      </c>
      <c r="G91" s="31">
        <v>5</v>
      </c>
      <c r="H91" s="31"/>
      <c r="I91" s="32"/>
      <c r="J91" s="31">
        <f t="shared" si="82"/>
        <v>0</v>
      </c>
      <c r="K91" s="31">
        <f t="shared" si="83"/>
        <v>0</v>
      </c>
      <c r="L91" s="31">
        <f t="shared" si="84"/>
        <v>0</v>
      </c>
      <c r="M91" s="31">
        <f t="shared" si="85"/>
        <v>0</v>
      </c>
      <c r="N91" s="31">
        <v>0.5</v>
      </c>
      <c r="O91" s="31">
        <f t="shared" si="86"/>
        <v>2.5</v>
      </c>
      <c r="P91" s="33" t="s">
        <v>61</v>
      </c>
      <c r="Z91" s="31">
        <f t="shared" si="87"/>
        <v>0</v>
      </c>
      <c r="AB91" s="31">
        <f t="shared" si="88"/>
        <v>0</v>
      </c>
      <c r="AC91" s="31">
        <f t="shared" si="89"/>
        <v>0</v>
      </c>
      <c r="AD91" s="31">
        <f t="shared" si="90"/>
        <v>0</v>
      </c>
      <c r="AE91" s="31">
        <f t="shared" si="91"/>
        <v>0</v>
      </c>
      <c r="AF91" s="31">
        <f t="shared" si="92"/>
        <v>0</v>
      </c>
      <c r="AG91" s="31">
        <f t="shared" si="93"/>
        <v>0</v>
      </c>
      <c r="AH91" s="31">
        <f t="shared" si="94"/>
        <v>0</v>
      </c>
      <c r="AI91" s="12" t="s">
        <v>54</v>
      </c>
      <c r="AJ91" s="31">
        <f t="shared" si="95"/>
        <v>0</v>
      </c>
      <c r="AK91" s="31">
        <f t="shared" si="96"/>
        <v>0</v>
      </c>
      <c r="AL91" s="31">
        <f t="shared" si="97"/>
        <v>0</v>
      </c>
      <c r="AN91" s="31">
        <v>12</v>
      </c>
      <c r="AO91" s="31">
        <f t="shared" si="108"/>
        <v>0</v>
      </c>
      <c r="AP91" s="31">
        <f t="shared" si="109"/>
        <v>0</v>
      </c>
      <c r="AQ91" s="34" t="s">
        <v>57</v>
      </c>
      <c r="AV91" s="31">
        <f t="shared" si="98"/>
        <v>0</v>
      </c>
      <c r="AW91" s="31">
        <f t="shared" si="99"/>
        <v>0</v>
      </c>
      <c r="AX91" s="31">
        <f t="shared" si="100"/>
        <v>0</v>
      </c>
      <c r="AY91" s="34" t="s">
        <v>241</v>
      </c>
      <c r="AZ91" s="34" t="s">
        <v>139</v>
      </c>
      <c r="BA91" s="12" t="s">
        <v>64</v>
      </c>
      <c r="BC91" s="31">
        <f t="shared" si="101"/>
        <v>0</v>
      </c>
      <c r="BD91" s="31">
        <f t="shared" si="102"/>
        <v>0</v>
      </c>
      <c r="BE91" s="31">
        <v>0</v>
      </c>
      <c r="BF91" s="31">
        <f t="shared" si="103"/>
        <v>2.5</v>
      </c>
      <c r="BH91" s="31">
        <f t="shared" si="104"/>
        <v>0</v>
      </c>
      <c r="BI91" s="31">
        <f t="shared" si="105"/>
        <v>0</v>
      </c>
      <c r="BJ91" s="31">
        <f t="shared" si="106"/>
        <v>0</v>
      </c>
      <c r="BK91" s="34" t="s">
        <v>119</v>
      </c>
      <c r="BL91" s="31">
        <v>89</v>
      </c>
      <c r="BW91" s="31">
        <f t="shared" si="107"/>
        <v>0</v>
      </c>
      <c r="BX91" s="4" t="s">
        <v>305</v>
      </c>
    </row>
    <row r="92" spans="1:76" x14ac:dyDescent="0.25">
      <c r="A92" s="2" t="s">
        <v>306</v>
      </c>
      <c r="B92" s="3" t="s">
        <v>54</v>
      </c>
      <c r="C92" s="3" t="s">
        <v>307</v>
      </c>
      <c r="D92" s="90" t="s">
        <v>308</v>
      </c>
      <c r="E92" s="85"/>
      <c r="F92" s="3" t="s">
        <v>123</v>
      </c>
      <c r="G92" s="31">
        <v>10</v>
      </c>
      <c r="H92" s="31"/>
      <c r="I92" s="32"/>
      <c r="J92" s="31">
        <f t="shared" si="82"/>
        <v>0</v>
      </c>
      <c r="K92" s="31">
        <f t="shared" si="83"/>
        <v>0</v>
      </c>
      <c r="L92" s="31">
        <f t="shared" si="84"/>
        <v>0</v>
      </c>
      <c r="M92" s="31">
        <f t="shared" si="85"/>
        <v>0</v>
      </c>
      <c r="N92" s="31">
        <v>1</v>
      </c>
      <c r="O92" s="31">
        <f t="shared" si="86"/>
        <v>10</v>
      </c>
      <c r="P92" s="33" t="s">
        <v>61</v>
      </c>
      <c r="Z92" s="31">
        <f t="shared" si="87"/>
        <v>0</v>
      </c>
      <c r="AB92" s="31">
        <f t="shared" si="88"/>
        <v>0</v>
      </c>
      <c r="AC92" s="31">
        <f t="shared" si="89"/>
        <v>0</v>
      </c>
      <c r="AD92" s="31">
        <f t="shared" si="90"/>
        <v>0</v>
      </c>
      <c r="AE92" s="31">
        <f t="shared" si="91"/>
        <v>0</v>
      </c>
      <c r="AF92" s="31">
        <f t="shared" si="92"/>
        <v>0</v>
      </c>
      <c r="AG92" s="31">
        <f t="shared" si="93"/>
        <v>0</v>
      </c>
      <c r="AH92" s="31">
        <f t="shared" si="94"/>
        <v>0</v>
      </c>
      <c r="AI92" s="12" t="s">
        <v>54</v>
      </c>
      <c r="AJ92" s="31">
        <f t="shared" si="95"/>
        <v>0</v>
      </c>
      <c r="AK92" s="31">
        <f t="shared" si="96"/>
        <v>0</v>
      </c>
      <c r="AL92" s="31">
        <f t="shared" si="97"/>
        <v>0</v>
      </c>
      <c r="AN92" s="31">
        <v>12</v>
      </c>
      <c r="AO92" s="31">
        <f t="shared" si="108"/>
        <v>0</v>
      </c>
      <c r="AP92" s="31">
        <f t="shared" si="109"/>
        <v>0</v>
      </c>
      <c r="AQ92" s="34" t="s">
        <v>57</v>
      </c>
      <c r="AV92" s="31">
        <f t="shared" si="98"/>
        <v>0</v>
      </c>
      <c r="AW92" s="31">
        <f t="shared" si="99"/>
        <v>0</v>
      </c>
      <c r="AX92" s="31">
        <f t="shared" si="100"/>
        <v>0</v>
      </c>
      <c r="AY92" s="34" t="s">
        <v>241</v>
      </c>
      <c r="AZ92" s="34" t="s">
        <v>139</v>
      </c>
      <c r="BA92" s="12" t="s">
        <v>64</v>
      </c>
      <c r="BC92" s="31">
        <f t="shared" si="101"/>
        <v>0</v>
      </c>
      <c r="BD92" s="31">
        <f t="shared" si="102"/>
        <v>0</v>
      </c>
      <c r="BE92" s="31">
        <v>0</v>
      </c>
      <c r="BF92" s="31">
        <f t="shared" si="103"/>
        <v>10</v>
      </c>
      <c r="BH92" s="31">
        <f t="shared" si="104"/>
        <v>0</v>
      </c>
      <c r="BI92" s="31">
        <f t="shared" si="105"/>
        <v>0</v>
      </c>
      <c r="BJ92" s="31">
        <f t="shared" si="106"/>
        <v>0</v>
      </c>
      <c r="BK92" s="34" t="s">
        <v>119</v>
      </c>
      <c r="BL92" s="31">
        <v>89</v>
      </c>
      <c r="BW92" s="31">
        <f t="shared" si="107"/>
        <v>0</v>
      </c>
      <c r="BX92" s="4" t="s">
        <v>308</v>
      </c>
    </row>
    <row r="93" spans="1:76" x14ac:dyDescent="0.25">
      <c r="A93" s="2" t="s">
        <v>309</v>
      </c>
      <c r="B93" s="3" t="s">
        <v>54</v>
      </c>
      <c r="C93" s="3" t="s">
        <v>310</v>
      </c>
      <c r="D93" s="90" t="s">
        <v>311</v>
      </c>
      <c r="E93" s="85"/>
      <c r="F93" s="3" t="s">
        <v>123</v>
      </c>
      <c r="G93" s="31">
        <v>18</v>
      </c>
      <c r="H93" s="31"/>
      <c r="I93" s="32"/>
      <c r="J93" s="31">
        <f t="shared" si="82"/>
        <v>0</v>
      </c>
      <c r="K93" s="31">
        <f t="shared" si="83"/>
        <v>0</v>
      </c>
      <c r="L93" s="31">
        <f t="shared" si="84"/>
        <v>0</v>
      </c>
      <c r="M93" s="31">
        <f t="shared" si="85"/>
        <v>0</v>
      </c>
      <c r="N93" s="31">
        <v>1.6</v>
      </c>
      <c r="O93" s="31">
        <f t="shared" si="86"/>
        <v>28.8</v>
      </c>
      <c r="P93" s="33" t="s">
        <v>61</v>
      </c>
      <c r="Z93" s="31">
        <f t="shared" si="87"/>
        <v>0</v>
      </c>
      <c r="AB93" s="31">
        <f t="shared" si="88"/>
        <v>0</v>
      </c>
      <c r="AC93" s="31">
        <f t="shared" si="89"/>
        <v>0</v>
      </c>
      <c r="AD93" s="31">
        <f t="shared" si="90"/>
        <v>0</v>
      </c>
      <c r="AE93" s="31">
        <f t="shared" si="91"/>
        <v>0</v>
      </c>
      <c r="AF93" s="31">
        <f t="shared" si="92"/>
        <v>0</v>
      </c>
      <c r="AG93" s="31">
        <f t="shared" si="93"/>
        <v>0</v>
      </c>
      <c r="AH93" s="31">
        <f t="shared" si="94"/>
        <v>0</v>
      </c>
      <c r="AI93" s="12" t="s">
        <v>54</v>
      </c>
      <c r="AJ93" s="31">
        <f t="shared" si="95"/>
        <v>0</v>
      </c>
      <c r="AK93" s="31">
        <f t="shared" si="96"/>
        <v>0</v>
      </c>
      <c r="AL93" s="31">
        <f t="shared" si="97"/>
        <v>0</v>
      </c>
      <c r="AN93" s="31">
        <v>12</v>
      </c>
      <c r="AO93" s="31">
        <f t="shared" si="108"/>
        <v>0</v>
      </c>
      <c r="AP93" s="31">
        <f t="shared" si="109"/>
        <v>0</v>
      </c>
      <c r="AQ93" s="34" t="s">
        <v>57</v>
      </c>
      <c r="AV93" s="31">
        <f t="shared" si="98"/>
        <v>0</v>
      </c>
      <c r="AW93" s="31">
        <f t="shared" si="99"/>
        <v>0</v>
      </c>
      <c r="AX93" s="31">
        <f t="shared" si="100"/>
        <v>0</v>
      </c>
      <c r="AY93" s="34" t="s">
        <v>241</v>
      </c>
      <c r="AZ93" s="34" t="s">
        <v>139</v>
      </c>
      <c r="BA93" s="12" t="s">
        <v>64</v>
      </c>
      <c r="BC93" s="31">
        <f t="shared" si="101"/>
        <v>0</v>
      </c>
      <c r="BD93" s="31">
        <f t="shared" si="102"/>
        <v>0</v>
      </c>
      <c r="BE93" s="31">
        <v>0</v>
      </c>
      <c r="BF93" s="31">
        <f t="shared" si="103"/>
        <v>28.8</v>
      </c>
      <c r="BH93" s="31">
        <f t="shared" si="104"/>
        <v>0</v>
      </c>
      <c r="BI93" s="31">
        <f t="shared" si="105"/>
        <v>0</v>
      </c>
      <c r="BJ93" s="31">
        <f t="shared" si="106"/>
        <v>0</v>
      </c>
      <c r="BK93" s="34" t="s">
        <v>119</v>
      </c>
      <c r="BL93" s="31">
        <v>89</v>
      </c>
      <c r="BW93" s="31">
        <f t="shared" si="107"/>
        <v>0</v>
      </c>
      <c r="BX93" s="4" t="s">
        <v>311</v>
      </c>
    </row>
    <row r="94" spans="1:76" x14ac:dyDescent="0.25">
      <c r="A94" s="39" t="s">
        <v>312</v>
      </c>
      <c r="B94" s="40" t="s">
        <v>54</v>
      </c>
      <c r="C94" s="40" t="s">
        <v>313</v>
      </c>
      <c r="D94" s="110" t="s">
        <v>314</v>
      </c>
      <c r="E94" s="111"/>
      <c r="F94" s="40" t="s">
        <v>123</v>
      </c>
      <c r="G94" s="41">
        <v>18</v>
      </c>
      <c r="H94" s="41"/>
      <c r="I94" s="42"/>
      <c r="J94" s="41">
        <f t="shared" si="82"/>
        <v>0</v>
      </c>
      <c r="K94" s="41">
        <f t="shared" si="83"/>
        <v>0</v>
      </c>
      <c r="L94" s="41">
        <f t="shared" si="84"/>
        <v>0</v>
      </c>
      <c r="M94" s="41">
        <f t="shared" si="85"/>
        <v>0</v>
      </c>
      <c r="N94" s="41">
        <v>7.0200000000000002E-3</v>
      </c>
      <c r="O94" s="41">
        <f t="shared" si="86"/>
        <v>0.12636</v>
      </c>
      <c r="P94" s="43" t="s">
        <v>61</v>
      </c>
      <c r="Z94" s="31">
        <f t="shared" si="87"/>
        <v>0</v>
      </c>
      <c r="AB94" s="31">
        <f t="shared" si="88"/>
        <v>0</v>
      </c>
      <c r="AC94" s="31">
        <f t="shared" si="89"/>
        <v>0</v>
      </c>
      <c r="AD94" s="31">
        <f t="shared" si="90"/>
        <v>0</v>
      </c>
      <c r="AE94" s="31">
        <f t="shared" si="91"/>
        <v>0</v>
      </c>
      <c r="AF94" s="31">
        <f t="shared" si="92"/>
        <v>0</v>
      </c>
      <c r="AG94" s="31">
        <f t="shared" si="93"/>
        <v>0</v>
      </c>
      <c r="AH94" s="31">
        <f t="shared" si="94"/>
        <v>0</v>
      </c>
      <c r="AI94" s="12" t="s">
        <v>54</v>
      </c>
      <c r="AJ94" s="31">
        <f t="shared" si="95"/>
        <v>0</v>
      </c>
      <c r="AK94" s="31">
        <f t="shared" si="96"/>
        <v>0</v>
      </c>
      <c r="AL94" s="31">
        <f t="shared" si="97"/>
        <v>0</v>
      </c>
      <c r="AN94" s="31">
        <v>12</v>
      </c>
      <c r="AO94" s="31">
        <f>H94*0.00872153</f>
        <v>0</v>
      </c>
      <c r="AP94" s="31">
        <f>H94*(1-0.00872153)</f>
        <v>0</v>
      </c>
      <c r="AQ94" s="34" t="s">
        <v>57</v>
      </c>
      <c r="AV94" s="31">
        <f t="shared" si="98"/>
        <v>0</v>
      </c>
      <c r="AW94" s="31">
        <f t="shared" si="99"/>
        <v>0</v>
      </c>
      <c r="AX94" s="31">
        <f t="shared" si="100"/>
        <v>0</v>
      </c>
      <c r="AY94" s="34" t="s">
        <v>241</v>
      </c>
      <c r="AZ94" s="34" t="s">
        <v>139</v>
      </c>
      <c r="BA94" s="12" t="s">
        <v>64</v>
      </c>
      <c r="BC94" s="31">
        <f t="shared" si="101"/>
        <v>0</v>
      </c>
      <c r="BD94" s="31">
        <f t="shared" si="102"/>
        <v>0</v>
      </c>
      <c r="BE94" s="31">
        <v>0</v>
      </c>
      <c r="BF94" s="31">
        <f t="shared" si="103"/>
        <v>0.12636</v>
      </c>
      <c r="BH94" s="31">
        <f t="shared" si="104"/>
        <v>0</v>
      </c>
      <c r="BI94" s="31">
        <f t="shared" si="105"/>
        <v>0</v>
      </c>
      <c r="BJ94" s="31">
        <f t="shared" si="106"/>
        <v>0</v>
      </c>
      <c r="BK94" s="34" t="s">
        <v>65</v>
      </c>
      <c r="BL94" s="31">
        <v>89</v>
      </c>
      <c r="BW94" s="31">
        <f t="shared" si="107"/>
        <v>0</v>
      </c>
      <c r="BX94" s="4" t="s">
        <v>314</v>
      </c>
    </row>
    <row r="95" spans="1:76" x14ac:dyDescent="0.25">
      <c r="J95" s="112" t="s">
        <v>315</v>
      </c>
      <c r="K95" s="112"/>
      <c r="L95" s="45">
        <f>ROUND(L12+L27+L35+L69,2)</f>
        <v>0</v>
      </c>
      <c r="M95" s="45">
        <f>ROUND(M12+M27+M35+M69,2)</f>
        <v>0</v>
      </c>
    </row>
    <row r="96" spans="1:76" x14ac:dyDescent="0.25">
      <c r="A96" s="46" t="s">
        <v>316</v>
      </c>
    </row>
    <row r="97" spans="1:16" ht="12.75" customHeight="1" x14ac:dyDescent="0.25">
      <c r="A97" s="90" t="s">
        <v>54</v>
      </c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</row>
  </sheetData>
  <mergeCells count="114">
    <mergeCell ref="D94:E94"/>
    <mergeCell ref="J95:K95"/>
    <mergeCell ref="A97:P97"/>
    <mergeCell ref="D89:E89"/>
    <mergeCell ref="D90:E90"/>
    <mergeCell ref="D91:E91"/>
    <mergeCell ref="D92:E92"/>
    <mergeCell ref="D93:E93"/>
    <mergeCell ref="D84:E84"/>
    <mergeCell ref="D85:E85"/>
    <mergeCell ref="D86:E86"/>
    <mergeCell ref="D87:E87"/>
    <mergeCell ref="D88:E88"/>
    <mergeCell ref="D79:E79"/>
    <mergeCell ref="D80:E80"/>
    <mergeCell ref="D81:E81"/>
    <mergeCell ref="D82:E82"/>
    <mergeCell ref="D83:E83"/>
    <mergeCell ref="D74:E74"/>
    <mergeCell ref="D75:E75"/>
    <mergeCell ref="D76:E76"/>
    <mergeCell ref="D77:E77"/>
    <mergeCell ref="D78:E78"/>
    <mergeCell ref="D69:E69"/>
    <mergeCell ref="D70:E70"/>
    <mergeCell ref="D71:E71"/>
    <mergeCell ref="D72:E72"/>
    <mergeCell ref="D73:E73"/>
    <mergeCell ref="D64:E64"/>
    <mergeCell ref="D65:E65"/>
    <mergeCell ref="D66:E66"/>
    <mergeCell ref="D67:E67"/>
    <mergeCell ref="D68:E68"/>
    <mergeCell ref="D59:E59"/>
    <mergeCell ref="D60:E60"/>
    <mergeCell ref="D61:E61"/>
    <mergeCell ref="D62:E62"/>
    <mergeCell ref="D63:E63"/>
    <mergeCell ref="D54:E54"/>
    <mergeCell ref="D55:E55"/>
    <mergeCell ref="D56:E56"/>
    <mergeCell ref="D57:E57"/>
    <mergeCell ref="D58:E58"/>
    <mergeCell ref="D49:E49"/>
    <mergeCell ref="D50:E50"/>
    <mergeCell ref="D51:E51"/>
    <mergeCell ref="D52:E52"/>
    <mergeCell ref="D53:E53"/>
    <mergeCell ref="D44:E44"/>
    <mergeCell ref="D45:E45"/>
    <mergeCell ref="D46:E46"/>
    <mergeCell ref="D47:E47"/>
    <mergeCell ref="D48:E48"/>
    <mergeCell ref="D39:E39"/>
    <mergeCell ref="D40:E40"/>
    <mergeCell ref="D41:E41"/>
    <mergeCell ref="D42:E42"/>
    <mergeCell ref="D43:E43"/>
    <mergeCell ref="D34:E34"/>
    <mergeCell ref="D35:E35"/>
    <mergeCell ref="D36:E36"/>
    <mergeCell ref="D37:E37"/>
    <mergeCell ref="D38:E38"/>
    <mergeCell ref="D29:E29"/>
    <mergeCell ref="D30:E30"/>
    <mergeCell ref="D31:E31"/>
    <mergeCell ref="D32:E32"/>
    <mergeCell ref="D33:E33"/>
    <mergeCell ref="D24:E24"/>
    <mergeCell ref="D25:E25"/>
    <mergeCell ref="D26:E26"/>
    <mergeCell ref="D27:E27"/>
    <mergeCell ref="D28:E28"/>
    <mergeCell ref="D19:E19"/>
    <mergeCell ref="D20:E20"/>
    <mergeCell ref="D21:E21"/>
    <mergeCell ref="D22:E22"/>
    <mergeCell ref="D23:E23"/>
    <mergeCell ref="D14:E14"/>
    <mergeCell ref="D15:E15"/>
    <mergeCell ref="D16:E16"/>
    <mergeCell ref="D17:E17"/>
    <mergeCell ref="D18:E18"/>
    <mergeCell ref="D11:E11"/>
    <mergeCell ref="J10:L10"/>
    <mergeCell ref="N10:O10"/>
    <mergeCell ref="D12:E12"/>
    <mergeCell ref="D13:E13"/>
    <mergeCell ref="K2:P3"/>
    <mergeCell ref="K4:P5"/>
    <mergeCell ref="K6:P7"/>
    <mergeCell ref="K8:P9"/>
    <mergeCell ref="D10:E10"/>
    <mergeCell ref="D8:E9"/>
    <mergeCell ref="H2:H3"/>
    <mergeCell ref="H4:H5"/>
    <mergeCell ref="H6:H7"/>
    <mergeCell ref="H8:H9"/>
    <mergeCell ref="A1:P1"/>
    <mergeCell ref="A2:C3"/>
    <mergeCell ref="A4:C5"/>
    <mergeCell ref="A6:C7"/>
    <mergeCell ref="A8:C9"/>
    <mergeCell ref="F2:G3"/>
    <mergeCell ref="F4:G5"/>
    <mergeCell ref="F6:G7"/>
    <mergeCell ref="F8:G9"/>
    <mergeCell ref="I2:J3"/>
    <mergeCell ref="I4:J5"/>
    <mergeCell ref="I6:J7"/>
    <mergeCell ref="I8:J9"/>
    <mergeCell ref="D2:E3"/>
    <mergeCell ref="D4:E5"/>
    <mergeCell ref="D6:E7"/>
  </mergeCells>
  <pageMargins left="0.393999993801117" right="0.393999993801117" top="0.59100002050399802" bottom="0.59100002050399802" header="0" footer="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5"/>
  <sheetViews>
    <sheetView workbookViewId="0">
      <pane ySplit="11" topLeftCell="A12" activePane="bottomLeft" state="frozen"/>
      <selection pane="bottomLeft" activeCell="G8" sqref="G8:G9"/>
    </sheetView>
  </sheetViews>
  <sheetFormatPr defaultColWidth="12.140625" defaultRowHeight="15" customHeight="1" x14ac:dyDescent="0.25"/>
  <cols>
    <col min="1" max="2" width="8.5703125" customWidth="1"/>
    <col min="3" max="3" width="71.42578125" customWidth="1"/>
    <col min="4" max="6" width="27.85546875" customWidth="1"/>
    <col min="7" max="7" width="37.140625" customWidth="1"/>
    <col min="8" max="9" width="0" hidden="1" customWidth="1"/>
  </cols>
  <sheetData>
    <row r="1" spans="1:9" ht="54.75" customHeight="1" x14ac:dyDescent="0.25">
      <c r="A1" s="81" t="s">
        <v>317</v>
      </c>
      <c r="B1" s="81"/>
      <c r="C1" s="81"/>
      <c r="D1" s="81"/>
      <c r="E1" s="81"/>
      <c r="F1" s="81"/>
      <c r="G1" s="81"/>
    </row>
    <row r="2" spans="1:9" x14ac:dyDescent="0.25">
      <c r="A2" s="82" t="s">
        <v>1</v>
      </c>
      <c r="B2" s="83"/>
      <c r="C2" s="91" t="str">
        <f>'Stavební rozpočet'!D2</f>
        <v>Areál společnosti FORESTINA s.r.o. – Horažďovice, Blatenská 587</v>
      </c>
      <c r="D2" s="83" t="s">
        <v>3</v>
      </c>
      <c r="E2" s="83" t="s">
        <v>4</v>
      </c>
      <c r="F2" s="89" t="s">
        <v>5</v>
      </c>
      <c r="G2" s="113" t="str">
        <f>'Stavební rozpočet'!K2</f>
        <v> </v>
      </c>
    </row>
    <row r="3" spans="1:9" ht="15" customHeight="1" x14ac:dyDescent="0.25">
      <c r="A3" s="84"/>
      <c r="B3" s="85"/>
      <c r="C3" s="93"/>
      <c r="D3" s="85"/>
      <c r="E3" s="85"/>
      <c r="F3" s="85"/>
      <c r="G3" s="95"/>
    </row>
    <row r="4" spans="1:9" x14ac:dyDescent="0.25">
      <c r="A4" s="86" t="s">
        <v>7</v>
      </c>
      <c r="B4" s="85"/>
      <c r="C4" s="90" t="str">
        <f>'Stavební rozpočet'!D4</f>
        <v>Zdravotně technické instalace</v>
      </c>
      <c r="D4" s="85" t="s">
        <v>9</v>
      </c>
      <c r="E4" s="85" t="s">
        <v>4</v>
      </c>
      <c r="F4" s="90" t="s">
        <v>10</v>
      </c>
      <c r="G4" s="114" t="str">
        <f>'Stavební rozpočet'!K4</f>
        <v>Ing. Michal Albrecht</v>
      </c>
    </row>
    <row r="5" spans="1:9" ht="15" customHeight="1" x14ac:dyDescent="0.25">
      <c r="A5" s="84"/>
      <c r="B5" s="85"/>
      <c r="C5" s="85"/>
      <c r="D5" s="85"/>
      <c r="E5" s="85"/>
      <c r="F5" s="85"/>
      <c r="G5" s="95"/>
    </row>
    <row r="6" spans="1:9" x14ac:dyDescent="0.25">
      <c r="A6" s="86" t="s">
        <v>12</v>
      </c>
      <c r="B6" s="85"/>
      <c r="C6" s="90" t="str">
        <f>'Stavební rozpočet'!D6</f>
        <v>!!!! Pracovní verze !!!!</v>
      </c>
      <c r="D6" s="85" t="s">
        <v>14</v>
      </c>
      <c r="E6" s="85" t="s">
        <v>4</v>
      </c>
      <c r="F6" s="90" t="s">
        <v>15</v>
      </c>
      <c r="G6" s="114" t="str">
        <f>'Stavební rozpočet'!K6</f>
        <v> </v>
      </c>
    </row>
    <row r="7" spans="1:9" ht="15" customHeight="1" x14ac:dyDescent="0.25">
      <c r="A7" s="84"/>
      <c r="B7" s="85"/>
      <c r="C7" s="85"/>
      <c r="D7" s="85"/>
      <c r="E7" s="85"/>
      <c r="F7" s="85"/>
      <c r="G7" s="95"/>
    </row>
    <row r="8" spans="1:9" x14ac:dyDescent="0.25">
      <c r="A8" s="86" t="s">
        <v>19</v>
      </c>
      <c r="B8" s="85"/>
      <c r="C8" s="90" t="str">
        <f>'Stavební rozpočet'!K8</f>
        <v>Ing. Michal Albrecht</v>
      </c>
      <c r="D8" s="85" t="s">
        <v>17</v>
      </c>
      <c r="E8" s="85" t="s">
        <v>18</v>
      </c>
      <c r="F8" s="85" t="s">
        <v>17</v>
      </c>
      <c r="G8" s="114" t="str">
        <f>'Stavební rozpočet'!H8</f>
        <v>11.06.2025</v>
      </c>
    </row>
    <row r="9" spans="1:9" x14ac:dyDescent="0.25">
      <c r="A9" s="87"/>
      <c r="B9" s="88"/>
      <c r="C9" s="88"/>
      <c r="D9" s="88"/>
      <c r="E9" s="88"/>
      <c r="F9" s="88"/>
      <c r="G9" s="96"/>
    </row>
    <row r="10" spans="1:9" x14ac:dyDescent="0.25">
      <c r="A10" s="47" t="s">
        <v>21</v>
      </c>
      <c r="B10" s="48" t="s">
        <v>22</v>
      </c>
      <c r="C10" s="49" t="s">
        <v>318</v>
      </c>
      <c r="D10" s="50" t="s">
        <v>319</v>
      </c>
      <c r="E10" s="50" t="s">
        <v>320</v>
      </c>
      <c r="F10" s="50" t="s">
        <v>321</v>
      </c>
      <c r="G10" s="51" t="s">
        <v>322</v>
      </c>
    </row>
    <row r="11" spans="1:9" x14ac:dyDescent="0.25">
      <c r="A11" s="52" t="s">
        <v>54</v>
      </c>
      <c r="B11" s="53" t="s">
        <v>55</v>
      </c>
      <c r="C11" s="53" t="s">
        <v>56</v>
      </c>
      <c r="D11" s="54">
        <f>ROUND('Stavební rozpočet'!J12,2)</f>
        <v>0</v>
      </c>
      <c r="E11" s="54">
        <f>ROUND('Stavební rozpočet'!K12,2)</f>
        <v>0</v>
      </c>
      <c r="F11" s="54">
        <f>ROUND('Stavební rozpočet'!L12,2)</f>
        <v>0</v>
      </c>
      <c r="G11" s="55">
        <f>'Stavební rozpočet'!O12</f>
        <v>412.66212000000002</v>
      </c>
      <c r="H11" s="56" t="s">
        <v>323</v>
      </c>
      <c r="I11" s="31">
        <f>IF(H11="F",0,F11)</f>
        <v>0</v>
      </c>
    </row>
    <row r="12" spans="1:9" x14ac:dyDescent="0.25">
      <c r="A12" s="2" t="s">
        <v>54</v>
      </c>
      <c r="B12" s="3" t="s">
        <v>105</v>
      </c>
      <c r="C12" s="3" t="s">
        <v>106</v>
      </c>
      <c r="D12" s="31">
        <f>ROUND('Stavební rozpočet'!J27,2)</f>
        <v>0</v>
      </c>
      <c r="E12" s="31">
        <f>ROUND('Stavební rozpočet'!K27,2)</f>
        <v>0</v>
      </c>
      <c r="F12" s="31">
        <f>ROUND('Stavební rozpočet'!L27,2)</f>
        <v>0</v>
      </c>
      <c r="G12" s="57">
        <f>'Stavební rozpočet'!O27</f>
        <v>81.816000000000003</v>
      </c>
      <c r="H12" s="56" t="s">
        <v>323</v>
      </c>
      <c r="I12" s="31">
        <f>IF(H12="F",0,F12)</f>
        <v>0</v>
      </c>
    </row>
    <row r="13" spans="1:9" x14ac:dyDescent="0.25">
      <c r="A13" s="2" t="s">
        <v>54</v>
      </c>
      <c r="B13" s="3" t="s">
        <v>133</v>
      </c>
      <c r="C13" s="3" t="s">
        <v>134</v>
      </c>
      <c r="D13" s="31">
        <f>ROUND('Stavební rozpočet'!J35,2)</f>
        <v>0</v>
      </c>
      <c r="E13" s="31">
        <f>ROUND('Stavební rozpočet'!K35,2)</f>
        <v>0</v>
      </c>
      <c r="F13" s="31">
        <f>ROUND('Stavební rozpočet'!L35,2)</f>
        <v>0</v>
      </c>
      <c r="G13" s="57">
        <f>'Stavební rozpočet'!O35</f>
        <v>12.415640000000002</v>
      </c>
      <c r="H13" s="56" t="s">
        <v>323</v>
      </c>
      <c r="I13" s="31">
        <f>IF(H13="F",0,F13)</f>
        <v>0</v>
      </c>
    </row>
    <row r="14" spans="1:9" x14ac:dyDescent="0.25">
      <c r="A14" s="39" t="s">
        <v>54</v>
      </c>
      <c r="B14" s="40" t="s">
        <v>234</v>
      </c>
      <c r="C14" s="40" t="s">
        <v>235</v>
      </c>
      <c r="D14" s="41">
        <f>ROUND('Stavební rozpočet'!J69,2)</f>
        <v>0</v>
      </c>
      <c r="E14" s="41">
        <f>ROUND('Stavební rozpočet'!K69,2)</f>
        <v>0</v>
      </c>
      <c r="F14" s="41">
        <f>ROUND('Stavební rozpočet'!L69,2)</f>
        <v>0</v>
      </c>
      <c r="G14" s="58">
        <f>'Stavební rozpočet'!O69</f>
        <v>97.728460000000013</v>
      </c>
      <c r="H14" s="56" t="s">
        <v>323</v>
      </c>
      <c r="I14" s="31">
        <f>IF(H14="F",0,F14)</f>
        <v>0</v>
      </c>
    </row>
    <row r="15" spans="1:9" x14ac:dyDescent="0.25">
      <c r="E15" s="44" t="s">
        <v>315</v>
      </c>
      <c r="F15" s="45">
        <f>ROUND(SUM(I11:I14),2)</f>
        <v>0</v>
      </c>
    </row>
  </sheetData>
  <mergeCells count="25">
    <mergeCell ref="G2:G3"/>
    <mergeCell ref="G4:G5"/>
    <mergeCell ref="G6:G7"/>
    <mergeCell ref="G8:G9"/>
    <mergeCell ref="C8:C9"/>
    <mergeCell ref="E2:E3"/>
    <mergeCell ref="E4:E5"/>
    <mergeCell ref="E6:E7"/>
    <mergeCell ref="E8:E9"/>
    <mergeCell ref="A1:G1"/>
    <mergeCell ref="A2:B3"/>
    <mergeCell ref="A4:B5"/>
    <mergeCell ref="A6:B7"/>
    <mergeCell ref="A8:B9"/>
    <mergeCell ref="D2:D3"/>
    <mergeCell ref="D4:D5"/>
    <mergeCell ref="D6:D7"/>
    <mergeCell ref="D8:D9"/>
    <mergeCell ref="F2:F3"/>
    <mergeCell ref="F4:F5"/>
    <mergeCell ref="F6:F7"/>
    <mergeCell ref="F8:F9"/>
    <mergeCell ref="C2:C3"/>
    <mergeCell ref="C4:C5"/>
    <mergeCell ref="C6:C7"/>
  </mergeCells>
  <pageMargins left="0.393999993801117" right="0.393999993801117" top="0.59100002050399802" bottom="0.59100002050399802" header="0" footer="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7"/>
  <sheetViews>
    <sheetView workbookViewId="0">
      <selection activeCell="A37" sqref="A37:I37"/>
    </sheetView>
  </sheetViews>
  <sheetFormatPr defaultColWidth="12.140625" defaultRowHeight="15" customHeight="1" x14ac:dyDescent="0.25"/>
  <cols>
    <col min="1" max="1" width="9.140625" customWidth="1"/>
    <col min="2" max="2" width="12.85546875" customWidth="1"/>
    <col min="3" max="3" width="27.140625" customWidth="1"/>
    <col min="4" max="4" width="10" customWidth="1"/>
    <col min="5" max="5" width="14" customWidth="1"/>
    <col min="6" max="6" width="27.140625" customWidth="1"/>
    <col min="7" max="7" width="9.140625" customWidth="1"/>
    <col min="8" max="8" width="12.85546875" customWidth="1"/>
    <col min="9" max="9" width="27.140625" customWidth="1"/>
  </cols>
  <sheetData>
    <row r="1" spans="1:9" ht="54.75" customHeight="1" x14ac:dyDescent="0.25">
      <c r="A1" s="115" t="s">
        <v>324</v>
      </c>
      <c r="B1" s="81"/>
      <c r="C1" s="81"/>
      <c r="D1" s="81"/>
      <c r="E1" s="81"/>
      <c r="F1" s="81"/>
      <c r="G1" s="81"/>
      <c r="H1" s="81"/>
      <c r="I1" s="81"/>
    </row>
    <row r="2" spans="1:9" x14ac:dyDescent="0.25">
      <c r="A2" s="82" t="s">
        <v>1</v>
      </c>
      <c r="B2" s="83"/>
      <c r="C2" s="91" t="str">
        <f>'Stavební rozpočet'!D2</f>
        <v>Areál společnosti FORESTINA s.r.o. – Horažďovice, Blatenská 587</v>
      </c>
      <c r="D2" s="92"/>
      <c r="E2" s="89" t="s">
        <v>5</v>
      </c>
      <c r="F2" s="89" t="str">
        <f>'Stavební rozpočet'!K2</f>
        <v> </v>
      </c>
      <c r="G2" s="83"/>
      <c r="H2" s="89" t="s">
        <v>325</v>
      </c>
      <c r="I2" s="94" t="s">
        <v>54</v>
      </c>
    </row>
    <row r="3" spans="1:9" ht="39" customHeight="1" x14ac:dyDescent="0.25">
      <c r="A3" s="84"/>
      <c r="B3" s="85"/>
      <c r="C3" s="93"/>
      <c r="D3" s="93"/>
      <c r="E3" s="85"/>
      <c r="F3" s="85"/>
      <c r="G3" s="85"/>
      <c r="H3" s="85"/>
      <c r="I3" s="95"/>
    </row>
    <row r="4" spans="1:9" x14ac:dyDescent="0.25">
      <c r="A4" s="86" t="s">
        <v>7</v>
      </c>
      <c r="B4" s="85"/>
      <c r="C4" s="90" t="str">
        <f>'Stavební rozpočet'!D4</f>
        <v>Zdravotně technické instalace</v>
      </c>
      <c r="D4" s="85"/>
      <c r="E4" s="90" t="s">
        <v>10</v>
      </c>
      <c r="F4" s="90" t="str">
        <f>'Stavební rozpočet'!K4</f>
        <v>Ing. Michal Albrecht</v>
      </c>
      <c r="G4" s="85"/>
      <c r="H4" s="90" t="s">
        <v>325</v>
      </c>
      <c r="I4" s="95" t="s">
        <v>54</v>
      </c>
    </row>
    <row r="5" spans="1:9" ht="15" customHeight="1" x14ac:dyDescent="0.25">
      <c r="A5" s="84"/>
      <c r="B5" s="85"/>
      <c r="C5" s="85"/>
      <c r="D5" s="85"/>
      <c r="E5" s="85"/>
      <c r="F5" s="85"/>
      <c r="G5" s="85"/>
      <c r="H5" s="85"/>
      <c r="I5" s="95"/>
    </row>
    <row r="6" spans="1:9" x14ac:dyDescent="0.25">
      <c r="A6" s="86" t="s">
        <v>12</v>
      </c>
      <c r="B6" s="85"/>
      <c r="C6" s="90" t="str">
        <f>'Stavební rozpočet'!D6</f>
        <v>!!!! Pracovní verze !!!!</v>
      </c>
      <c r="D6" s="85"/>
      <c r="E6" s="90" t="s">
        <v>15</v>
      </c>
      <c r="F6" s="90" t="str">
        <f>'Stavební rozpočet'!K6</f>
        <v> </v>
      </c>
      <c r="G6" s="85"/>
      <c r="H6" s="90" t="s">
        <v>325</v>
      </c>
      <c r="I6" s="95" t="s">
        <v>54</v>
      </c>
    </row>
    <row r="7" spans="1:9" ht="15" customHeight="1" x14ac:dyDescent="0.25">
      <c r="A7" s="84"/>
      <c r="B7" s="85"/>
      <c r="C7" s="85"/>
      <c r="D7" s="85"/>
      <c r="E7" s="85"/>
      <c r="F7" s="85"/>
      <c r="G7" s="85"/>
      <c r="H7" s="85"/>
      <c r="I7" s="95"/>
    </row>
    <row r="8" spans="1:9" x14ac:dyDescent="0.25">
      <c r="A8" s="86" t="s">
        <v>9</v>
      </c>
      <c r="B8" s="85"/>
      <c r="C8" s="90" t="str">
        <f>'Stavební rozpočet'!H4</f>
        <v xml:space="preserve"> </v>
      </c>
      <c r="D8" s="85"/>
      <c r="E8" s="90" t="s">
        <v>14</v>
      </c>
      <c r="F8" s="90" t="str">
        <f>'Stavební rozpočet'!H6</f>
        <v xml:space="preserve"> </v>
      </c>
      <c r="G8" s="85"/>
      <c r="H8" s="85" t="s">
        <v>326</v>
      </c>
      <c r="I8" s="117">
        <v>79</v>
      </c>
    </row>
    <row r="9" spans="1:9" x14ac:dyDescent="0.25">
      <c r="A9" s="84"/>
      <c r="B9" s="85"/>
      <c r="C9" s="85"/>
      <c r="D9" s="85"/>
      <c r="E9" s="85"/>
      <c r="F9" s="85"/>
      <c r="G9" s="85"/>
      <c r="H9" s="85"/>
      <c r="I9" s="95"/>
    </row>
    <row r="10" spans="1:9" x14ac:dyDescent="0.25">
      <c r="A10" s="86" t="s">
        <v>16</v>
      </c>
      <c r="B10" s="85"/>
      <c r="C10" s="90" t="str">
        <f>'Stavební rozpočet'!D8</f>
        <v xml:space="preserve"> </v>
      </c>
      <c r="D10" s="85"/>
      <c r="E10" s="90" t="s">
        <v>19</v>
      </c>
      <c r="F10" s="90" t="str">
        <f>'Stavební rozpočet'!K8</f>
        <v>Ing. Michal Albrecht</v>
      </c>
      <c r="G10" s="85"/>
      <c r="H10" s="85" t="s">
        <v>327</v>
      </c>
      <c r="I10" s="114" t="str">
        <f>'Stavební rozpočet'!H8</f>
        <v>11.06.2025</v>
      </c>
    </row>
    <row r="11" spans="1:9" x14ac:dyDescent="0.25">
      <c r="A11" s="116"/>
      <c r="B11" s="111"/>
      <c r="C11" s="111"/>
      <c r="D11" s="111"/>
      <c r="E11" s="111"/>
      <c r="F11" s="111"/>
      <c r="G11" s="111"/>
      <c r="H11" s="111"/>
      <c r="I11" s="118"/>
    </row>
    <row r="12" spans="1:9" ht="23.25" x14ac:dyDescent="0.25">
      <c r="A12" s="119" t="s">
        <v>328</v>
      </c>
      <c r="B12" s="119"/>
      <c r="C12" s="119"/>
      <c r="D12" s="119"/>
      <c r="E12" s="119"/>
      <c r="F12" s="119"/>
      <c r="G12" s="119"/>
      <c r="H12" s="119"/>
      <c r="I12" s="119"/>
    </row>
    <row r="13" spans="1:9" ht="26.25" customHeight="1" x14ac:dyDescent="0.25">
      <c r="A13" s="59" t="s">
        <v>329</v>
      </c>
      <c r="B13" s="120" t="s">
        <v>330</v>
      </c>
      <c r="C13" s="121"/>
      <c r="D13" s="60" t="s">
        <v>331</v>
      </c>
      <c r="E13" s="120" t="s">
        <v>332</v>
      </c>
      <c r="F13" s="121"/>
      <c r="G13" s="60" t="s">
        <v>333</v>
      </c>
      <c r="H13" s="120" t="s">
        <v>334</v>
      </c>
      <c r="I13" s="121"/>
    </row>
    <row r="14" spans="1:9" ht="15.75" x14ac:dyDescent="0.25">
      <c r="A14" s="61" t="s">
        <v>335</v>
      </c>
      <c r="B14" s="62" t="s">
        <v>336</v>
      </c>
      <c r="C14" s="63">
        <f>SUM('Stavební rozpočet'!AB12:AB188)</f>
        <v>0</v>
      </c>
      <c r="D14" s="128" t="s">
        <v>337</v>
      </c>
      <c r="E14" s="129"/>
      <c r="F14" s="63">
        <f>VORN!I15</f>
        <v>0</v>
      </c>
      <c r="G14" s="128" t="s">
        <v>338</v>
      </c>
      <c r="H14" s="129"/>
      <c r="I14" s="63">
        <f>VORN!I22</f>
        <v>30000</v>
      </c>
    </row>
    <row r="15" spans="1:9" ht="15.75" x14ac:dyDescent="0.25">
      <c r="A15" s="64" t="s">
        <v>54</v>
      </c>
      <c r="B15" s="62" t="s">
        <v>37</v>
      </c>
      <c r="C15" s="63">
        <f>SUM('Stavební rozpočet'!AC12:AC188)</f>
        <v>0</v>
      </c>
      <c r="D15" s="128" t="s">
        <v>339</v>
      </c>
      <c r="E15" s="129"/>
      <c r="F15" s="63">
        <f>VORN!I16</f>
        <v>0</v>
      </c>
      <c r="G15" s="128" t="s">
        <v>340</v>
      </c>
      <c r="H15" s="129"/>
      <c r="I15" s="63">
        <f>VORN!I23</f>
        <v>0</v>
      </c>
    </row>
    <row r="16" spans="1:9" ht="15.75" x14ac:dyDescent="0.25">
      <c r="A16" s="61" t="s">
        <v>341</v>
      </c>
      <c r="B16" s="62" t="s">
        <v>336</v>
      </c>
      <c r="C16" s="63">
        <f>SUM('Stavební rozpočet'!AD12:AD188)</f>
        <v>0</v>
      </c>
      <c r="D16" s="128" t="s">
        <v>342</v>
      </c>
      <c r="E16" s="129"/>
      <c r="F16" s="63">
        <f>VORN!I17</f>
        <v>0</v>
      </c>
      <c r="G16" s="128" t="s">
        <v>343</v>
      </c>
      <c r="H16" s="129"/>
      <c r="I16" s="63">
        <f>VORN!I24</f>
        <v>0</v>
      </c>
    </row>
    <row r="17" spans="1:9" ht="15.75" x14ac:dyDescent="0.25">
      <c r="A17" s="64" t="s">
        <v>54</v>
      </c>
      <c r="B17" s="62" t="s">
        <v>37</v>
      </c>
      <c r="C17" s="63">
        <f>SUM('Stavební rozpočet'!AE12:AE188)</f>
        <v>0</v>
      </c>
      <c r="D17" s="128" t="s">
        <v>344</v>
      </c>
      <c r="E17" s="129"/>
      <c r="F17" s="63">
        <f>VORN!I18</f>
        <v>25000</v>
      </c>
      <c r="G17" s="128" t="s">
        <v>345</v>
      </c>
      <c r="H17" s="129"/>
      <c r="I17" s="63">
        <f>VORN!I25</f>
        <v>0</v>
      </c>
    </row>
    <row r="18" spans="1:9" ht="15.75" x14ac:dyDescent="0.25">
      <c r="A18" s="61" t="s">
        <v>346</v>
      </c>
      <c r="B18" s="62" t="s">
        <v>336</v>
      </c>
      <c r="C18" s="63">
        <f>SUM('Stavební rozpočet'!AF12:AF188)</f>
        <v>0</v>
      </c>
      <c r="D18" s="128" t="s">
        <v>54</v>
      </c>
      <c r="E18" s="129"/>
      <c r="F18" s="65" t="s">
        <v>54</v>
      </c>
      <c r="G18" s="128" t="s">
        <v>347</v>
      </c>
      <c r="H18" s="129"/>
      <c r="I18" s="63">
        <f>VORN!I26</f>
        <v>0</v>
      </c>
    </row>
    <row r="19" spans="1:9" ht="15.75" x14ac:dyDescent="0.25">
      <c r="A19" s="64" t="s">
        <v>54</v>
      </c>
      <c r="B19" s="62" t="s">
        <v>37</v>
      </c>
      <c r="C19" s="63">
        <f>SUM('Stavební rozpočet'!AG12:AG188)</f>
        <v>0</v>
      </c>
      <c r="D19" s="128" t="s">
        <v>54</v>
      </c>
      <c r="E19" s="129"/>
      <c r="F19" s="65" t="s">
        <v>54</v>
      </c>
      <c r="G19" s="128" t="s">
        <v>348</v>
      </c>
      <c r="H19" s="129"/>
      <c r="I19" s="63">
        <f>VORN!I27</f>
        <v>0</v>
      </c>
    </row>
    <row r="20" spans="1:9" ht="15.75" x14ac:dyDescent="0.25">
      <c r="A20" s="122" t="s">
        <v>349</v>
      </c>
      <c r="B20" s="123"/>
      <c r="C20" s="63">
        <f>SUM('Stavební rozpočet'!AH12:AH188)</f>
        <v>0</v>
      </c>
      <c r="D20" s="128" t="s">
        <v>54</v>
      </c>
      <c r="E20" s="129"/>
      <c r="F20" s="65" t="s">
        <v>54</v>
      </c>
      <c r="G20" s="128" t="s">
        <v>54</v>
      </c>
      <c r="H20" s="129"/>
      <c r="I20" s="65" t="s">
        <v>54</v>
      </c>
    </row>
    <row r="21" spans="1:9" ht="15.75" x14ac:dyDescent="0.25">
      <c r="A21" s="124" t="s">
        <v>350</v>
      </c>
      <c r="B21" s="125"/>
      <c r="C21" s="66">
        <f>SUM('Stavební rozpočet'!Z12:Z188)</f>
        <v>0</v>
      </c>
      <c r="D21" s="130" t="s">
        <v>54</v>
      </c>
      <c r="E21" s="131"/>
      <c r="F21" s="67" t="s">
        <v>54</v>
      </c>
      <c r="G21" s="130" t="s">
        <v>54</v>
      </c>
      <c r="H21" s="131"/>
      <c r="I21" s="67" t="s">
        <v>54</v>
      </c>
    </row>
    <row r="22" spans="1:9" ht="16.5" customHeight="1" x14ac:dyDescent="0.25">
      <c r="A22" s="126" t="s">
        <v>351</v>
      </c>
      <c r="B22" s="127"/>
      <c r="C22" s="68">
        <f>ROUND(SUM(C14:C21),2)</f>
        <v>0</v>
      </c>
      <c r="D22" s="132" t="s">
        <v>352</v>
      </c>
      <c r="E22" s="127"/>
      <c r="F22" s="68">
        <f>SUM(F14:F21)</f>
        <v>25000</v>
      </c>
      <c r="G22" s="132" t="s">
        <v>353</v>
      </c>
      <c r="H22" s="127"/>
      <c r="I22" s="68">
        <f>SUM(I14:I21)</f>
        <v>30000</v>
      </c>
    </row>
    <row r="23" spans="1:9" ht="15.75" x14ac:dyDescent="0.25">
      <c r="D23" s="122" t="s">
        <v>354</v>
      </c>
      <c r="E23" s="123"/>
      <c r="F23" s="69">
        <v>0</v>
      </c>
      <c r="G23" s="133" t="s">
        <v>355</v>
      </c>
      <c r="H23" s="123"/>
      <c r="I23" s="63">
        <v>0</v>
      </c>
    </row>
    <row r="24" spans="1:9" ht="15.75" x14ac:dyDescent="0.25">
      <c r="G24" s="122" t="s">
        <v>356</v>
      </c>
      <c r="H24" s="123"/>
      <c r="I24" s="63">
        <f>vorn_sum</f>
        <v>0</v>
      </c>
    </row>
    <row r="25" spans="1:9" ht="15.75" x14ac:dyDescent="0.25">
      <c r="G25" s="122" t="s">
        <v>357</v>
      </c>
      <c r="H25" s="123"/>
      <c r="I25" s="63">
        <v>0</v>
      </c>
    </row>
    <row r="27" spans="1:9" ht="15.75" x14ac:dyDescent="0.25">
      <c r="A27" s="134" t="s">
        <v>358</v>
      </c>
      <c r="B27" s="135"/>
      <c r="C27" s="70">
        <f>ROUND(SUM('Stavební rozpočet'!AJ12:AJ188),2)</f>
        <v>0</v>
      </c>
    </row>
    <row r="28" spans="1:9" ht="15.75" x14ac:dyDescent="0.25">
      <c r="A28" s="136" t="s">
        <v>359</v>
      </c>
      <c r="B28" s="137"/>
      <c r="C28" s="71">
        <f>ROUND(SUM('Stavební rozpočet'!AK12:AK188)+(F22+I22+F23+I23+I24+I25),2)</f>
        <v>55000</v>
      </c>
      <c r="D28" s="138" t="s">
        <v>360</v>
      </c>
      <c r="E28" s="135"/>
      <c r="F28" s="70">
        <f>ROUND(C28*(12/100),2)</f>
        <v>6600</v>
      </c>
      <c r="G28" s="138" t="s">
        <v>361</v>
      </c>
      <c r="H28" s="135"/>
      <c r="I28" s="70">
        <f>ROUND(SUM(C27:C29),2)</f>
        <v>55000</v>
      </c>
    </row>
    <row r="29" spans="1:9" ht="15.75" x14ac:dyDescent="0.25">
      <c r="A29" s="136" t="s">
        <v>362</v>
      </c>
      <c r="B29" s="137"/>
      <c r="C29" s="71">
        <f>ROUND(SUM('Stavební rozpočet'!AL12:AL188),2)</f>
        <v>0</v>
      </c>
      <c r="D29" s="139" t="s">
        <v>363</v>
      </c>
      <c r="E29" s="137"/>
      <c r="F29" s="71">
        <f>ROUND(C29*(21/100),2)</f>
        <v>0</v>
      </c>
      <c r="G29" s="139" t="s">
        <v>364</v>
      </c>
      <c r="H29" s="137"/>
      <c r="I29" s="71">
        <f>ROUND(SUM(F28:F29)+I28,2)</f>
        <v>61600</v>
      </c>
    </row>
    <row r="31" spans="1:9" x14ac:dyDescent="0.25">
      <c r="A31" s="140" t="s">
        <v>365</v>
      </c>
      <c r="B31" s="141"/>
      <c r="C31" s="142"/>
      <c r="D31" s="149" t="s">
        <v>366</v>
      </c>
      <c r="E31" s="141"/>
      <c r="F31" s="142"/>
      <c r="G31" s="149" t="s">
        <v>367</v>
      </c>
      <c r="H31" s="141"/>
      <c r="I31" s="142"/>
    </row>
    <row r="32" spans="1:9" x14ac:dyDescent="0.25">
      <c r="A32" s="143" t="s">
        <v>54</v>
      </c>
      <c r="B32" s="144"/>
      <c r="C32" s="145"/>
      <c r="D32" s="150" t="s">
        <v>54</v>
      </c>
      <c r="E32" s="144"/>
      <c r="F32" s="145"/>
      <c r="G32" s="150" t="s">
        <v>54</v>
      </c>
      <c r="H32" s="144"/>
      <c r="I32" s="145"/>
    </row>
    <row r="33" spans="1:9" x14ac:dyDescent="0.25">
      <c r="A33" s="143" t="s">
        <v>54</v>
      </c>
      <c r="B33" s="144"/>
      <c r="C33" s="145"/>
      <c r="D33" s="150" t="s">
        <v>54</v>
      </c>
      <c r="E33" s="144"/>
      <c r="F33" s="145"/>
      <c r="G33" s="150" t="s">
        <v>54</v>
      </c>
      <c r="H33" s="144"/>
      <c r="I33" s="145"/>
    </row>
    <row r="34" spans="1:9" x14ac:dyDescent="0.25">
      <c r="A34" s="143" t="s">
        <v>54</v>
      </c>
      <c r="B34" s="144"/>
      <c r="C34" s="145"/>
      <c r="D34" s="150" t="s">
        <v>54</v>
      </c>
      <c r="E34" s="144"/>
      <c r="F34" s="145"/>
      <c r="G34" s="150" t="s">
        <v>54</v>
      </c>
      <c r="H34" s="144"/>
      <c r="I34" s="145"/>
    </row>
    <row r="35" spans="1:9" x14ac:dyDescent="0.25">
      <c r="A35" s="146" t="s">
        <v>368</v>
      </c>
      <c r="B35" s="147"/>
      <c r="C35" s="148"/>
      <c r="D35" s="151" t="s">
        <v>368</v>
      </c>
      <c r="E35" s="147"/>
      <c r="F35" s="148"/>
      <c r="G35" s="151" t="s">
        <v>368</v>
      </c>
      <c r="H35" s="147"/>
      <c r="I35" s="148"/>
    </row>
    <row r="36" spans="1:9" x14ac:dyDescent="0.25">
      <c r="A36" s="72" t="s">
        <v>316</v>
      </c>
    </row>
    <row r="37" spans="1:9" ht="12.75" customHeight="1" x14ac:dyDescent="0.25">
      <c r="A37" s="90" t="s">
        <v>54</v>
      </c>
      <c r="B37" s="85"/>
      <c r="C37" s="85"/>
      <c r="D37" s="85"/>
      <c r="E37" s="85"/>
      <c r="F37" s="85"/>
      <c r="G37" s="85"/>
      <c r="H37" s="85"/>
      <c r="I37" s="85"/>
    </row>
  </sheetData>
  <mergeCells count="83">
    <mergeCell ref="A37:I37"/>
    <mergeCell ref="G31:I31"/>
    <mergeCell ref="G32:I32"/>
    <mergeCell ref="G33:I33"/>
    <mergeCell ref="G34:I34"/>
    <mergeCell ref="G35:I35"/>
    <mergeCell ref="D31:F31"/>
    <mergeCell ref="D32:F32"/>
    <mergeCell ref="D33:F33"/>
    <mergeCell ref="D34:F34"/>
    <mergeCell ref="D35:F35"/>
    <mergeCell ref="A31:C31"/>
    <mergeCell ref="A32:C32"/>
    <mergeCell ref="A33:C33"/>
    <mergeCell ref="A34:C34"/>
    <mergeCell ref="A35:C35"/>
    <mergeCell ref="G24:H24"/>
    <mergeCell ref="G25:H25"/>
    <mergeCell ref="A27:B27"/>
    <mergeCell ref="A28:B28"/>
    <mergeCell ref="A29:B29"/>
    <mergeCell ref="D28:E28"/>
    <mergeCell ref="D29:E29"/>
    <mergeCell ref="G28:H28"/>
    <mergeCell ref="G29:H29"/>
    <mergeCell ref="D23:E2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A20:B20"/>
    <mergeCell ref="A21:B21"/>
    <mergeCell ref="A22:B22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I10:I11"/>
    <mergeCell ref="A12:I12"/>
    <mergeCell ref="B13:C13"/>
    <mergeCell ref="E13:F13"/>
    <mergeCell ref="H13:I13"/>
    <mergeCell ref="F10:G11"/>
    <mergeCell ref="H2:H3"/>
    <mergeCell ref="H4:H5"/>
    <mergeCell ref="H6:H7"/>
    <mergeCell ref="H8:H9"/>
    <mergeCell ref="H10:H11"/>
    <mergeCell ref="A10:B11"/>
    <mergeCell ref="E2:E3"/>
    <mergeCell ref="E4:E5"/>
    <mergeCell ref="E6:E7"/>
    <mergeCell ref="E8:E9"/>
    <mergeCell ref="E10:E11"/>
    <mergeCell ref="C2:D3"/>
    <mergeCell ref="C4:D5"/>
    <mergeCell ref="C6:D7"/>
    <mergeCell ref="C8:D9"/>
    <mergeCell ref="C10:D11"/>
    <mergeCell ref="A1:I1"/>
    <mergeCell ref="A2:B3"/>
    <mergeCell ref="A4:B5"/>
    <mergeCell ref="A6:B7"/>
    <mergeCell ref="A8:B9"/>
    <mergeCell ref="F2:G3"/>
    <mergeCell ref="F4:G5"/>
    <mergeCell ref="F6:G7"/>
    <mergeCell ref="F8:G9"/>
    <mergeCell ref="I2:I3"/>
    <mergeCell ref="I4:I5"/>
    <mergeCell ref="I6:I7"/>
    <mergeCell ref="I8:I9"/>
  </mergeCells>
  <pageMargins left="0.393999993801117" right="0.393999993801117" top="0.59100002050399802" bottom="0.59100002050399802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37"/>
  <sheetViews>
    <sheetView workbookViewId="0">
      <selection activeCell="A37" sqref="A37:E37"/>
    </sheetView>
  </sheetViews>
  <sheetFormatPr defaultColWidth="12.140625" defaultRowHeight="15" customHeight="1" x14ac:dyDescent="0.25"/>
  <cols>
    <col min="1" max="1" width="9.140625" customWidth="1"/>
    <col min="2" max="2" width="12.85546875" customWidth="1"/>
    <col min="3" max="3" width="22.85546875" customWidth="1"/>
    <col min="4" max="4" width="10" customWidth="1"/>
    <col min="5" max="5" width="14" customWidth="1"/>
    <col min="6" max="6" width="22.85546875" customWidth="1"/>
    <col min="7" max="7" width="9.140625" customWidth="1"/>
    <col min="8" max="8" width="17.140625" customWidth="1"/>
    <col min="9" max="9" width="22.85546875" customWidth="1"/>
  </cols>
  <sheetData>
    <row r="1" spans="1:9" ht="54.75" customHeight="1" x14ac:dyDescent="0.25">
      <c r="A1" s="115" t="s">
        <v>369</v>
      </c>
      <c r="B1" s="81"/>
      <c r="C1" s="81"/>
      <c r="D1" s="81"/>
      <c r="E1" s="81"/>
      <c r="F1" s="81"/>
      <c r="G1" s="81"/>
      <c r="H1" s="81"/>
      <c r="I1" s="81"/>
    </row>
    <row r="2" spans="1:9" x14ac:dyDescent="0.25">
      <c r="A2" s="82" t="s">
        <v>1</v>
      </c>
      <c r="B2" s="83"/>
      <c r="C2" s="91" t="str">
        <f>'Stavební rozpočet'!D2</f>
        <v>Areál společnosti FORESTINA s.r.o. – Horažďovice, Blatenská 587</v>
      </c>
      <c r="D2" s="92"/>
      <c r="E2" s="89" t="s">
        <v>5</v>
      </c>
      <c r="F2" s="89" t="str">
        <f>'Stavební rozpočet'!K2</f>
        <v> </v>
      </c>
      <c r="G2" s="83"/>
      <c r="H2" s="89" t="s">
        <v>325</v>
      </c>
      <c r="I2" s="94" t="s">
        <v>54</v>
      </c>
    </row>
    <row r="3" spans="1:9" ht="39" customHeight="1" x14ac:dyDescent="0.25">
      <c r="A3" s="84"/>
      <c r="B3" s="85"/>
      <c r="C3" s="93"/>
      <c r="D3" s="93"/>
      <c r="E3" s="85"/>
      <c r="F3" s="85"/>
      <c r="G3" s="85"/>
      <c r="H3" s="85"/>
      <c r="I3" s="95"/>
    </row>
    <row r="4" spans="1:9" x14ac:dyDescent="0.25">
      <c r="A4" s="86" t="s">
        <v>7</v>
      </c>
      <c r="B4" s="85"/>
      <c r="C4" s="90" t="str">
        <f>'Stavební rozpočet'!D4</f>
        <v>Zdravotně technické instalace</v>
      </c>
      <c r="D4" s="85"/>
      <c r="E4" s="90" t="s">
        <v>10</v>
      </c>
      <c r="F4" s="90" t="str">
        <f>'Stavební rozpočet'!K4</f>
        <v>Ing. Michal Albrecht</v>
      </c>
      <c r="G4" s="85"/>
      <c r="H4" s="90" t="s">
        <v>325</v>
      </c>
      <c r="I4" s="95" t="s">
        <v>54</v>
      </c>
    </row>
    <row r="5" spans="1:9" ht="15" customHeight="1" x14ac:dyDescent="0.25">
      <c r="A5" s="84"/>
      <c r="B5" s="85"/>
      <c r="C5" s="85"/>
      <c r="D5" s="85"/>
      <c r="E5" s="85"/>
      <c r="F5" s="85"/>
      <c r="G5" s="85"/>
      <c r="H5" s="85"/>
      <c r="I5" s="95"/>
    </row>
    <row r="6" spans="1:9" x14ac:dyDescent="0.25">
      <c r="A6" s="86" t="s">
        <v>12</v>
      </c>
      <c r="B6" s="85"/>
      <c r="C6" s="90" t="str">
        <f>'Stavební rozpočet'!D6</f>
        <v>!!!! Pracovní verze !!!!</v>
      </c>
      <c r="D6" s="85"/>
      <c r="E6" s="90" t="s">
        <v>15</v>
      </c>
      <c r="F6" s="90" t="str">
        <f>'Stavební rozpočet'!K6</f>
        <v> </v>
      </c>
      <c r="G6" s="85"/>
      <c r="H6" s="90" t="s">
        <v>325</v>
      </c>
      <c r="I6" s="95" t="s">
        <v>54</v>
      </c>
    </row>
    <row r="7" spans="1:9" ht="15" customHeight="1" x14ac:dyDescent="0.25">
      <c r="A7" s="84"/>
      <c r="B7" s="85"/>
      <c r="C7" s="85"/>
      <c r="D7" s="85"/>
      <c r="E7" s="85"/>
      <c r="F7" s="85"/>
      <c r="G7" s="85"/>
      <c r="H7" s="85"/>
      <c r="I7" s="95"/>
    </row>
    <row r="8" spans="1:9" x14ac:dyDescent="0.25">
      <c r="A8" s="86" t="s">
        <v>9</v>
      </c>
      <c r="B8" s="85"/>
      <c r="C8" s="90" t="str">
        <f>'Stavební rozpočet'!H4</f>
        <v xml:space="preserve"> </v>
      </c>
      <c r="D8" s="85"/>
      <c r="E8" s="90" t="s">
        <v>14</v>
      </c>
      <c r="F8" s="90" t="str">
        <f>'Stavební rozpočet'!H6</f>
        <v xml:space="preserve"> </v>
      </c>
      <c r="G8" s="85"/>
      <c r="H8" s="85" t="s">
        <v>326</v>
      </c>
      <c r="I8" s="117">
        <v>79</v>
      </c>
    </row>
    <row r="9" spans="1:9" x14ac:dyDescent="0.25">
      <c r="A9" s="84"/>
      <c r="B9" s="85"/>
      <c r="C9" s="85"/>
      <c r="D9" s="85"/>
      <c r="E9" s="85"/>
      <c r="F9" s="85"/>
      <c r="G9" s="85"/>
      <c r="H9" s="85"/>
      <c r="I9" s="95"/>
    </row>
    <row r="10" spans="1:9" x14ac:dyDescent="0.25">
      <c r="A10" s="86" t="s">
        <v>16</v>
      </c>
      <c r="B10" s="85"/>
      <c r="C10" s="90" t="str">
        <f>'Stavební rozpočet'!D8</f>
        <v xml:space="preserve"> </v>
      </c>
      <c r="D10" s="85"/>
      <c r="E10" s="90" t="s">
        <v>19</v>
      </c>
      <c r="F10" s="90" t="str">
        <f>'Stavební rozpočet'!K8</f>
        <v>Ing. Michal Albrecht</v>
      </c>
      <c r="G10" s="85"/>
      <c r="H10" s="85" t="s">
        <v>327</v>
      </c>
      <c r="I10" s="114" t="str">
        <f>'Stavební rozpočet'!H8</f>
        <v>11.06.2025</v>
      </c>
    </row>
    <row r="11" spans="1:9" x14ac:dyDescent="0.25">
      <c r="A11" s="116"/>
      <c r="B11" s="111"/>
      <c r="C11" s="111"/>
      <c r="D11" s="111"/>
      <c r="E11" s="111"/>
      <c r="F11" s="111"/>
      <c r="G11" s="111"/>
      <c r="H11" s="111"/>
      <c r="I11" s="118"/>
    </row>
    <row r="13" spans="1:9" ht="15.75" x14ac:dyDescent="0.25">
      <c r="A13" s="152" t="s">
        <v>370</v>
      </c>
      <c r="B13" s="152"/>
      <c r="C13" s="152"/>
      <c r="D13" s="152"/>
      <c r="E13" s="152"/>
    </row>
    <row r="14" spans="1:9" x14ac:dyDescent="0.25">
      <c r="A14" s="153" t="s">
        <v>371</v>
      </c>
      <c r="B14" s="154"/>
      <c r="C14" s="154"/>
      <c r="D14" s="154"/>
      <c r="E14" s="155"/>
      <c r="F14" s="73" t="s">
        <v>372</v>
      </c>
      <c r="G14" s="73" t="s">
        <v>373</v>
      </c>
      <c r="H14" s="73" t="s">
        <v>374</v>
      </c>
      <c r="I14" s="73" t="s">
        <v>372</v>
      </c>
    </row>
    <row r="15" spans="1:9" x14ac:dyDescent="0.25">
      <c r="A15" s="156" t="s">
        <v>337</v>
      </c>
      <c r="B15" s="157"/>
      <c r="C15" s="157"/>
      <c r="D15" s="157"/>
      <c r="E15" s="158"/>
      <c r="F15" s="74">
        <v>0</v>
      </c>
      <c r="G15" s="75" t="s">
        <v>54</v>
      </c>
      <c r="H15" s="75" t="s">
        <v>54</v>
      </c>
      <c r="I15" s="74">
        <f>F15</f>
        <v>0</v>
      </c>
    </row>
    <row r="16" spans="1:9" x14ac:dyDescent="0.25">
      <c r="A16" s="156" t="s">
        <v>339</v>
      </c>
      <c r="B16" s="157"/>
      <c r="C16" s="157"/>
      <c r="D16" s="157"/>
      <c r="E16" s="158"/>
      <c r="F16" s="74">
        <v>0</v>
      </c>
      <c r="G16" s="75" t="s">
        <v>54</v>
      </c>
      <c r="H16" s="75" t="s">
        <v>54</v>
      </c>
      <c r="I16" s="74">
        <f>F16</f>
        <v>0</v>
      </c>
    </row>
    <row r="17" spans="1:9" x14ac:dyDescent="0.25">
      <c r="A17" s="156" t="s">
        <v>342</v>
      </c>
      <c r="B17" s="157"/>
      <c r="C17" s="157"/>
      <c r="D17" s="157"/>
      <c r="E17" s="158"/>
      <c r="F17" s="74">
        <v>0</v>
      </c>
      <c r="G17" s="75" t="s">
        <v>54</v>
      </c>
      <c r="H17" s="75" t="s">
        <v>54</v>
      </c>
      <c r="I17" s="74">
        <f>F17</f>
        <v>0</v>
      </c>
    </row>
    <row r="18" spans="1:9" x14ac:dyDescent="0.25">
      <c r="A18" s="159" t="s">
        <v>344</v>
      </c>
      <c r="B18" s="160"/>
      <c r="C18" s="160"/>
      <c r="D18" s="160"/>
      <c r="E18" s="161"/>
      <c r="F18" s="76">
        <v>25000</v>
      </c>
      <c r="G18" s="77" t="s">
        <v>54</v>
      </c>
      <c r="H18" s="77" t="s">
        <v>54</v>
      </c>
      <c r="I18" s="76">
        <f>F18</f>
        <v>25000</v>
      </c>
    </row>
    <row r="19" spans="1:9" x14ac:dyDescent="0.25">
      <c r="A19" s="162" t="s">
        <v>375</v>
      </c>
      <c r="B19" s="163"/>
      <c r="C19" s="163"/>
      <c r="D19" s="163"/>
      <c r="E19" s="164"/>
      <c r="F19" s="78" t="s">
        <v>54</v>
      </c>
      <c r="G19" s="79" t="s">
        <v>54</v>
      </c>
      <c r="H19" s="79" t="s">
        <v>54</v>
      </c>
      <c r="I19" s="80">
        <f>SUM(I15:I18)</f>
        <v>25000</v>
      </c>
    </row>
    <row r="21" spans="1:9" x14ac:dyDescent="0.25">
      <c r="A21" s="153" t="s">
        <v>334</v>
      </c>
      <c r="B21" s="154"/>
      <c r="C21" s="154"/>
      <c r="D21" s="154"/>
      <c r="E21" s="155"/>
      <c r="F21" s="73" t="s">
        <v>372</v>
      </c>
      <c r="G21" s="73" t="s">
        <v>373</v>
      </c>
      <c r="H21" s="73" t="s">
        <v>374</v>
      </c>
      <c r="I21" s="73" t="s">
        <v>372</v>
      </c>
    </row>
    <row r="22" spans="1:9" x14ac:dyDescent="0.25">
      <c r="A22" s="156" t="s">
        <v>338</v>
      </c>
      <c r="B22" s="157"/>
      <c r="C22" s="157"/>
      <c r="D22" s="157"/>
      <c r="E22" s="158"/>
      <c r="F22" s="74">
        <v>30000</v>
      </c>
      <c r="G22" s="75" t="s">
        <v>54</v>
      </c>
      <c r="H22" s="75" t="s">
        <v>54</v>
      </c>
      <c r="I22" s="74">
        <f t="shared" ref="I22:I27" si="0">F22</f>
        <v>30000</v>
      </c>
    </row>
    <row r="23" spans="1:9" x14ac:dyDescent="0.25">
      <c r="A23" s="156" t="s">
        <v>340</v>
      </c>
      <c r="B23" s="157"/>
      <c r="C23" s="157"/>
      <c r="D23" s="157"/>
      <c r="E23" s="158"/>
      <c r="F23" s="74">
        <v>0</v>
      </c>
      <c r="G23" s="75" t="s">
        <v>54</v>
      </c>
      <c r="H23" s="75" t="s">
        <v>54</v>
      </c>
      <c r="I23" s="74">
        <f t="shared" si="0"/>
        <v>0</v>
      </c>
    </row>
    <row r="24" spans="1:9" x14ac:dyDescent="0.25">
      <c r="A24" s="156" t="s">
        <v>343</v>
      </c>
      <c r="B24" s="157"/>
      <c r="C24" s="157"/>
      <c r="D24" s="157"/>
      <c r="E24" s="158"/>
      <c r="F24" s="74">
        <v>0</v>
      </c>
      <c r="G24" s="75" t="s">
        <v>54</v>
      </c>
      <c r="H24" s="75" t="s">
        <v>54</v>
      </c>
      <c r="I24" s="74">
        <f t="shared" si="0"/>
        <v>0</v>
      </c>
    </row>
    <row r="25" spans="1:9" x14ac:dyDescent="0.25">
      <c r="A25" s="156" t="s">
        <v>345</v>
      </c>
      <c r="B25" s="157"/>
      <c r="C25" s="157"/>
      <c r="D25" s="157"/>
      <c r="E25" s="158"/>
      <c r="F25" s="74">
        <v>0</v>
      </c>
      <c r="G25" s="75" t="s">
        <v>54</v>
      </c>
      <c r="H25" s="75" t="s">
        <v>54</v>
      </c>
      <c r="I25" s="74">
        <f t="shared" si="0"/>
        <v>0</v>
      </c>
    </row>
    <row r="26" spans="1:9" x14ac:dyDescent="0.25">
      <c r="A26" s="156" t="s">
        <v>347</v>
      </c>
      <c r="B26" s="157"/>
      <c r="C26" s="157"/>
      <c r="D26" s="157"/>
      <c r="E26" s="158"/>
      <c r="F26" s="74">
        <v>0</v>
      </c>
      <c r="G26" s="75" t="s">
        <v>54</v>
      </c>
      <c r="H26" s="75" t="s">
        <v>54</v>
      </c>
      <c r="I26" s="74">
        <f t="shared" si="0"/>
        <v>0</v>
      </c>
    </row>
    <row r="27" spans="1:9" x14ac:dyDescent="0.25">
      <c r="A27" s="159" t="s">
        <v>348</v>
      </c>
      <c r="B27" s="160"/>
      <c r="C27" s="160"/>
      <c r="D27" s="160"/>
      <c r="E27" s="161"/>
      <c r="F27" s="76">
        <v>0</v>
      </c>
      <c r="G27" s="77" t="s">
        <v>54</v>
      </c>
      <c r="H27" s="77" t="s">
        <v>54</v>
      </c>
      <c r="I27" s="76">
        <f t="shared" si="0"/>
        <v>0</v>
      </c>
    </row>
    <row r="28" spans="1:9" x14ac:dyDescent="0.25">
      <c r="A28" s="162" t="s">
        <v>376</v>
      </c>
      <c r="B28" s="163"/>
      <c r="C28" s="163"/>
      <c r="D28" s="163"/>
      <c r="E28" s="164"/>
      <c r="F28" s="78" t="s">
        <v>54</v>
      </c>
      <c r="G28" s="79" t="s">
        <v>54</v>
      </c>
      <c r="H28" s="79" t="s">
        <v>54</v>
      </c>
      <c r="I28" s="80">
        <f>SUM(I22:I27)</f>
        <v>30000</v>
      </c>
    </row>
    <row r="30" spans="1:9" ht="15.75" x14ac:dyDescent="0.25">
      <c r="A30" s="165" t="s">
        <v>377</v>
      </c>
      <c r="B30" s="166"/>
      <c r="C30" s="166"/>
      <c r="D30" s="166"/>
      <c r="E30" s="167"/>
      <c r="F30" s="168">
        <f>I19+I28</f>
        <v>55000</v>
      </c>
      <c r="G30" s="169"/>
      <c r="H30" s="169"/>
      <c r="I30" s="170"/>
    </row>
    <row r="34" spans="1:9" ht="15.75" x14ac:dyDescent="0.25">
      <c r="A34" s="152" t="s">
        <v>378</v>
      </c>
      <c r="B34" s="152"/>
      <c r="C34" s="152"/>
      <c r="D34" s="152"/>
      <c r="E34" s="152"/>
    </row>
    <row r="35" spans="1:9" x14ac:dyDescent="0.25">
      <c r="A35" s="153" t="s">
        <v>379</v>
      </c>
      <c r="B35" s="154"/>
      <c r="C35" s="154"/>
      <c r="D35" s="154"/>
      <c r="E35" s="155"/>
      <c r="F35" s="73" t="s">
        <v>372</v>
      </c>
      <c r="G35" s="73" t="s">
        <v>373</v>
      </c>
      <c r="H35" s="73" t="s">
        <v>374</v>
      </c>
      <c r="I35" s="73" t="s">
        <v>372</v>
      </c>
    </row>
    <row r="36" spans="1:9" x14ac:dyDescent="0.25">
      <c r="A36" s="159" t="s">
        <v>54</v>
      </c>
      <c r="B36" s="160"/>
      <c r="C36" s="160"/>
      <c r="D36" s="160"/>
      <c r="E36" s="161"/>
      <c r="F36" s="76">
        <v>0</v>
      </c>
      <c r="G36" s="77" t="s">
        <v>54</v>
      </c>
      <c r="H36" s="77" t="s">
        <v>54</v>
      </c>
      <c r="I36" s="76">
        <f>F36</f>
        <v>0</v>
      </c>
    </row>
    <row r="37" spans="1:9" x14ac:dyDescent="0.25">
      <c r="A37" s="162" t="s">
        <v>380</v>
      </c>
      <c r="B37" s="163"/>
      <c r="C37" s="163"/>
      <c r="D37" s="163"/>
      <c r="E37" s="164"/>
      <c r="F37" s="78" t="s">
        <v>54</v>
      </c>
      <c r="G37" s="79" t="s">
        <v>54</v>
      </c>
      <c r="H37" s="79" t="s">
        <v>54</v>
      </c>
      <c r="I37" s="80">
        <f>SUM(I36:I36)</f>
        <v>0</v>
      </c>
    </row>
  </sheetData>
  <mergeCells count="52">
    <mergeCell ref="A36:E36"/>
    <mergeCell ref="A37:E37"/>
    <mergeCell ref="A28:E28"/>
    <mergeCell ref="A30:E30"/>
    <mergeCell ref="F30:I30"/>
    <mergeCell ref="A34:E34"/>
    <mergeCell ref="A35:E35"/>
    <mergeCell ref="A23:E23"/>
    <mergeCell ref="A24:E24"/>
    <mergeCell ref="A25:E25"/>
    <mergeCell ref="A26:E26"/>
    <mergeCell ref="A27:E27"/>
    <mergeCell ref="A17:E17"/>
    <mergeCell ref="A18:E18"/>
    <mergeCell ref="A19:E19"/>
    <mergeCell ref="A21:E21"/>
    <mergeCell ref="A22:E22"/>
    <mergeCell ref="I10:I11"/>
    <mergeCell ref="A13:E13"/>
    <mergeCell ref="A14:E14"/>
    <mergeCell ref="A15:E15"/>
    <mergeCell ref="A16:E16"/>
    <mergeCell ref="H10:H11"/>
    <mergeCell ref="C2:D3"/>
    <mergeCell ref="C4:D5"/>
    <mergeCell ref="C6:D7"/>
    <mergeCell ref="C8:D9"/>
    <mergeCell ref="C10:D11"/>
    <mergeCell ref="F2:G3"/>
    <mergeCell ref="F4:G5"/>
    <mergeCell ref="F6:G7"/>
    <mergeCell ref="F8:G9"/>
    <mergeCell ref="F10:G11"/>
    <mergeCell ref="A10:B11"/>
    <mergeCell ref="E2:E3"/>
    <mergeCell ref="E4:E5"/>
    <mergeCell ref="E6:E7"/>
    <mergeCell ref="E8:E9"/>
    <mergeCell ref="E10:E11"/>
    <mergeCell ref="A1:I1"/>
    <mergeCell ref="A2:B3"/>
    <mergeCell ref="A4:B5"/>
    <mergeCell ref="A6:B7"/>
    <mergeCell ref="A8:B9"/>
    <mergeCell ref="H2:H3"/>
    <mergeCell ref="H4:H5"/>
    <mergeCell ref="H6:H7"/>
    <mergeCell ref="H8:H9"/>
    <mergeCell ref="I2:I3"/>
    <mergeCell ref="I4:I5"/>
    <mergeCell ref="I6:I7"/>
    <mergeCell ref="I8:I9"/>
  </mergeCells>
  <pageMargins left="0.393999993801117" right="0.393999993801117" top="0.59100002050399802" bottom="0.59100002050399802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4</vt:i4>
      </vt:variant>
      <vt:variant>
        <vt:lpstr>Pojmenované oblasti</vt:lpstr>
      </vt:variant>
      <vt:variant>
        <vt:i4>1</vt:i4>
      </vt:variant>
    </vt:vector>
  </HeadingPairs>
  <TitlesOfParts>
    <vt:vector size="5" baseType="lpstr">
      <vt:lpstr>Stavební rozpočet</vt:lpstr>
      <vt:lpstr>Stavební rozpočet - součet</vt:lpstr>
      <vt:lpstr>Krycí list rozpočtu</vt:lpstr>
      <vt:lpstr>VORN</vt:lpstr>
      <vt:lpstr>vorn_sum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Pavel Hrba</cp:lastModifiedBy>
  <dcterms:created xsi:type="dcterms:W3CDTF">2021-06-10T20:06:38Z</dcterms:created>
  <dcterms:modified xsi:type="dcterms:W3CDTF">2025-12-15T15:26:30Z</dcterms:modified>
</cp:coreProperties>
</file>
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vby\2025\HD Forestina\Finální výkazy\"/>
    </mc:Choice>
  </mc:AlternateContent>
  <xr:revisionPtr revIDLastSave="0" documentId="13_ncr:1_{7673AD9B-8F11-48F3-92E4-B48BC6CFB4F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tavební rozpočet" sheetId="1" r:id="rId1"/>
    <sheet name="Stavební rozpočet - součet" sheetId="2" r:id="rId2"/>
    <sheet name="Krycí list rozpočtu" sheetId="3" r:id="rId3"/>
    <sheet name="VORN" sheetId="4" state="hidden" r:id="rId4"/>
  </sheets>
  <definedNames>
    <definedName name="vorn_sum">VORN!$I$37</definedName>
  </definedNames>
  <calcPr calcId="191029"/>
</workbook>
</file>

<file path=xl/calcChain.xml><?xml version="1.0" encoding="utf-8"?>
<calcChain xmlns="http://schemas.openxmlformats.org/spreadsheetml/2006/main">
  <c r="I36" i="4" l="1"/>
  <c r="I37" i="4" s="1"/>
  <c r="I24" i="3" s="1"/>
  <c r="I27" i="4"/>
  <c r="I26" i="4"/>
  <c r="I25" i="4"/>
  <c r="I17" i="3" s="1"/>
  <c r="I24" i="4"/>
  <c r="I23" i="4"/>
  <c r="I22" i="4"/>
  <c r="I28" i="4" s="1"/>
  <c r="I18" i="4"/>
  <c r="F17" i="3" s="1"/>
  <c r="I17" i="4"/>
  <c r="I16" i="4"/>
  <c r="F15" i="3" s="1"/>
  <c r="I15" i="4"/>
  <c r="F14" i="3" s="1"/>
  <c r="I10" i="4"/>
  <c r="F10" i="4"/>
  <c r="C10" i="4"/>
  <c r="F8" i="4"/>
  <c r="C8" i="4"/>
  <c r="F6" i="4"/>
  <c r="C6" i="4"/>
  <c r="F4" i="4"/>
  <c r="C4" i="4"/>
  <c r="F2" i="4"/>
  <c r="C2" i="4"/>
  <c r="I19" i="3"/>
  <c r="I18" i="3"/>
  <c r="I16" i="3"/>
  <c r="F16" i="3"/>
  <c r="I15" i="3"/>
  <c r="I10" i="3"/>
  <c r="F10" i="3"/>
  <c r="C10" i="3"/>
  <c r="F8" i="3"/>
  <c r="C8" i="3"/>
  <c r="F6" i="3"/>
  <c r="C6" i="3"/>
  <c r="F4" i="3"/>
  <c r="C4" i="3"/>
  <c r="F2" i="3"/>
  <c r="C2" i="3"/>
  <c r="G8" i="2"/>
  <c r="C8" i="2"/>
  <c r="G6" i="2"/>
  <c r="C6" i="2"/>
  <c r="G4" i="2"/>
  <c r="C4" i="2"/>
  <c r="G2" i="2"/>
  <c r="C2" i="2"/>
  <c r="BW152" i="1"/>
  <c r="BJ152" i="1"/>
  <c r="BD152" i="1"/>
  <c r="AX152" i="1"/>
  <c r="AP152" i="1"/>
  <c r="BI152" i="1" s="1"/>
  <c r="AC152" i="1" s="1"/>
  <c r="AO152" i="1"/>
  <c r="AW152" i="1" s="1"/>
  <c r="AV152" i="1" s="1"/>
  <c r="AL152" i="1"/>
  <c r="AJ152" i="1"/>
  <c r="AH152" i="1"/>
  <c r="AG152" i="1"/>
  <c r="AF152" i="1"/>
  <c r="AE152" i="1"/>
  <c r="AD152" i="1"/>
  <c r="Z152" i="1"/>
  <c r="O152" i="1"/>
  <c r="BF152" i="1" s="1"/>
  <c r="L152" i="1"/>
  <c r="M152" i="1" s="1"/>
  <c r="K152" i="1"/>
  <c r="BW151" i="1"/>
  <c r="BJ151" i="1"/>
  <c r="BD151" i="1"/>
  <c r="AP151" i="1"/>
  <c r="AO151" i="1"/>
  <c r="AL151" i="1"/>
  <c r="AU150" i="1" s="1"/>
  <c r="AJ151" i="1"/>
  <c r="AH151" i="1"/>
  <c r="AG151" i="1"/>
  <c r="AF151" i="1"/>
  <c r="AE151" i="1"/>
  <c r="AD151" i="1"/>
  <c r="Z151" i="1"/>
  <c r="O151" i="1"/>
  <c r="O150" i="1" s="1"/>
  <c r="G15" i="2" s="1"/>
  <c r="L151" i="1"/>
  <c r="AK151" i="1" s="1"/>
  <c r="AS150" i="1"/>
  <c r="BW149" i="1"/>
  <c r="M149" i="1" s="1"/>
  <c r="BJ149" i="1"/>
  <c r="BH149" i="1"/>
  <c r="BD149" i="1"/>
  <c r="AW149" i="1"/>
  <c r="AP149" i="1"/>
  <c r="BI149" i="1" s="1"/>
  <c r="AE149" i="1" s="1"/>
  <c r="AO149" i="1"/>
  <c r="AL149" i="1"/>
  <c r="AJ149" i="1"/>
  <c r="AH149" i="1"/>
  <c r="AG149" i="1"/>
  <c r="AF149" i="1"/>
  <c r="AD149" i="1"/>
  <c r="AC149" i="1"/>
  <c r="AB149" i="1"/>
  <c r="Z149" i="1"/>
  <c r="O149" i="1"/>
  <c r="BF149" i="1" s="1"/>
  <c r="L149" i="1"/>
  <c r="AK149" i="1" s="1"/>
  <c r="J149" i="1"/>
  <c r="BW148" i="1"/>
  <c r="BJ148" i="1"/>
  <c r="BI148" i="1"/>
  <c r="AE148" i="1" s="1"/>
  <c r="BD148" i="1"/>
  <c r="AX148" i="1"/>
  <c r="AP148" i="1"/>
  <c r="AO148" i="1"/>
  <c r="AL148" i="1"/>
  <c r="AJ148" i="1"/>
  <c r="AH148" i="1"/>
  <c r="AG148" i="1"/>
  <c r="AF148" i="1"/>
  <c r="AC148" i="1"/>
  <c r="AB148" i="1"/>
  <c r="Z148" i="1"/>
  <c r="O148" i="1"/>
  <c r="BF148" i="1" s="1"/>
  <c r="L148" i="1"/>
  <c r="AK148" i="1" s="1"/>
  <c r="K148" i="1"/>
  <c r="J148" i="1"/>
  <c r="BW146" i="1"/>
  <c r="BJ146" i="1"/>
  <c r="BD146" i="1"/>
  <c r="AP146" i="1"/>
  <c r="BI146" i="1" s="1"/>
  <c r="AE146" i="1" s="1"/>
  <c r="AO146" i="1"/>
  <c r="AL146" i="1"/>
  <c r="AK146" i="1"/>
  <c r="AJ146" i="1"/>
  <c r="AH146" i="1"/>
  <c r="AG146" i="1"/>
  <c r="AF146" i="1"/>
  <c r="AC146" i="1"/>
  <c r="AB146" i="1"/>
  <c r="Z146" i="1"/>
  <c r="O146" i="1"/>
  <c r="BF146" i="1" s="1"/>
  <c r="L146" i="1"/>
  <c r="K146" i="1"/>
  <c r="J146" i="1"/>
  <c r="BW145" i="1"/>
  <c r="BJ145" i="1"/>
  <c r="BF145" i="1"/>
  <c r="BD145" i="1"/>
  <c r="AP145" i="1"/>
  <c r="AX145" i="1" s="1"/>
  <c r="AO145" i="1"/>
  <c r="AW145" i="1" s="1"/>
  <c r="AL145" i="1"/>
  <c r="AJ145" i="1"/>
  <c r="AH145" i="1"/>
  <c r="AG145" i="1"/>
  <c r="AF145" i="1"/>
  <c r="AC145" i="1"/>
  <c r="AB145" i="1"/>
  <c r="Z145" i="1"/>
  <c r="O145" i="1"/>
  <c r="L145" i="1"/>
  <c r="M145" i="1" s="1"/>
  <c r="J145" i="1"/>
  <c r="BW144" i="1"/>
  <c r="BJ144" i="1"/>
  <c r="BH144" i="1"/>
  <c r="AD144" i="1" s="1"/>
  <c r="BD144" i="1"/>
  <c r="AW144" i="1"/>
  <c r="AP144" i="1"/>
  <c r="BI144" i="1" s="1"/>
  <c r="AE144" i="1" s="1"/>
  <c r="AO144" i="1"/>
  <c r="AL144" i="1"/>
  <c r="AJ144" i="1"/>
  <c r="AH144" i="1"/>
  <c r="AG144" i="1"/>
  <c r="AF144" i="1"/>
  <c r="AC144" i="1"/>
  <c r="AB144" i="1"/>
  <c r="Z144" i="1"/>
  <c r="O144" i="1"/>
  <c r="BF144" i="1" s="1"/>
  <c r="L144" i="1"/>
  <c r="AK144" i="1" s="1"/>
  <c r="J144" i="1"/>
  <c r="BW143" i="1"/>
  <c r="BJ143" i="1"/>
  <c r="BD143" i="1"/>
  <c r="AP143" i="1"/>
  <c r="BI143" i="1" s="1"/>
  <c r="AE143" i="1" s="1"/>
  <c r="AO143" i="1"/>
  <c r="AL143" i="1"/>
  <c r="AK143" i="1"/>
  <c r="AJ143" i="1"/>
  <c r="AH143" i="1"/>
  <c r="AG143" i="1"/>
  <c r="AF143" i="1"/>
  <c r="AC143" i="1"/>
  <c r="AB143" i="1"/>
  <c r="Z143" i="1"/>
  <c r="O143" i="1"/>
  <c r="BF143" i="1" s="1"/>
  <c r="M143" i="1"/>
  <c r="L143" i="1"/>
  <c r="BW142" i="1"/>
  <c r="BJ142" i="1"/>
  <c r="BD142" i="1"/>
  <c r="AP142" i="1"/>
  <c r="BI142" i="1" s="1"/>
  <c r="AE142" i="1" s="1"/>
  <c r="AO142" i="1"/>
  <c r="J142" i="1" s="1"/>
  <c r="AL142" i="1"/>
  <c r="AJ142" i="1"/>
  <c r="AH142" i="1"/>
  <c r="AG142" i="1"/>
  <c r="AF142" i="1"/>
  <c r="AC142" i="1"/>
  <c r="AB142" i="1"/>
  <c r="Z142" i="1"/>
  <c r="O142" i="1"/>
  <c r="BF142" i="1" s="1"/>
  <c r="L142" i="1"/>
  <c r="AK142" i="1" s="1"/>
  <c r="K142" i="1"/>
  <c r="BW141" i="1"/>
  <c r="BJ141" i="1"/>
  <c r="BF141" i="1"/>
  <c r="BD141" i="1"/>
  <c r="AP141" i="1"/>
  <c r="AX141" i="1" s="1"/>
  <c r="AO141" i="1"/>
  <c r="AW141" i="1" s="1"/>
  <c r="AL141" i="1"/>
  <c r="AJ141" i="1"/>
  <c r="AH141" i="1"/>
  <c r="AG141" i="1"/>
  <c r="AF141" i="1"/>
  <c r="AC141" i="1"/>
  <c r="AB141" i="1"/>
  <c r="Z141" i="1"/>
  <c r="O141" i="1"/>
  <c r="L141" i="1"/>
  <c r="J141" i="1"/>
  <c r="BW140" i="1"/>
  <c r="BJ140" i="1"/>
  <c r="BH140" i="1"/>
  <c r="BD140" i="1"/>
  <c r="AP140" i="1"/>
  <c r="AX140" i="1" s="1"/>
  <c r="AO140" i="1"/>
  <c r="AW140" i="1" s="1"/>
  <c r="AL140" i="1"/>
  <c r="AJ140" i="1"/>
  <c r="AH140" i="1"/>
  <c r="AG140" i="1"/>
  <c r="AF140" i="1"/>
  <c r="AD140" i="1"/>
  <c r="AC140" i="1"/>
  <c r="AB140" i="1"/>
  <c r="Z140" i="1"/>
  <c r="O140" i="1"/>
  <c r="BF140" i="1" s="1"/>
  <c r="M140" i="1"/>
  <c r="L140" i="1"/>
  <c r="AK140" i="1" s="1"/>
  <c r="J140" i="1"/>
  <c r="BW139" i="1"/>
  <c r="BJ139" i="1"/>
  <c r="BD139" i="1"/>
  <c r="AX139" i="1"/>
  <c r="AP139" i="1"/>
  <c r="BI139" i="1" s="1"/>
  <c r="AE139" i="1" s="1"/>
  <c r="AO139" i="1"/>
  <c r="AL139" i="1"/>
  <c r="AK139" i="1"/>
  <c r="AJ139" i="1"/>
  <c r="AH139" i="1"/>
  <c r="AG139" i="1"/>
  <c r="AF139" i="1"/>
  <c r="AC139" i="1"/>
  <c r="AB139" i="1"/>
  <c r="Z139" i="1"/>
  <c r="O139" i="1"/>
  <c r="BF139" i="1" s="1"/>
  <c r="M139" i="1"/>
  <c r="L139" i="1"/>
  <c r="K139" i="1"/>
  <c r="J139" i="1"/>
  <c r="BW138" i="1"/>
  <c r="BJ138" i="1"/>
  <c r="BD138" i="1"/>
  <c r="AX138" i="1"/>
  <c r="AP138" i="1"/>
  <c r="BI138" i="1" s="1"/>
  <c r="AE138" i="1" s="1"/>
  <c r="AO138" i="1"/>
  <c r="AL138" i="1"/>
  <c r="AK138" i="1"/>
  <c r="AJ138" i="1"/>
  <c r="AH138" i="1"/>
  <c r="AG138" i="1"/>
  <c r="AF138" i="1"/>
  <c r="AC138" i="1"/>
  <c r="AB138" i="1"/>
  <c r="Z138" i="1"/>
  <c r="O138" i="1"/>
  <c r="BF138" i="1" s="1"/>
  <c r="L138" i="1"/>
  <c r="BW137" i="1"/>
  <c r="BJ137" i="1"/>
  <c r="BF137" i="1"/>
  <c r="BD137" i="1"/>
  <c r="AP137" i="1"/>
  <c r="AO137" i="1"/>
  <c r="AW137" i="1" s="1"/>
  <c r="AL137" i="1"/>
  <c r="AJ137" i="1"/>
  <c r="AH137" i="1"/>
  <c r="AG137" i="1"/>
  <c r="AF137" i="1"/>
  <c r="AC137" i="1"/>
  <c r="AB137" i="1"/>
  <c r="Z137" i="1"/>
  <c r="O137" i="1"/>
  <c r="L137" i="1"/>
  <c r="M137" i="1" s="1"/>
  <c r="J137" i="1"/>
  <c r="BW136" i="1"/>
  <c r="BJ136" i="1"/>
  <c r="BH136" i="1"/>
  <c r="BD136" i="1"/>
  <c r="AW136" i="1"/>
  <c r="AP136" i="1"/>
  <c r="AX136" i="1" s="1"/>
  <c r="AO136" i="1"/>
  <c r="AL136" i="1"/>
  <c r="AJ136" i="1"/>
  <c r="AH136" i="1"/>
  <c r="AG136" i="1"/>
  <c r="AF136" i="1"/>
  <c r="AD136" i="1"/>
  <c r="AC136" i="1"/>
  <c r="AB136" i="1"/>
  <c r="Z136" i="1"/>
  <c r="O136" i="1"/>
  <c r="BF136" i="1" s="1"/>
  <c r="L136" i="1"/>
  <c r="AK136" i="1" s="1"/>
  <c r="J136" i="1"/>
  <c r="BW135" i="1"/>
  <c r="M135" i="1" s="1"/>
  <c r="BJ135" i="1"/>
  <c r="BD135" i="1"/>
  <c r="AP135" i="1"/>
  <c r="AO135" i="1"/>
  <c r="AL135" i="1"/>
  <c r="AJ135" i="1"/>
  <c r="AH135" i="1"/>
  <c r="AG135" i="1"/>
  <c r="AF135" i="1"/>
  <c r="AC135" i="1"/>
  <c r="AB135" i="1"/>
  <c r="Z135" i="1"/>
  <c r="O135" i="1"/>
  <c r="BF135" i="1" s="1"/>
  <c r="L135" i="1"/>
  <c r="AK135" i="1" s="1"/>
  <c r="J135" i="1"/>
  <c r="BW134" i="1"/>
  <c r="BJ134" i="1"/>
  <c r="BD134" i="1"/>
  <c r="AX134" i="1"/>
  <c r="AP134" i="1"/>
  <c r="BI134" i="1" s="1"/>
  <c r="AE134" i="1" s="1"/>
  <c r="AO134" i="1"/>
  <c r="AL134" i="1"/>
  <c r="AK134" i="1"/>
  <c r="AJ134" i="1"/>
  <c r="AH134" i="1"/>
  <c r="AG134" i="1"/>
  <c r="AF134" i="1"/>
  <c r="AC134" i="1"/>
  <c r="AB134" i="1"/>
  <c r="Z134" i="1"/>
  <c r="O134" i="1"/>
  <c r="BF134" i="1" s="1"/>
  <c r="L134" i="1"/>
  <c r="J134" i="1"/>
  <c r="BW133" i="1"/>
  <c r="BJ133" i="1"/>
  <c r="BF133" i="1"/>
  <c r="BD133" i="1"/>
  <c r="AP133" i="1"/>
  <c r="AX133" i="1" s="1"/>
  <c r="AO133" i="1"/>
  <c r="AW133" i="1" s="1"/>
  <c r="AL133" i="1"/>
  <c r="AJ133" i="1"/>
  <c r="AH133" i="1"/>
  <c r="AG133" i="1"/>
  <c r="AF133" i="1"/>
  <c r="AC133" i="1"/>
  <c r="AB133" i="1"/>
  <c r="Z133" i="1"/>
  <c r="O133" i="1"/>
  <c r="L133" i="1"/>
  <c r="M133" i="1" s="1"/>
  <c r="J133" i="1"/>
  <c r="BW132" i="1"/>
  <c r="BJ132" i="1"/>
  <c r="BI132" i="1"/>
  <c r="AE132" i="1" s="1"/>
  <c r="BD132" i="1"/>
  <c r="AX132" i="1"/>
  <c r="AP132" i="1"/>
  <c r="AO132" i="1"/>
  <c r="BH132" i="1" s="1"/>
  <c r="AD132" i="1" s="1"/>
  <c r="AL132" i="1"/>
  <c r="AJ132" i="1"/>
  <c r="AH132" i="1"/>
  <c r="AG132" i="1"/>
  <c r="AF132" i="1"/>
  <c r="AC132" i="1"/>
  <c r="AB132" i="1"/>
  <c r="Z132" i="1"/>
  <c r="O132" i="1"/>
  <c r="BF132" i="1" s="1"/>
  <c r="L132" i="1"/>
  <c r="AK132" i="1" s="1"/>
  <c r="K132" i="1"/>
  <c r="BW131" i="1"/>
  <c r="BJ131" i="1"/>
  <c r="BD131" i="1"/>
  <c r="AX131" i="1"/>
  <c r="AP131" i="1"/>
  <c r="BI131" i="1" s="1"/>
  <c r="AE131" i="1" s="1"/>
  <c r="AO131" i="1"/>
  <c r="AL131" i="1"/>
  <c r="AJ131" i="1"/>
  <c r="AH131" i="1"/>
  <c r="AG131" i="1"/>
  <c r="AF131" i="1"/>
  <c r="AC131" i="1"/>
  <c r="AB131" i="1"/>
  <c r="Z131" i="1"/>
  <c r="O131" i="1"/>
  <c r="BF131" i="1" s="1"/>
  <c r="L131" i="1"/>
  <c r="AK131" i="1" s="1"/>
  <c r="K131" i="1"/>
  <c r="BW130" i="1"/>
  <c r="BJ130" i="1"/>
  <c r="BD130" i="1"/>
  <c r="AX130" i="1"/>
  <c r="AP130" i="1"/>
  <c r="BI130" i="1" s="1"/>
  <c r="AE130" i="1" s="1"/>
  <c r="AO130" i="1"/>
  <c r="AL130" i="1"/>
  <c r="AK130" i="1"/>
  <c r="AJ130" i="1"/>
  <c r="AH130" i="1"/>
  <c r="AG130" i="1"/>
  <c r="AF130" i="1"/>
  <c r="AC130" i="1"/>
  <c r="AB130" i="1"/>
  <c r="Z130" i="1"/>
  <c r="O130" i="1"/>
  <c r="BF130" i="1" s="1"/>
  <c r="L130" i="1"/>
  <c r="BW129" i="1"/>
  <c r="BJ129" i="1"/>
  <c r="BF129" i="1"/>
  <c r="BD129" i="1"/>
  <c r="AP129" i="1"/>
  <c r="AX129" i="1" s="1"/>
  <c r="AO129" i="1"/>
  <c r="AW129" i="1" s="1"/>
  <c r="AL129" i="1"/>
  <c r="AJ129" i="1"/>
  <c r="AH129" i="1"/>
  <c r="AG129" i="1"/>
  <c r="AF129" i="1"/>
  <c r="AC129" i="1"/>
  <c r="AB129" i="1"/>
  <c r="Z129" i="1"/>
  <c r="O129" i="1"/>
  <c r="L129" i="1"/>
  <c r="M129" i="1" s="1"/>
  <c r="J129" i="1"/>
  <c r="BW128" i="1"/>
  <c r="BJ128" i="1"/>
  <c r="BI128" i="1"/>
  <c r="AE128" i="1" s="1"/>
  <c r="BD128" i="1"/>
  <c r="AX128" i="1"/>
  <c r="AW128" i="1"/>
  <c r="BC128" i="1" s="1"/>
  <c r="AP128" i="1"/>
  <c r="AO128" i="1"/>
  <c r="BH128" i="1" s="1"/>
  <c r="AD128" i="1" s="1"/>
  <c r="AL128" i="1"/>
  <c r="AJ128" i="1"/>
  <c r="AH128" i="1"/>
  <c r="AG128" i="1"/>
  <c r="AF128" i="1"/>
  <c r="AC128" i="1"/>
  <c r="AB128" i="1"/>
  <c r="Z128" i="1"/>
  <c r="O128" i="1"/>
  <c r="BF128" i="1" s="1"/>
  <c r="L128" i="1"/>
  <c r="AK128" i="1" s="1"/>
  <c r="K128" i="1"/>
  <c r="BW126" i="1"/>
  <c r="BJ126" i="1"/>
  <c r="BI126" i="1"/>
  <c r="AE126" i="1" s="1"/>
  <c r="BD126" i="1"/>
  <c r="AP126" i="1"/>
  <c r="AX126" i="1" s="1"/>
  <c r="AO126" i="1"/>
  <c r="AL126" i="1"/>
  <c r="AJ126" i="1"/>
  <c r="AH126" i="1"/>
  <c r="AG126" i="1"/>
  <c r="AF126" i="1"/>
  <c r="AC126" i="1"/>
  <c r="AB126" i="1"/>
  <c r="Z126" i="1"/>
  <c r="O126" i="1"/>
  <c r="BF126" i="1" s="1"/>
  <c r="M126" i="1"/>
  <c r="L126" i="1"/>
  <c r="AK126" i="1" s="1"/>
  <c r="BW125" i="1"/>
  <c r="BJ125" i="1"/>
  <c r="BD125" i="1"/>
  <c r="AP125" i="1"/>
  <c r="BI125" i="1" s="1"/>
  <c r="AE125" i="1" s="1"/>
  <c r="AO125" i="1"/>
  <c r="AL125" i="1"/>
  <c r="AJ125" i="1"/>
  <c r="AH125" i="1"/>
  <c r="AG125" i="1"/>
  <c r="AF125" i="1"/>
  <c r="AC125" i="1"/>
  <c r="AB125" i="1"/>
  <c r="Z125" i="1"/>
  <c r="O125" i="1"/>
  <c r="BF125" i="1" s="1"/>
  <c r="L125" i="1"/>
  <c r="AK125" i="1" s="1"/>
  <c r="J125" i="1"/>
  <c r="BW124" i="1"/>
  <c r="BJ124" i="1"/>
  <c r="BF124" i="1"/>
  <c r="BD124" i="1"/>
  <c r="AP124" i="1"/>
  <c r="AX124" i="1" s="1"/>
  <c r="AO124" i="1"/>
  <c r="AL124" i="1"/>
  <c r="AJ124" i="1"/>
  <c r="AH124" i="1"/>
  <c r="AG124" i="1"/>
  <c r="AF124" i="1"/>
  <c r="AC124" i="1"/>
  <c r="AB124" i="1"/>
  <c r="Z124" i="1"/>
  <c r="O124" i="1"/>
  <c r="L124" i="1"/>
  <c r="M124" i="1" s="1"/>
  <c r="BW123" i="1"/>
  <c r="BJ123" i="1"/>
  <c r="BH123" i="1"/>
  <c r="BD123" i="1"/>
  <c r="AX123" i="1"/>
  <c r="AP123" i="1"/>
  <c r="BI123" i="1" s="1"/>
  <c r="AE123" i="1" s="1"/>
  <c r="AO123" i="1"/>
  <c r="AW123" i="1" s="1"/>
  <c r="BC123" i="1" s="1"/>
  <c r="AL123" i="1"/>
  <c r="AJ123" i="1"/>
  <c r="AH123" i="1"/>
  <c r="AG123" i="1"/>
  <c r="AF123" i="1"/>
  <c r="AD123" i="1"/>
  <c r="AC123" i="1"/>
  <c r="AB123" i="1"/>
  <c r="Z123" i="1"/>
  <c r="O123" i="1"/>
  <c r="BF123" i="1" s="1"/>
  <c r="L123" i="1"/>
  <c r="AK123" i="1" s="1"/>
  <c r="J123" i="1"/>
  <c r="BW122" i="1"/>
  <c r="BJ122" i="1"/>
  <c r="BD122" i="1"/>
  <c r="AP122" i="1"/>
  <c r="K122" i="1" s="1"/>
  <c r="AO122" i="1"/>
  <c r="J122" i="1" s="1"/>
  <c r="AL122" i="1"/>
  <c r="AJ122" i="1"/>
  <c r="AH122" i="1"/>
  <c r="AG122" i="1"/>
  <c r="AF122" i="1"/>
  <c r="AC122" i="1"/>
  <c r="AB122" i="1"/>
  <c r="Z122" i="1"/>
  <c r="O122" i="1"/>
  <c r="BF122" i="1" s="1"/>
  <c r="L122" i="1"/>
  <c r="AK122" i="1" s="1"/>
  <c r="BW121" i="1"/>
  <c r="BJ121" i="1"/>
  <c r="BD121" i="1"/>
  <c r="AX121" i="1"/>
  <c r="AP121" i="1"/>
  <c r="BI121" i="1" s="1"/>
  <c r="AE121" i="1" s="1"/>
  <c r="AO121" i="1"/>
  <c r="J121" i="1" s="1"/>
  <c r="AL121" i="1"/>
  <c r="AK121" i="1"/>
  <c r="AJ121" i="1"/>
  <c r="AH121" i="1"/>
  <c r="AG121" i="1"/>
  <c r="AF121" i="1"/>
  <c r="AC121" i="1"/>
  <c r="AB121" i="1"/>
  <c r="Z121" i="1"/>
  <c r="O121" i="1"/>
  <c r="BF121" i="1" s="1"/>
  <c r="L121" i="1"/>
  <c r="K121" i="1"/>
  <c r="BW120" i="1"/>
  <c r="BJ120" i="1"/>
  <c r="BI120" i="1"/>
  <c r="AE120" i="1" s="1"/>
  <c r="BF120" i="1"/>
  <c r="BD120" i="1"/>
  <c r="AP120" i="1"/>
  <c r="AX120" i="1" s="1"/>
  <c r="AO120" i="1"/>
  <c r="AW120" i="1" s="1"/>
  <c r="AL120" i="1"/>
  <c r="AJ120" i="1"/>
  <c r="AH120" i="1"/>
  <c r="AG120" i="1"/>
  <c r="AF120" i="1"/>
  <c r="AC120" i="1"/>
  <c r="AB120" i="1"/>
  <c r="Z120" i="1"/>
  <c r="O120" i="1"/>
  <c r="L120" i="1"/>
  <c r="M120" i="1" s="1"/>
  <c r="BW119" i="1"/>
  <c r="BJ119" i="1"/>
  <c r="BD119" i="1"/>
  <c r="AP119" i="1"/>
  <c r="BI119" i="1" s="1"/>
  <c r="AE119" i="1" s="1"/>
  <c r="AO119" i="1"/>
  <c r="BH119" i="1" s="1"/>
  <c r="AD119" i="1" s="1"/>
  <c r="AL119" i="1"/>
  <c r="AJ119" i="1"/>
  <c r="AH119" i="1"/>
  <c r="AG119" i="1"/>
  <c r="AF119" i="1"/>
  <c r="AC119" i="1"/>
  <c r="AB119" i="1"/>
  <c r="Z119" i="1"/>
  <c r="O119" i="1"/>
  <c r="BF119" i="1" s="1"/>
  <c r="L119" i="1"/>
  <c r="AK119" i="1" s="1"/>
  <c r="BW118" i="1"/>
  <c r="BJ118" i="1"/>
  <c r="BD118" i="1"/>
  <c r="AP118" i="1"/>
  <c r="AX118" i="1" s="1"/>
  <c r="AO118" i="1"/>
  <c r="AW118" i="1" s="1"/>
  <c r="AL118" i="1"/>
  <c r="AK118" i="1"/>
  <c r="AJ118" i="1"/>
  <c r="AH118" i="1"/>
  <c r="AG118" i="1"/>
  <c r="AF118" i="1"/>
  <c r="AC118" i="1"/>
  <c r="AB118" i="1"/>
  <c r="Z118" i="1"/>
  <c r="O118" i="1"/>
  <c r="BF118" i="1" s="1"/>
  <c r="M118" i="1"/>
  <c r="L118" i="1"/>
  <c r="K118" i="1"/>
  <c r="BW117" i="1"/>
  <c r="BJ117" i="1"/>
  <c r="BD117" i="1"/>
  <c r="AP117" i="1"/>
  <c r="BI117" i="1" s="1"/>
  <c r="AE117" i="1" s="1"/>
  <c r="AO117" i="1"/>
  <c r="BH117" i="1" s="1"/>
  <c r="AD117" i="1" s="1"/>
  <c r="AL117" i="1"/>
  <c r="AJ117" i="1"/>
  <c r="AH117" i="1"/>
  <c r="AG117" i="1"/>
  <c r="AF117" i="1"/>
  <c r="AC117" i="1"/>
  <c r="AB117" i="1"/>
  <c r="Z117" i="1"/>
  <c r="O117" i="1"/>
  <c r="BF117" i="1" s="1"/>
  <c r="M117" i="1"/>
  <c r="L117" i="1"/>
  <c r="AK117" i="1" s="1"/>
  <c r="BW116" i="1"/>
  <c r="BJ116" i="1"/>
  <c r="BF116" i="1"/>
  <c r="BD116" i="1"/>
  <c r="AP116" i="1"/>
  <c r="AX116" i="1" s="1"/>
  <c r="AO116" i="1"/>
  <c r="AW116" i="1" s="1"/>
  <c r="AL116" i="1"/>
  <c r="AJ116" i="1"/>
  <c r="AH116" i="1"/>
  <c r="AG116" i="1"/>
  <c r="AF116" i="1"/>
  <c r="AC116" i="1"/>
  <c r="AB116" i="1"/>
  <c r="Z116" i="1"/>
  <c r="O116" i="1"/>
  <c r="L116" i="1"/>
  <c r="M116" i="1" s="1"/>
  <c r="BW115" i="1"/>
  <c r="BJ115" i="1"/>
  <c r="BI115" i="1"/>
  <c r="BD115" i="1"/>
  <c r="AP115" i="1"/>
  <c r="AX115" i="1" s="1"/>
  <c r="AO115" i="1"/>
  <c r="AW115" i="1" s="1"/>
  <c r="AV115" i="1" s="1"/>
  <c r="AL115" i="1"/>
  <c r="AJ115" i="1"/>
  <c r="AH115" i="1"/>
  <c r="AG115" i="1"/>
  <c r="AF115" i="1"/>
  <c r="AE115" i="1"/>
  <c r="AC115" i="1"/>
  <c r="AB115" i="1"/>
  <c r="Z115" i="1"/>
  <c r="O115" i="1"/>
  <c r="M115" i="1"/>
  <c r="L115" i="1"/>
  <c r="K115" i="1"/>
  <c r="BW113" i="1"/>
  <c r="BJ113" i="1"/>
  <c r="BF113" i="1"/>
  <c r="BD113" i="1"/>
  <c r="AP113" i="1"/>
  <c r="AO113" i="1"/>
  <c r="AL113" i="1"/>
  <c r="AJ113" i="1"/>
  <c r="AH113" i="1"/>
  <c r="AG113" i="1"/>
  <c r="AF113" i="1"/>
  <c r="AC113" i="1"/>
  <c r="AB113" i="1"/>
  <c r="Z113" i="1"/>
  <c r="O113" i="1"/>
  <c r="L113" i="1"/>
  <c r="BW112" i="1"/>
  <c r="M112" i="1" s="1"/>
  <c r="BJ112" i="1"/>
  <c r="BD112" i="1"/>
  <c r="AP112" i="1"/>
  <c r="AX112" i="1" s="1"/>
  <c r="AO112" i="1"/>
  <c r="AW112" i="1" s="1"/>
  <c r="AL112" i="1"/>
  <c r="AJ112" i="1"/>
  <c r="AH112" i="1"/>
  <c r="AG112" i="1"/>
  <c r="AF112" i="1"/>
  <c r="AC112" i="1"/>
  <c r="AB112" i="1"/>
  <c r="Z112" i="1"/>
  <c r="O112" i="1"/>
  <c r="BF112" i="1" s="1"/>
  <c r="L112" i="1"/>
  <c r="AK112" i="1" s="1"/>
  <c r="K112" i="1"/>
  <c r="J112" i="1"/>
  <c r="BW111" i="1"/>
  <c r="M111" i="1" s="1"/>
  <c r="BJ111" i="1"/>
  <c r="BD111" i="1"/>
  <c r="AP111" i="1"/>
  <c r="BI111" i="1" s="1"/>
  <c r="AE111" i="1" s="1"/>
  <c r="AO111" i="1"/>
  <c r="AW111" i="1" s="1"/>
  <c r="AL111" i="1"/>
  <c r="AK111" i="1"/>
  <c r="AJ111" i="1"/>
  <c r="AH111" i="1"/>
  <c r="AG111" i="1"/>
  <c r="AF111" i="1"/>
  <c r="AC111" i="1"/>
  <c r="AB111" i="1"/>
  <c r="Z111" i="1"/>
  <c r="O111" i="1"/>
  <c r="BF111" i="1" s="1"/>
  <c r="L111" i="1"/>
  <c r="K111" i="1"/>
  <c r="BW110" i="1"/>
  <c r="M110" i="1" s="1"/>
  <c r="BJ110" i="1"/>
  <c r="BD110" i="1"/>
  <c r="AX110" i="1"/>
  <c r="AP110" i="1"/>
  <c r="BI110" i="1" s="1"/>
  <c r="AE110" i="1" s="1"/>
  <c r="AO110" i="1"/>
  <c r="AW110" i="1" s="1"/>
  <c r="AL110" i="1"/>
  <c r="AK110" i="1"/>
  <c r="AJ110" i="1"/>
  <c r="AH110" i="1"/>
  <c r="AG110" i="1"/>
  <c r="AF110" i="1"/>
  <c r="AC110" i="1"/>
  <c r="AB110" i="1"/>
  <c r="Z110" i="1"/>
  <c r="O110" i="1"/>
  <c r="BF110" i="1" s="1"/>
  <c r="L110" i="1"/>
  <c r="K110" i="1"/>
  <c r="BW109" i="1"/>
  <c r="BJ109" i="1"/>
  <c r="BF109" i="1"/>
  <c r="BD109" i="1"/>
  <c r="AP109" i="1"/>
  <c r="BI109" i="1" s="1"/>
  <c r="AE109" i="1" s="1"/>
  <c r="AO109" i="1"/>
  <c r="AW109" i="1" s="1"/>
  <c r="AL109" i="1"/>
  <c r="AJ109" i="1"/>
  <c r="AH109" i="1"/>
  <c r="AG109" i="1"/>
  <c r="AF109" i="1"/>
  <c r="AC109" i="1"/>
  <c r="AB109" i="1"/>
  <c r="Z109" i="1"/>
  <c r="O109" i="1"/>
  <c r="L109" i="1"/>
  <c r="M109" i="1" s="1"/>
  <c r="K109" i="1"/>
  <c r="J109" i="1"/>
  <c r="BW108" i="1"/>
  <c r="BJ108" i="1"/>
  <c r="BD108" i="1"/>
  <c r="AP108" i="1"/>
  <c r="K108" i="1" s="1"/>
  <c r="AO108" i="1"/>
  <c r="AW108" i="1" s="1"/>
  <c r="AL108" i="1"/>
  <c r="AJ108" i="1"/>
  <c r="AH108" i="1"/>
  <c r="AG108" i="1"/>
  <c r="AF108" i="1"/>
  <c r="AC108" i="1"/>
  <c r="AB108" i="1"/>
  <c r="Z108" i="1"/>
  <c r="O108" i="1"/>
  <c r="BF108" i="1" s="1"/>
  <c r="L108" i="1"/>
  <c r="AK108" i="1" s="1"/>
  <c r="BW106" i="1"/>
  <c r="BJ106" i="1"/>
  <c r="BF106" i="1"/>
  <c r="BD106" i="1"/>
  <c r="AP106" i="1"/>
  <c r="AX106" i="1" s="1"/>
  <c r="AO106" i="1"/>
  <c r="AW106" i="1" s="1"/>
  <c r="AL106" i="1"/>
  <c r="AJ106" i="1"/>
  <c r="AH106" i="1"/>
  <c r="AG106" i="1"/>
  <c r="AF106" i="1"/>
  <c r="AC106" i="1"/>
  <c r="AB106" i="1"/>
  <c r="Z106" i="1"/>
  <c r="O106" i="1"/>
  <c r="L106" i="1"/>
  <c r="AK106" i="1" s="1"/>
  <c r="J106" i="1"/>
  <c r="BW105" i="1"/>
  <c r="BJ105" i="1"/>
  <c r="BD105" i="1"/>
  <c r="AX105" i="1"/>
  <c r="AP105" i="1"/>
  <c r="BI105" i="1" s="1"/>
  <c r="AE105" i="1" s="1"/>
  <c r="AO105" i="1"/>
  <c r="BH105" i="1" s="1"/>
  <c r="AD105" i="1" s="1"/>
  <c r="AL105" i="1"/>
  <c r="AJ105" i="1"/>
  <c r="AH105" i="1"/>
  <c r="AG105" i="1"/>
  <c r="AF105" i="1"/>
  <c r="AC105" i="1"/>
  <c r="AB105" i="1"/>
  <c r="Z105" i="1"/>
  <c r="O105" i="1"/>
  <c r="BF105" i="1" s="1"/>
  <c r="L105" i="1"/>
  <c r="AK105" i="1" s="1"/>
  <c r="K105" i="1"/>
  <c r="BW104" i="1"/>
  <c r="BJ104" i="1"/>
  <c r="BD104" i="1"/>
  <c r="AP104" i="1"/>
  <c r="K104" i="1" s="1"/>
  <c r="AO104" i="1"/>
  <c r="AW104" i="1" s="1"/>
  <c r="AL104" i="1"/>
  <c r="AJ104" i="1"/>
  <c r="AH104" i="1"/>
  <c r="AG104" i="1"/>
  <c r="AF104" i="1"/>
  <c r="AC104" i="1"/>
  <c r="AB104" i="1"/>
  <c r="Z104" i="1"/>
  <c r="O104" i="1"/>
  <c r="BF104" i="1" s="1"/>
  <c r="L104" i="1"/>
  <c r="J104" i="1"/>
  <c r="BW103" i="1"/>
  <c r="BJ103" i="1"/>
  <c r="BD103" i="1"/>
  <c r="AP103" i="1"/>
  <c r="AX103" i="1" s="1"/>
  <c r="AO103" i="1"/>
  <c r="AL103" i="1"/>
  <c r="AJ103" i="1"/>
  <c r="AH103" i="1"/>
  <c r="AG103" i="1"/>
  <c r="AF103" i="1"/>
  <c r="AC103" i="1"/>
  <c r="AB103" i="1"/>
  <c r="Z103" i="1"/>
  <c r="O103" i="1"/>
  <c r="BF103" i="1" s="1"/>
  <c r="L103" i="1"/>
  <c r="AK103" i="1" s="1"/>
  <c r="K103" i="1"/>
  <c r="BW102" i="1"/>
  <c r="BJ102" i="1"/>
  <c r="BI102" i="1"/>
  <c r="BF102" i="1"/>
  <c r="BD102" i="1"/>
  <c r="AP102" i="1"/>
  <c r="AX102" i="1" s="1"/>
  <c r="AO102" i="1"/>
  <c r="AW102" i="1" s="1"/>
  <c r="AL102" i="1"/>
  <c r="AJ102" i="1"/>
  <c r="AH102" i="1"/>
  <c r="AG102" i="1"/>
  <c r="AF102" i="1"/>
  <c r="AE102" i="1"/>
  <c r="AC102" i="1"/>
  <c r="AB102" i="1"/>
  <c r="Z102" i="1"/>
  <c r="O102" i="1"/>
  <c r="L102" i="1"/>
  <c r="M102" i="1" s="1"/>
  <c r="K102" i="1"/>
  <c r="J102" i="1"/>
  <c r="BW101" i="1"/>
  <c r="BJ101" i="1"/>
  <c r="BD101" i="1"/>
  <c r="AX101" i="1"/>
  <c r="AP101" i="1"/>
  <c r="BI101" i="1" s="1"/>
  <c r="AE101" i="1" s="1"/>
  <c r="AO101" i="1"/>
  <c r="J101" i="1" s="1"/>
  <c r="AL101" i="1"/>
  <c r="AJ101" i="1"/>
  <c r="AH101" i="1"/>
  <c r="AG101" i="1"/>
  <c r="AF101" i="1"/>
  <c r="AC101" i="1"/>
  <c r="AB101" i="1"/>
  <c r="Z101" i="1"/>
  <c r="O101" i="1"/>
  <c r="BF101" i="1" s="1"/>
  <c r="L101" i="1"/>
  <c r="AK101" i="1" s="1"/>
  <c r="K101" i="1"/>
  <c r="BW100" i="1"/>
  <c r="BJ100" i="1"/>
  <c r="BD100" i="1"/>
  <c r="AP100" i="1"/>
  <c r="K100" i="1" s="1"/>
  <c r="AO100" i="1"/>
  <c r="AW100" i="1" s="1"/>
  <c r="AL100" i="1"/>
  <c r="AJ100" i="1"/>
  <c r="AH100" i="1"/>
  <c r="AG100" i="1"/>
  <c r="AF100" i="1"/>
  <c r="AC100" i="1"/>
  <c r="AB100" i="1"/>
  <c r="Z100" i="1"/>
  <c r="O100" i="1"/>
  <c r="BF100" i="1" s="1"/>
  <c r="L100" i="1"/>
  <c r="BW99" i="1"/>
  <c r="BJ99" i="1"/>
  <c r="BD99" i="1"/>
  <c r="AP99" i="1"/>
  <c r="BI99" i="1" s="1"/>
  <c r="AE99" i="1" s="1"/>
  <c r="AO99" i="1"/>
  <c r="AW99" i="1" s="1"/>
  <c r="AL99" i="1"/>
  <c r="AJ99" i="1"/>
  <c r="AH99" i="1"/>
  <c r="AG99" i="1"/>
  <c r="AF99" i="1"/>
  <c r="AC99" i="1"/>
  <c r="AB99" i="1"/>
  <c r="Z99" i="1"/>
  <c r="O99" i="1"/>
  <c r="BF99" i="1" s="1"/>
  <c r="M99" i="1"/>
  <c r="L99" i="1"/>
  <c r="AK99" i="1" s="1"/>
  <c r="BW98" i="1"/>
  <c r="BJ98" i="1"/>
  <c r="BF98" i="1"/>
  <c r="BD98" i="1"/>
  <c r="AP98" i="1"/>
  <c r="BI98" i="1" s="1"/>
  <c r="AE98" i="1" s="1"/>
  <c r="AO98" i="1"/>
  <c r="AW98" i="1" s="1"/>
  <c r="AL98" i="1"/>
  <c r="AJ98" i="1"/>
  <c r="AH98" i="1"/>
  <c r="AG98" i="1"/>
  <c r="AF98" i="1"/>
  <c r="AC98" i="1"/>
  <c r="AB98" i="1"/>
  <c r="Z98" i="1"/>
  <c r="O98" i="1"/>
  <c r="M98" i="1"/>
  <c r="L98" i="1"/>
  <c r="AK98" i="1" s="1"/>
  <c r="BW97" i="1"/>
  <c r="M97" i="1" s="1"/>
  <c r="BJ97" i="1"/>
  <c r="BH97" i="1"/>
  <c r="AD97" i="1" s="1"/>
  <c r="BD97" i="1"/>
  <c r="AX97" i="1"/>
  <c r="AW97" i="1"/>
  <c r="AP97" i="1"/>
  <c r="BI97" i="1" s="1"/>
  <c r="AE97" i="1" s="1"/>
  <c r="AO97" i="1"/>
  <c r="AL97" i="1"/>
  <c r="AJ97" i="1"/>
  <c r="AH97" i="1"/>
  <c r="AG97" i="1"/>
  <c r="AF97" i="1"/>
  <c r="AC97" i="1"/>
  <c r="AB97" i="1"/>
  <c r="Z97" i="1"/>
  <c r="O97" i="1"/>
  <c r="BF97" i="1" s="1"/>
  <c r="L97" i="1"/>
  <c r="AK97" i="1" s="1"/>
  <c r="J97" i="1"/>
  <c r="BW96" i="1"/>
  <c r="BJ96" i="1"/>
  <c r="BF96" i="1"/>
  <c r="BD96" i="1"/>
  <c r="AP96" i="1"/>
  <c r="BI96" i="1" s="1"/>
  <c r="AE96" i="1" s="1"/>
  <c r="AO96" i="1"/>
  <c r="AW96" i="1" s="1"/>
  <c r="AL96" i="1"/>
  <c r="AJ96" i="1"/>
  <c r="AH96" i="1"/>
  <c r="AG96" i="1"/>
  <c r="AF96" i="1"/>
  <c r="AC96" i="1"/>
  <c r="AB96" i="1"/>
  <c r="Z96" i="1"/>
  <c r="O96" i="1"/>
  <c r="L96" i="1"/>
  <c r="M96" i="1" s="1"/>
  <c r="BW95" i="1"/>
  <c r="M95" i="1" s="1"/>
  <c r="BJ95" i="1"/>
  <c r="BI95" i="1"/>
  <c r="AE95" i="1" s="1"/>
  <c r="BH95" i="1"/>
  <c r="BF95" i="1"/>
  <c r="BD95" i="1"/>
  <c r="AX95" i="1"/>
  <c r="AW95" i="1"/>
  <c r="AP95" i="1"/>
  <c r="AO95" i="1"/>
  <c r="AL95" i="1"/>
  <c r="AJ95" i="1"/>
  <c r="AH95" i="1"/>
  <c r="AG95" i="1"/>
  <c r="AF95" i="1"/>
  <c r="AD95" i="1"/>
  <c r="AC95" i="1"/>
  <c r="AB95" i="1"/>
  <c r="Z95" i="1"/>
  <c r="O95" i="1"/>
  <c r="L95" i="1"/>
  <c r="AK95" i="1" s="1"/>
  <c r="K95" i="1"/>
  <c r="J95" i="1"/>
  <c r="BW94" i="1"/>
  <c r="BJ94" i="1"/>
  <c r="BF94" i="1"/>
  <c r="BD94" i="1"/>
  <c r="AP94" i="1"/>
  <c r="AO94" i="1"/>
  <c r="BH94" i="1" s="1"/>
  <c r="AD94" i="1" s="1"/>
  <c r="AL94" i="1"/>
  <c r="AJ94" i="1"/>
  <c r="AH94" i="1"/>
  <c r="AG94" i="1"/>
  <c r="AF94" i="1"/>
  <c r="AC94" i="1"/>
  <c r="AB94" i="1"/>
  <c r="Z94" i="1"/>
  <c r="O94" i="1"/>
  <c r="L94" i="1"/>
  <c r="AK94" i="1" s="1"/>
  <c r="K94" i="1"/>
  <c r="BW93" i="1"/>
  <c r="BJ93" i="1"/>
  <c r="BD93" i="1"/>
  <c r="AP93" i="1"/>
  <c r="BI93" i="1" s="1"/>
  <c r="AE93" i="1" s="1"/>
  <c r="AO93" i="1"/>
  <c r="AW93" i="1" s="1"/>
  <c r="AL93" i="1"/>
  <c r="AJ93" i="1"/>
  <c r="AH93" i="1"/>
  <c r="AG93" i="1"/>
  <c r="AF93" i="1"/>
  <c r="AC93" i="1"/>
  <c r="AB93" i="1"/>
  <c r="Z93" i="1"/>
  <c r="O93" i="1"/>
  <c r="BF93" i="1" s="1"/>
  <c r="L93" i="1"/>
  <c r="AK93" i="1" s="1"/>
  <c r="BW92" i="1"/>
  <c r="BJ92" i="1"/>
  <c r="BF92" i="1"/>
  <c r="BD92" i="1"/>
  <c r="AX92" i="1"/>
  <c r="AP92" i="1"/>
  <c r="BI92" i="1" s="1"/>
  <c r="AE92" i="1" s="1"/>
  <c r="AO92" i="1"/>
  <c r="AW92" i="1" s="1"/>
  <c r="AL92" i="1"/>
  <c r="AJ92" i="1"/>
  <c r="AH92" i="1"/>
  <c r="AG92" i="1"/>
  <c r="AF92" i="1"/>
  <c r="AC92" i="1"/>
  <c r="AB92" i="1"/>
  <c r="Z92" i="1"/>
  <c r="O92" i="1"/>
  <c r="L92" i="1"/>
  <c r="M92" i="1" s="1"/>
  <c r="K92" i="1"/>
  <c r="J92" i="1"/>
  <c r="BW91" i="1"/>
  <c r="BJ91" i="1"/>
  <c r="BH91" i="1"/>
  <c r="AD91" i="1" s="1"/>
  <c r="BF91" i="1"/>
  <c r="BD91" i="1"/>
  <c r="AP91" i="1"/>
  <c r="K91" i="1" s="1"/>
  <c r="AO91" i="1"/>
  <c r="AW91" i="1" s="1"/>
  <c r="AL91" i="1"/>
  <c r="AJ91" i="1"/>
  <c r="AH91" i="1"/>
  <c r="AG91" i="1"/>
  <c r="AF91" i="1"/>
  <c r="AC91" i="1"/>
  <c r="AB91" i="1"/>
  <c r="Z91" i="1"/>
  <c r="O91" i="1"/>
  <c r="L91" i="1"/>
  <c r="AK91" i="1" s="1"/>
  <c r="BW89" i="1"/>
  <c r="BJ89" i="1"/>
  <c r="BF89" i="1"/>
  <c r="BD89" i="1"/>
  <c r="AP89" i="1"/>
  <c r="AO89" i="1"/>
  <c r="AW89" i="1" s="1"/>
  <c r="AL89" i="1"/>
  <c r="AJ89" i="1"/>
  <c r="AH89" i="1"/>
  <c r="AG89" i="1"/>
  <c r="AF89" i="1"/>
  <c r="AC89" i="1"/>
  <c r="AB89" i="1"/>
  <c r="Z89" i="1"/>
  <c r="O89" i="1"/>
  <c r="L89" i="1"/>
  <c r="AK89" i="1" s="1"/>
  <c r="K89" i="1"/>
  <c r="BW87" i="1"/>
  <c r="BJ87" i="1"/>
  <c r="BD87" i="1"/>
  <c r="AP87" i="1"/>
  <c r="BI87" i="1" s="1"/>
  <c r="AE87" i="1" s="1"/>
  <c r="AO87" i="1"/>
  <c r="BH87" i="1" s="1"/>
  <c r="AD87" i="1" s="1"/>
  <c r="AL87" i="1"/>
  <c r="AJ87" i="1"/>
  <c r="AH87" i="1"/>
  <c r="AG87" i="1"/>
  <c r="AF87" i="1"/>
  <c r="AC87" i="1"/>
  <c r="AB87" i="1"/>
  <c r="Z87" i="1"/>
  <c r="O87" i="1"/>
  <c r="BF87" i="1" s="1"/>
  <c r="L87" i="1"/>
  <c r="AK87" i="1" s="1"/>
  <c r="K87" i="1"/>
  <c r="BW85" i="1"/>
  <c r="BJ85" i="1"/>
  <c r="BD85" i="1"/>
  <c r="AP85" i="1"/>
  <c r="K85" i="1" s="1"/>
  <c r="AO85" i="1"/>
  <c r="AW85" i="1" s="1"/>
  <c r="AL85" i="1"/>
  <c r="AJ85" i="1"/>
  <c r="AH85" i="1"/>
  <c r="AG85" i="1"/>
  <c r="AF85" i="1"/>
  <c r="AC85" i="1"/>
  <c r="AB85" i="1"/>
  <c r="Z85" i="1"/>
  <c r="O85" i="1"/>
  <c r="BF85" i="1" s="1"/>
  <c r="L85" i="1"/>
  <c r="J85" i="1"/>
  <c r="BW83" i="1"/>
  <c r="BJ83" i="1"/>
  <c r="BD83" i="1"/>
  <c r="AP83" i="1"/>
  <c r="AX83" i="1" s="1"/>
  <c r="AO83" i="1"/>
  <c r="AL83" i="1"/>
  <c r="AJ83" i="1"/>
  <c r="AH83" i="1"/>
  <c r="AG83" i="1"/>
  <c r="AF83" i="1"/>
  <c r="AC83" i="1"/>
  <c r="AB83" i="1"/>
  <c r="Z83" i="1"/>
  <c r="O83" i="1"/>
  <c r="BF83" i="1" s="1"/>
  <c r="L83" i="1"/>
  <c r="AK83" i="1" s="1"/>
  <c r="K83" i="1"/>
  <c r="BW81" i="1"/>
  <c r="M81" i="1" s="1"/>
  <c r="BJ81" i="1"/>
  <c r="BF81" i="1"/>
  <c r="BD81" i="1"/>
  <c r="AP81" i="1"/>
  <c r="AX81" i="1" s="1"/>
  <c r="AO81" i="1"/>
  <c r="AW81" i="1" s="1"/>
  <c r="AL81" i="1"/>
  <c r="AJ81" i="1"/>
  <c r="AH81" i="1"/>
  <c r="AG81" i="1"/>
  <c r="AF81" i="1"/>
  <c r="AC81" i="1"/>
  <c r="AB81" i="1"/>
  <c r="Z81" i="1"/>
  <c r="O81" i="1"/>
  <c r="L81" i="1"/>
  <c r="AK81" i="1" s="1"/>
  <c r="K81" i="1"/>
  <c r="BW79" i="1"/>
  <c r="BJ79" i="1"/>
  <c r="BD79" i="1"/>
  <c r="AX79" i="1"/>
  <c r="AP79" i="1"/>
  <c r="BI79" i="1" s="1"/>
  <c r="AE79" i="1" s="1"/>
  <c r="AO79" i="1"/>
  <c r="AW79" i="1" s="1"/>
  <c r="AL79" i="1"/>
  <c r="AJ79" i="1"/>
  <c r="AH79" i="1"/>
  <c r="AG79" i="1"/>
  <c r="AF79" i="1"/>
  <c r="AC79" i="1"/>
  <c r="AB79" i="1"/>
  <c r="Z79" i="1"/>
  <c r="O79" i="1"/>
  <c r="BF79" i="1" s="1"/>
  <c r="M79" i="1"/>
  <c r="L79" i="1"/>
  <c r="AK79" i="1" s="1"/>
  <c r="K79" i="1"/>
  <c r="J79" i="1"/>
  <c r="BW77" i="1"/>
  <c r="BJ77" i="1"/>
  <c r="BD77" i="1"/>
  <c r="AP77" i="1"/>
  <c r="K77" i="1" s="1"/>
  <c r="AO77" i="1"/>
  <c r="AW77" i="1" s="1"/>
  <c r="AL77" i="1"/>
  <c r="AJ77" i="1"/>
  <c r="AH77" i="1"/>
  <c r="AG77" i="1"/>
  <c r="AF77" i="1"/>
  <c r="AC77" i="1"/>
  <c r="AB77" i="1"/>
  <c r="Z77" i="1"/>
  <c r="O77" i="1"/>
  <c r="BF77" i="1" s="1"/>
  <c r="L77" i="1"/>
  <c r="BW75" i="1"/>
  <c r="BJ75" i="1"/>
  <c r="BI75" i="1"/>
  <c r="AE75" i="1" s="1"/>
  <c r="BD75" i="1"/>
  <c r="AP75" i="1"/>
  <c r="AX75" i="1" s="1"/>
  <c r="AO75" i="1"/>
  <c r="AL75" i="1"/>
  <c r="AJ75" i="1"/>
  <c r="AH75" i="1"/>
  <c r="AG75" i="1"/>
  <c r="AF75" i="1"/>
  <c r="AC75" i="1"/>
  <c r="AB75" i="1"/>
  <c r="Z75" i="1"/>
  <c r="O75" i="1"/>
  <c r="BF75" i="1" s="1"/>
  <c r="L75" i="1"/>
  <c r="AK75" i="1" s="1"/>
  <c r="K75" i="1"/>
  <c r="BW73" i="1"/>
  <c r="M73" i="1" s="1"/>
  <c r="BJ73" i="1"/>
  <c r="BF73" i="1"/>
  <c r="BD73" i="1"/>
  <c r="AP73" i="1"/>
  <c r="BI73" i="1" s="1"/>
  <c r="AO73" i="1"/>
  <c r="AW73" i="1" s="1"/>
  <c r="AL73" i="1"/>
  <c r="AK73" i="1"/>
  <c r="AJ73" i="1"/>
  <c r="AH73" i="1"/>
  <c r="AG73" i="1"/>
  <c r="AF73" i="1"/>
  <c r="AE73" i="1"/>
  <c r="AC73" i="1"/>
  <c r="AB73" i="1"/>
  <c r="Z73" i="1"/>
  <c r="O73" i="1"/>
  <c r="L73" i="1"/>
  <c r="BW72" i="1"/>
  <c r="M72" i="1" s="1"/>
  <c r="BJ72" i="1"/>
  <c r="BD72" i="1"/>
  <c r="AX72" i="1"/>
  <c r="AP72" i="1"/>
  <c r="BI72" i="1" s="1"/>
  <c r="AE72" i="1" s="1"/>
  <c r="AO72" i="1"/>
  <c r="AW72" i="1" s="1"/>
  <c r="AL72" i="1"/>
  <c r="AJ72" i="1"/>
  <c r="AH72" i="1"/>
  <c r="AG72" i="1"/>
  <c r="AF72" i="1"/>
  <c r="AC72" i="1"/>
  <c r="AB72" i="1"/>
  <c r="Z72" i="1"/>
  <c r="O72" i="1"/>
  <c r="BF72" i="1" s="1"/>
  <c r="L72" i="1"/>
  <c r="AK72" i="1" s="1"/>
  <c r="K72" i="1"/>
  <c r="J72" i="1"/>
  <c r="BW71" i="1"/>
  <c r="BJ71" i="1"/>
  <c r="BF71" i="1"/>
  <c r="BD71" i="1"/>
  <c r="AP71" i="1"/>
  <c r="BI71" i="1" s="1"/>
  <c r="AE71" i="1" s="1"/>
  <c r="AO71" i="1"/>
  <c r="AL71" i="1"/>
  <c r="AJ71" i="1"/>
  <c r="AH71" i="1"/>
  <c r="AG71" i="1"/>
  <c r="AF71" i="1"/>
  <c r="AC71" i="1"/>
  <c r="AB71" i="1"/>
  <c r="Z71" i="1"/>
  <c r="O71" i="1"/>
  <c r="L71" i="1"/>
  <c r="M71" i="1" s="1"/>
  <c r="BW70" i="1"/>
  <c r="BJ70" i="1"/>
  <c r="BI70" i="1"/>
  <c r="AE70" i="1" s="1"/>
  <c r="BF70" i="1"/>
  <c r="BD70" i="1"/>
  <c r="AX70" i="1"/>
  <c r="AP70" i="1"/>
  <c r="AO70" i="1"/>
  <c r="BH70" i="1" s="1"/>
  <c r="AD70" i="1" s="1"/>
  <c r="AL70" i="1"/>
  <c r="AJ70" i="1"/>
  <c r="AH70" i="1"/>
  <c r="AG70" i="1"/>
  <c r="AF70" i="1"/>
  <c r="AC70" i="1"/>
  <c r="AB70" i="1"/>
  <c r="Z70" i="1"/>
  <c r="O70" i="1"/>
  <c r="L70" i="1"/>
  <c r="AK70" i="1" s="1"/>
  <c r="K70" i="1"/>
  <c r="BW69" i="1"/>
  <c r="BJ69" i="1"/>
  <c r="BF69" i="1"/>
  <c r="BD69" i="1"/>
  <c r="AW69" i="1"/>
  <c r="AP69" i="1"/>
  <c r="BI69" i="1" s="1"/>
  <c r="AE69" i="1" s="1"/>
  <c r="AO69" i="1"/>
  <c r="BH69" i="1" s="1"/>
  <c r="AD69" i="1" s="1"/>
  <c r="AL69" i="1"/>
  <c r="AK69" i="1"/>
  <c r="AJ69" i="1"/>
  <c r="AH69" i="1"/>
  <c r="AG69" i="1"/>
  <c r="AF69" i="1"/>
  <c r="AC69" i="1"/>
  <c r="AB69" i="1"/>
  <c r="Z69" i="1"/>
  <c r="O69" i="1"/>
  <c r="M69" i="1"/>
  <c r="L69" i="1"/>
  <c r="J69" i="1"/>
  <c r="BW68" i="1"/>
  <c r="M68" i="1" s="1"/>
  <c r="BJ68" i="1"/>
  <c r="BD68" i="1"/>
  <c r="AX68" i="1"/>
  <c r="AP68" i="1"/>
  <c r="BI68" i="1" s="1"/>
  <c r="AE68" i="1" s="1"/>
  <c r="AO68" i="1"/>
  <c r="AW68" i="1" s="1"/>
  <c r="AL68" i="1"/>
  <c r="AK68" i="1"/>
  <c r="AJ68" i="1"/>
  <c r="AH68" i="1"/>
  <c r="AG68" i="1"/>
  <c r="AF68" i="1"/>
  <c r="AC68" i="1"/>
  <c r="AB68" i="1"/>
  <c r="Z68" i="1"/>
  <c r="O68" i="1"/>
  <c r="BF68" i="1" s="1"/>
  <c r="L68" i="1"/>
  <c r="K68" i="1"/>
  <c r="BW67" i="1"/>
  <c r="BJ67" i="1"/>
  <c r="BF67" i="1"/>
  <c r="BD67" i="1"/>
  <c r="AP67" i="1"/>
  <c r="BI67" i="1" s="1"/>
  <c r="AE67" i="1" s="1"/>
  <c r="AO67" i="1"/>
  <c r="AW67" i="1" s="1"/>
  <c r="AL67" i="1"/>
  <c r="AJ67" i="1"/>
  <c r="AH67" i="1"/>
  <c r="AG67" i="1"/>
  <c r="AF67" i="1"/>
  <c r="AC67" i="1"/>
  <c r="AB67" i="1"/>
  <c r="Z67" i="1"/>
  <c r="O67" i="1"/>
  <c r="L67" i="1"/>
  <c r="M67" i="1" s="1"/>
  <c r="J67" i="1"/>
  <c r="BW66" i="1"/>
  <c r="BJ66" i="1"/>
  <c r="BH66" i="1"/>
  <c r="AD66" i="1" s="1"/>
  <c r="BF66" i="1"/>
  <c r="BD66" i="1"/>
  <c r="AP66" i="1"/>
  <c r="K66" i="1" s="1"/>
  <c r="AO66" i="1"/>
  <c r="AW66" i="1" s="1"/>
  <c r="AL66" i="1"/>
  <c r="AJ66" i="1"/>
  <c r="AH66" i="1"/>
  <c r="AG66" i="1"/>
  <c r="AF66" i="1"/>
  <c r="AC66" i="1"/>
  <c r="AB66" i="1"/>
  <c r="Z66" i="1"/>
  <c r="O66" i="1"/>
  <c r="L66" i="1"/>
  <c r="AK66" i="1" s="1"/>
  <c r="BW65" i="1"/>
  <c r="BJ65" i="1"/>
  <c r="BF65" i="1"/>
  <c r="BD65" i="1"/>
  <c r="AP65" i="1"/>
  <c r="AX65" i="1" s="1"/>
  <c r="AO65" i="1"/>
  <c r="AW65" i="1" s="1"/>
  <c r="AL65" i="1"/>
  <c r="AK65" i="1"/>
  <c r="AJ65" i="1"/>
  <c r="AH65" i="1"/>
  <c r="AG65" i="1"/>
  <c r="AF65" i="1"/>
  <c r="AC65" i="1"/>
  <c r="AB65" i="1"/>
  <c r="Z65" i="1"/>
  <c r="O65" i="1"/>
  <c r="M65" i="1"/>
  <c r="L65" i="1"/>
  <c r="J65" i="1"/>
  <c r="BW64" i="1"/>
  <c r="BJ64" i="1"/>
  <c r="BD64" i="1"/>
  <c r="AP64" i="1"/>
  <c r="BI64" i="1" s="1"/>
  <c r="AE64" i="1" s="1"/>
  <c r="AO64" i="1"/>
  <c r="AL64" i="1"/>
  <c r="AJ64" i="1"/>
  <c r="AH64" i="1"/>
  <c r="AG64" i="1"/>
  <c r="AF64" i="1"/>
  <c r="AC64" i="1"/>
  <c r="AB64" i="1"/>
  <c r="Z64" i="1"/>
  <c r="O64" i="1"/>
  <c r="BF64" i="1" s="1"/>
  <c r="L64" i="1"/>
  <c r="AK64" i="1" s="1"/>
  <c r="BW63" i="1"/>
  <c r="BJ63" i="1"/>
  <c r="BH63" i="1"/>
  <c r="AD63" i="1" s="1"/>
  <c r="BD63" i="1"/>
  <c r="AP63" i="1"/>
  <c r="K63" i="1" s="1"/>
  <c r="AO63" i="1"/>
  <c r="AW63" i="1" s="1"/>
  <c r="AL63" i="1"/>
  <c r="AJ63" i="1"/>
  <c r="AH63" i="1"/>
  <c r="AG63" i="1"/>
  <c r="AF63" i="1"/>
  <c r="AC63" i="1"/>
  <c r="AB63" i="1"/>
  <c r="Z63" i="1"/>
  <c r="O63" i="1"/>
  <c r="BF63" i="1" s="1"/>
  <c r="L63" i="1"/>
  <c r="BW62" i="1"/>
  <c r="BJ62" i="1"/>
  <c r="BD62" i="1"/>
  <c r="AP62" i="1"/>
  <c r="BI62" i="1" s="1"/>
  <c r="AE62" i="1" s="1"/>
  <c r="AO62" i="1"/>
  <c r="AL62" i="1"/>
  <c r="AJ62" i="1"/>
  <c r="AH62" i="1"/>
  <c r="AG62" i="1"/>
  <c r="AF62" i="1"/>
  <c r="AC62" i="1"/>
  <c r="AB62" i="1"/>
  <c r="Z62" i="1"/>
  <c r="O62" i="1"/>
  <c r="BF62" i="1" s="1"/>
  <c r="L62" i="1"/>
  <c r="AK62" i="1" s="1"/>
  <c r="BW61" i="1"/>
  <c r="BJ61" i="1"/>
  <c r="BD61" i="1"/>
  <c r="AW61" i="1"/>
  <c r="AP61" i="1"/>
  <c r="AX61" i="1" s="1"/>
  <c r="AO61" i="1"/>
  <c r="BH61" i="1" s="1"/>
  <c r="AD61" i="1" s="1"/>
  <c r="AL61" i="1"/>
  <c r="AJ61" i="1"/>
  <c r="AH61" i="1"/>
  <c r="AG61" i="1"/>
  <c r="AF61" i="1"/>
  <c r="AC61" i="1"/>
  <c r="AB61" i="1"/>
  <c r="Z61" i="1"/>
  <c r="O61" i="1"/>
  <c r="BF61" i="1" s="1"/>
  <c r="L61" i="1"/>
  <c r="M61" i="1" s="1"/>
  <c r="K61" i="1"/>
  <c r="J61" i="1"/>
  <c r="BW60" i="1"/>
  <c r="BJ60" i="1"/>
  <c r="BH60" i="1"/>
  <c r="AD60" i="1" s="1"/>
  <c r="BD60" i="1"/>
  <c r="AW60" i="1"/>
  <c r="AP60" i="1"/>
  <c r="BI60" i="1" s="1"/>
  <c r="AE60" i="1" s="1"/>
  <c r="AO60" i="1"/>
  <c r="AL60" i="1"/>
  <c r="AK60" i="1"/>
  <c r="AJ60" i="1"/>
  <c r="AH60" i="1"/>
  <c r="AG60" i="1"/>
  <c r="AF60" i="1"/>
  <c r="AC60" i="1"/>
  <c r="AB60" i="1"/>
  <c r="Z60" i="1"/>
  <c r="O60" i="1"/>
  <c r="BF60" i="1" s="1"/>
  <c r="M60" i="1"/>
  <c r="L60" i="1"/>
  <c r="J60" i="1"/>
  <c r="BW59" i="1"/>
  <c r="BJ59" i="1"/>
  <c r="BI59" i="1"/>
  <c r="AE59" i="1" s="1"/>
  <c r="BH59" i="1"/>
  <c r="AD59" i="1" s="1"/>
  <c r="BD59" i="1"/>
  <c r="AP59" i="1"/>
  <c r="AX59" i="1" s="1"/>
  <c r="AO59" i="1"/>
  <c r="AW59" i="1" s="1"/>
  <c r="AL59" i="1"/>
  <c r="AJ59" i="1"/>
  <c r="AH59" i="1"/>
  <c r="AG59" i="1"/>
  <c r="AF59" i="1"/>
  <c r="AC59" i="1"/>
  <c r="AB59" i="1"/>
  <c r="Z59" i="1"/>
  <c r="O59" i="1"/>
  <c r="BF59" i="1" s="1"/>
  <c r="L59" i="1"/>
  <c r="BW58" i="1"/>
  <c r="BJ58" i="1"/>
  <c r="BI58" i="1"/>
  <c r="AE58" i="1" s="1"/>
  <c r="BD58" i="1"/>
  <c r="AP58" i="1"/>
  <c r="AX58" i="1" s="1"/>
  <c r="AO58" i="1"/>
  <c r="AL58" i="1"/>
  <c r="AJ58" i="1"/>
  <c r="AH58" i="1"/>
  <c r="AG58" i="1"/>
  <c r="AF58" i="1"/>
  <c r="AC58" i="1"/>
  <c r="AB58" i="1"/>
  <c r="Z58" i="1"/>
  <c r="O58" i="1"/>
  <c r="BF58" i="1" s="1"/>
  <c r="L58" i="1"/>
  <c r="AK58" i="1" s="1"/>
  <c r="K58" i="1"/>
  <c r="BW57" i="1"/>
  <c r="BJ57" i="1"/>
  <c r="BF57" i="1"/>
  <c r="BD57" i="1"/>
  <c r="AP57" i="1"/>
  <c r="AO57" i="1"/>
  <c r="AL57" i="1"/>
  <c r="AK57" i="1"/>
  <c r="AJ57" i="1"/>
  <c r="AH57" i="1"/>
  <c r="AG57" i="1"/>
  <c r="AF57" i="1"/>
  <c r="AC57" i="1"/>
  <c r="AB57" i="1"/>
  <c r="Z57" i="1"/>
  <c r="O57" i="1"/>
  <c r="L57" i="1"/>
  <c r="M57" i="1" s="1"/>
  <c r="J57" i="1"/>
  <c r="BW56" i="1"/>
  <c r="BJ56" i="1"/>
  <c r="BD56" i="1"/>
  <c r="AP56" i="1"/>
  <c r="BI56" i="1" s="1"/>
  <c r="AE56" i="1" s="1"/>
  <c r="AO56" i="1"/>
  <c r="AW56" i="1" s="1"/>
  <c r="AL56" i="1"/>
  <c r="AJ56" i="1"/>
  <c r="AH56" i="1"/>
  <c r="AG56" i="1"/>
  <c r="AF56" i="1"/>
  <c r="AC56" i="1"/>
  <c r="AB56" i="1"/>
  <c r="Z56" i="1"/>
  <c r="O56" i="1"/>
  <c r="BF56" i="1" s="1"/>
  <c r="L56" i="1"/>
  <c r="AK56" i="1" s="1"/>
  <c r="BW55" i="1"/>
  <c r="BJ55" i="1"/>
  <c r="BD55" i="1"/>
  <c r="AP55" i="1"/>
  <c r="BI55" i="1" s="1"/>
  <c r="AE55" i="1" s="1"/>
  <c r="AO55" i="1"/>
  <c r="J55" i="1" s="1"/>
  <c r="AL55" i="1"/>
  <c r="AJ55" i="1"/>
  <c r="AH55" i="1"/>
  <c r="AG55" i="1"/>
  <c r="AF55" i="1"/>
  <c r="AC55" i="1"/>
  <c r="AB55" i="1"/>
  <c r="Z55" i="1"/>
  <c r="O55" i="1"/>
  <c r="BF55" i="1" s="1"/>
  <c r="L55" i="1"/>
  <c r="BW54" i="1"/>
  <c r="BJ54" i="1"/>
  <c r="BF54" i="1"/>
  <c r="BD54" i="1"/>
  <c r="AP54" i="1"/>
  <c r="BI54" i="1" s="1"/>
  <c r="AE54" i="1" s="1"/>
  <c r="AO54" i="1"/>
  <c r="AW54" i="1" s="1"/>
  <c r="AL54" i="1"/>
  <c r="AK54" i="1"/>
  <c r="AJ54" i="1"/>
  <c r="AH54" i="1"/>
  <c r="AG54" i="1"/>
  <c r="AF54" i="1"/>
  <c r="AC54" i="1"/>
  <c r="AB54" i="1"/>
  <c r="Z54" i="1"/>
  <c r="O54" i="1"/>
  <c r="L54" i="1"/>
  <c r="M54" i="1" s="1"/>
  <c r="BW53" i="1"/>
  <c r="BJ53" i="1"/>
  <c r="BH53" i="1"/>
  <c r="AD53" i="1" s="1"/>
  <c r="BF53" i="1"/>
  <c r="BD53" i="1"/>
  <c r="AW53" i="1"/>
  <c r="AP53" i="1"/>
  <c r="AX53" i="1" s="1"/>
  <c r="AV53" i="1" s="1"/>
  <c r="AO53" i="1"/>
  <c r="AL53" i="1"/>
  <c r="AJ53" i="1"/>
  <c r="AH53" i="1"/>
  <c r="AG53" i="1"/>
  <c r="AF53" i="1"/>
  <c r="AC53" i="1"/>
  <c r="AB53" i="1"/>
  <c r="Z53" i="1"/>
  <c r="O53" i="1"/>
  <c r="L53" i="1"/>
  <c r="K53" i="1"/>
  <c r="J53" i="1"/>
  <c r="BW51" i="1"/>
  <c r="BJ51" i="1"/>
  <c r="BI51" i="1"/>
  <c r="AE51" i="1" s="1"/>
  <c r="BF51" i="1"/>
  <c r="BD51" i="1"/>
  <c r="AX51" i="1"/>
  <c r="AP51" i="1"/>
  <c r="AO51" i="1"/>
  <c r="BH51" i="1" s="1"/>
  <c r="AD51" i="1" s="1"/>
  <c r="AL51" i="1"/>
  <c r="AJ51" i="1"/>
  <c r="AH51" i="1"/>
  <c r="AG51" i="1"/>
  <c r="AF51" i="1"/>
  <c r="AC51" i="1"/>
  <c r="AB51" i="1"/>
  <c r="Z51" i="1"/>
  <c r="O51" i="1"/>
  <c r="M51" i="1"/>
  <c r="L51" i="1"/>
  <c r="AK51" i="1" s="1"/>
  <c r="K51" i="1"/>
  <c r="J51" i="1"/>
  <c r="BW50" i="1"/>
  <c r="BJ50" i="1"/>
  <c r="BD50" i="1"/>
  <c r="AX50" i="1"/>
  <c r="AW50" i="1"/>
  <c r="AP50" i="1"/>
  <c r="BI50" i="1" s="1"/>
  <c r="AE50" i="1" s="1"/>
  <c r="AO50" i="1"/>
  <c r="BH50" i="1" s="1"/>
  <c r="AD50" i="1" s="1"/>
  <c r="AL50" i="1"/>
  <c r="AJ50" i="1"/>
  <c r="AH50" i="1"/>
  <c r="AG50" i="1"/>
  <c r="AF50" i="1"/>
  <c r="AC50" i="1"/>
  <c r="AB50" i="1"/>
  <c r="Z50" i="1"/>
  <c r="O50" i="1"/>
  <c r="BF50" i="1" s="1"/>
  <c r="L50" i="1"/>
  <c r="AK50" i="1" s="1"/>
  <c r="K50" i="1"/>
  <c r="J50" i="1"/>
  <c r="BW49" i="1"/>
  <c r="BJ49" i="1"/>
  <c r="BD49" i="1"/>
  <c r="AP49" i="1"/>
  <c r="BI49" i="1" s="1"/>
  <c r="AE49" i="1" s="1"/>
  <c r="AO49" i="1"/>
  <c r="BH49" i="1" s="1"/>
  <c r="AD49" i="1" s="1"/>
  <c r="AL49" i="1"/>
  <c r="AJ49" i="1"/>
  <c r="AH49" i="1"/>
  <c r="AG49" i="1"/>
  <c r="AF49" i="1"/>
  <c r="AC49" i="1"/>
  <c r="AB49" i="1"/>
  <c r="Z49" i="1"/>
  <c r="O49" i="1"/>
  <c r="BF49" i="1" s="1"/>
  <c r="L49" i="1"/>
  <c r="AK49" i="1" s="1"/>
  <c r="K49" i="1"/>
  <c r="BW48" i="1"/>
  <c r="BJ48" i="1"/>
  <c r="BF48" i="1"/>
  <c r="BD48" i="1"/>
  <c r="AP48" i="1"/>
  <c r="AO48" i="1"/>
  <c r="AW48" i="1" s="1"/>
  <c r="AL48" i="1"/>
  <c r="AJ48" i="1"/>
  <c r="AH48" i="1"/>
  <c r="AG48" i="1"/>
  <c r="AF48" i="1"/>
  <c r="AC48" i="1"/>
  <c r="AB48" i="1"/>
  <c r="Z48" i="1"/>
  <c r="O48" i="1"/>
  <c r="L48" i="1"/>
  <c r="BW47" i="1"/>
  <c r="BJ47" i="1"/>
  <c r="BI47" i="1"/>
  <c r="AE47" i="1" s="1"/>
  <c r="BD47" i="1"/>
  <c r="AP47" i="1"/>
  <c r="AX47" i="1" s="1"/>
  <c r="AO47" i="1"/>
  <c r="J47" i="1" s="1"/>
  <c r="AL47" i="1"/>
  <c r="AJ47" i="1"/>
  <c r="AH47" i="1"/>
  <c r="AG47" i="1"/>
  <c r="AF47" i="1"/>
  <c r="AC47" i="1"/>
  <c r="AB47" i="1"/>
  <c r="Z47" i="1"/>
  <c r="O47" i="1"/>
  <c r="BF47" i="1" s="1"/>
  <c r="L47" i="1"/>
  <c r="AK47" i="1" s="1"/>
  <c r="K47" i="1"/>
  <c r="BW45" i="1"/>
  <c r="BJ45" i="1"/>
  <c r="BI45" i="1"/>
  <c r="AE45" i="1" s="1"/>
  <c r="BF45" i="1"/>
  <c r="BD45" i="1"/>
  <c r="AX45" i="1"/>
  <c r="AP45" i="1"/>
  <c r="AO45" i="1"/>
  <c r="AW45" i="1" s="1"/>
  <c r="AL45" i="1"/>
  <c r="AK45" i="1"/>
  <c r="AJ45" i="1"/>
  <c r="AH45" i="1"/>
  <c r="AG45" i="1"/>
  <c r="AF45" i="1"/>
  <c r="AC45" i="1"/>
  <c r="AB45" i="1"/>
  <c r="Z45" i="1"/>
  <c r="O45" i="1"/>
  <c r="L45" i="1"/>
  <c r="K45" i="1"/>
  <c r="J45" i="1"/>
  <c r="BW43" i="1"/>
  <c r="BJ43" i="1"/>
  <c r="BD43" i="1"/>
  <c r="AP43" i="1"/>
  <c r="AO43" i="1"/>
  <c r="AW43" i="1" s="1"/>
  <c r="AL43" i="1"/>
  <c r="AK43" i="1"/>
  <c r="AJ43" i="1"/>
  <c r="AH43" i="1"/>
  <c r="AG43" i="1"/>
  <c r="AF43" i="1"/>
  <c r="AC43" i="1"/>
  <c r="AB43" i="1"/>
  <c r="Z43" i="1"/>
  <c r="O43" i="1"/>
  <c r="BF43" i="1" s="1"/>
  <c r="L43" i="1"/>
  <c r="M43" i="1" s="1"/>
  <c r="BW42" i="1"/>
  <c r="BJ42" i="1"/>
  <c r="BD42" i="1"/>
  <c r="AP42" i="1"/>
  <c r="BI42" i="1" s="1"/>
  <c r="AE42" i="1" s="1"/>
  <c r="AO42" i="1"/>
  <c r="AW42" i="1" s="1"/>
  <c r="AL42" i="1"/>
  <c r="AJ42" i="1"/>
  <c r="AH42" i="1"/>
  <c r="AG42" i="1"/>
  <c r="AF42" i="1"/>
  <c r="AC42" i="1"/>
  <c r="AB42" i="1"/>
  <c r="Z42" i="1"/>
  <c r="O42" i="1"/>
  <c r="BF42" i="1" s="1"/>
  <c r="L42" i="1"/>
  <c r="BW41" i="1"/>
  <c r="BJ41" i="1"/>
  <c r="BF41" i="1"/>
  <c r="BD41" i="1"/>
  <c r="AW41" i="1"/>
  <c r="AP41" i="1"/>
  <c r="BI41" i="1" s="1"/>
  <c r="AE41" i="1" s="1"/>
  <c r="AO41" i="1"/>
  <c r="BH41" i="1" s="1"/>
  <c r="AD41" i="1" s="1"/>
  <c r="AL41" i="1"/>
  <c r="AJ41" i="1"/>
  <c r="AH41" i="1"/>
  <c r="AG41" i="1"/>
  <c r="AF41" i="1"/>
  <c r="AC41" i="1"/>
  <c r="AB41" i="1"/>
  <c r="Z41" i="1"/>
  <c r="O41" i="1"/>
  <c r="L41" i="1"/>
  <c r="AK41" i="1" s="1"/>
  <c r="J41" i="1"/>
  <c r="BW39" i="1"/>
  <c r="BJ39" i="1"/>
  <c r="BD39" i="1"/>
  <c r="AX39" i="1"/>
  <c r="AP39" i="1"/>
  <c r="BI39" i="1" s="1"/>
  <c r="AE39" i="1" s="1"/>
  <c r="AO39" i="1"/>
  <c r="BH39" i="1" s="1"/>
  <c r="AD39" i="1" s="1"/>
  <c r="AL39" i="1"/>
  <c r="AK39" i="1"/>
  <c r="AJ39" i="1"/>
  <c r="AH39" i="1"/>
  <c r="AG39" i="1"/>
  <c r="AF39" i="1"/>
  <c r="AC39" i="1"/>
  <c r="AB39" i="1"/>
  <c r="Z39" i="1"/>
  <c r="O39" i="1"/>
  <c r="BF39" i="1" s="1"/>
  <c r="L39" i="1"/>
  <c r="K39" i="1"/>
  <c r="J39" i="1"/>
  <c r="BW37" i="1"/>
  <c r="BJ37" i="1"/>
  <c r="BD37" i="1"/>
  <c r="AP37" i="1"/>
  <c r="BI37" i="1" s="1"/>
  <c r="AE37" i="1" s="1"/>
  <c r="AO37" i="1"/>
  <c r="BH37" i="1" s="1"/>
  <c r="AL37" i="1"/>
  <c r="AJ37" i="1"/>
  <c r="AH37" i="1"/>
  <c r="AG37" i="1"/>
  <c r="AF37" i="1"/>
  <c r="AD37" i="1"/>
  <c r="AC37" i="1"/>
  <c r="AB37" i="1"/>
  <c r="Z37" i="1"/>
  <c r="O37" i="1"/>
  <c r="BF37" i="1" s="1"/>
  <c r="L37" i="1"/>
  <c r="AK37" i="1" s="1"/>
  <c r="K37" i="1"/>
  <c r="BW36" i="1"/>
  <c r="BJ36" i="1"/>
  <c r="BH36" i="1"/>
  <c r="AD36" i="1" s="1"/>
  <c r="BD36" i="1"/>
  <c r="AP36" i="1"/>
  <c r="AO36" i="1"/>
  <c r="AW36" i="1" s="1"/>
  <c r="AL36" i="1"/>
  <c r="AJ36" i="1"/>
  <c r="AH36" i="1"/>
  <c r="AG36" i="1"/>
  <c r="AF36" i="1"/>
  <c r="AC36" i="1"/>
  <c r="AB36" i="1"/>
  <c r="Z36" i="1"/>
  <c r="O36" i="1"/>
  <c r="BF36" i="1" s="1"/>
  <c r="L36" i="1"/>
  <c r="J36" i="1"/>
  <c r="BW35" i="1"/>
  <c r="BJ35" i="1"/>
  <c r="BI35" i="1"/>
  <c r="AE35" i="1" s="1"/>
  <c r="BD35" i="1"/>
  <c r="AP35" i="1"/>
  <c r="AX35" i="1" s="1"/>
  <c r="AO35" i="1"/>
  <c r="AW35" i="1" s="1"/>
  <c r="AL35" i="1"/>
  <c r="AJ35" i="1"/>
  <c r="AH35" i="1"/>
  <c r="AG35" i="1"/>
  <c r="AF35" i="1"/>
  <c r="AC35" i="1"/>
  <c r="AB35" i="1"/>
  <c r="Z35" i="1"/>
  <c r="O35" i="1"/>
  <c r="BF35" i="1" s="1"/>
  <c r="L35" i="1"/>
  <c r="AK35" i="1" s="1"/>
  <c r="K35" i="1"/>
  <c r="BW34" i="1"/>
  <c r="BJ34" i="1"/>
  <c r="BD34" i="1"/>
  <c r="AP34" i="1"/>
  <c r="BI34" i="1" s="1"/>
  <c r="AE34" i="1" s="1"/>
  <c r="AO34" i="1"/>
  <c r="AW34" i="1" s="1"/>
  <c r="AL34" i="1"/>
  <c r="AJ34" i="1"/>
  <c r="AH34" i="1"/>
  <c r="AG34" i="1"/>
  <c r="AF34" i="1"/>
  <c r="AC34" i="1"/>
  <c r="AB34" i="1"/>
  <c r="Z34" i="1"/>
  <c r="O34" i="1"/>
  <c r="BF34" i="1" s="1"/>
  <c r="L34" i="1"/>
  <c r="M34" i="1" s="1"/>
  <c r="BW33" i="1"/>
  <c r="BJ33" i="1"/>
  <c r="BD33" i="1"/>
  <c r="AP33" i="1"/>
  <c r="BI33" i="1" s="1"/>
  <c r="AE33" i="1" s="1"/>
  <c r="AO33" i="1"/>
  <c r="AW33" i="1" s="1"/>
  <c r="AL33" i="1"/>
  <c r="AJ33" i="1"/>
  <c r="AH33" i="1"/>
  <c r="AG33" i="1"/>
  <c r="AF33" i="1"/>
  <c r="AC33" i="1"/>
  <c r="AB33" i="1"/>
  <c r="Z33" i="1"/>
  <c r="O33" i="1"/>
  <c r="BF33" i="1" s="1"/>
  <c r="L33" i="1"/>
  <c r="AK33" i="1" s="1"/>
  <c r="K33" i="1"/>
  <c r="BW32" i="1"/>
  <c r="BJ32" i="1"/>
  <c r="BD32" i="1"/>
  <c r="AP32" i="1"/>
  <c r="K32" i="1" s="1"/>
  <c r="AO32" i="1"/>
  <c r="J32" i="1" s="1"/>
  <c r="AL32" i="1"/>
  <c r="AJ32" i="1"/>
  <c r="AH32" i="1"/>
  <c r="AG32" i="1"/>
  <c r="AF32" i="1"/>
  <c r="AC32" i="1"/>
  <c r="AB32" i="1"/>
  <c r="Z32" i="1"/>
  <c r="O32" i="1"/>
  <c r="BF32" i="1" s="1"/>
  <c r="L32" i="1"/>
  <c r="M32" i="1" s="1"/>
  <c r="BW31" i="1"/>
  <c r="BJ31" i="1"/>
  <c r="BD31" i="1"/>
  <c r="AP31" i="1"/>
  <c r="K31" i="1" s="1"/>
  <c r="AO31" i="1"/>
  <c r="AW31" i="1" s="1"/>
  <c r="AL31" i="1"/>
  <c r="AJ31" i="1"/>
  <c r="AH31" i="1"/>
  <c r="AG31" i="1"/>
  <c r="AF31" i="1"/>
  <c r="AC31" i="1"/>
  <c r="AB31" i="1"/>
  <c r="Z31" i="1"/>
  <c r="O31" i="1"/>
  <c r="BF31" i="1" s="1"/>
  <c r="L31" i="1"/>
  <c r="AK31" i="1" s="1"/>
  <c r="J31" i="1"/>
  <c r="BW30" i="1"/>
  <c r="BJ30" i="1"/>
  <c r="BI30" i="1"/>
  <c r="AE30" i="1" s="1"/>
  <c r="BD30" i="1"/>
  <c r="AP30" i="1"/>
  <c r="AX30" i="1" s="1"/>
  <c r="AO30" i="1"/>
  <c r="BH30" i="1" s="1"/>
  <c r="AD30" i="1" s="1"/>
  <c r="AL30" i="1"/>
  <c r="AJ30" i="1"/>
  <c r="AH30" i="1"/>
  <c r="AG30" i="1"/>
  <c r="AF30" i="1"/>
  <c r="AC30" i="1"/>
  <c r="AB30" i="1"/>
  <c r="Z30" i="1"/>
  <c r="O30" i="1"/>
  <c r="BF30" i="1" s="1"/>
  <c r="L30" i="1"/>
  <c r="AK30" i="1" s="1"/>
  <c r="K30" i="1"/>
  <c r="BW29" i="1"/>
  <c r="BJ29" i="1"/>
  <c r="BD29" i="1"/>
  <c r="AX29" i="1"/>
  <c r="AW29" i="1"/>
  <c r="AP29" i="1"/>
  <c r="BI29" i="1" s="1"/>
  <c r="AE29" i="1" s="1"/>
  <c r="AO29" i="1"/>
  <c r="BH29" i="1" s="1"/>
  <c r="AD29" i="1" s="1"/>
  <c r="AL29" i="1"/>
  <c r="AJ29" i="1"/>
  <c r="AH29" i="1"/>
  <c r="AG29" i="1"/>
  <c r="AF29" i="1"/>
  <c r="AC29" i="1"/>
  <c r="AB29" i="1"/>
  <c r="Z29" i="1"/>
  <c r="O29" i="1"/>
  <c r="BF29" i="1" s="1"/>
  <c r="M29" i="1"/>
  <c r="L29" i="1"/>
  <c r="AK29" i="1" s="1"/>
  <c r="J29" i="1"/>
  <c r="BW28" i="1"/>
  <c r="BJ28" i="1"/>
  <c r="BF28" i="1"/>
  <c r="BD28" i="1"/>
  <c r="AP28" i="1"/>
  <c r="AX28" i="1" s="1"/>
  <c r="AO28" i="1"/>
  <c r="AW28" i="1" s="1"/>
  <c r="AL28" i="1"/>
  <c r="AK28" i="1"/>
  <c r="AJ28" i="1"/>
  <c r="AH28" i="1"/>
  <c r="AG28" i="1"/>
  <c r="AF28" i="1"/>
  <c r="AC28" i="1"/>
  <c r="AB28" i="1"/>
  <c r="Z28" i="1"/>
  <c r="O28" i="1"/>
  <c r="L28" i="1"/>
  <c r="J28" i="1"/>
  <c r="BW27" i="1"/>
  <c r="BJ27" i="1"/>
  <c r="BF27" i="1"/>
  <c r="BD27" i="1"/>
  <c r="AP27" i="1"/>
  <c r="BI27" i="1" s="1"/>
  <c r="AE27" i="1" s="1"/>
  <c r="AO27" i="1"/>
  <c r="BH27" i="1" s="1"/>
  <c r="AD27" i="1" s="1"/>
  <c r="AL27" i="1"/>
  <c r="AJ27" i="1"/>
  <c r="AH27" i="1"/>
  <c r="AG27" i="1"/>
  <c r="AF27" i="1"/>
  <c r="AC27" i="1"/>
  <c r="AB27" i="1"/>
  <c r="Z27" i="1"/>
  <c r="O27" i="1"/>
  <c r="L27" i="1"/>
  <c r="M27" i="1" s="1"/>
  <c r="BW26" i="1"/>
  <c r="M26" i="1" s="1"/>
  <c r="BJ26" i="1"/>
  <c r="BD26" i="1"/>
  <c r="AP26" i="1"/>
  <c r="BI26" i="1" s="1"/>
  <c r="AE26" i="1" s="1"/>
  <c r="AO26" i="1"/>
  <c r="BH26" i="1" s="1"/>
  <c r="AD26" i="1" s="1"/>
  <c r="AL26" i="1"/>
  <c r="AJ26" i="1"/>
  <c r="AH26" i="1"/>
  <c r="AG26" i="1"/>
  <c r="AF26" i="1"/>
  <c r="AC26" i="1"/>
  <c r="AB26" i="1"/>
  <c r="Z26" i="1"/>
  <c r="O26" i="1"/>
  <c r="BF26" i="1" s="1"/>
  <c r="L26" i="1"/>
  <c r="AK26" i="1" s="1"/>
  <c r="BW25" i="1"/>
  <c r="BJ25" i="1"/>
  <c r="BD25" i="1"/>
  <c r="AP25" i="1"/>
  <c r="AX25" i="1" s="1"/>
  <c r="AO25" i="1"/>
  <c r="AL25" i="1"/>
  <c r="AJ25" i="1"/>
  <c r="AH25" i="1"/>
  <c r="AG25" i="1"/>
  <c r="AF25" i="1"/>
  <c r="AC25" i="1"/>
  <c r="AB25" i="1"/>
  <c r="Z25" i="1"/>
  <c r="O25" i="1"/>
  <c r="BF25" i="1" s="1"/>
  <c r="L25" i="1"/>
  <c r="BW24" i="1"/>
  <c r="BJ24" i="1"/>
  <c r="BF24" i="1"/>
  <c r="BD24" i="1"/>
  <c r="AP24" i="1"/>
  <c r="AX24" i="1" s="1"/>
  <c r="AO24" i="1"/>
  <c r="AW24" i="1" s="1"/>
  <c r="AL24" i="1"/>
  <c r="AJ24" i="1"/>
  <c r="AH24" i="1"/>
  <c r="AG24" i="1"/>
  <c r="AF24" i="1"/>
  <c r="AC24" i="1"/>
  <c r="AB24" i="1"/>
  <c r="Z24" i="1"/>
  <c r="O24" i="1"/>
  <c r="L24" i="1"/>
  <c r="AK24" i="1" s="1"/>
  <c r="J24" i="1"/>
  <c r="BW23" i="1"/>
  <c r="BJ23" i="1"/>
  <c r="BF23" i="1"/>
  <c r="BD23" i="1"/>
  <c r="AW23" i="1"/>
  <c r="AP23" i="1"/>
  <c r="AX23" i="1" s="1"/>
  <c r="AO23" i="1"/>
  <c r="BH23" i="1" s="1"/>
  <c r="AD23" i="1" s="1"/>
  <c r="AL23" i="1"/>
  <c r="AK23" i="1"/>
  <c r="AJ23" i="1"/>
  <c r="AH23" i="1"/>
  <c r="AG23" i="1"/>
  <c r="AF23" i="1"/>
  <c r="AC23" i="1"/>
  <c r="AB23" i="1"/>
  <c r="Z23" i="1"/>
  <c r="O23" i="1"/>
  <c r="L23" i="1"/>
  <c r="M23" i="1" s="1"/>
  <c r="J23" i="1"/>
  <c r="BW22" i="1"/>
  <c r="BJ22" i="1"/>
  <c r="BD22" i="1"/>
  <c r="AX22" i="1"/>
  <c r="AP22" i="1"/>
  <c r="BI22" i="1" s="1"/>
  <c r="AE22" i="1" s="1"/>
  <c r="AO22" i="1"/>
  <c r="BH22" i="1" s="1"/>
  <c r="AD22" i="1" s="1"/>
  <c r="AL22" i="1"/>
  <c r="AJ22" i="1"/>
  <c r="AH22" i="1"/>
  <c r="AG22" i="1"/>
  <c r="AF22" i="1"/>
  <c r="AC22" i="1"/>
  <c r="AB22" i="1"/>
  <c r="Z22" i="1"/>
  <c r="O22" i="1"/>
  <c r="BF22" i="1" s="1"/>
  <c r="L22" i="1"/>
  <c r="AK22" i="1" s="1"/>
  <c r="K22" i="1"/>
  <c r="BW21" i="1"/>
  <c r="BJ21" i="1"/>
  <c r="BD21" i="1"/>
  <c r="AP21" i="1"/>
  <c r="AX21" i="1" s="1"/>
  <c r="AO21" i="1"/>
  <c r="AL21" i="1"/>
  <c r="AJ21" i="1"/>
  <c r="AH21" i="1"/>
  <c r="AG21" i="1"/>
  <c r="AF21" i="1"/>
  <c r="AC21" i="1"/>
  <c r="AB21" i="1"/>
  <c r="Z21" i="1"/>
  <c r="O21" i="1"/>
  <c r="BF21" i="1" s="1"/>
  <c r="L21" i="1"/>
  <c r="BW19" i="1"/>
  <c r="BJ19" i="1"/>
  <c r="BD19" i="1"/>
  <c r="AP19" i="1"/>
  <c r="BI19" i="1" s="1"/>
  <c r="AE19" i="1" s="1"/>
  <c r="AO19" i="1"/>
  <c r="BH19" i="1" s="1"/>
  <c r="AD19" i="1" s="1"/>
  <c r="AL19" i="1"/>
  <c r="AJ19" i="1"/>
  <c r="AH19" i="1"/>
  <c r="AG19" i="1"/>
  <c r="AF19" i="1"/>
  <c r="AC19" i="1"/>
  <c r="AB19" i="1"/>
  <c r="Z19" i="1"/>
  <c r="O19" i="1"/>
  <c r="BF19" i="1" s="1"/>
  <c r="L19" i="1"/>
  <c r="AK19" i="1" s="1"/>
  <c r="K19" i="1"/>
  <c r="BW18" i="1"/>
  <c r="BJ18" i="1"/>
  <c r="BD18" i="1"/>
  <c r="AP18" i="1"/>
  <c r="AX18" i="1" s="1"/>
  <c r="AO18" i="1"/>
  <c r="J18" i="1" s="1"/>
  <c r="AL18" i="1"/>
  <c r="AJ18" i="1"/>
  <c r="AH18" i="1"/>
  <c r="AG18" i="1"/>
  <c r="AF18" i="1"/>
  <c r="AC18" i="1"/>
  <c r="AB18" i="1"/>
  <c r="Z18" i="1"/>
  <c r="O18" i="1"/>
  <c r="BF18" i="1" s="1"/>
  <c r="L18" i="1"/>
  <c r="BW17" i="1"/>
  <c r="BJ17" i="1"/>
  <c r="BF17" i="1"/>
  <c r="BD17" i="1"/>
  <c r="AP17" i="1"/>
  <c r="AX17" i="1" s="1"/>
  <c r="AO17" i="1"/>
  <c r="J17" i="1" s="1"/>
  <c r="AL17" i="1"/>
  <c r="AJ17" i="1"/>
  <c r="AH17" i="1"/>
  <c r="AG17" i="1"/>
  <c r="AF17" i="1"/>
  <c r="AC17" i="1"/>
  <c r="AB17" i="1"/>
  <c r="Z17" i="1"/>
  <c r="O17" i="1"/>
  <c r="L17" i="1"/>
  <c r="AK17" i="1" s="1"/>
  <c r="BW16" i="1"/>
  <c r="BJ16" i="1"/>
  <c r="BI16" i="1"/>
  <c r="AE16" i="1" s="1"/>
  <c r="BD16" i="1"/>
  <c r="AX16" i="1"/>
  <c r="AW16" i="1"/>
  <c r="AP16" i="1"/>
  <c r="AO16" i="1"/>
  <c r="BH16" i="1" s="1"/>
  <c r="AD16" i="1" s="1"/>
  <c r="AL16" i="1"/>
  <c r="AK16" i="1"/>
  <c r="AJ16" i="1"/>
  <c r="AH16" i="1"/>
  <c r="AG16" i="1"/>
  <c r="AF16" i="1"/>
  <c r="AC16" i="1"/>
  <c r="AB16" i="1"/>
  <c r="Z16" i="1"/>
  <c r="O16" i="1"/>
  <c r="BF16" i="1" s="1"/>
  <c r="L16" i="1"/>
  <c r="M16" i="1" s="1"/>
  <c r="K16" i="1"/>
  <c r="BW15" i="1"/>
  <c r="BJ15" i="1"/>
  <c r="BD15" i="1"/>
  <c r="AP15" i="1"/>
  <c r="BI15" i="1" s="1"/>
  <c r="AE15" i="1" s="1"/>
  <c r="AO15" i="1"/>
  <c r="BH15" i="1" s="1"/>
  <c r="AD15" i="1" s="1"/>
  <c r="AL15" i="1"/>
  <c r="AJ15" i="1"/>
  <c r="AH15" i="1"/>
  <c r="AG15" i="1"/>
  <c r="AF15" i="1"/>
  <c r="AC15" i="1"/>
  <c r="AB15" i="1"/>
  <c r="Z15" i="1"/>
  <c r="O15" i="1"/>
  <c r="BF15" i="1" s="1"/>
  <c r="L15" i="1"/>
  <c r="AK15" i="1" s="1"/>
  <c r="BW14" i="1"/>
  <c r="BJ14" i="1"/>
  <c r="BI14" i="1"/>
  <c r="AE14" i="1" s="1"/>
  <c r="BD14" i="1"/>
  <c r="AP14" i="1"/>
  <c r="AX14" i="1" s="1"/>
  <c r="AO14" i="1"/>
  <c r="AL14" i="1"/>
  <c r="AJ14" i="1"/>
  <c r="AH14" i="1"/>
  <c r="AG14" i="1"/>
  <c r="AF14" i="1"/>
  <c r="AC14" i="1"/>
  <c r="AB14" i="1"/>
  <c r="Z14" i="1"/>
  <c r="O14" i="1"/>
  <c r="BF14" i="1" s="1"/>
  <c r="L14" i="1"/>
  <c r="K14" i="1"/>
  <c r="BW13" i="1"/>
  <c r="BJ13" i="1"/>
  <c r="BF13" i="1"/>
  <c r="BD13" i="1"/>
  <c r="AP13" i="1"/>
  <c r="AX13" i="1" s="1"/>
  <c r="AO13" i="1"/>
  <c r="AW13" i="1" s="1"/>
  <c r="AV13" i="1" s="1"/>
  <c r="AL13" i="1"/>
  <c r="AK13" i="1"/>
  <c r="AJ13" i="1"/>
  <c r="AH13" i="1"/>
  <c r="AE13" i="1"/>
  <c r="AD13" i="1"/>
  <c r="AC13" i="1"/>
  <c r="AB13" i="1"/>
  <c r="Z13" i="1"/>
  <c r="O13" i="1"/>
  <c r="L13" i="1"/>
  <c r="J13" i="1"/>
  <c r="AU1" i="1"/>
  <c r="AT1" i="1"/>
  <c r="AS1" i="1"/>
  <c r="M151" i="1" l="1"/>
  <c r="J152" i="1"/>
  <c r="BH152" i="1"/>
  <c r="AB152" i="1" s="1"/>
  <c r="K149" i="1"/>
  <c r="M148" i="1"/>
  <c r="AX149" i="1"/>
  <c r="AV149" i="1" s="1"/>
  <c r="BC140" i="1"/>
  <c r="AV140" i="1"/>
  <c r="BI141" i="1"/>
  <c r="AE141" i="1" s="1"/>
  <c r="BI136" i="1"/>
  <c r="AE136" i="1" s="1"/>
  <c r="AX143" i="1"/>
  <c r="BH145" i="1"/>
  <c r="AD145" i="1" s="1"/>
  <c r="M128" i="1"/>
  <c r="BH129" i="1"/>
  <c r="AD129" i="1" s="1"/>
  <c r="K130" i="1"/>
  <c r="M131" i="1"/>
  <c r="M132" i="1"/>
  <c r="BH133" i="1"/>
  <c r="AD133" i="1" s="1"/>
  <c r="K134" i="1"/>
  <c r="K136" i="1"/>
  <c r="K138" i="1"/>
  <c r="BI140" i="1"/>
  <c r="AE140" i="1" s="1"/>
  <c r="K141" i="1"/>
  <c r="AX142" i="1"/>
  <c r="K143" i="1"/>
  <c r="K144" i="1"/>
  <c r="AX144" i="1"/>
  <c r="AV144" i="1" s="1"/>
  <c r="M146" i="1"/>
  <c r="BC136" i="1"/>
  <c r="K140" i="1"/>
  <c r="M142" i="1"/>
  <c r="J128" i="1"/>
  <c r="AV128" i="1"/>
  <c r="BI129" i="1"/>
  <c r="AE129" i="1" s="1"/>
  <c r="M130" i="1"/>
  <c r="J132" i="1"/>
  <c r="AW132" i="1"/>
  <c r="M134" i="1"/>
  <c r="BH137" i="1"/>
  <c r="AD137" i="1" s="1"/>
  <c r="M138" i="1"/>
  <c r="BH141" i="1"/>
  <c r="AD141" i="1" s="1"/>
  <c r="AX146" i="1"/>
  <c r="BC115" i="1"/>
  <c r="M125" i="1"/>
  <c r="AX108" i="1"/>
  <c r="AX109" i="1"/>
  <c r="AV109" i="1" s="1"/>
  <c r="J111" i="1"/>
  <c r="BH112" i="1"/>
  <c r="AD112" i="1" s="1"/>
  <c r="J115" i="1"/>
  <c r="BH115" i="1"/>
  <c r="AD115" i="1" s="1"/>
  <c r="AX117" i="1"/>
  <c r="J118" i="1"/>
  <c r="M119" i="1"/>
  <c r="M121" i="1"/>
  <c r="M122" i="1"/>
  <c r="M123" i="1"/>
  <c r="AX125" i="1"/>
  <c r="M108" i="1"/>
  <c r="BH110" i="1"/>
  <c r="AD110" i="1" s="1"/>
  <c r="BI112" i="1"/>
  <c r="AE112" i="1" s="1"/>
  <c r="K117" i="1"/>
  <c r="J119" i="1"/>
  <c r="AW119" i="1"/>
  <c r="BC119" i="1" s="1"/>
  <c r="BI108" i="1"/>
  <c r="AE108" i="1" s="1"/>
  <c r="BH108" i="1"/>
  <c r="AD108" i="1" s="1"/>
  <c r="BH116" i="1"/>
  <c r="AD116" i="1" s="1"/>
  <c r="BI118" i="1"/>
  <c r="AE118" i="1" s="1"/>
  <c r="K119" i="1"/>
  <c r="AX119" i="1"/>
  <c r="K123" i="1"/>
  <c r="K125" i="1"/>
  <c r="AS114" i="1"/>
  <c r="BI100" i="1"/>
  <c r="AE100" i="1" s="1"/>
  <c r="BI104" i="1"/>
  <c r="AE104" i="1" s="1"/>
  <c r="BI106" i="1"/>
  <c r="AE106" i="1" s="1"/>
  <c r="AX91" i="1"/>
  <c r="AV91" i="1" s="1"/>
  <c r="BI91" i="1"/>
  <c r="AE91" i="1" s="1"/>
  <c r="AX93" i="1"/>
  <c r="M93" i="1"/>
  <c r="M94" i="1"/>
  <c r="K97" i="1"/>
  <c r="J98" i="1"/>
  <c r="AX99" i="1"/>
  <c r="AX100" i="1"/>
  <c r="BC100" i="1" s="1"/>
  <c r="BH101" i="1"/>
  <c r="AD101" i="1" s="1"/>
  <c r="BH102" i="1"/>
  <c r="AD102" i="1" s="1"/>
  <c r="BI103" i="1"/>
  <c r="AE103" i="1" s="1"/>
  <c r="AX104" i="1"/>
  <c r="BC104" i="1" s="1"/>
  <c r="M105" i="1"/>
  <c r="J94" i="1"/>
  <c r="AW94" i="1"/>
  <c r="K98" i="1"/>
  <c r="K99" i="1"/>
  <c r="AW101" i="1"/>
  <c r="AK102" i="1"/>
  <c r="M106" i="1"/>
  <c r="M91" i="1"/>
  <c r="K93" i="1"/>
  <c r="BH93" i="1"/>
  <c r="AD93" i="1" s="1"/>
  <c r="AX96" i="1"/>
  <c r="AV96" i="1" s="1"/>
  <c r="AV97" i="1"/>
  <c r="BH98" i="1"/>
  <c r="AD98" i="1" s="1"/>
  <c r="AV99" i="1"/>
  <c r="BH100" i="1"/>
  <c r="AD100" i="1" s="1"/>
  <c r="M101" i="1"/>
  <c r="M103" i="1"/>
  <c r="BH104" i="1"/>
  <c r="AD104" i="1" s="1"/>
  <c r="K106" i="1"/>
  <c r="BH106" i="1"/>
  <c r="AD106" i="1" s="1"/>
  <c r="BH89" i="1"/>
  <c r="AD89" i="1" s="1"/>
  <c r="M89" i="1"/>
  <c r="J89" i="1"/>
  <c r="M87" i="1"/>
  <c r="AX87" i="1"/>
  <c r="AX85" i="1"/>
  <c r="BI85" i="1"/>
  <c r="AE85" i="1" s="1"/>
  <c r="BH85" i="1"/>
  <c r="AD85" i="1" s="1"/>
  <c r="BI83" i="1"/>
  <c r="AE83" i="1" s="1"/>
  <c r="M83" i="1"/>
  <c r="J81" i="1"/>
  <c r="BH81" i="1"/>
  <c r="AD81" i="1" s="1"/>
  <c r="BI81" i="1"/>
  <c r="AE81" i="1" s="1"/>
  <c r="BH79" i="1"/>
  <c r="AD79" i="1" s="1"/>
  <c r="BI77" i="1"/>
  <c r="AE77" i="1" s="1"/>
  <c r="AX77" i="1"/>
  <c r="AV77" i="1" s="1"/>
  <c r="BH77" i="1"/>
  <c r="AD77" i="1" s="1"/>
  <c r="M75" i="1"/>
  <c r="BI65" i="1"/>
  <c r="AE65" i="1" s="1"/>
  <c r="BI61" i="1"/>
  <c r="AE61" i="1" s="1"/>
  <c r="BH73" i="1"/>
  <c r="AD73" i="1" s="1"/>
  <c r="BH54" i="1"/>
  <c r="AD54" i="1" s="1"/>
  <c r="M56" i="1"/>
  <c r="AK61" i="1"/>
  <c r="M62" i="1"/>
  <c r="AX67" i="1"/>
  <c r="AX49" i="1"/>
  <c r="M49" i="1"/>
  <c r="J54" i="1"/>
  <c r="AU52" i="1"/>
  <c r="AV60" i="1"/>
  <c r="AX62" i="1"/>
  <c r="M64" i="1"/>
  <c r="AX66" i="1"/>
  <c r="BI66" i="1"/>
  <c r="AE66" i="1" s="1"/>
  <c r="J73" i="1"/>
  <c r="BI53" i="1"/>
  <c r="AE53" i="1" s="1"/>
  <c r="K54" i="1"/>
  <c r="AX54" i="1"/>
  <c r="AX55" i="1"/>
  <c r="J56" i="1"/>
  <c r="BH56" i="1"/>
  <c r="AD56" i="1" s="1"/>
  <c r="K60" i="1"/>
  <c r="AX60" i="1"/>
  <c r="J63" i="1"/>
  <c r="AX64" i="1"/>
  <c r="BH68" i="1"/>
  <c r="AD68" i="1" s="1"/>
  <c r="K69" i="1"/>
  <c r="AX69" i="1"/>
  <c r="BC69" i="1" s="1"/>
  <c r="M70" i="1"/>
  <c r="BH72" i="1"/>
  <c r="AD72" i="1" s="1"/>
  <c r="K73" i="1"/>
  <c r="M47" i="1"/>
  <c r="AW51" i="1"/>
  <c r="K56" i="1"/>
  <c r="AX56" i="1"/>
  <c r="BC56" i="1" s="1"/>
  <c r="K62" i="1"/>
  <c r="K64" i="1"/>
  <c r="BH65" i="1"/>
  <c r="AD65" i="1" s="1"/>
  <c r="J70" i="1"/>
  <c r="AW70" i="1"/>
  <c r="BC70" i="1" s="1"/>
  <c r="AX71" i="1"/>
  <c r="BH45" i="1"/>
  <c r="AD45" i="1" s="1"/>
  <c r="K41" i="1"/>
  <c r="AX41" i="1"/>
  <c r="AV41" i="1" s="1"/>
  <c r="M41" i="1"/>
  <c r="BH42" i="1"/>
  <c r="AD42" i="1" s="1"/>
  <c r="BI24" i="1"/>
  <c r="AE24" i="1" s="1"/>
  <c r="BH13" i="1"/>
  <c r="AF13" i="1" s="1"/>
  <c r="BI18" i="1"/>
  <c r="AE18" i="1" s="1"/>
  <c r="AS20" i="1"/>
  <c r="AW26" i="1"/>
  <c r="J27" i="1"/>
  <c r="AK27" i="1"/>
  <c r="AW27" i="1"/>
  <c r="BC27" i="1" s="1"/>
  <c r="BI31" i="1"/>
  <c r="AE31" i="1" s="1"/>
  <c r="AK32" i="1"/>
  <c r="J34" i="1"/>
  <c r="AK34" i="1"/>
  <c r="AX34" i="1"/>
  <c r="M37" i="1"/>
  <c r="BI17" i="1"/>
  <c r="AE17" i="1" s="1"/>
  <c r="C27" i="3"/>
  <c r="BI13" i="1"/>
  <c r="AG13" i="1" s="1"/>
  <c r="C19" i="3" s="1"/>
  <c r="AW15" i="1"/>
  <c r="J16" i="1"/>
  <c r="K17" i="1"/>
  <c r="BH17" i="1"/>
  <c r="AD17" i="1" s="1"/>
  <c r="K18" i="1"/>
  <c r="M19" i="1"/>
  <c r="AU20" i="1"/>
  <c r="M22" i="1"/>
  <c r="AW22" i="1"/>
  <c r="AV22" i="1" s="1"/>
  <c r="K24" i="1"/>
  <c r="AV24" i="1"/>
  <c r="BH24" i="1"/>
  <c r="AD24" i="1" s="1"/>
  <c r="K27" i="1"/>
  <c r="AX27" i="1"/>
  <c r="BI28" i="1"/>
  <c r="AE28" i="1" s="1"/>
  <c r="AX31" i="1"/>
  <c r="K34" i="1"/>
  <c r="M35" i="1"/>
  <c r="BH34" i="1"/>
  <c r="AD34" i="1" s="1"/>
  <c r="BC16" i="1"/>
  <c r="AV29" i="1"/>
  <c r="BH31" i="1"/>
  <c r="AD31" i="1" s="1"/>
  <c r="M141" i="1"/>
  <c r="M113" i="1"/>
  <c r="M58" i="1"/>
  <c r="M45" i="1"/>
  <c r="M39" i="1"/>
  <c r="M33" i="1"/>
  <c r="M17" i="1"/>
  <c r="M14" i="1"/>
  <c r="BC23" i="1"/>
  <c r="C18" i="3"/>
  <c r="BC50" i="1"/>
  <c r="BH135" i="1"/>
  <c r="AD135" i="1" s="1"/>
  <c r="AW135" i="1"/>
  <c r="M53" i="1"/>
  <c r="AK53" i="1"/>
  <c r="L52" i="1"/>
  <c r="F13" i="2" s="1"/>
  <c r="I13" i="2" s="1"/>
  <c r="BC108" i="1"/>
  <c r="AV108" i="1"/>
  <c r="BC112" i="1"/>
  <c r="AV112" i="1"/>
  <c r="BI135" i="1"/>
  <c r="AE135" i="1" s="1"/>
  <c r="AX135" i="1"/>
  <c r="K135" i="1"/>
  <c r="C20" i="3"/>
  <c r="BH25" i="1"/>
  <c r="AD25" i="1" s="1"/>
  <c r="AW25" i="1"/>
  <c r="BH47" i="1"/>
  <c r="AD47" i="1" s="1"/>
  <c r="AW47" i="1"/>
  <c r="M50" i="1"/>
  <c r="O52" i="1"/>
  <c r="G13" i="2" s="1"/>
  <c r="AS52" i="1"/>
  <c r="BH62" i="1"/>
  <c r="AD62" i="1" s="1"/>
  <c r="AW62" i="1"/>
  <c r="K65" i="1"/>
  <c r="AX89" i="1"/>
  <c r="BC89" i="1" s="1"/>
  <c r="BI89" i="1"/>
  <c r="AE89" i="1" s="1"/>
  <c r="BI94" i="1"/>
  <c r="AE94" i="1" s="1"/>
  <c r="AX94" i="1"/>
  <c r="AV94" i="1" s="1"/>
  <c r="BH103" i="1"/>
  <c r="AD103" i="1" s="1"/>
  <c r="AW103" i="1"/>
  <c r="AW39" i="1"/>
  <c r="BI43" i="1"/>
  <c r="AE43" i="1" s="1"/>
  <c r="K43" i="1"/>
  <c r="AX48" i="1"/>
  <c r="AV48" i="1" s="1"/>
  <c r="K48" i="1"/>
  <c r="BC54" i="1"/>
  <c r="AV54" i="1"/>
  <c r="J62" i="1"/>
  <c r="J103" i="1"/>
  <c r="BH151" i="1"/>
  <c r="AB151" i="1" s="1"/>
  <c r="AW151" i="1"/>
  <c r="J151" i="1"/>
  <c r="J150" i="1" s="1"/>
  <c r="D15" i="2" s="1"/>
  <c r="K23" i="1"/>
  <c r="BC94" i="1"/>
  <c r="J15" i="1"/>
  <c r="O20" i="1"/>
  <c r="G12" i="2" s="1"/>
  <c r="BH21" i="1"/>
  <c r="AD21" i="1" s="1"/>
  <c r="AW21" i="1"/>
  <c r="K25" i="1"/>
  <c r="BI25" i="1"/>
  <c r="AE25" i="1" s="1"/>
  <c r="AW30" i="1"/>
  <c r="BC35" i="1"/>
  <c r="AV35" i="1"/>
  <c r="AX43" i="1"/>
  <c r="BC43" i="1" s="1"/>
  <c r="BH57" i="1"/>
  <c r="AD57" i="1" s="1"/>
  <c r="AW57" i="1"/>
  <c r="BH83" i="1"/>
  <c r="AD83" i="1" s="1"/>
  <c r="AW83" i="1"/>
  <c r="AV101" i="1"/>
  <c r="BC101" i="1"/>
  <c r="AV43" i="1"/>
  <c r="M15" i="1"/>
  <c r="AK25" i="1"/>
  <c r="M25" i="1"/>
  <c r="BC28" i="1"/>
  <c r="M30" i="1"/>
  <c r="J35" i="1"/>
  <c r="J43" i="1"/>
  <c r="BC51" i="1"/>
  <c r="AV51" i="1"/>
  <c r="BI57" i="1"/>
  <c r="AE57" i="1" s="1"/>
  <c r="AX57" i="1"/>
  <c r="BC60" i="1"/>
  <c r="AX63" i="1"/>
  <c r="O12" i="1"/>
  <c r="G11" i="2" s="1"/>
  <c r="AX137" i="1"/>
  <c r="BC137" i="1" s="1"/>
  <c r="BI137" i="1"/>
  <c r="AE137" i="1" s="1"/>
  <c r="K137" i="1"/>
  <c r="L12" i="1"/>
  <c r="AV72" i="1"/>
  <c r="BC72" i="1"/>
  <c r="BI113" i="1"/>
  <c r="AE113" i="1" s="1"/>
  <c r="AX113" i="1"/>
  <c r="K113" i="1"/>
  <c r="AV110" i="1"/>
  <c r="BC110" i="1"/>
  <c r="M13" i="1"/>
  <c r="J21" i="1"/>
  <c r="J26" i="1"/>
  <c r="AX26" i="1"/>
  <c r="AV26" i="1" s="1"/>
  <c r="J33" i="1"/>
  <c r="AX33" i="1"/>
  <c r="AV33" i="1" s="1"/>
  <c r="BH43" i="1"/>
  <c r="AD43" i="1" s="1"/>
  <c r="J48" i="1"/>
  <c r="BH48" i="1"/>
  <c r="AD48" i="1" s="1"/>
  <c r="K57" i="1"/>
  <c r="AV73" i="1"/>
  <c r="J83" i="1"/>
  <c r="BC95" i="1"/>
  <c r="AW32" i="1"/>
  <c r="BH32" i="1"/>
  <c r="AD32" i="1" s="1"/>
  <c r="AV69" i="1"/>
  <c r="AX15" i="1"/>
  <c r="AV15" i="1" s="1"/>
  <c r="J30" i="1"/>
  <c r="J25" i="1"/>
  <c r="BC13" i="1"/>
  <c r="K21" i="1"/>
  <c r="BI21" i="1"/>
  <c r="AE21" i="1" s="1"/>
  <c r="BI23" i="1"/>
  <c r="AE23" i="1" s="1"/>
  <c r="K26" i="1"/>
  <c r="BH35" i="1"/>
  <c r="AD35" i="1" s="1"/>
  <c r="M48" i="1"/>
  <c r="AK48" i="1"/>
  <c r="AW55" i="1"/>
  <c r="BH55" i="1"/>
  <c r="AD55" i="1" s="1"/>
  <c r="BI63" i="1"/>
  <c r="AE63" i="1" s="1"/>
  <c r="AV79" i="1"/>
  <c r="BC79" i="1"/>
  <c r="BC66" i="1"/>
  <c r="AV66" i="1"/>
  <c r="AW113" i="1"/>
  <c r="J113" i="1"/>
  <c r="BH113" i="1"/>
  <c r="AD113" i="1" s="1"/>
  <c r="AV23" i="1"/>
  <c r="BI32" i="1"/>
  <c r="AE32" i="1" s="1"/>
  <c r="AX32" i="1"/>
  <c r="BC91" i="1"/>
  <c r="AW122" i="1"/>
  <c r="BH122" i="1"/>
  <c r="AD122" i="1" s="1"/>
  <c r="AX36" i="1"/>
  <c r="AV36" i="1" s="1"/>
  <c r="K36" i="1"/>
  <c r="BI48" i="1"/>
  <c r="AE48" i="1" s="1"/>
  <c r="AW58" i="1"/>
  <c r="BH58" i="1"/>
  <c r="AD58" i="1" s="1"/>
  <c r="C21" i="3"/>
  <c r="AK14" i="1"/>
  <c r="AT12" i="1" s="1"/>
  <c r="AV16" i="1"/>
  <c r="AK21" i="1"/>
  <c r="L20" i="1"/>
  <c r="F12" i="2" s="1"/>
  <c r="I12" i="2" s="1"/>
  <c r="M21" i="1"/>
  <c r="BC45" i="1"/>
  <c r="AV45" i="1"/>
  <c r="BH64" i="1"/>
  <c r="AD64" i="1" s="1"/>
  <c r="AW64" i="1"/>
  <c r="J64" i="1"/>
  <c r="AW124" i="1"/>
  <c r="BH124" i="1"/>
  <c r="AD124" i="1" s="1"/>
  <c r="J124" i="1"/>
  <c r="AS12" i="1"/>
  <c r="BC31" i="1"/>
  <c r="AV31" i="1"/>
  <c r="BH33" i="1"/>
  <c r="AD33" i="1" s="1"/>
  <c r="J58" i="1"/>
  <c r="AV68" i="1"/>
  <c r="BC68" i="1"/>
  <c r="AV93" i="1"/>
  <c r="BC93" i="1"/>
  <c r="BC99" i="1"/>
  <c r="AU12" i="1"/>
  <c r="C15" i="3"/>
  <c r="BH14" i="1"/>
  <c r="AD14" i="1" s="1"/>
  <c r="AW14" i="1"/>
  <c r="AK18" i="1"/>
  <c r="M18" i="1"/>
  <c r="J22" i="1"/>
  <c r="BC41" i="1"/>
  <c r="K67" i="1"/>
  <c r="AW71" i="1"/>
  <c r="J71" i="1"/>
  <c r="BH71" i="1"/>
  <c r="AD71" i="1" s="1"/>
  <c r="AW75" i="1"/>
  <c r="J75" i="1"/>
  <c r="BH75" i="1"/>
  <c r="AD75" i="1" s="1"/>
  <c r="BC106" i="1"/>
  <c r="AV106" i="1"/>
  <c r="BF115" i="1"/>
  <c r="O114" i="1"/>
  <c r="G14" i="2" s="1"/>
  <c r="BH130" i="1"/>
  <c r="AD130" i="1" s="1"/>
  <c r="AW130" i="1"/>
  <c r="J130" i="1"/>
  <c r="K15" i="1"/>
  <c r="BH18" i="1"/>
  <c r="AD18" i="1" s="1"/>
  <c r="AW18" i="1"/>
  <c r="AW19" i="1"/>
  <c r="BC22" i="1"/>
  <c r="BC24" i="1"/>
  <c r="BC34" i="1"/>
  <c r="AV34" i="1"/>
  <c r="J14" i="1"/>
  <c r="J12" i="1" s="1"/>
  <c r="D11" i="2" s="1"/>
  <c r="J19" i="1"/>
  <c r="AX19" i="1"/>
  <c r="M24" i="1"/>
  <c r="K29" i="1"/>
  <c r="BC29" i="1"/>
  <c r="M31" i="1"/>
  <c r="M36" i="1"/>
  <c r="AK36" i="1"/>
  <c r="BI36" i="1"/>
  <c r="AE36" i="1" s="1"/>
  <c r="AV50" i="1"/>
  <c r="K55" i="1"/>
  <c r="BC65" i="1"/>
  <c r="AV65" i="1"/>
  <c r="AX111" i="1"/>
  <c r="BC111" i="1" s="1"/>
  <c r="C29" i="3"/>
  <c r="F29" i="3" s="1"/>
  <c r="M55" i="1"/>
  <c r="AK55" i="1"/>
  <c r="BH67" i="1"/>
  <c r="AD67" i="1" s="1"/>
  <c r="J87" i="1"/>
  <c r="BH92" i="1"/>
  <c r="AD92" i="1" s="1"/>
  <c r="J105" i="1"/>
  <c r="BH109" i="1"/>
  <c r="AD109" i="1" s="1"/>
  <c r="BC118" i="1"/>
  <c r="AV118" i="1"/>
  <c r="AX122" i="1"/>
  <c r="BC145" i="1"/>
  <c r="AV145" i="1"/>
  <c r="BI151" i="1"/>
  <c r="AC151" i="1" s="1"/>
  <c r="AX151" i="1"/>
  <c r="J96" i="1"/>
  <c r="BH99" i="1"/>
  <c r="AD99" i="1" s="1"/>
  <c r="AW105" i="1"/>
  <c r="BH111" i="1"/>
  <c r="AD111" i="1" s="1"/>
  <c r="AU114" i="1"/>
  <c r="BC120" i="1"/>
  <c r="AV120" i="1"/>
  <c r="K124" i="1"/>
  <c r="BH138" i="1"/>
  <c r="AD138" i="1" s="1"/>
  <c r="AW138" i="1"/>
  <c r="BH143" i="1"/>
  <c r="AD143" i="1" s="1"/>
  <c r="AW143" i="1"/>
  <c r="K151" i="1"/>
  <c r="K150" i="1" s="1"/>
  <c r="E15" i="2" s="1"/>
  <c r="K13" i="1"/>
  <c r="K28" i="1"/>
  <c r="AV28" i="1"/>
  <c r="J37" i="1"/>
  <c r="J42" i="1"/>
  <c r="J49" i="1"/>
  <c r="BC59" i="1"/>
  <c r="J66" i="1"/>
  <c r="K71" i="1"/>
  <c r="J91" i="1"/>
  <c r="K96" i="1"/>
  <c r="J108" i="1"/>
  <c r="BC116" i="1"/>
  <c r="AV116" i="1"/>
  <c r="BC133" i="1"/>
  <c r="AV133" i="1"/>
  <c r="J143" i="1"/>
  <c r="F22" i="3"/>
  <c r="BC96" i="1"/>
  <c r="AW87" i="1"/>
  <c r="M28" i="1"/>
  <c r="AW37" i="1"/>
  <c r="K42" i="1"/>
  <c r="AX42" i="1"/>
  <c r="BC42" i="1" s="1"/>
  <c r="AW49" i="1"/>
  <c r="AX73" i="1"/>
  <c r="BC73" i="1" s="1"/>
  <c r="BC77" i="1"/>
  <c r="AX98" i="1"/>
  <c r="BC98" i="1" s="1"/>
  <c r="AV100" i="1"/>
  <c r="J120" i="1"/>
  <c r="BI122" i="1"/>
  <c r="AE122" i="1" s="1"/>
  <c r="BI124" i="1"/>
  <c r="AE124" i="1" s="1"/>
  <c r="BH125" i="1"/>
  <c r="AD125" i="1" s="1"/>
  <c r="AW125" i="1"/>
  <c r="BH131" i="1"/>
  <c r="AD131" i="1" s="1"/>
  <c r="AW131" i="1"/>
  <c r="K145" i="1"/>
  <c r="M150" i="1"/>
  <c r="AW17" i="1"/>
  <c r="AX37" i="1"/>
  <c r="M42" i="1"/>
  <c r="AK42" i="1"/>
  <c r="J59" i="1"/>
  <c r="AV59" i="1"/>
  <c r="J68" i="1"/>
  <c r="J93" i="1"/>
  <c r="BH96" i="1"/>
  <c r="AD96" i="1" s="1"/>
  <c r="J110" i="1"/>
  <c r="J116" i="1"/>
  <c r="K120" i="1"/>
  <c r="J131" i="1"/>
  <c r="J138" i="1"/>
  <c r="BC152" i="1"/>
  <c r="K59" i="1"/>
  <c r="M66" i="1"/>
  <c r="J77" i="1"/>
  <c r="J100" i="1"/>
  <c r="K116" i="1"/>
  <c r="BH118" i="1"/>
  <c r="AD118" i="1" s="1"/>
  <c r="BH120" i="1"/>
  <c r="AD120" i="1" s="1"/>
  <c r="K133" i="1"/>
  <c r="AV136" i="1"/>
  <c r="BI145" i="1"/>
  <c r="AE145" i="1" s="1"/>
  <c r="BH146" i="1"/>
  <c r="AD146" i="1" s="1"/>
  <c r="AW146" i="1"/>
  <c r="AK152" i="1"/>
  <c r="AT150" i="1" s="1"/>
  <c r="L150" i="1"/>
  <c r="F15" i="2" s="1"/>
  <c r="I15" i="2" s="1"/>
  <c r="BC102" i="1"/>
  <c r="AV102" i="1"/>
  <c r="M59" i="1"/>
  <c r="AK59" i="1"/>
  <c r="BC61" i="1"/>
  <c r="AV61" i="1"/>
  <c r="BC81" i="1"/>
  <c r="AV81" i="1"/>
  <c r="BC141" i="1"/>
  <c r="AV141" i="1"/>
  <c r="C14" i="3"/>
  <c r="BH28" i="1"/>
  <c r="AD28" i="1" s="1"/>
  <c r="BC63" i="1"/>
  <c r="AV63" i="1"/>
  <c r="M77" i="1"/>
  <c r="BC85" i="1"/>
  <c r="AV85" i="1"/>
  <c r="AV95" i="1"/>
  <c r="M100" i="1"/>
  <c r="BI116" i="1"/>
  <c r="AE116" i="1" s="1"/>
  <c r="BH121" i="1"/>
  <c r="AD121" i="1" s="1"/>
  <c r="AW121" i="1"/>
  <c r="AV123" i="1"/>
  <c r="BI133" i="1"/>
  <c r="AE133" i="1" s="1"/>
  <c r="BH134" i="1"/>
  <c r="AD134" i="1" s="1"/>
  <c r="AW134" i="1"/>
  <c r="M136" i="1"/>
  <c r="BH139" i="1"/>
  <c r="AD139" i="1" s="1"/>
  <c r="AW139" i="1"/>
  <c r="BC129" i="1"/>
  <c r="AV129" i="1"/>
  <c r="BH126" i="1"/>
  <c r="AD126" i="1" s="1"/>
  <c r="AW126" i="1"/>
  <c r="BC53" i="1"/>
  <c r="J99" i="1"/>
  <c r="J117" i="1"/>
  <c r="AW117" i="1"/>
  <c r="J126" i="1"/>
  <c r="M63" i="1"/>
  <c r="BC67" i="1"/>
  <c r="AV67" i="1"/>
  <c r="M85" i="1"/>
  <c r="BC92" i="1"/>
  <c r="AV92" i="1"/>
  <c r="BC97" i="1"/>
  <c r="M104" i="1"/>
  <c r="BC109" i="1"/>
  <c r="K126" i="1"/>
  <c r="K129" i="1"/>
  <c r="BH142" i="1"/>
  <c r="AD142" i="1" s="1"/>
  <c r="AW142" i="1"/>
  <c r="M144" i="1"/>
  <c r="BH148" i="1"/>
  <c r="AD148" i="1" s="1"/>
  <c r="AW148" i="1"/>
  <c r="AV111" i="1"/>
  <c r="AK115" i="1"/>
  <c r="L114" i="1"/>
  <c r="F14" i="2" s="1"/>
  <c r="I14" i="2" s="1"/>
  <c r="I19" i="4"/>
  <c r="F30" i="4" s="1"/>
  <c r="AK63" i="1"/>
  <c r="AK67" i="1"/>
  <c r="AK71" i="1"/>
  <c r="AK77" i="1"/>
  <c r="AK85" i="1"/>
  <c r="AK92" i="1"/>
  <c r="AK96" i="1"/>
  <c r="AK100" i="1"/>
  <c r="AK104" i="1"/>
  <c r="AK109" i="1"/>
  <c r="AK113" i="1"/>
  <c r="AK116" i="1"/>
  <c r="AK120" i="1"/>
  <c r="AK124" i="1"/>
  <c r="AK129" i="1"/>
  <c r="AK133" i="1"/>
  <c r="AK137" i="1"/>
  <c r="AK141" i="1"/>
  <c r="AK145" i="1"/>
  <c r="BF151" i="1"/>
  <c r="I22" i="3"/>
  <c r="BC149" i="1" l="1"/>
  <c r="BC144" i="1"/>
  <c r="AV132" i="1"/>
  <c r="BC132" i="1"/>
  <c r="M114" i="1"/>
  <c r="AV119" i="1"/>
  <c r="AV104" i="1"/>
  <c r="AV89" i="1"/>
  <c r="AV70" i="1"/>
  <c r="AV56" i="1"/>
  <c r="J52" i="1"/>
  <c r="D13" i="2" s="1"/>
  <c r="K52" i="1"/>
  <c r="E13" i="2" s="1"/>
  <c r="BC36" i="1"/>
  <c r="C17" i="3"/>
  <c r="AV27" i="1"/>
  <c r="M12" i="1"/>
  <c r="C16" i="3"/>
  <c r="BC126" i="1"/>
  <c r="AV126" i="1"/>
  <c r="AV49" i="1"/>
  <c r="BC49" i="1"/>
  <c r="BC21" i="1"/>
  <c r="AV21" i="1"/>
  <c r="BC131" i="1"/>
  <c r="AV131" i="1"/>
  <c r="AT52" i="1"/>
  <c r="AV137" i="1"/>
  <c r="BC139" i="1"/>
  <c r="AV139" i="1"/>
  <c r="AV130" i="1"/>
  <c r="BC130" i="1"/>
  <c r="AV58" i="1"/>
  <c r="BC58" i="1"/>
  <c r="BC15" i="1"/>
  <c r="M52" i="1"/>
  <c r="BC113" i="1"/>
  <c r="AV113" i="1"/>
  <c r="AV37" i="1"/>
  <c r="BC37" i="1"/>
  <c r="BC47" i="1"/>
  <c r="AV47" i="1"/>
  <c r="AV125" i="1"/>
  <c r="BC125" i="1"/>
  <c r="AV87" i="1"/>
  <c r="BC87" i="1"/>
  <c r="AV42" i="1"/>
  <c r="AV105" i="1"/>
  <c r="BC105" i="1"/>
  <c r="BC14" i="1"/>
  <c r="AV14" i="1"/>
  <c r="BC135" i="1"/>
  <c r="AV135" i="1"/>
  <c r="AV146" i="1"/>
  <c r="BC146" i="1"/>
  <c r="J114" i="1"/>
  <c r="D14" i="2" s="1"/>
  <c r="BC124" i="1"/>
  <c r="AV124" i="1"/>
  <c r="J20" i="1"/>
  <c r="D12" i="2" s="1"/>
  <c r="AV39" i="1"/>
  <c r="BC39" i="1"/>
  <c r="BC25" i="1"/>
  <c r="AV25" i="1"/>
  <c r="L153" i="1"/>
  <c r="F11" i="2"/>
  <c r="I11" i="2" s="1"/>
  <c r="F16" i="2" s="1"/>
  <c r="AT114" i="1"/>
  <c r="BC55" i="1"/>
  <c r="AV55" i="1"/>
  <c r="BC122" i="1"/>
  <c r="AV122" i="1"/>
  <c r="BC57" i="1"/>
  <c r="AV57" i="1"/>
  <c r="AV83" i="1"/>
  <c r="BC83" i="1"/>
  <c r="C28" i="3"/>
  <c r="BC148" i="1"/>
  <c r="AV148" i="1"/>
  <c r="BC151" i="1"/>
  <c r="AV151" i="1"/>
  <c r="AV17" i="1"/>
  <c r="BC17" i="1"/>
  <c r="BC18" i="1"/>
  <c r="AV18" i="1"/>
  <c r="BC26" i="1"/>
  <c r="AV117" i="1"/>
  <c r="BC117" i="1"/>
  <c r="BC143" i="1"/>
  <c r="AV143" i="1"/>
  <c r="AV75" i="1"/>
  <c r="BC75" i="1"/>
  <c r="BC33" i="1"/>
  <c r="BC32" i="1"/>
  <c r="AV32" i="1"/>
  <c r="M20" i="1"/>
  <c r="BC48" i="1"/>
  <c r="AV98" i="1"/>
  <c r="AV64" i="1"/>
  <c r="BC64" i="1"/>
  <c r="C22" i="3"/>
  <c r="K12" i="1"/>
  <c r="E11" i="2" s="1"/>
  <c r="AV142" i="1"/>
  <c r="BC142" i="1"/>
  <c r="BC30" i="1"/>
  <c r="AV30" i="1"/>
  <c r="BC62" i="1"/>
  <c r="AV62" i="1"/>
  <c r="AV134" i="1"/>
  <c r="BC134" i="1"/>
  <c r="BC103" i="1"/>
  <c r="AV103" i="1"/>
  <c r="AV121" i="1"/>
  <c r="BC121" i="1"/>
  <c r="K114" i="1"/>
  <c r="E14" i="2" s="1"/>
  <c r="AV19" i="1"/>
  <c r="BC19" i="1"/>
  <c r="AV138" i="1"/>
  <c r="BC138" i="1"/>
  <c r="BC71" i="1"/>
  <c r="AV71" i="1"/>
  <c r="AT20" i="1"/>
  <c r="K20" i="1"/>
  <c r="E12" i="2" s="1"/>
  <c r="M153" i="1" l="1"/>
  <c r="F28" i="3"/>
  <c r="I28" i="3"/>
  <c r="I29" i="3" l="1"/>
</calcChain>
</file>

<file path=xl/sharedStrings.xml><?xml version="1.0" encoding="utf-8"?>
<sst xmlns="http://schemas.openxmlformats.org/spreadsheetml/2006/main" count="1932" uniqueCount="517">
  <si>
    <t>Stavební rozpočet</t>
  </si>
  <si>
    <t>Název stavby:</t>
  </si>
  <si>
    <t>Areál společnosti FORESTINA s.r.o. – Horažďovice, Blatenská 587</t>
  </si>
  <si>
    <t>Doba výstavby:</t>
  </si>
  <si>
    <t xml:space="preserve"> </t>
  </si>
  <si>
    <t>Objednatel:</t>
  </si>
  <si>
    <t> </t>
  </si>
  <si>
    <t>Druh stavby:</t>
  </si>
  <si>
    <t>Zdravotně technické instalace</t>
  </si>
  <si>
    <t>Začátek výstavby:</t>
  </si>
  <si>
    <t>Projektant:</t>
  </si>
  <si>
    <t>Ing. Michal Albrecht</t>
  </si>
  <si>
    <t>Lokalita:</t>
  </si>
  <si>
    <t>!!!! Pracovní verze !!!!</t>
  </si>
  <si>
    <t>Konec výstavby:</t>
  </si>
  <si>
    <t>Zhotovitel:</t>
  </si>
  <si>
    <t>JKSO:</t>
  </si>
  <si>
    <t>Zpracováno dne:</t>
  </si>
  <si>
    <t>11.06.2025</t>
  </si>
  <si>
    <t>Zpracoval:</t>
  </si>
  <si>
    <t>Č</t>
  </si>
  <si>
    <t>Objekt</t>
  </si>
  <si>
    <t>Kód</t>
  </si>
  <si>
    <t>Zkrácený popis / Varianta</t>
  </si>
  <si>
    <t>MJ</t>
  </si>
  <si>
    <t>Množství</t>
  </si>
  <si>
    <t>Cena/MJ</t>
  </si>
  <si>
    <t>Sazba DPH</t>
  </si>
  <si>
    <t>Náklady (Kč)</t>
  </si>
  <si>
    <t>Hmotnost (t)</t>
  </si>
  <si>
    <t>Cenová</t>
  </si>
  <si>
    <t>ISWORK</t>
  </si>
  <si>
    <t>GROUPCODE</t>
  </si>
  <si>
    <t>VATTAX</t>
  </si>
  <si>
    <t>Rozměry</t>
  </si>
  <si>
    <t>(Kč)</t>
  </si>
  <si>
    <t>Dodávka</t>
  </si>
  <si>
    <t>Montáž</t>
  </si>
  <si>
    <t>Celkem</t>
  </si>
  <si>
    <t>Celkem vč. DPH</t>
  </si>
  <si>
    <t>Jednot.</t>
  </si>
  <si>
    <t>soustava</t>
  </si>
  <si>
    <t>Přesuny</t>
  </si>
  <si>
    <t>Typ skupiny</t>
  </si>
  <si>
    <t>HSV mat</t>
  </si>
  <si>
    <t>HSV prac</t>
  </si>
  <si>
    <t>PSV mat</t>
  </si>
  <si>
    <t>PSV prac</t>
  </si>
  <si>
    <t>Mont mat</t>
  </si>
  <si>
    <t>Mont prac</t>
  </si>
  <si>
    <t>Ostatní mat.</t>
  </si>
  <si>
    <t>MAT</t>
  </si>
  <si>
    <t>WORK</t>
  </si>
  <si>
    <t>CELK</t>
  </si>
  <si>
    <t/>
  </si>
  <si>
    <t>713</t>
  </si>
  <si>
    <t>Izolace tepelné</t>
  </si>
  <si>
    <t>1</t>
  </si>
  <si>
    <t>230330091R00</t>
  </si>
  <si>
    <t>Izolace potrubí D do 76 mm</t>
  </si>
  <si>
    <t>m</t>
  </si>
  <si>
    <t>RTS I / 2022</t>
  </si>
  <si>
    <t>2</t>
  </si>
  <si>
    <t>713_</t>
  </si>
  <si>
    <t>71_</t>
  </si>
  <si>
    <t>_</t>
  </si>
  <si>
    <t>P</t>
  </si>
  <si>
    <t>631547013</t>
  </si>
  <si>
    <t>Pouzdro potrubní izolační ROCKWOOL 800  22/20 mm</t>
  </si>
  <si>
    <t>RTS I / 2025</t>
  </si>
  <si>
    <t>7</t>
  </si>
  <si>
    <t>M</t>
  </si>
  <si>
    <t>3</t>
  </si>
  <si>
    <t>631547114</t>
  </si>
  <si>
    <t>Pouzdro potrubní izolační ROCKWOOL 800  28/30 mm</t>
  </si>
  <si>
    <t>4</t>
  </si>
  <si>
    <t>631547115</t>
  </si>
  <si>
    <t>Pouzdro potrubní izolační ROCKWOOL 800  35/30 mm</t>
  </si>
  <si>
    <t>5</t>
  </si>
  <si>
    <t>631547116</t>
  </si>
  <si>
    <t>Pouzdro potrubní izolační ROCKWOOL 800  42/30 mm</t>
  </si>
  <si>
    <t>6</t>
  </si>
  <si>
    <t>631547118</t>
  </si>
  <si>
    <t>Pouzdro potrubní izolační ROCKWOOL 800  54/30 mm</t>
  </si>
  <si>
    <t>631547220</t>
  </si>
  <si>
    <t>Pouzdro potrubní izolační ROCKWOOL 800  64/40 mm</t>
  </si>
  <si>
    <t>721</t>
  </si>
  <si>
    <t>Vnitřní kanalizace</t>
  </si>
  <si>
    <t>8</t>
  </si>
  <si>
    <t>721176101R00</t>
  </si>
  <si>
    <t>Potrubí HT připojovací, D 32 x 1,8 mm</t>
  </si>
  <si>
    <t>721_</t>
  </si>
  <si>
    <t>72_</t>
  </si>
  <si>
    <t>9</t>
  </si>
  <si>
    <t>721176102R00</t>
  </si>
  <si>
    <t>Potrubí HT připojovací D 40 x 1,8 mm</t>
  </si>
  <si>
    <t>10</t>
  </si>
  <si>
    <t>721176103R00</t>
  </si>
  <si>
    <t>Potrubí HT připojovací D 50 x 1,8 mm</t>
  </si>
  <si>
    <t>11</t>
  </si>
  <si>
    <t>721176105R00</t>
  </si>
  <si>
    <t>Potrubí HT připojovací D 110 x 2,7 mm</t>
  </si>
  <si>
    <t>12</t>
  </si>
  <si>
    <t>721177715R00</t>
  </si>
  <si>
    <t>Potrubí Wavin SiTech+ odpadní svislé D 110 x 3,6mm</t>
  </si>
  <si>
    <t>13</t>
  </si>
  <si>
    <t>721177716R00</t>
  </si>
  <si>
    <t>Potrubí Wavin SiTech+ odpadní svislé D 125 x 4,0mm</t>
  </si>
  <si>
    <t>14</t>
  </si>
  <si>
    <t>721177717R00</t>
  </si>
  <si>
    <t>Potrubí Wavin SiTech+ odpadní svislé D 160 x 5,0mm</t>
  </si>
  <si>
    <t>15</t>
  </si>
  <si>
    <t>721177725R00</t>
  </si>
  <si>
    <t>Čisticí kus Wavin SiTech+, odpadní svislé D 110</t>
  </si>
  <si>
    <t>kus</t>
  </si>
  <si>
    <t>16</t>
  </si>
  <si>
    <t>721176222R00</t>
  </si>
  <si>
    <t>Potrubí KG svodné (ležaté) v zemi D 110 x 3,2 mm</t>
  </si>
  <si>
    <t>17</t>
  </si>
  <si>
    <t>721176223R00</t>
  </si>
  <si>
    <t>Potrubí KG svodné (ležaté) v zemi, D 125 x 3,2 mm</t>
  </si>
  <si>
    <t>18</t>
  </si>
  <si>
    <t>721176224R00</t>
  </si>
  <si>
    <t>Potrubí KG svodné (ležaté) v zemi, D 160 x 4,0 mm</t>
  </si>
  <si>
    <t>19</t>
  </si>
  <si>
    <t>721176225R00</t>
  </si>
  <si>
    <t>Potrubí KG svodné (ležaté) v zemi, D 200 x 4,9 mm</t>
  </si>
  <si>
    <t>20</t>
  </si>
  <si>
    <t>721176226R00</t>
  </si>
  <si>
    <t>Potrubí KG svodné (ležaté) v zemi, DN 250 x 6,2 mm</t>
  </si>
  <si>
    <t>21</t>
  </si>
  <si>
    <t>721194104R00</t>
  </si>
  <si>
    <t>Vyvedení odpadních výpustek D 40 x 1,8</t>
  </si>
  <si>
    <t>22</t>
  </si>
  <si>
    <t>721194105R00</t>
  </si>
  <si>
    <t>Vyvedení odpadních výpustek D 50 x 1,8</t>
  </si>
  <si>
    <t>23</t>
  </si>
  <si>
    <t>721194109R00</t>
  </si>
  <si>
    <t>Vyvedení odpadních výpustek D 110 x 2,3</t>
  </si>
  <si>
    <t>24</t>
  </si>
  <si>
    <t>721273200RT2</t>
  </si>
  <si>
    <t>Souprava ventilační střešní HL</t>
  </si>
  <si>
    <t>Varianta:</t>
  </si>
  <si>
    <t>souprava větrací hlavice PP HL807  D 75 mm</t>
  </si>
  <si>
    <t>25</t>
  </si>
  <si>
    <t>721223423RT2</t>
  </si>
  <si>
    <t>Vpusť podlahová se zápachovou uzávěrkou HL 310N</t>
  </si>
  <si>
    <t>mřížka nerez 115 x 115 D 50/75/110 mm, Primus</t>
  </si>
  <si>
    <t>26</t>
  </si>
  <si>
    <t>721242110R00</t>
  </si>
  <si>
    <t>Lapač střešních splavenin PP HL600, kloub</t>
  </si>
  <si>
    <t>27</t>
  </si>
  <si>
    <t>721290111R00</t>
  </si>
  <si>
    <t>Zkouška těsnosti kanalizace vodou DN 125</t>
  </si>
  <si>
    <t>28</t>
  </si>
  <si>
    <t>721231144VL1</t>
  </si>
  <si>
    <t>Vtok terasový TW pod dlažbou, zateplení 300 mm + zápachová uzávěrka TW</t>
  </si>
  <si>
    <t>kpl</t>
  </si>
  <si>
    <t>průměr 75-125 mm</t>
  </si>
  <si>
    <t>29</t>
  </si>
  <si>
    <t>721231114RT4</t>
  </si>
  <si>
    <t>Vtok střešní TW v povlakové krytině, zateplená střecha, výška izolace 300 mm</t>
  </si>
  <si>
    <t>průměr 75 - 125 mm</t>
  </si>
  <si>
    <t>30</t>
  </si>
  <si>
    <t>721231331R00</t>
  </si>
  <si>
    <t>Vyhřívací sada pro střešní vtoky TopWet</t>
  </si>
  <si>
    <t>31</t>
  </si>
  <si>
    <t>721000201VL</t>
  </si>
  <si>
    <t>Bezpečnostní přepad Topwet DN110 s integrovaným límcem</t>
  </si>
  <si>
    <t>RTS I / 2016</t>
  </si>
  <si>
    <t>32</t>
  </si>
  <si>
    <t>112-906Z</t>
  </si>
  <si>
    <t>Protipořární manžeta DN75 EI 60 DP1</t>
  </si>
  <si>
    <t>33</t>
  </si>
  <si>
    <t>112-907Z</t>
  </si>
  <si>
    <t>Protipořární manžeta DN110 EI 60 DP1</t>
  </si>
  <si>
    <t>34</t>
  </si>
  <si>
    <t>721290823R00</t>
  </si>
  <si>
    <t>Přesun vybouraných hmot - kanalizace, H 12 - 24 m</t>
  </si>
  <si>
    <t>t</t>
  </si>
  <si>
    <t>722</t>
  </si>
  <si>
    <t>Vnitřní vodovod</t>
  </si>
  <si>
    <t>35</t>
  </si>
  <si>
    <t>722171216R00</t>
  </si>
  <si>
    <t>Potrubí z PEHD, D 63 x 5,8 mm</t>
  </si>
  <si>
    <t>722_</t>
  </si>
  <si>
    <t>36</t>
  </si>
  <si>
    <t>722172411R00</t>
  </si>
  <si>
    <t>Potrubí z PPR, D 20 x 2,8 mm, PN 16, vč.zed.výpom.</t>
  </si>
  <si>
    <t>37</t>
  </si>
  <si>
    <t>722172412R00</t>
  </si>
  <si>
    <t>Potrubí z PPR, D 25 x 3,5 mm, PN 16, vč.zed.výpom.</t>
  </si>
  <si>
    <t>38</t>
  </si>
  <si>
    <t>722172413R00</t>
  </si>
  <si>
    <t>Potrubí z PPR, D 32 x 4,4 mm, PN 16, vč.zed.výpom.</t>
  </si>
  <si>
    <t>39</t>
  </si>
  <si>
    <t>722172414R00</t>
  </si>
  <si>
    <t>Potrubí z PPR, D 40 x 5,5 mm, PN 16, vč.zed.výpom.</t>
  </si>
  <si>
    <t>40</t>
  </si>
  <si>
    <t>722172415R00</t>
  </si>
  <si>
    <t>Potrubí z PPR, D 50 x 6,9 mm, PN 16, vč.zed.výpom.</t>
  </si>
  <si>
    <t>41</t>
  </si>
  <si>
    <t>722172416R00</t>
  </si>
  <si>
    <t>Potrubí z PPR, D 63 x 8,6 mm, PN 16, vč.zed.výpom.</t>
  </si>
  <si>
    <t>42</t>
  </si>
  <si>
    <t>722178711R00</t>
  </si>
  <si>
    <t>Potrubí vícevrst.vod.Wavin Basalt Plus,D 20x2,8 mm</t>
  </si>
  <si>
    <t>43</t>
  </si>
  <si>
    <t>722178712R00</t>
  </si>
  <si>
    <t>Potrubí vícevrst.vod.Wavin Basalt Plus,D 25x3,5 mm</t>
  </si>
  <si>
    <t>44</t>
  </si>
  <si>
    <t>722178713R00</t>
  </si>
  <si>
    <t>Potrubí vícevrst.vod.Wavin Basalt Plus,D 32x4,4 mm</t>
  </si>
  <si>
    <t>45</t>
  </si>
  <si>
    <t>722178714R00</t>
  </si>
  <si>
    <t>Potrubí vícevrst.vod.Wavin Basalt Plus,D 40x5,5 mm</t>
  </si>
  <si>
    <t>46</t>
  </si>
  <si>
    <t>722178715R00</t>
  </si>
  <si>
    <t>Potrubí vícevrst.vod.Wavin Basalt Plus,D 50x6,9 mm</t>
  </si>
  <si>
    <t>47</t>
  </si>
  <si>
    <t>722178716R00</t>
  </si>
  <si>
    <t>Potrubí vícevrst.vod.Wavin Basalt Plus,D 63x8,6 mm</t>
  </si>
  <si>
    <t>48</t>
  </si>
  <si>
    <t>722132114R00</t>
  </si>
  <si>
    <t>Potrubí ocel vně/vni pozink.Geberit Mapress 22x1,5</t>
  </si>
  <si>
    <t>49</t>
  </si>
  <si>
    <t>722132116R00</t>
  </si>
  <si>
    <t>Potrubí ocel vně/vni pozink.Geberit Mapress 35x1,5</t>
  </si>
  <si>
    <t>50</t>
  </si>
  <si>
    <t>722132117R00</t>
  </si>
  <si>
    <t>Potrubí ocel vně/vni pozink.Geberit Mapress 42x1,5</t>
  </si>
  <si>
    <t>51</t>
  </si>
  <si>
    <t>722280106R00</t>
  </si>
  <si>
    <t>Tlaková zkouška vodovodního potrubí DN 32</t>
  </si>
  <si>
    <t>52</t>
  </si>
  <si>
    <t>722280108R00</t>
  </si>
  <si>
    <t>Tlaková zkouška vodovodního potrubí DN 50</t>
  </si>
  <si>
    <t>53</t>
  </si>
  <si>
    <t>722280109R00</t>
  </si>
  <si>
    <t>Tlaková zkouška vodovodního potrubí DN 65</t>
  </si>
  <si>
    <t>54</t>
  </si>
  <si>
    <t>722290234R00</t>
  </si>
  <si>
    <t>Proplach a dezinfekce vodovod.potrubí DN 80</t>
  </si>
  <si>
    <t>55</t>
  </si>
  <si>
    <t>722181213RT7</t>
  </si>
  <si>
    <t>Izolace návleková MIRELON PRO tl. stěny 13 mm</t>
  </si>
  <si>
    <t>vnitřní průměr 22 mm</t>
  </si>
  <si>
    <t>56</t>
  </si>
  <si>
    <t>722181213RT8</t>
  </si>
  <si>
    <t>vnitřní průměr 25 mm</t>
  </si>
  <si>
    <t>57</t>
  </si>
  <si>
    <t>722181213RU2</t>
  </si>
  <si>
    <t>vnitřní průměr 35 mm</t>
  </si>
  <si>
    <t>58</t>
  </si>
  <si>
    <t>722181213RV9</t>
  </si>
  <si>
    <t>vnitřní průměr 40 mm</t>
  </si>
  <si>
    <t>59</t>
  </si>
  <si>
    <t>722181213RW6</t>
  </si>
  <si>
    <t>vnitřní průměr 50 mm</t>
  </si>
  <si>
    <t>60</t>
  </si>
  <si>
    <t>722181213RY3</t>
  </si>
  <si>
    <t>vnitřní průměr 63 mm</t>
  </si>
  <si>
    <t>61</t>
  </si>
  <si>
    <t>722181213RY5</t>
  </si>
  <si>
    <t>vnitřní průměr 76 mm</t>
  </si>
  <si>
    <t>62</t>
  </si>
  <si>
    <t>722181214RT7</t>
  </si>
  <si>
    <t>Izolace návleková MIRELON PRO tl. stěny 20 mm</t>
  </si>
  <si>
    <t>63</t>
  </si>
  <si>
    <t>722181214RT8</t>
  </si>
  <si>
    <t>64</t>
  </si>
  <si>
    <t>722191111R00</t>
  </si>
  <si>
    <t>Hadice flexibilní k baterii,DN 15 x M10,délka 0,4m</t>
  </si>
  <si>
    <t>soubor</t>
  </si>
  <si>
    <t>65</t>
  </si>
  <si>
    <t>722190401R00</t>
  </si>
  <si>
    <t>Vyvedení a upevnění výpustek DN 15</t>
  </si>
  <si>
    <t>66</t>
  </si>
  <si>
    <t>722237121R00</t>
  </si>
  <si>
    <t>Kohout vod.kul.,2xvnitř.záv.GIACOMINI R250D DN 15</t>
  </si>
  <si>
    <t>67</t>
  </si>
  <si>
    <t>722237122R00</t>
  </si>
  <si>
    <t>Kohout vod.kul.,2xvnitř.záv.GIACOMINI R250D DN 20</t>
  </si>
  <si>
    <t>68</t>
  </si>
  <si>
    <t>722237123R00</t>
  </si>
  <si>
    <t>Kohout vod.kul.,2xvnitř.záv.GIACOMINI R250D DN 25</t>
  </si>
  <si>
    <t>69</t>
  </si>
  <si>
    <t>722237124R00</t>
  </si>
  <si>
    <t>Kohout vod.kul.,2xvnitř.záv.GIACOMINI R250D DN 32</t>
  </si>
  <si>
    <t>70</t>
  </si>
  <si>
    <t>722237125R00</t>
  </si>
  <si>
    <t>Kohout vod.kul.,2xvnitř.záv.GIACOMINI R250D DN 40</t>
  </si>
  <si>
    <t>71</t>
  </si>
  <si>
    <t>722237126R00</t>
  </si>
  <si>
    <t>Kohout vod.kul.,2xvnitř.záv.GIACOMINI R250D DN 50</t>
  </si>
  <si>
    <t>72</t>
  </si>
  <si>
    <t>722237127R00</t>
  </si>
  <si>
    <t>Kohout vod.kul.,2xvnitř.záv.GIACOMINI R250D DN 65</t>
  </si>
  <si>
    <t>73</t>
  </si>
  <si>
    <t>722237622R00</t>
  </si>
  <si>
    <t>Ventil vod.zpět.,2xvnitř.závit GIACOMINI R60 DN 20</t>
  </si>
  <si>
    <t>74</t>
  </si>
  <si>
    <t>722237626R00</t>
  </si>
  <si>
    <t>Ventil vod.zpět.,2xvnitř.závit GIACOMINI R60 DN 50</t>
  </si>
  <si>
    <t>75</t>
  </si>
  <si>
    <t>722223182R00</t>
  </si>
  <si>
    <t>Kohout vod.kul.výtokový, GIACOMINI R621 DN 20</t>
  </si>
  <si>
    <t>76</t>
  </si>
  <si>
    <t>734295212R00</t>
  </si>
  <si>
    <t>Filtr, vnitřní-vnitřní z. GIACOMINI R74A DN 20</t>
  </si>
  <si>
    <t>77</t>
  </si>
  <si>
    <t>722224111R00</t>
  </si>
  <si>
    <t>Kohouty plnicí a vypouštěcí DN 15</t>
  </si>
  <si>
    <t>78</t>
  </si>
  <si>
    <t>734255145R00</t>
  </si>
  <si>
    <t>Ventil pojistný, GIACOMINI R140 DN 32 x 6,0 bar</t>
  </si>
  <si>
    <t>79</t>
  </si>
  <si>
    <t>722254201RT4</t>
  </si>
  <si>
    <t>Hydrantový systém, box s plnými dveřmi</t>
  </si>
  <si>
    <t>průměr 19/30, stálotvará hadice</t>
  </si>
  <si>
    <t>80</t>
  </si>
  <si>
    <t>200-084UTVD</t>
  </si>
  <si>
    <t>Oběhové čerpadlo elektronické pro cirkulaci TUV (tělo čerpadla nerezové) DN25 Q=0,4m3/h,  H=20kPa, 230V</t>
  </si>
  <si>
    <t>81</t>
  </si>
  <si>
    <t>112-915Z</t>
  </si>
  <si>
    <t>Protipořární ucpávka do DN65 EI 60 DP1</t>
  </si>
  <si>
    <t>82</t>
  </si>
  <si>
    <t>112-914Z</t>
  </si>
  <si>
    <t>Protipořární ucpávka do DN50 EI 60 DP1</t>
  </si>
  <si>
    <t>83</t>
  </si>
  <si>
    <t>112-913Z</t>
  </si>
  <si>
    <t>Protipořární ucpávka do DN40 EI 60 DP1</t>
  </si>
  <si>
    <t>84</t>
  </si>
  <si>
    <t>112-912Z</t>
  </si>
  <si>
    <t>Protipořární ucpávka do DN32 EI 60 DP1</t>
  </si>
  <si>
    <t>85</t>
  </si>
  <si>
    <t>722290823R00</t>
  </si>
  <si>
    <t>Přesun vybouraných hmot - vodovody, H 12 - 24 m</t>
  </si>
  <si>
    <t>725</t>
  </si>
  <si>
    <t>Zařizovací předměty</t>
  </si>
  <si>
    <t>86</t>
  </si>
  <si>
    <t>725014131R00</t>
  </si>
  <si>
    <t>Klozet závěsný OLYMP + sedátko, bílý</t>
  </si>
  <si>
    <t>725_</t>
  </si>
  <si>
    <t>87</t>
  </si>
  <si>
    <t>726212331R00</t>
  </si>
  <si>
    <t>Modul-PRO WC SYSTEM+PANEL SET, pro závěsné WC</t>
  </si>
  <si>
    <t>88</t>
  </si>
  <si>
    <t>2869676110</t>
  </si>
  <si>
    <t>Souprava pro tlumení hluku Geberit pro závěsné WC</t>
  </si>
  <si>
    <t>89</t>
  </si>
  <si>
    <t>725017134R00</t>
  </si>
  <si>
    <t>Umyvadlo na šrouby OLYMP Deep 60 x 45 cm, bílé</t>
  </si>
  <si>
    <t>90</t>
  </si>
  <si>
    <t>725823111R00</t>
  </si>
  <si>
    <t>Baterie umyvadlová stoján. ruční, bez otvír.odpadu</t>
  </si>
  <si>
    <t>91</t>
  </si>
  <si>
    <t>725860213R00</t>
  </si>
  <si>
    <t>Sifon umyvadlový, D 32, 40 mm</t>
  </si>
  <si>
    <t>92</t>
  </si>
  <si>
    <t>725249102R00</t>
  </si>
  <si>
    <t>Montáž sprchových mís a vaniček</t>
  </si>
  <si>
    <t>93</t>
  </si>
  <si>
    <t>642938205</t>
  </si>
  <si>
    <t>Vanička sprch. keram. 1/4 kruh 900x900 mm</t>
  </si>
  <si>
    <t>94</t>
  </si>
  <si>
    <t>725860224R00</t>
  </si>
  <si>
    <t>Sifon ke sprchové vaničce PP HL 522, D 40/50 mm</t>
  </si>
  <si>
    <t>95</t>
  </si>
  <si>
    <t>725249106R00</t>
  </si>
  <si>
    <t>Montáž sprchových koutů ostatních typů</t>
  </si>
  <si>
    <t>96</t>
  </si>
  <si>
    <t>55428097.A</t>
  </si>
  <si>
    <t>Sprchová zástěna čtvrtkruhový 90x90x185 cm</t>
  </si>
  <si>
    <t>97</t>
  </si>
  <si>
    <t>725845111RT1</t>
  </si>
  <si>
    <t>Baterie sprchová nástěnná ruční, bez příslušenství</t>
  </si>
  <si>
    <t>standardní</t>
  </si>
  <si>
    <t>98</t>
  </si>
  <si>
    <t>55145352</t>
  </si>
  <si>
    <t>Set sprchový hadice, růžice, držák 901.00</t>
  </si>
  <si>
    <t>99</t>
  </si>
  <si>
    <t>725019101R00</t>
  </si>
  <si>
    <t>Výlevka stojící MIRA 5104.6 s plastovou mřížkou</t>
  </si>
  <si>
    <t>100</t>
  </si>
  <si>
    <t>725119105R00</t>
  </si>
  <si>
    <t>Montáž splachovacích nádrží vysokopoložených</t>
  </si>
  <si>
    <t>101</t>
  </si>
  <si>
    <t>725829201R00</t>
  </si>
  <si>
    <t>Montáž baterie umyv.a dřezové nástěnné chromové</t>
  </si>
  <si>
    <t>102</t>
  </si>
  <si>
    <t>55147033</t>
  </si>
  <si>
    <t>Splachovač nádržkový z PH úsporný T-2454</t>
  </si>
  <si>
    <t>103</t>
  </si>
  <si>
    <t>725860217VL</t>
  </si>
  <si>
    <t>Sifon pro odvod kondenzátu pro klimatizace HL136, 5/4 "</t>
  </si>
  <si>
    <t>104</t>
  </si>
  <si>
    <t>725814105R00</t>
  </si>
  <si>
    <t>Ventil rohový s filtrem IVAR.70872 DN 15 x DN 10</t>
  </si>
  <si>
    <t>105</t>
  </si>
  <si>
    <t>725850145R00</t>
  </si>
  <si>
    <t>Sifon kondenzační HL 136N, DN 40, vodorovný odtok</t>
  </si>
  <si>
    <t>106</t>
  </si>
  <si>
    <t>725016121R00</t>
  </si>
  <si>
    <t>Urinál odsávací GOLEM 4306.0, přívod vodor., bílý</t>
  </si>
  <si>
    <t>107</t>
  </si>
  <si>
    <t>800-001ZTIVD</t>
  </si>
  <si>
    <t>Ventil tlačný samouzavírací pro pisoár G1/2</t>
  </si>
  <si>
    <t>108</t>
  </si>
  <si>
    <t>725859102R00</t>
  </si>
  <si>
    <t>Montáž ventilu odpadního do D 50 mm</t>
  </si>
  <si>
    <t>109</t>
  </si>
  <si>
    <t>55161821.A</t>
  </si>
  <si>
    <t>Sifón k urinálu GOLEM vnitřní, vodorovný 8.9200.3</t>
  </si>
  <si>
    <t>110</t>
  </si>
  <si>
    <t>725319101R00</t>
  </si>
  <si>
    <t>Montáž dřezů jednoduchých</t>
  </si>
  <si>
    <t>111</t>
  </si>
  <si>
    <t>725823114R00</t>
  </si>
  <si>
    <t>Baterie dřezová stojánková ruční, bez otvír.odpadu</t>
  </si>
  <si>
    <t>112</t>
  </si>
  <si>
    <t>725860202R00</t>
  </si>
  <si>
    <t>Sifon dřezový HL100G, D 40, 50 mm, 6/4"</t>
  </si>
  <si>
    <t>113</t>
  </si>
  <si>
    <t>55231082</t>
  </si>
  <si>
    <t>Dřez nerez s odkládací plochou</t>
  </si>
  <si>
    <t>114</t>
  </si>
  <si>
    <t>725980122R00</t>
  </si>
  <si>
    <t>Dvířka z plastu, 200 x 300 mm</t>
  </si>
  <si>
    <t>115</t>
  </si>
  <si>
    <t>725590813R00</t>
  </si>
  <si>
    <t>Přesun vybour.hmot, zařizovací předměty H 24 m</t>
  </si>
  <si>
    <t>116</t>
  </si>
  <si>
    <t>725860180RT1</t>
  </si>
  <si>
    <t>Sifon pračkový D 40/50 mm nerezový, podomítková uzávěrka</t>
  </si>
  <si>
    <t>podomítková uzávěrka, krycí deska nerez 160x110 mm</t>
  </si>
  <si>
    <t>117</t>
  </si>
  <si>
    <t>725291142R00</t>
  </si>
  <si>
    <t>Madlo dvojité pevné nerez dl. 844 mm</t>
  </si>
  <si>
    <t>118</t>
  </si>
  <si>
    <t>725291146R00</t>
  </si>
  <si>
    <t>Madlo dvojité sklopné nerez dl. 852 mm</t>
  </si>
  <si>
    <t>900</t>
  </si>
  <si>
    <t>Ostatní</t>
  </si>
  <si>
    <t>119</t>
  </si>
  <si>
    <t>001VD</t>
  </si>
  <si>
    <t>Pomocné kce a montáže</t>
  </si>
  <si>
    <t>900_</t>
  </si>
  <si>
    <t>9_</t>
  </si>
  <si>
    <t>120</t>
  </si>
  <si>
    <t>Stavební přípomoce, přesun hmot PSV 5%</t>
  </si>
  <si>
    <t>Celkem:</t>
  </si>
  <si>
    <t>Poznámka:</t>
  </si>
  <si>
    <t>Stavební rozpočet - rekapitulace</t>
  </si>
  <si>
    <t>Zkrácený popis</t>
  </si>
  <si>
    <t>Náklady (Kč) - dodávka</t>
  </si>
  <si>
    <t>Náklady (Kč) - Montáž</t>
  </si>
  <si>
    <t>Náklady (Kč) - celkem</t>
  </si>
  <si>
    <t>Celková hmotnost (t)</t>
  </si>
  <si>
    <t>T</t>
  </si>
  <si>
    <t>Krycí list rozpočtu</t>
  </si>
  <si>
    <t>IČO/DIČ:</t>
  </si>
  <si>
    <t>Položek:</t>
  </si>
  <si>
    <t>Datum:</t>
  </si>
  <si>
    <t>Rozpočtové náklady v Kč</t>
  </si>
  <si>
    <t>A</t>
  </si>
  <si>
    <t>Základní rozpočtové náklady</t>
  </si>
  <si>
    <t>B</t>
  </si>
  <si>
    <t>Doplňkové náklady</t>
  </si>
  <si>
    <t>C</t>
  </si>
  <si>
    <t>Náklady na umístění stavby (NUS)</t>
  </si>
  <si>
    <t>HSV</t>
  </si>
  <si>
    <t>Dodávky</t>
  </si>
  <si>
    <t>Práce přesčas</t>
  </si>
  <si>
    <t>Zařízení staveniště</t>
  </si>
  <si>
    <t>Bez pevné podl.</t>
  </si>
  <si>
    <t>Mimostav. doprava</t>
  </si>
  <si>
    <t>PSV</t>
  </si>
  <si>
    <t>Kulturní památka</t>
  </si>
  <si>
    <t>Územní vlivy</t>
  </si>
  <si>
    <t>Vytyčení podzemních</t>
  </si>
  <si>
    <t>Provozní vlivy</t>
  </si>
  <si>
    <t>"M"</t>
  </si>
  <si>
    <t>NUS z rozpočtu</t>
  </si>
  <si>
    <t>Ostatní materiál</t>
  </si>
  <si>
    <t>Přesun hmot a sutí</t>
  </si>
  <si>
    <t>ZRN celkem</t>
  </si>
  <si>
    <t>DN celkem</t>
  </si>
  <si>
    <t>NUS celkem</t>
  </si>
  <si>
    <t>DN celkem z obj.</t>
  </si>
  <si>
    <t>NUS celkem z obj.</t>
  </si>
  <si>
    <t>VORN celkem</t>
  </si>
  <si>
    <t>VORN celkem z obj.</t>
  </si>
  <si>
    <t>Základ 0%</t>
  </si>
  <si>
    <t>Základ 12%</t>
  </si>
  <si>
    <t>DPH 12%</t>
  </si>
  <si>
    <t>Celkem bez DPH</t>
  </si>
  <si>
    <t>Základ 21%</t>
  </si>
  <si>
    <t>DPH 21%</t>
  </si>
  <si>
    <t>Celkem včetně DPH</t>
  </si>
  <si>
    <t>Projektant</t>
  </si>
  <si>
    <t>Objednatel</t>
  </si>
  <si>
    <t>Zhotovitel</t>
  </si>
  <si>
    <t>Datum, razítko a podpis</t>
  </si>
  <si>
    <t>Vedlejší a ostatní rozpočtové náklady</t>
  </si>
  <si>
    <t>Vedlejší rozpočtové náklady VRN</t>
  </si>
  <si>
    <t>Doplňkové náklady DN</t>
  </si>
  <si>
    <t>Kč</t>
  </si>
  <si>
    <t>%</t>
  </si>
  <si>
    <t>Základna</t>
  </si>
  <si>
    <t>Celkem DN</t>
  </si>
  <si>
    <t>Celkem NUS</t>
  </si>
  <si>
    <t>Celkem VRN</t>
  </si>
  <si>
    <t>Ostatní rozpočtové náklady ORN</t>
  </si>
  <si>
    <t>Ostatní rozpočtové náklady (ORN)</t>
  </si>
  <si>
    <t>Celkem ORN</t>
  </si>
  <si>
    <t>Pomocné kce, montáže, přesuny hmot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</si>
</sst>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charset val="1"/>
    </font>
    <font>
      <sz val="18"/>
      <color rgb="FF000000"/>
      <name val="Arial"/>
      <charset val="238"/>
    </font>
    <font>
      <b/>
      <sz val="10"/>
      <color rgb="FF000000"/>
      <name val="Arial"/>
      <charset val="238"/>
    </font>
    <font>
      <sz val="10"/>
      <color rgb="FF000000"/>
      <name val="Arial"/>
      <charset val="238"/>
    </font>
    <font>
      <i/>
      <sz val="10"/>
      <color rgb="FF000000"/>
      <name val="Arial"/>
      <charset val="238"/>
    </font>
    <font>
      <i/>
      <sz val="8"/>
      <color rgb="FF000000"/>
      <name val="Arial"/>
      <charset val="238"/>
    </font>
    <font>
      <b/>
      <sz val="18"/>
      <color rgb="FF000000"/>
      <name val="Arial"/>
      <charset val="238"/>
    </font>
    <font>
      <b/>
      <sz val="20"/>
      <color rgb="FF000000"/>
      <name val="Arial"/>
      <charset val="238"/>
    </font>
    <font>
      <b/>
      <sz val="11"/>
      <color rgb="FF000000"/>
      <name val="Arial"/>
      <charset val="238"/>
    </font>
    <font>
      <b/>
      <sz val="12"/>
      <color rgb="FF000000"/>
      <name val="Arial"/>
      <charset val="238"/>
    </font>
    <font>
      <sz val="12"/>
      <color rgb="FF00000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/>
    <xf numFmtId="4" fontId="2" fillId="2" borderId="0" xfId="0" applyNumberFormat="1" applyFont="1" applyFill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4" fontId="2" fillId="2" borderId="37" xfId="0" applyNumberFormat="1" applyFont="1" applyFill="1" applyBorder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2" fillId="2" borderId="38" xfId="0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0" fillId="0" borderId="5" xfId="0" applyBorder="1"/>
    <xf numFmtId="0" fontId="4" fillId="0" borderId="0" xfId="0" applyFont="1" applyAlignment="1">
      <alignment horizontal="righ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4" fontId="3" fillId="0" borderId="40" xfId="0" applyNumberFormat="1" applyFont="1" applyBorder="1" applyAlignment="1">
      <alignment horizontal="right" vertical="center"/>
    </xf>
    <xf numFmtId="1" fontId="3" fillId="0" borderId="40" xfId="0" applyNumberFormat="1" applyFont="1" applyBorder="1" applyAlignment="1">
      <alignment horizontal="right" vertical="center"/>
    </xf>
    <xf numFmtId="0" fontId="3" fillId="0" borderId="41" xfId="0" applyFont="1" applyBorder="1" applyAlignment="1">
      <alignment horizontal="right" vertical="center"/>
    </xf>
    <xf numFmtId="0" fontId="2" fillId="0" borderId="42" xfId="0" applyFont="1" applyBorder="1" applyAlignment="1">
      <alignment horizontal="left" vertical="center"/>
    </xf>
    <xf numFmtId="4" fontId="2" fillId="0" borderId="42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4" fontId="3" fillId="0" borderId="37" xfId="0" applyNumberFormat="1" applyFont="1" applyBorder="1" applyAlignment="1">
      <alignment horizontal="right" vertical="center"/>
    </xf>
    <xf numFmtId="4" fontId="3" fillId="0" borderId="38" xfId="0" applyNumberFormat="1" applyFont="1" applyBorder="1" applyAlignment="1">
      <alignment horizontal="right" vertical="center"/>
    </xf>
    <xf numFmtId="0" fontId="3" fillId="0" borderId="47" xfId="0" applyFont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3" fillId="0" borderId="41" xfId="0" applyNumberFormat="1" applyFont="1" applyBorder="1" applyAlignment="1">
      <alignment horizontal="right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4" fontId="10" fillId="0" borderId="54" xfId="0" applyNumberFormat="1" applyFont="1" applyBorder="1" applyAlignment="1">
      <alignment horizontal="right" vertical="center"/>
    </xf>
    <xf numFmtId="0" fontId="9" fillId="0" borderId="57" xfId="0" applyFont="1" applyBorder="1" applyAlignment="1">
      <alignment horizontal="left" vertical="center"/>
    </xf>
    <xf numFmtId="0" fontId="10" fillId="0" borderId="54" xfId="0" applyFont="1" applyBorder="1" applyAlignment="1">
      <alignment horizontal="right" vertical="center"/>
    </xf>
    <xf numFmtId="4" fontId="10" fillId="0" borderId="61" xfId="0" applyNumberFormat="1" applyFont="1" applyBorder="1" applyAlignment="1">
      <alignment horizontal="right" vertical="center"/>
    </xf>
    <xf numFmtId="0" fontId="10" fillId="0" borderId="61" xfId="0" applyFont="1" applyBorder="1" applyAlignment="1">
      <alignment horizontal="right" vertical="center"/>
    </xf>
    <xf numFmtId="4" fontId="10" fillId="0" borderId="52" xfId="0" applyNumberFormat="1" applyFont="1" applyBorder="1" applyAlignment="1">
      <alignment horizontal="right" vertical="center"/>
    </xf>
    <xf numFmtId="4" fontId="10" fillId="0" borderId="30" xfId="0" applyNumberFormat="1" applyFont="1" applyBorder="1" applyAlignment="1">
      <alignment horizontal="right" vertical="center"/>
    </xf>
    <xf numFmtId="4" fontId="9" fillId="2" borderId="51" xfId="0" applyNumberFormat="1" applyFont="1" applyFill="1" applyBorder="1" applyAlignment="1">
      <alignment horizontal="right" vertical="center"/>
    </xf>
    <xf numFmtId="4" fontId="9" fillId="2" borderId="56" xfId="0" applyNumberFormat="1" applyFont="1" applyFill="1" applyBorder="1" applyAlignment="1">
      <alignment horizontal="right" vertical="center"/>
    </xf>
    <xf numFmtId="0" fontId="5" fillId="0" borderId="37" xfId="0" applyFont="1" applyBorder="1" applyAlignment="1">
      <alignment horizontal="left" vertical="center"/>
    </xf>
    <xf numFmtId="0" fontId="2" fillId="0" borderId="19" xfId="0" applyFont="1" applyBorder="1" applyAlignment="1">
      <alignment horizontal="right" vertical="center"/>
    </xf>
    <xf numFmtId="4" fontId="3" fillId="0" borderId="54" xfId="0" applyNumberFormat="1" applyFont="1" applyBorder="1" applyAlignment="1">
      <alignment horizontal="right" vertical="center"/>
    </xf>
    <xf numFmtId="0" fontId="3" fillId="0" borderId="54" xfId="0" applyFont="1" applyBorder="1" applyAlignment="1">
      <alignment horizontal="left" vertical="center"/>
    </xf>
    <xf numFmtId="4" fontId="3" fillId="0" borderId="80" xfId="0" applyNumberFormat="1" applyFont="1" applyBorder="1" applyAlignment="1">
      <alignment horizontal="right" vertical="center"/>
    </xf>
    <xf numFmtId="0" fontId="3" fillId="0" borderId="80" xfId="0" applyFont="1" applyBorder="1" applyAlignment="1">
      <alignment horizontal="left" vertical="center"/>
    </xf>
    <xf numFmtId="0" fontId="2" fillId="0" borderId="84" xfId="0" applyFont="1" applyBorder="1" applyAlignment="1">
      <alignment horizontal="left" vertical="center"/>
    </xf>
    <xf numFmtId="0" fontId="2" fillId="0" borderId="84" xfId="0" applyFont="1" applyBorder="1" applyAlignment="1">
      <alignment horizontal="right" vertical="center"/>
    </xf>
    <xf numFmtId="4" fontId="2" fillId="0" borderId="84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40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center" wrapText="1"/>
    </xf>
    <xf numFmtId="0" fontId="2" fillId="2" borderId="37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left" vertical="center"/>
    </xf>
    <xf numFmtId="0" fontId="10" fillId="0" borderId="67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71" xfId="0" applyFont="1" applyBorder="1" applyAlignment="1">
      <alignment horizontal="left" vertical="center"/>
    </xf>
    <xf numFmtId="0" fontId="10" fillId="0" borderId="76" xfId="0" applyFont="1" applyBorder="1" applyAlignment="1">
      <alignment horizontal="left" vertical="center"/>
    </xf>
    <xf numFmtId="0" fontId="10" fillId="0" borderId="74" xfId="0" applyFont="1" applyBorder="1" applyAlignment="1">
      <alignment horizontal="left" vertical="center"/>
    </xf>
    <xf numFmtId="0" fontId="10" fillId="0" borderId="75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10" fillId="0" borderId="70" xfId="0" applyFont="1" applyBorder="1" applyAlignment="1">
      <alignment horizontal="left" vertical="center"/>
    </xf>
    <xf numFmtId="0" fontId="10" fillId="0" borderId="73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2" borderId="63" xfId="0" applyFont="1" applyFill="1" applyBorder="1" applyAlignment="1">
      <alignment horizontal="left" vertical="center"/>
    </xf>
    <xf numFmtId="0" fontId="9" fillId="2" borderId="64" xfId="0" applyFont="1" applyFill="1" applyBorder="1" applyAlignment="1">
      <alignment horizontal="left" vertical="center"/>
    </xf>
    <xf numFmtId="0" fontId="9" fillId="2" borderId="58" xfId="0" applyFont="1" applyFill="1" applyBorder="1" applyAlignment="1">
      <alignment horizontal="left" vertical="center"/>
    </xf>
    <xf numFmtId="0" fontId="9" fillId="2" borderId="65" xfId="0" applyFont="1" applyFill="1" applyBorder="1" applyAlignment="1">
      <alignment horizontal="left" vertical="center"/>
    </xf>
    <xf numFmtId="0" fontId="9" fillId="2" borderId="50" xfId="0" applyFont="1" applyFill="1" applyBorder="1" applyAlignment="1">
      <alignment horizontal="left" vertical="center"/>
    </xf>
    <xf numFmtId="0" fontId="9" fillId="2" borderId="55" xfId="0" applyFont="1" applyFill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  <xf numFmtId="0" fontId="9" fillId="0" borderId="59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63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6" fillId="0" borderId="48" xfId="0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left" vertical="center"/>
    </xf>
    <xf numFmtId="0" fontId="3" fillId="0" borderId="77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center"/>
    </xf>
    <xf numFmtId="0" fontId="3" fillId="0" borderId="79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0" fontId="9" fillId="0" borderId="81" xfId="0" applyFont="1" applyBorder="1" applyAlignment="1">
      <alignment horizontal="left" vertical="center"/>
    </xf>
    <xf numFmtId="0" fontId="9" fillId="0" borderId="82" xfId="0" applyFont="1" applyBorder="1" applyAlignment="1">
      <alignment horizontal="left" vertical="center"/>
    </xf>
    <xf numFmtId="0" fontId="9" fillId="0" borderId="83" xfId="0" applyFont="1" applyBorder="1" applyAlignment="1">
      <alignment horizontal="left" vertical="center"/>
    </xf>
    <xf numFmtId="4" fontId="9" fillId="0" borderId="85" xfId="0" applyNumberFormat="1" applyFont="1" applyBorder="1" applyAlignment="1">
      <alignment horizontal="right" vertical="center"/>
    </xf>
    <xf numFmtId="0" fontId="9" fillId="0" borderId="82" xfId="0" applyFont="1" applyBorder="1" applyAlignment="1">
      <alignment horizontal="right" vertical="center"/>
    </xf>
    <xf numFmtId="0" fontId="9" fillId="0" borderId="83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155"/>
  <sheetViews>
    <sheetView workbookViewId="0">
      <pane ySplit="11" topLeftCell="A140" activePane="bottomLeft" state="frozen"/>
      <selection pane="bottomLeft" activeCell="H151" sqref="H151:H152"/>
    </sheetView>
  </sheetViews>
  <sheetFormatPr defaultColWidth="12.140625" defaultRowHeight="15" customHeight="1" x14ac:dyDescent="0.25"/>
  <cols>
    <col min="1" max="1" width="4" customWidth="1"/>
    <col min="2" max="2" width="7.5703125" customWidth="1"/>
    <col min="3" max="3" width="17.85546875" customWidth="1"/>
    <col min="4" max="4" width="42.85546875" customWidth="1"/>
    <col min="5" max="5" width="35.7109375" customWidth="1"/>
    <col min="6" max="6" width="9.42578125" customWidth="1"/>
    <col min="7" max="7" width="12.85546875" customWidth="1"/>
    <col min="8" max="8" width="12" customWidth="1"/>
    <col min="9" max="9" width="11.140625" customWidth="1"/>
    <col min="10" max="13" width="15.7109375" customWidth="1"/>
    <col min="14" max="15" width="11.7109375" customWidth="1"/>
    <col min="16" max="16" width="17" customWidth="1"/>
    <col min="25" max="75" width="12.140625" hidden="1"/>
    <col min="76" max="76" width="78.5703125" hidden="1" customWidth="1"/>
    <col min="77" max="78" width="12.140625" hidden="1"/>
  </cols>
  <sheetData>
    <row r="1" spans="1:76" ht="54.75" customHeight="1" x14ac:dyDescent="0.2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AS1" s="1">
        <f>SUM(AJ1:AJ2)</f>
        <v>0</v>
      </c>
      <c r="AT1" s="1">
        <f>SUM(AK1:AK2)</f>
        <v>0</v>
      </c>
      <c r="AU1" s="1">
        <f>SUM(AL1:AL2)</f>
        <v>0</v>
      </c>
    </row>
    <row r="2" spans="1:76" x14ac:dyDescent="0.25">
      <c r="A2" s="110" t="s">
        <v>1</v>
      </c>
      <c r="B2" s="102"/>
      <c r="C2" s="102"/>
      <c r="D2" s="115" t="s">
        <v>2</v>
      </c>
      <c r="E2" s="116"/>
      <c r="F2" s="102" t="s">
        <v>3</v>
      </c>
      <c r="G2" s="102"/>
      <c r="H2" s="102" t="s">
        <v>4</v>
      </c>
      <c r="I2" s="114" t="s">
        <v>5</v>
      </c>
      <c r="J2" s="102"/>
      <c r="K2" s="102" t="s">
        <v>6</v>
      </c>
      <c r="L2" s="102"/>
      <c r="M2" s="102"/>
      <c r="N2" s="102"/>
      <c r="O2" s="102"/>
      <c r="P2" s="103"/>
    </row>
    <row r="3" spans="1:76" x14ac:dyDescent="0.25">
      <c r="A3" s="111"/>
      <c r="B3" s="84"/>
      <c r="C3" s="84"/>
      <c r="D3" s="117"/>
      <c r="E3" s="117"/>
      <c r="F3" s="84"/>
      <c r="G3" s="84"/>
      <c r="H3" s="84"/>
      <c r="I3" s="84"/>
      <c r="J3" s="84"/>
      <c r="K3" s="84"/>
      <c r="L3" s="84"/>
      <c r="M3" s="84"/>
      <c r="N3" s="84"/>
      <c r="O3" s="84"/>
      <c r="P3" s="104"/>
    </row>
    <row r="4" spans="1:76" x14ac:dyDescent="0.25">
      <c r="A4" s="112" t="s">
        <v>7</v>
      </c>
      <c r="B4" s="84"/>
      <c r="C4" s="84"/>
      <c r="D4" s="83" t="s">
        <v>8</v>
      </c>
      <c r="E4" s="84"/>
      <c r="F4" s="84" t="s">
        <v>9</v>
      </c>
      <c r="G4" s="84"/>
      <c r="H4" s="84" t="s">
        <v>4</v>
      </c>
      <c r="I4" s="83" t="s">
        <v>10</v>
      </c>
      <c r="J4" s="84"/>
      <c r="K4" s="83" t="s">
        <v>11</v>
      </c>
      <c r="L4" s="84"/>
      <c r="M4" s="84"/>
      <c r="N4" s="84"/>
      <c r="O4" s="84"/>
      <c r="P4" s="104"/>
    </row>
    <row r="5" spans="1:76" x14ac:dyDescent="0.25">
      <c r="A5" s="111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104"/>
    </row>
    <row r="6" spans="1:76" x14ac:dyDescent="0.25">
      <c r="A6" s="112" t="s">
        <v>12</v>
      </c>
      <c r="B6" s="84"/>
      <c r="C6" s="84"/>
      <c r="D6" s="83" t="s">
        <v>13</v>
      </c>
      <c r="E6" s="84"/>
      <c r="F6" s="84" t="s">
        <v>14</v>
      </c>
      <c r="G6" s="84"/>
      <c r="H6" s="84" t="s">
        <v>4</v>
      </c>
      <c r="I6" s="83" t="s">
        <v>15</v>
      </c>
      <c r="J6" s="84"/>
      <c r="K6" s="84" t="s">
        <v>6</v>
      </c>
      <c r="L6" s="84"/>
      <c r="M6" s="84"/>
      <c r="N6" s="84"/>
      <c r="O6" s="84"/>
      <c r="P6" s="104"/>
    </row>
    <row r="7" spans="1:76" x14ac:dyDescent="0.25">
      <c r="A7" s="111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104"/>
    </row>
    <row r="8" spans="1:76" x14ac:dyDescent="0.25">
      <c r="A8" s="112" t="s">
        <v>16</v>
      </c>
      <c r="B8" s="84"/>
      <c r="C8" s="84"/>
      <c r="D8" s="83" t="s">
        <v>4</v>
      </c>
      <c r="E8" s="84"/>
      <c r="F8" s="84" t="s">
        <v>17</v>
      </c>
      <c r="G8" s="84"/>
      <c r="H8" s="84" t="s">
        <v>18</v>
      </c>
      <c r="I8" s="83" t="s">
        <v>19</v>
      </c>
      <c r="J8" s="84"/>
      <c r="K8" s="83" t="s">
        <v>11</v>
      </c>
      <c r="L8" s="84"/>
      <c r="M8" s="84"/>
      <c r="N8" s="84"/>
      <c r="O8" s="84"/>
      <c r="P8" s="104"/>
    </row>
    <row r="9" spans="1:76" x14ac:dyDescent="0.25">
      <c r="A9" s="113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6"/>
    </row>
    <row r="10" spans="1:76" x14ac:dyDescent="0.25">
      <c r="A10" s="5" t="s">
        <v>20</v>
      </c>
      <c r="B10" s="6" t="s">
        <v>21</v>
      </c>
      <c r="C10" s="6" t="s">
        <v>22</v>
      </c>
      <c r="D10" s="107" t="s">
        <v>23</v>
      </c>
      <c r="E10" s="108"/>
      <c r="F10" s="6" t="s">
        <v>24</v>
      </c>
      <c r="G10" s="7" t="s">
        <v>25</v>
      </c>
      <c r="H10" s="8" t="s">
        <v>26</v>
      </c>
      <c r="I10" s="9" t="s">
        <v>27</v>
      </c>
      <c r="J10" s="95" t="s">
        <v>28</v>
      </c>
      <c r="K10" s="96"/>
      <c r="L10" s="97"/>
      <c r="M10" s="10" t="s">
        <v>28</v>
      </c>
      <c r="N10" s="98" t="s">
        <v>29</v>
      </c>
      <c r="O10" s="99"/>
      <c r="P10" s="11" t="s">
        <v>30</v>
      </c>
      <c r="BK10" s="12" t="s">
        <v>31</v>
      </c>
      <c r="BL10" s="13" t="s">
        <v>32</v>
      </c>
      <c r="BW10" s="13" t="s">
        <v>33</v>
      </c>
    </row>
    <row r="11" spans="1:76" x14ac:dyDescent="0.25">
      <c r="A11" s="14" t="s">
        <v>4</v>
      </c>
      <c r="B11" s="15" t="s">
        <v>4</v>
      </c>
      <c r="C11" s="15" t="s">
        <v>4</v>
      </c>
      <c r="D11" s="93" t="s">
        <v>34</v>
      </c>
      <c r="E11" s="94"/>
      <c r="F11" s="15" t="s">
        <v>4</v>
      </c>
      <c r="G11" s="15" t="s">
        <v>4</v>
      </c>
      <c r="H11" s="16" t="s">
        <v>35</v>
      </c>
      <c r="I11" s="17" t="s">
        <v>4</v>
      </c>
      <c r="J11" s="18" t="s">
        <v>36</v>
      </c>
      <c r="K11" s="19" t="s">
        <v>37</v>
      </c>
      <c r="L11" s="20" t="s">
        <v>38</v>
      </c>
      <c r="M11" s="21" t="s">
        <v>39</v>
      </c>
      <c r="N11" s="22" t="s">
        <v>40</v>
      </c>
      <c r="O11" s="23" t="s">
        <v>38</v>
      </c>
      <c r="P11" s="24" t="s">
        <v>41</v>
      </c>
      <c r="Z11" s="12" t="s">
        <v>42</v>
      </c>
      <c r="AA11" s="12" t="s">
        <v>43</v>
      </c>
      <c r="AB11" s="12" t="s">
        <v>44</v>
      </c>
      <c r="AC11" s="12" t="s">
        <v>45</v>
      </c>
      <c r="AD11" s="12" t="s">
        <v>46</v>
      </c>
      <c r="AE11" s="12" t="s">
        <v>47</v>
      </c>
      <c r="AF11" s="12" t="s">
        <v>48</v>
      </c>
      <c r="AG11" s="12" t="s">
        <v>49</v>
      </c>
      <c r="AH11" s="12" t="s">
        <v>50</v>
      </c>
      <c r="BH11" s="12" t="s">
        <v>51</v>
      </c>
      <c r="BI11" s="12" t="s">
        <v>52</v>
      </c>
      <c r="BJ11" s="12" t="s">
        <v>53</v>
      </c>
    </row>
    <row r="12" spans="1:76" x14ac:dyDescent="0.25">
      <c r="A12" s="25" t="s">
        <v>54</v>
      </c>
      <c r="B12" s="26" t="s">
        <v>54</v>
      </c>
      <c r="C12" s="26" t="s">
        <v>55</v>
      </c>
      <c r="D12" s="100" t="s">
        <v>56</v>
      </c>
      <c r="E12" s="101"/>
      <c r="F12" s="27" t="s">
        <v>4</v>
      </c>
      <c r="G12" s="27" t="s">
        <v>4</v>
      </c>
      <c r="H12" s="27" t="s">
        <v>4</v>
      </c>
      <c r="I12" s="27" t="s">
        <v>4</v>
      </c>
      <c r="J12" s="28">
        <f>SUM(J13:J19)</f>
        <v>0</v>
      </c>
      <c r="K12" s="28">
        <f>SUM(K13:K19)</f>
        <v>0</v>
      </c>
      <c r="L12" s="28">
        <f>SUM(L13:L19)</f>
        <v>0</v>
      </c>
      <c r="M12" s="28">
        <f>SUM(M13:M19)</f>
        <v>0</v>
      </c>
      <c r="N12" s="29" t="s">
        <v>54</v>
      </c>
      <c r="O12" s="28">
        <f>SUM(O13:O19)</f>
        <v>0.11909999999999998</v>
      </c>
      <c r="P12" s="30" t="s">
        <v>54</v>
      </c>
      <c r="AI12" s="12" t="s">
        <v>54</v>
      </c>
      <c r="AS12" s="1">
        <f>SUM(AJ13:AJ19)</f>
        <v>0</v>
      </c>
      <c r="AT12" s="1">
        <f>SUM(AK13:AK19)</f>
        <v>0</v>
      </c>
      <c r="AU12" s="1">
        <f>SUM(AL13:AL19)</f>
        <v>0</v>
      </c>
    </row>
    <row r="13" spans="1:76" x14ac:dyDescent="0.25">
      <c r="A13" s="2" t="s">
        <v>57</v>
      </c>
      <c r="B13" s="3" t="s">
        <v>54</v>
      </c>
      <c r="C13" s="3" t="s">
        <v>58</v>
      </c>
      <c r="D13" s="83" t="s">
        <v>59</v>
      </c>
      <c r="E13" s="84"/>
      <c r="F13" s="3" t="s">
        <v>60</v>
      </c>
      <c r="G13" s="31">
        <v>605</v>
      </c>
      <c r="H13" s="31"/>
      <c r="I13" s="32"/>
      <c r="J13" s="31">
        <f t="shared" ref="J13:J19" si="0">ROUND(G13*AO13,2)</f>
        <v>0</v>
      </c>
      <c r="K13" s="31">
        <f t="shared" ref="K13:K19" si="1">ROUND(G13*AP13,2)</f>
        <v>0</v>
      </c>
      <c r="L13" s="31">
        <f t="shared" ref="L13:L19" si="2">ROUND(G13*H13,2)</f>
        <v>0</v>
      </c>
      <c r="M13" s="31">
        <f t="shared" ref="M13:M19" si="3">L13*(1+BW13/100)</f>
        <v>0</v>
      </c>
      <c r="N13" s="31">
        <v>0</v>
      </c>
      <c r="O13" s="31">
        <f t="shared" ref="O13:O19" si="4">G13*N13</f>
        <v>0</v>
      </c>
      <c r="P13" s="33" t="s">
        <v>61</v>
      </c>
      <c r="Z13" s="31">
        <f t="shared" ref="Z13:Z19" si="5">ROUND(IF(AQ13="5",BJ13,0),2)</f>
        <v>0</v>
      </c>
      <c r="AB13" s="31">
        <f t="shared" ref="AB13:AB19" si="6">ROUND(IF(AQ13="1",BH13,0),2)</f>
        <v>0</v>
      </c>
      <c r="AC13" s="31">
        <f t="shared" ref="AC13:AC19" si="7">ROUND(IF(AQ13="1",BI13,0),2)</f>
        <v>0</v>
      </c>
      <c r="AD13" s="31">
        <f t="shared" ref="AD13:AD19" si="8">ROUND(IF(AQ13="7",BH13,0),2)</f>
        <v>0</v>
      </c>
      <c r="AE13" s="31">
        <f t="shared" ref="AE13:AE19" si="9">ROUND(IF(AQ13="7",BI13,0),2)</f>
        <v>0</v>
      </c>
      <c r="AF13" s="31">
        <f t="shared" ref="AF13:AF19" si="10">ROUND(IF(AQ13="2",BH13,0),2)</f>
        <v>0</v>
      </c>
      <c r="AG13" s="31">
        <f t="shared" ref="AG13:AG19" si="11">ROUND(IF(AQ13="2",BI13,0),2)</f>
        <v>0</v>
      </c>
      <c r="AH13" s="31">
        <f t="shared" ref="AH13:AH19" si="12">ROUND(IF(AQ13="0",BJ13,0),2)</f>
        <v>0</v>
      </c>
      <c r="AI13" s="12" t="s">
        <v>54</v>
      </c>
      <c r="AJ13" s="31">
        <f t="shared" ref="AJ13:AJ19" si="13">IF(AN13=0,L13,0)</f>
        <v>0</v>
      </c>
      <c r="AK13" s="31">
        <f t="shared" ref="AK13:AK19" si="14">IF(AN13=12,L13,0)</f>
        <v>0</v>
      </c>
      <c r="AL13" s="31">
        <f t="shared" ref="AL13:AL19" si="15">IF(AN13=21,L13,0)</f>
        <v>0</v>
      </c>
      <c r="AN13" s="31">
        <v>12</v>
      </c>
      <c r="AO13" s="31">
        <f>H13*0</f>
        <v>0</v>
      </c>
      <c r="AP13" s="31">
        <f>H13*(1-0)</f>
        <v>0</v>
      </c>
      <c r="AQ13" s="34" t="s">
        <v>62</v>
      </c>
      <c r="AV13" s="31">
        <f t="shared" ref="AV13:AV19" si="16">ROUND(AW13+AX13,2)</f>
        <v>0</v>
      </c>
      <c r="AW13" s="31">
        <f t="shared" ref="AW13:AW19" si="17">ROUND(G13*AO13,2)</f>
        <v>0</v>
      </c>
      <c r="AX13" s="31">
        <f t="shared" ref="AX13:AX19" si="18">ROUND(G13*AP13,2)</f>
        <v>0</v>
      </c>
      <c r="AY13" s="34" t="s">
        <v>63</v>
      </c>
      <c r="AZ13" s="34" t="s">
        <v>64</v>
      </c>
      <c r="BA13" s="12" t="s">
        <v>65</v>
      </c>
      <c r="BC13" s="31">
        <f t="shared" ref="BC13:BC19" si="19">AW13+AX13</f>
        <v>0</v>
      </c>
      <c r="BD13" s="31">
        <f t="shared" ref="BD13:BD19" si="20">H13/(100-BE13)*100</f>
        <v>0</v>
      </c>
      <c r="BE13" s="31">
        <v>0</v>
      </c>
      <c r="BF13" s="31">
        <f t="shared" ref="BF13:BF19" si="21">O13</f>
        <v>0</v>
      </c>
      <c r="BH13" s="31">
        <f t="shared" ref="BH13:BH19" si="22">G13*AO13</f>
        <v>0</v>
      </c>
      <c r="BI13" s="31">
        <f t="shared" ref="BI13:BI19" si="23">G13*AP13</f>
        <v>0</v>
      </c>
      <c r="BJ13" s="31">
        <f t="shared" ref="BJ13:BJ19" si="24">G13*H13</f>
        <v>0</v>
      </c>
      <c r="BK13" s="34" t="s">
        <v>66</v>
      </c>
      <c r="BL13" s="31">
        <v>713</v>
      </c>
      <c r="BW13" s="31">
        <f t="shared" ref="BW13:BW19" si="25">I13</f>
        <v>0</v>
      </c>
      <c r="BX13" s="4" t="s">
        <v>59</v>
      </c>
    </row>
    <row r="14" spans="1:76" x14ac:dyDescent="0.25">
      <c r="A14" s="2" t="s">
        <v>62</v>
      </c>
      <c r="B14" s="3" t="s">
        <v>54</v>
      </c>
      <c r="C14" s="3" t="s">
        <v>67</v>
      </c>
      <c r="D14" s="83" t="s">
        <v>68</v>
      </c>
      <c r="E14" s="84"/>
      <c r="F14" s="3" t="s">
        <v>60</v>
      </c>
      <c r="G14" s="31">
        <v>0</v>
      </c>
      <c r="H14" s="31"/>
      <c r="I14" s="32"/>
      <c r="J14" s="31">
        <f t="shared" si="0"/>
        <v>0</v>
      </c>
      <c r="K14" s="31">
        <f t="shared" si="1"/>
        <v>0</v>
      </c>
      <c r="L14" s="31">
        <f t="shared" si="2"/>
        <v>0</v>
      </c>
      <c r="M14" s="31">
        <f t="shared" si="3"/>
        <v>0</v>
      </c>
      <c r="N14" s="31">
        <v>6.9999999999999994E-5</v>
      </c>
      <c r="O14" s="31">
        <f t="shared" si="4"/>
        <v>0</v>
      </c>
      <c r="P14" s="33" t="s">
        <v>69</v>
      </c>
      <c r="Z14" s="31">
        <f t="shared" si="5"/>
        <v>0</v>
      </c>
      <c r="AB14" s="31">
        <f t="shared" si="6"/>
        <v>0</v>
      </c>
      <c r="AC14" s="31">
        <f t="shared" si="7"/>
        <v>0</v>
      </c>
      <c r="AD14" s="31">
        <f t="shared" si="8"/>
        <v>0</v>
      </c>
      <c r="AE14" s="31">
        <f t="shared" si="9"/>
        <v>0</v>
      </c>
      <c r="AF14" s="31">
        <f t="shared" si="10"/>
        <v>0</v>
      </c>
      <c r="AG14" s="31">
        <f t="shared" si="11"/>
        <v>0</v>
      </c>
      <c r="AH14" s="31">
        <f t="shared" si="12"/>
        <v>0</v>
      </c>
      <c r="AI14" s="12" t="s">
        <v>54</v>
      </c>
      <c r="AJ14" s="31">
        <f t="shared" si="13"/>
        <v>0</v>
      </c>
      <c r="AK14" s="31">
        <f t="shared" si="14"/>
        <v>0</v>
      </c>
      <c r="AL14" s="31">
        <f t="shared" si="15"/>
        <v>0</v>
      </c>
      <c r="AN14" s="31">
        <v>12</v>
      </c>
      <c r="AO14" s="31">
        <f t="shared" ref="AO14:AO19" si="26">H14*1</f>
        <v>0</v>
      </c>
      <c r="AP14" s="31">
        <f t="shared" ref="AP14:AP19" si="27">H14*(1-1)</f>
        <v>0</v>
      </c>
      <c r="AQ14" s="34" t="s">
        <v>70</v>
      </c>
      <c r="AV14" s="31">
        <f t="shared" si="16"/>
        <v>0</v>
      </c>
      <c r="AW14" s="31">
        <f t="shared" si="17"/>
        <v>0</v>
      </c>
      <c r="AX14" s="31">
        <f t="shared" si="18"/>
        <v>0</v>
      </c>
      <c r="AY14" s="34" t="s">
        <v>63</v>
      </c>
      <c r="AZ14" s="34" t="s">
        <v>64</v>
      </c>
      <c r="BA14" s="12" t="s">
        <v>65</v>
      </c>
      <c r="BC14" s="31">
        <f t="shared" si="19"/>
        <v>0</v>
      </c>
      <c r="BD14" s="31">
        <f t="shared" si="20"/>
        <v>0</v>
      </c>
      <c r="BE14" s="31">
        <v>0</v>
      </c>
      <c r="BF14" s="31">
        <f t="shared" si="21"/>
        <v>0</v>
      </c>
      <c r="BH14" s="31">
        <f t="shared" si="22"/>
        <v>0</v>
      </c>
      <c r="BI14" s="31">
        <f t="shared" si="23"/>
        <v>0</v>
      </c>
      <c r="BJ14" s="31">
        <f t="shared" si="24"/>
        <v>0</v>
      </c>
      <c r="BK14" s="34" t="s">
        <v>71</v>
      </c>
      <c r="BL14" s="31">
        <v>713</v>
      </c>
      <c r="BW14" s="31">
        <f t="shared" si="25"/>
        <v>0</v>
      </c>
      <c r="BX14" s="4" t="s">
        <v>68</v>
      </c>
    </row>
    <row r="15" spans="1:76" x14ac:dyDescent="0.25">
      <c r="A15" s="2" t="s">
        <v>72</v>
      </c>
      <c r="B15" s="3" t="s">
        <v>54</v>
      </c>
      <c r="C15" s="3" t="s">
        <v>73</v>
      </c>
      <c r="D15" s="83" t="s">
        <v>74</v>
      </c>
      <c r="E15" s="84"/>
      <c r="F15" s="3" t="s">
        <v>60</v>
      </c>
      <c r="G15" s="31">
        <v>0</v>
      </c>
      <c r="H15" s="31"/>
      <c r="I15" s="32"/>
      <c r="J15" s="31">
        <f t="shared" si="0"/>
        <v>0</v>
      </c>
      <c r="K15" s="31">
        <f t="shared" si="1"/>
        <v>0</v>
      </c>
      <c r="L15" s="31">
        <f t="shared" si="2"/>
        <v>0</v>
      </c>
      <c r="M15" s="31">
        <f t="shared" si="3"/>
        <v>0</v>
      </c>
      <c r="N15" s="31">
        <v>3.1E-4</v>
      </c>
      <c r="O15" s="31">
        <f t="shared" si="4"/>
        <v>0</v>
      </c>
      <c r="P15" s="33" t="s">
        <v>69</v>
      </c>
      <c r="Z15" s="31">
        <f t="shared" si="5"/>
        <v>0</v>
      </c>
      <c r="AB15" s="31">
        <f t="shared" si="6"/>
        <v>0</v>
      </c>
      <c r="AC15" s="31">
        <f t="shared" si="7"/>
        <v>0</v>
      </c>
      <c r="AD15" s="31">
        <f t="shared" si="8"/>
        <v>0</v>
      </c>
      <c r="AE15" s="31">
        <f t="shared" si="9"/>
        <v>0</v>
      </c>
      <c r="AF15" s="31">
        <f t="shared" si="10"/>
        <v>0</v>
      </c>
      <c r="AG15" s="31">
        <f t="shared" si="11"/>
        <v>0</v>
      </c>
      <c r="AH15" s="31">
        <f t="shared" si="12"/>
        <v>0</v>
      </c>
      <c r="AI15" s="12" t="s">
        <v>54</v>
      </c>
      <c r="AJ15" s="31">
        <f t="shared" si="13"/>
        <v>0</v>
      </c>
      <c r="AK15" s="31">
        <f t="shared" si="14"/>
        <v>0</v>
      </c>
      <c r="AL15" s="31">
        <f t="shared" si="15"/>
        <v>0</v>
      </c>
      <c r="AN15" s="31">
        <v>12</v>
      </c>
      <c r="AO15" s="31">
        <f t="shared" si="26"/>
        <v>0</v>
      </c>
      <c r="AP15" s="31">
        <f t="shared" si="27"/>
        <v>0</v>
      </c>
      <c r="AQ15" s="34" t="s">
        <v>70</v>
      </c>
      <c r="AV15" s="31">
        <f t="shared" si="16"/>
        <v>0</v>
      </c>
      <c r="AW15" s="31">
        <f t="shared" si="17"/>
        <v>0</v>
      </c>
      <c r="AX15" s="31">
        <f t="shared" si="18"/>
        <v>0</v>
      </c>
      <c r="AY15" s="34" t="s">
        <v>63</v>
      </c>
      <c r="AZ15" s="34" t="s">
        <v>64</v>
      </c>
      <c r="BA15" s="12" t="s">
        <v>65</v>
      </c>
      <c r="BC15" s="31">
        <f t="shared" si="19"/>
        <v>0</v>
      </c>
      <c r="BD15" s="31">
        <f t="shared" si="20"/>
        <v>0</v>
      </c>
      <c r="BE15" s="31">
        <v>0</v>
      </c>
      <c r="BF15" s="31">
        <f t="shared" si="21"/>
        <v>0</v>
      </c>
      <c r="BH15" s="31">
        <f t="shared" si="22"/>
        <v>0</v>
      </c>
      <c r="BI15" s="31">
        <f t="shared" si="23"/>
        <v>0</v>
      </c>
      <c r="BJ15" s="31">
        <f t="shared" si="24"/>
        <v>0</v>
      </c>
      <c r="BK15" s="34" t="s">
        <v>71</v>
      </c>
      <c r="BL15" s="31">
        <v>713</v>
      </c>
      <c r="BW15" s="31">
        <f t="shared" si="25"/>
        <v>0</v>
      </c>
      <c r="BX15" s="4" t="s">
        <v>74</v>
      </c>
    </row>
    <row r="16" spans="1:76" x14ac:dyDescent="0.25">
      <c r="A16" s="2" t="s">
        <v>75</v>
      </c>
      <c r="B16" s="3" t="s">
        <v>54</v>
      </c>
      <c r="C16" s="3" t="s">
        <v>76</v>
      </c>
      <c r="D16" s="83" t="s">
        <v>77</v>
      </c>
      <c r="E16" s="84"/>
      <c r="F16" s="3" t="s">
        <v>60</v>
      </c>
      <c r="G16" s="31">
        <v>0</v>
      </c>
      <c r="H16" s="31"/>
      <c r="I16" s="32"/>
      <c r="J16" s="31">
        <f t="shared" si="0"/>
        <v>0</v>
      </c>
      <c r="K16" s="31">
        <f t="shared" si="1"/>
        <v>0</v>
      </c>
      <c r="L16" s="31">
        <f t="shared" si="2"/>
        <v>0</v>
      </c>
      <c r="M16" s="31">
        <f t="shared" si="3"/>
        <v>0</v>
      </c>
      <c r="N16" s="31">
        <v>3.4000000000000002E-4</v>
      </c>
      <c r="O16" s="31">
        <f t="shared" si="4"/>
        <v>0</v>
      </c>
      <c r="P16" s="33" t="s">
        <v>69</v>
      </c>
      <c r="Z16" s="31">
        <f t="shared" si="5"/>
        <v>0</v>
      </c>
      <c r="AB16" s="31">
        <f t="shared" si="6"/>
        <v>0</v>
      </c>
      <c r="AC16" s="31">
        <f t="shared" si="7"/>
        <v>0</v>
      </c>
      <c r="AD16" s="31">
        <f t="shared" si="8"/>
        <v>0</v>
      </c>
      <c r="AE16" s="31">
        <f t="shared" si="9"/>
        <v>0</v>
      </c>
      <c r="AF16" s="31">
        <f t="shared" si="10"/>
        <v>0</v>
      </c>
      <c r="AG16" s="31">
        <f t="shared" si="11"/>
        <v>0</v>
      </c>
      <c r="AH16" s="31">
        <f t="shared" si="12"/>
        <v>0</v>
      </c>
      <c r="AI16" s="12" t="s">
        <v>54</v>
      </c>
      <c r="AJ16" s="31">
        <f t="shared" si="13"/>
        <v>0</v>
      </c>
      <c r="AK16" s="31">
        <f t="shared" si="14"/>
        <v>0</v>
      </c>
      <c r="AL16" s="31">
        <f t="shared" si="15"/>
        <v>0</v>
      </c>
      <c r="AN16" s="31">
        <v>12</v>
      </c>
      <c r="AO16" s="31">
        <f t="shared" si="26"/>
        <v>0</v>
      </c>
      <c r="AP16" s="31">
        <f t="shared" si="27"/>
        <v>0</v>
      </c>
      <c r="AQ16" s="34" t="s">
        <v>70</v>
      </c>
      <c r="AV16" s="31">
        <f t="shared" si="16"/>
        <v>0</v>
      </c>
      <c r="AW16" s="31">
        <f t="shared" si="17"/>
        <v>0</v>
      </c>
      <c r="AX16" s="31">
        <f t="shared" si="18"/>
        <v>0</v>
      </c>
      <c r="AY16" s="34" t="s">
        <v>63</v>
      </c>
      <c r="AZ16" s="34" t="s">
        <v>64</v>
      </c>
      <c r="BA16" s="12" t="s">
        <v>65</v>
      </c>
      <c r="BC16" s="31">
        <f t="shared" si="19"/>
        <v>0</v>
      </c>
      <c r="BD16" s="31">
        <f t="shared" si="20"/>
        <v>0</v>
      </c>
      <c r="BE16" s="31">
        <v>0</v>
      </c>
      <c r="BF16" s="31">
        <f t="shared" si="21"/>
        <v>0</v>
      </c>
      <c r="BH16" s="31">
        <f t="shared" si="22"/>
        <v>0</v>
      </c>
      <c r="BI16" s="31">
        <f t="shared" si="23"/>
        <v>0</v>
      </c>
      <c r="BJ16" s="31">
        <f t="shared" si="24"/>
        <v>0</v>
      </c>
      <c r="BK16" s="34" t="s">
        <v>71</v>
      </c>
      <c r="BL16" s="31">
        <v>713</v>
      </c>
      <c r="BW16" s="31">
        <f t="shared" si="25"/>
        <v>0</v>
      </c>
      <c r="BX16" s="4" t="s">
        <v>77</v>
      </c>
    </row>
    <row r="17" spans="1:76" x14ac:dyDescent="0.25">
      <c r="A17" s="2" t="s">
        <v>78</v>
      </c>
      <c r="B17" s="3" t="s">
        <v>54</v>
      </c>
      <c r="C17" s="3" t="s">
        <v>79</v>
      </c>
      <c r="D17" s="83" t="s">
        <v>80</v>
      </c>
      <c r="E17" s="84"/>
      <c r="F17" s="3" t="s">
        <v>60</v>
      </c>
      <c r="G17" s="31">
        <v>85</v>
      </c>
      <c r="H17" s="31"/>
      <c r="I17" s="32"/>
      <c r="J17" s="31">
        <f t="shared" si="0"/>
        <v>0</v>
      </c>
      <c r="K17" s="31">
        <f t="shared" si="1"/>
        <v>0</v>
      </c>
      <c r="L17" s="31">
        <f t="shared" si="2"/>
        <v>0</v>
      </c>
      <c r="M17" s="31">
        <f t="shared" si="3"/>
        <v>0</v>
      </c>
      <c r="N17" s="31">
        <v>3.8999999999999999E-4</v>
      </c>
      <c r="O17" s="31">
        <f t="shared" si="4"/>
        <v>3.3149999999999999E-2</v>
      </c>
      <c r="P17" s="33" t="s">
        <v>69</v>
      </c>
      <c r="Z17" s="31">
        <f t="shared" si="5"/>
        <v>0</v>
      </c>
      <c r="AB17" s="31">
        <f t="shared" si="6"/>
        <v>0</v>
      </c>
      <c r="AC17" s="31">
        <f t="shared" si="7"/>
        <v>0</v>
      </c>
      <c r="AD17" s="31">
        <f t="shared" si="8"/>
        <v>0</v>
      </c>
      <c r="AE17" s="31">
        <f t="shared" si="9"/>
        <v>0</v>
      </c>
      <c r="AF17" s="31">
        <f t="shared" si="10"/>
        <v>0</v>
      </c>
      <c r="AG17" s="31">
        <f t="shared" si="11"/>
        <v>0</v>
      </c>
      <c r="AH17" s="31">
        <f t="shared" si="12"/>
        <v>0</v>
      </c>
      <c r="AI17" s="12" t="s">
        <v>54</v>
      </c>
      <c r="AJ17" s="31">
        <f t="shared" si="13"/>
        <v>0</v>
      </c>
      <c r="AK17" s="31">
        <f t="shared" si="14"/>
        <v>0</v>
      </c>
      <c r="AL17" s="31">
        <f t="shared" si="15"/>
        <v>0</v>
      </c>
      <c r="AN17" s="31">
        <v>12</v>
      </c>
      <c r="AO17" s="31">
        <f t="shared" si="26"/>
        <v>0</v>
      </c>
      <c r="AP17" s="31">
        <f t="shared" si="27"/>
        <v>0</v>
      </c>
      <c r="AQ17" s="34" t="s">
        <v>70</v>
      </c>
      <c r="AV17" s="31">
        <f t="shared" si="16"/>
        <v>0</v>
      </c>
      <c r="AW17" s="31">
        <f t="shared" si="17"/>
        <v>0</v>
      </c>
      <c r="AX17" s="31">
        <f t="shared" si="18"/>
        <v>0</v>
      </c>
      <c r="AY17" s="34" t="s">
        <v>63</v>
      </c>
      <c r="AZ17" s="34" t="s">
        <v>64</v>
      </c>
      <c r="BA17" s="12" t="s">
        <v>65</v>
      </c>
      <c r="BC17" s="31">
        <f t="shared" si="19"/>
        <v>0</v>
      </c>
      <c r="BD17" s="31">
        <f t="shared" si="20"/>
        <v>0</v>
      </c>
      <c r="BE17" s="31">
        <v>0</v>
      </c>
      <c r="BF17" s="31">
        <f t="shared" si="21"/>
        <v>3.3149999999999999E-2</v>
      </c>
      <c r="BH17" s="31">
        <f t="shared" si="22"/>
        <v>0</v>
      </c>
      <c r="BI17" s="31">
        <f t="shared" si="23"/>
        <v>0</v>
      </c>
      <c r="BJ17" s="31">
        <f t="shared" si="24"/>
        <v>0</v>
      </c>
      <c r="BK17" s="34" t="s">
        <v>71</v>
      </c>
      <c r="BL17" s="31">
        <v>713</v>
      </c>
      <c r="BW17" s="31">
        <f t="shared" si="25"/>
        <v>0</v>
      </c>
      <c r="BX17" s="4" t="s">
        <v>80</v>
      </c>
    </row>
    <row r="18" spans="1:76" x14ac:dyDescent="0.25">
      <c r="A18" s="2" t="s">
        <v>81</v>
      </c>
      <c r="B18" s="3" t="s">
        <v>54</v>
      </c>
      <c r="C18" s="3" t="s">
        <v>82</v>
      </c>
      <c r="D18" s="83" t="s">
        <v>83</v>
      </c>
      <c r="E18" s="84"/>
      <c r="F18" s="3" t="s">
        <v>60</v>
      </c>
      <c r="G18" s="31">
        <v>90</v>
      </c>
      <c r="H18" s="31"/>
      <c r="I18" s="32"/>
      <c r="J18" s="31">
        <f t="shared" si="0"/>
        <v>0</v>
      </c>
      <c r="K18" s="31">
        <f t="shared" si="1"/>
        <v>0</v>
      </c>
      <c r="L18" s="31">
        <f t="shared" si="2"/>
        <v>0</v>
      </c>
      <c r="M18" s="31">
        <f t="shared" si="3"/>
        <v>0</v>
      </c>
      <c r="N18" s="31">
        <v>4.6999999999999999E-4</v>
      </c>
      <c r="O18" s="31">
        <f t="shared" si="4"/>
        <v>4.2299999999999997E-2</v>
      </c>
      <c r="P18" s="33" t="s">
        <v>69</v>
      </c>
      <c r="Z18" s="31">
        <f t="shared" si="5"/>
        <v>0</v>
      </c>
      <c r="AB18" s="31">
        <f t="shared" si="6"/>
        <v>0</v>
      </c>
      <c r="AC18" s="31">
        <f t="shared" si="7"/>
        <v>0</v>
      </c>
      <c r="AD18" s="31">
        <f t="shared" si="8"/>
        <v>0</v>
      </c>
      <c r="AE18" s="31">
        <f t="shared" si="9"/>
        <v>0</v>
      </c>
      <c r="AF18" s="31">
        <f t="shared" si="10"/>
        <v>0</v>
      </c>
      <c r="AG18" s="31">
        <f t="shared" si="11"/>
        <v>0</v>
      </c>
      <c r="AH18" s="31">
        <f t="shared" si="12"/>
        <v>0</v>
      </c>
      <c r="AI18" s="12" t="s">
        <v>54</v>
      </c>
      <c r="AJ18" s="31">
        <f t="shared" si="13"/>
        <v>0</v>
      </c>
      <c r="AK18" s="31">
        <f t="shared" si="14"/>
        <v>0</v>
      </c>
      <c r="AL18" s="31">
        <f t="shared" si="15"/>
        <v>0</v>
      </c>
      <c r="AN18" s="31">
        <v>12</v>
      </c>
      <c r="AO18" s="31">
        <f t="shared" si="26"/>
        <v>0</v>
      </c>
      <c r="AP18" s="31">
        <f t="shared" si="27"/>
        <v>0</v>
      </c>
      <c r="AQ18" s="34" t="s">
        <v>70</v>
      </c>
      <c r="AV18" s="31">
        <f t="shared" si="16"/>
        <v>0</v>
      </c>
      <c r="AW18" s="31">
        <f t="shared" si="17"/>
        <v>0</v>
      </c>
      <c r="AX18" s="31">
        <f t="shared" si="18"/>
        <v>0</v>
      </c>
      <c r="AY18" s="34" t="s">
        <v>63</v>
      </c>
      <c r="AZ18" s="34" t="s">
        <v>64</v>
      </c>
      <c r="BA18" s="12" t="s">
        <v>65</v>
      </c>
      <c r="BC18" s="31">
        <f t="shared" si="19"/>
        <v>0</v>
      </c>
      <c r="BD18" s="31">
        <f t="shared" si="20"/>
        <v>0</v>
      </c>
      <c r="BE18" s="31">
        <v>0</v>
      </c>
      <c r="BF18" s="31">
        <f t="shared" si="21"/>
        <v>4.2299999999999997E-2</v>
      </c>
      <c r="BH18" s="31">
        <f t="shared" si="22"/>
        <v>0</v>
      </c>
      <c r="BI18" s="31">
        <f t="shared" si="23"/>
        <v>0</v>
      </c>
      <c r="BJ18" s="31">
        <f t="shared" si="24"/>
        <v>0</v>
      </c>
      <c r="BK18" s="34" t="s">
        <v>71</v>
      </c>
      <c r="BL18" s="31">
        <v>713</v>
      </c>
      <c r="BW18" s="31">
        <f t="shared" si="25"/>
        <v>0</v>
      </c>
      <c r="BX18" s="4" t="s">
        <v>83</v>
      </c>
    </row>
    <row r="19" spans="1:76" x14ac:dyDescent="0.25">
      <c r="A19" s="2" t="s">
        <v>70</v>
      </c>
      <c r="B19" s="3" t="s">
        <v>54</v>
      </c>
      <c r="C19" s="3" t="s">
        <v>84</v>
      </c>
      <c r="D19" s="83" t="s">
        <v>85</v>
      </c>
      <c r="E19" s="84"/>
      <c r="F19" s="3" t="s">
        <v>60</v>
      </c>
      <c r="G19" s="31">
        <v>45</v>
      </c>
      <c r="H19" s="31"/>
      <c r="I19" s="32"/>
      <c r="J19" s="31">
        <f t="shared" si="0"/>
        <v>0</v>
      </c>
      <c r="K19" s="31">
        <f t="shared" si="1"/>
        <v>0</v>
      </c>
      <c r="L19" s="31">
        <f t="shared" si="2"/>
        <v>0</v>
      </c>
      <c r="M19" s="31">
        <f t="shared" si="3"/>
        <v>0</v>
      </c>
      <c r="N19" s="31">
        <v>9.7000000000000005E-4</v>
      </c>
      <c r="O19" s="31">
        <f t="shared" si="4"/>
        <v>4.3650000000000001E-2</v>
      </c>
      <c r="P19" s="33" t="s">
        <v>69</v>
      </c>
      <c r="Z19" s="31">
        <f t="shared" si="5"/>
        <v>0</v>
      </c>
      <c r="AB19" s="31">
        <f t="shared" si="6"/>
        <v>0</v>
      </c>
      <c r="AC19" s="31">
        <f t="shared" si="7"/>
        <v>0</v>
      </c>
      <c r="AD19" s="31">
        <f t="shared" si="8"/>
        <v>0</v>
      </c>
      <c r="AE19" s="31">
        <f t="shared" si="9"/>
        <v>0</v>
      </c>
      <c r="AF19" s="31">
        <f t="shared" si="10"/>
        <v>0</v>
      </c>
      <c r="AG19" s="31">
        <f t="shared" si="11"/>
        <v>0</v>
      </c>
      <c r="AH19" s="31">
        <f t="shared" si="12"/>
        <v>0</v>
      </c>
      <c r="AI19" s="12" t="s">
        <v>54</v>
      </c>
      <c r="AJ19" s="31">
        <f t="shared" si="13"/>
        <v>0</v>
      </c>
      <c r="AK19" s="31">
        <f t="shared" si="14"/>
        <v>0</v>
      </c>
      <c r="AL19" s="31">
        <f t="shared" si="15"/>
        <v>0</v>
      </c>
      <c r="AN19" s="31">
        <v>12</v>
      </c>
      <c r="AO19" s="31">
        <f t="shared" si="26"/>
        <v>0</v>
      </c>
      <c r="AP19" s="31">
        <f t="shared" si="27"/>
        <v>0</v>
      </c>
      <c r="AQ19" s="34" t="s">
        <v>70</v>
      </c>
      <c r="AV19" s="31">
        <f t="shared" si="16"/>
        <v>0</v>
      </c>
      <c r="AW19" s="31">
        <f t="shared" si="17"/>
        <v>0</v>
      </c>
      <c r="AX19" s="31">
        <f t="shared" si="18"/>
        <v>0</v>
      </c>
      <c r="AY19" s="34" t="s">
        <v>63</v>
      </c>
      <c r="AZ19" s="34" t="s">
        <v>64</v>
      </c>
      <c r="BA19" s="12" t="s">
        <v>65</v>
      </c>
      <c r="BC19" s="31">
        <f t="shared" si="19"/>
        <v>0</v>
      </c>
      <c r="BD19" s="31">
        <f t="shared" si="20"/>
        <v>0</v>
      </c>
      <c r="BE19" s="31">
        <v>0</v>
      </c>
      <c r="BF19" s="31">
        <f t="shared" si="21"/>
        <v>4.3650000000000001E-2</v>
      </c>
      <c r="BH19" s="31">
        <f t="shared" si="22"/>
        <v>0</v>
      </c>
      <c r="BI19" s="31">
        <f t="shared" si="23"/>
        <v>0</v>
      </c>
      <c r="BJ19" s="31">
        <f t="shared" si="24"/>
        <v>0</v>
      </c>
      <c r="BK19" s="34" t="s">
        <v>71</v>
      </c>
      <c r="BL19" s="31">
        <v>713</v>
      </c>
      <c r="BW19" s="31">
        <f t="shared" si="25"/>
        <v>0</v>
      </c>
      <c r="BX19" s="4" t="s">
        <v>85</v>
      </c>
    </row>
    <row r="20" spans="1:76" x14ac:dyDescent="0.25">
      <c r="A20" s="35" t="s">
        <v>54</v>
      </c>
      <c r="B20" s="36" t="s">
        <v>54</v>
      </c>
      <c r="C20" s="36" t="s">
        <v>86</v>
      </c>
      <c r="D20" s="85" t="s">
        <v>87</v>
      </c>
      <c r="E20" s="86"/>
      <c r="F20" s="37" t="s">
        <v>4</v>
      </c>
      <c r="G20" s="37" t="s">
        <v>4</v>
      </c>
      <c r="H20" s="37"/>
      <c r="I20" s="37"/>
      <c r="J20" s="1">
        <f>SUM(J21:J51)</f>
        <v>0</v>
      </c>
      <c r="K20" s="1">
        <f>SUM(K21:K51)</f>
        <v>0</v>
      </c>
      <c r="L20" s="1">
        <f>SUM(L21:L51)</f>
        <v>0</v>
      </c>
      <c r="M20" s="1">
        <f>SUM(M21:M51)</f>
        <v>0</v>
      </c>
      <c r="N20" s="12" t="s">
        <v>54</v>
      </c>
      <c r="O20" s="1">
        <f>SUM(O21:O51)</f>
        <v>4.584620000000001</v>
      </c>
      <c r="P20" s="38" t="s">
        <v>54</v>
      </c>
      <c r="AI20" s="12" t="s">
        <v>54</v>
      </c>
      <c r="AS20" s="1">
        <f>SUM(AJ21:AJ51)</f>
        <v>0</v>
      </c>
      <c r="AT20" s="1">
        <f>SUM(AK21:AK51)</f>
        <v>0</v>
      </c>
      <c r="AU20" s="1">
        <f>SUM(AL21:AL51)</f>
        <v>0</v>
      </c>
    </row>
    <row r="21" spans="1:76" x14ac:dyDescent="0.25">
      <c r="A21" s="2" t="s">
        <v>88</v>
      </c>
      <c r="B21" s="3" t="s">
        <v>54</v>
      </c>
      <c r="C21" s="3" t="s">
        <v>89</v>
      </c>
      <c r="D21" s="83" t="s">
        <v>90</v>
      </c>
      <c r="E21" s="84"/>
      <c r="F21" s="3" t="s">
        <v>60</v>
      </c>
      <c r="G21" s="31">
        <v>75</v>
      </c>
      <c r="H21" s="31"/>
      <c r="I21" s="32"/>
      <c r="J21" s="31">
        <f t="shared" ref="J21:J37" si="28">ROUND(G21*AO21,2)</f>
        <v>0</v>
      </c>
      <c r="K21" s="31">
        <f t="shared" ref="K21:K37" si="29">ROUND(G21*AP21,2)</f>
        <v>0</v>
      </c>
      <c r="L21" s="31">
        <f t="shared" ref="L21:L37" si="30">ROUND(G21*H21,2)</f>
        <v>0</v>
      </c>
      <c r="M21" s="31">
        <f t="shared" ref="M21:M37" si="31">L21*(1+BW21/100)</f>
        <v>0</v>
      </c>
      <c r="N21" s="31">
        <v>3.4000000000000002E-4</v>
      </c>
      <c r="O21" s="31">
        <f t="shared" ref="O21:O37" si="32">G21*N21</f>
        <v>2.5500000000000002E-2</v>
      </c>
      <c r="P21" s="33" t="s">
        <v>69</v>
      </c>
      <c r="Z21" s="31">
        <f t="shared" ref="Z21:Z37" si="33">ROUND(IF(AQ21="5",BJ21,0),2)</f>
        <v>0</v>
      </c>
      <c r="AB21" s="31">
        <f t="shared" ref="AB21:AB37" si="34">ROUND(IF(AQ21="1",BH21,0),2)</f>
        <v>0</v>
      </c>
      <c r="AC21" s="31">
        <f t="shared" ref="AC21:AC37" si="35">ROUND(IF(AQ21="1",BI21,0),2)</f>
        <v>0</v>
      </c>
      <c r="AD21" s="31">
        <f t="shared" ref="AD21:AD37" si="36">ROUND(IF(AQ21="7",BH21,0),2)</f>
        <v>0</v>
      </c>
      <c r="AE21" s="31">
        <f t="shared" ref="AE21:AE37" si="37">ROUND(IF(AQ21="7",BI21,0),2)</f>
        <v>0</v>
      </c>
      <c r="AF21" s="31">
        <f t="shared" ref="AF21:AF37" si="38">ROUND(IF(AQ21="2",BH21,0),2)</f>
        <v>0</v>
      </c>
      <c r="AG21" s="31">
        <f t="shared" ref="AG21:AG37" si="39">ROUND(IF(AQ21="2",BI21,0),2)</f>
        <v>0</v>
      </c>
      <c r="AH21" s="31">
        <f t="shared" ref="AH21:AH37" si="40">ROUND(IF(AQ21="0",BJ21,0),2)</f>
        <v>0</v>
      </c>
      <c r="AI21" s="12" t="s">
        <v>54</v>
      </c>
      <c r="AJ21" s="31">
        <f t="shared" ref="AJ21:AJ37" si="41">IF(AN21=0,L21,0)</f>
        <v>0</v>
      </c>
      <c r="AK21" s="31">
        <f t="shared" ref="AK21:AK37" si="42">IF(AN21=12,L21,0)</f>
        <v>0</v>
      </c>
      <c r="AL21" s="31">
        <f t="shared" ref="AL21:AL37" si="43">IF(AN21=21,L21,0)</f>
        <v>0</v>
      </c>
      <c r="AN21" s="31">
        <v>12</v>
      </c>
      <c r="AO21" s="31">
        <f>H21*0.306450617</f>
        <v>0</v>
      </c>
      <c r="AP21" s="31">
        <f>H21*(1-0.306450617)</f>
        <v>0</v>
      </c>
      <c r="AQ21" s="34" t="s">
        <v>70</v>
      </c>
      <c r="AV21" s="31">
        <f t="shared" ref="AV21:AV37" si="44">ROUND(AW21+AX21,2)</f>
        <v>0</v>
      </c>
      <c r="AW21" s="31">
        <f t="shared" ref="AW21:AW37" si="45">ROUND(G21*AO21,2)</f>
        <v>0</v>
      </c>
      <c r="AX21" s="31">
        <f t="shared" ref="AX21:AX37" si="46">ROUND(G21*AP21,2)</f>
        <v>0</v>
      </c>
      <c r="AY21" s="34" t="s">
        <v>91</v>
      </c>
      <c r="AZ21" s="34" t="s">
        <v>92</v>
      </c>
      <c r="BA21" s="12" t="s">
        <v>65</v>
      </c>
      <c r="BC21" s="31">
        <f t="shared" ref="BC21:BC37" si="47">AW21+AX21</f>
        <v>0</v>
      </c>
      <c r="BD21" s="31">
        <f t="shared" ref="BD21:BD37" si="48">H21/(100-BE21)*100</f>
        <v>0</v>
      </c>
      <c r="BE21" s="31">
        <v>0</v>
      </c>
      <c r="BF21" s="31">
        <f t="shared" ref="BF21:BF37" si="49">O21</f>
        <v>2.5500000000000002E-2</v>
      </c>
      <c r="BH21" s="31">
        <f t="shared" ref="BH21:BH37" si="50">G21*AO21</f>
        <v>0</v>
      </c>
      <c r="BI21" s="31">
        <f t="shared" ref="BI21:BI37" si="51">G21*AP21</f>
        <v>0</v>
      </c>
      <c r="BJ21" s="31">
        <f t="shared" ref="BJ21:BJ37" si="52">G21*H21</f>
        <v>0</v>
      </c>
      <c r="BK21" s="34" t="s">
        <v>66</v>
      </c>
      <c r="BL21" s="31">
        <v>721</v>
      </c>
      <c r="BW21" s="31">
        <f t="shared" ref="BW21:BW37" si="53">I21</f>
        <v>0</v>
      </c>
      <c r="BX21" s="4" t="s">
        <v>90</v>
      </c>
    </row>
    <row r="22" spans="1:76" x14ac:dyDescent="0.25">
      <c r="A22" s="2" t="s">
        <v>93</v>
      </c>
      <c r="B22" s="3" t="s">
        <v>54</v>
      </c>
      <c r="C22" s="3" t="s">
        <v>94</v>
      </c>
      <c r="D22" s="83" t="s">
        <v>95</v>
      </c>
      <c r="E22" s="84"/>
      <c r="F22" s="3" t="s">
        <v>60</v>
      </c>
      <c r="G22" s="31">
        <v>40</v>
      </c>
      <c r="H22" s="31"/>
      <c r="I22" s="32"/>
      <c r="J22" s="31">
        <f t="shared" si="28"/>
        <v>0</v>
      </c>
      <c r="K22" s="31">
        <f t="shared" si="29"/>
        <v>0</v>
      </c>
      <c r="L22" s="31">
        <f t="shared" si="30"/>
        <v>0</v>
      </c>
      <c r="M22" s="31">
        <f t="shared" si="31"/>
        <v>0</v>
      </c>
      <c r="N22" s="31">
        <v>3.8000000000000002E-4</v>
      </c>
      <c r="O22" s="31">
        <f t="shared" si="32"/>
        <v>1.5200000000000002E-2</v>
      </c>
      <c r="P22" s="33" t="s">
        <v>69</v>
      </c>
      <c r="Z22" s="31">
        <f t="shared" si="33"/>
        <v>0</v>
      </c>
      <c r="AB22" s="31">
        <f t="shared" si="34"/>
        <v>0</v>
      </c>
      <c r="AC22" s="31">
        <f t="shared" si="35"/>
        <v>0</v>
      </c>
      <c r="AD22" s="31">
        <f t="shared" si="36"/>
        <v>0</v>
      </c>
      <c r="AE22" s="31">
        <f t="shared" si="37"/>
        <v>0</v>
      </c>
      <c r="AF22" s="31">
        <f t="shared" si="38"/>
        <v>0</v>
      </c>
      <c r="AG22" s="31">
        <f t="shared" si="39"/>
        <v>0</v>
      </c>
      <c r="AH22" s="31">
        <f t="shared" si="40"/>
        <v>0</v>
      </c>
      <c r="AI22" s="12" t="s">
        <v>54</v>
      </c>
      <c r="AJ22" s="31">
        <f t="shared" si="41"/>
        <v>0</v>
      </c>
      <c r="AK22" s="31">
        <f t="shared" si="42"/>
        <v>0</v>
      </c>
      <c r="AL22" s="31">
        <f t="shared" si="43"/>
        <v>0</v>
      </c>
      <c r="AN22" s="31">
        <v>12</v>
      </c>
      <c r="AO22" s="31">
        <f>H22*0.259176594</f>
        <v>0</v>
      </c>
      <c r="AP22" s="31">
        <f>H22*(1-0.259176594)</f>
        <v>0</v>
      </c>
      <c r="AQ22" s="34" t="s">
        <v>70</v>
      </c>
      <c r="AV22" s="31">
        <f t="shared" si="44"/>
        <v>0</v>
      </c>
      <c r="AW22" s="31">
        <f t="shared" si="45"/>
        <v>0</v>
      </c>
      <c r="AX22" s="31">
        <f t="shared" si="46"/>
        <v>0</v>
      </c>
      <c r="AY22" s="34" t="s">
        <v>91</v>
      </c>
      <c r="AZ22" s="34" t="s">
        <v>92</v>
      </c>
      <c r="BA22" s="12" t="s">
        <v>65</v>
      </c>
      <c r="BC22" s="31">
        <f t="shared" si="47"/>
        <v>0</v>
      </c>
      <c r="BD22" s="31">
        <f t="shared" si="48"/>
        <v>0</v>
      </c>
      <c r="BE22" s="31">
        <v>0</v>
      </c>
      <c r="BF22" s="31">
        <f t="shared" si="49"/>
        <v>1.5200000000000002E-2</v>
      </c>
      <c r="BH22" s="31">
        <f t="shared" si="50"/>
        <v>0</v>
      </c>
      <c r="BI22" s="31">
        <f t="shared" si="51"/>
        <v>0</v>
      </c>
      <c r="BJ22" s="31">
        <f t="shared" si="52"/>
        <v>0</v>
      </c>
      <c r="BK22" s="34" t="s">
        <v>66</v>
      </c>
      <c r="BL22" s="31">
        <v>721</v>
      </c>
      <c r="BW22" s="31">
        <f t="shared" si="53"/>
        <v>0</v>
      </c>
      <c r="BX22" s="4" t="s">
        <v>95</v>
      </c>
    </row>
    <row r="23" spans="1:76" x14ac:dyDescent="0.25">
      <c r="A23" s="2" t="s">
        <v>96</v>
      </c>
      <c r="B23" s="3" t="s">
        <v>54</v>
      </c>
      <c r="C23" s="3" t="s">
        <v>97</v>
      </c>
      <c r="D23" s="83" t="s">
        <v>98</v>
      </c>
      <c r="E23" s="84"/>
      <c r="F23" s="3" t="s">
        <v>60</v>
      </c>
      <c r="G23" s="31">
        <v>40</v>
      </c>
      <c r="H23" s="31"/>
      <c r="I23" s="32"/>
      <c r="J23" s="31">
        <f t="shared" si="28"/>
        <v>0</v>
      </c>
      <c r="K23" s="31">
        <f t="shared" si="29"/>
        <v>0</v>
      </c>
      <c r="L23" s="31">
        <f t="shared" si="30"/>
        <v>0</v>
      </c>
      <c r="M23" s="31">
        <f t="shared" si="31"/>
        <v>0</v>
      </c>
      <c r="N23" s="31">
        <v>4.6999999999999999E-4</v>
      </c>
      <c r="O23" s="31">
        <f t="shared" si="32"/>
        <v>1.8800000000000001E-2</v>
      </c>
      <c r="P23" s="33" t="s">
        <v>69</v>
      </c>
      <c r="Z23" s="31">
        <f t="shared" si="33"/>
        <v>0</v>
      </c>
      <c r="AB23" s="31">
        <f t="shared" si="34"/>
        <v>0</v>
      </c>
      <c r="AC23" s="31">
        <f t="shared" si="35"/>
        <v>0</v>
      </c>
      <c r="AD23" s="31">
        <f t="shared" si="36"/>
        <v>0</v>
      </c>
      <c r="AE23" s="31">
        <f t="shared" si="37"/>
        <v>0</v>
      </c>
      <c r="AF23" s="31">
        <f t="shared" si="38"/>
        <v>0</v>
      </c>
      <c r="AG23" s="31">
        <f t="shared" si="39"/>
        <v>0</v>
      </c>
      <c r="AH23" s="31">
        <f t="shared" si="40"/>
        <v>0</v>
      </c>
      <c r="AI23" s="12" t="s">
        <v>54</v>
      </c>
      <c r="AJ23" s="31">
        <f t="shared" si="41"/>
        <v>0</v>
      </c>
      <c r="AK23" s="31">
        <f t="shared" si="42"/>
        <v>0</v>
      </c>
      <c r="AL23" s="31">
        <f t="shared" si="43"/>
        <v>0</v>
      </c>
      <c r="AN23" s="31">
        <v>12</v>
      </c>
      <c r="AO23" s="31">
        <f>H23*0.268268346</f>
        <v>0</v>
      </c>
      <c r="AP23" s="31">
        <f>H23*(1-0.268268346)</f>
        <v>0</v>
      </c>
      <c r="AQ23" s="34" t="s">
        <v>70</v>
      </c>
      <c r="AV23" s="31">
        <f t="shared" si="44"/>
        <v>0</v>
      </c>
      <c r="AW23" s="31">
        <f t="shared" si="45"/>
        <v>0</v>
      </c>
      <c r="AX23" s="31">
        <f t="shared" si="46"/>
        <v>0</v>
      </c>
      <c r="AY23" s="34" t="s">
        <v>91</v>
      </c>
      <c r="AZ23" s="34" t="s">
        <v>92</v>
      </c>
      <c r="BA23" s="12" t="s">
        <v>65</v>
      </c>
      <c r="BC23" s="31">
        <f t="shared" si="47"/>
        <v>0</v>
      </c>
      <c r="BD23" s="31">
        <f t="shared" si="48"/>
        <v>0</v>
      </c>
      <c r="BE23" s="31">
        <v>0</v>
      </c>
      <c r="BF23" s="31">
        <f t="shared" si="49"/>
        <v>1.8800000000000001E-2</v>
      </c>
      <c r="BH23" s="31">
        <f t="shared" si="50"/>
        <v>0</v>
      </c>
      <c r="BI23" s="31">
        <f t="shared" si="51"/>
        <v>0</v>
      </c>
      <c r="BJ23" s="31">
        <f t="shared" si="52"/>
        <v>0</v>
      </c>
      <c r="BK23" s="34" t="s">
        <v>66</v>
      </c>
      <c r="BL23" s="31">
        <v>721</v>
      </c>
      <c r="BW23" s="31">
        <f t="shared" si="53"/>
        <v>0</v>
      </c>
      <c r="BX23" s="4" t="s">
        <v>98</v>
      </c>
    </row>
    <row r="24" spans="1:76" x14ac:dyDescent="0.25">
      <c r="A24" s="2" t="s">
        <v>99</v>
      </c>
      <c r="B24" s="3" t="s">
        <v>54</v>
      </c>
      <c r="C24" s="3" t="s">
        <v>100</v>
      </c>
      <c r="D24" s="83" t="s">
        <v>101</v>
      </c>
      <c r="E24" s="84"/>
      <c r="F24" s="3" t="s">
        <v>60</v>
      </c>
      <c r="G24" s="31">
        <v>45</v>
      </c>
      <c r="H24" s="31"/>
      <c r="I24" s="32"/>
      <c r="J24" s="31">
        <f t="shared" si="28"/>
        <v>0</v>
      </c>
      <c r="K24" s="31">
        <f t="shared" si="29"/>
        <v>0</v>
      </c>
      <c r="L24" s="31">
        <f t="shared" si="30"/>
        <v>0</v>
      </c>
      <c r="M24" s="31">
        <f t="shared" si="31"/>
        <v>0</v>
      </c>
      <c r="N24" s="31">
        <v>1.5200000000000001E-3</v>
      </c>
      <c r="O24" s="31">
        <f t="shared" si="32"/>
        <v>6.8400000000000002E-2</v>
      </c>
      <c r="P24" s="33" t="s">
        <v>69</v>
      </c>
      <c r="Z24" s="31">
        <f t="shared" si="33"/>
        <v>0</v>
      </c>
      <c r="AB24" s="31">
        <f t="shared" si="34"/>
        <v>0</v>
      </c>
      <c r="AC24" s="31">
        <f t="shared" si="35"/>
        <v>0</v>
      </c>
      <c r="AD24" s="31">
        <f t="shared" si="36"/>
        <v>0</v>
      </c>
      <c r="AE24" s="31">
        <f t="shared" si="37"/>
        <v>0</v>
      </c>
      <c r="AF24" s="31">
        <f t="shared" si="38"/>
        <v>0</v>
      </c>
      <c r="AG24" s="31">
        <f t="shared" si="39"/>
        <v>0</v>
      </c>
      <c r="AH24" s="31">
        <f t="shared" si="40"/>
        <v>0</v>
      </c>
      <c r="AI24" s="12" t="s">
        <v>54</v>
      </c>
      <c r="AJ24" s="31">
        <f t="shared" si="41"/>
        <v>0</v>
      </c>
      <c r="AK24" s="31">
        <f t="shared" si="42"/>
        <v>0</v>
      </c>
      <c r="AL24" s="31">
        <f t="shared" si="43"/>
        <v>0</v>
      </c>
      <c r="AN24" s="31">
        <v>12</v>
      </c>
      <c r="AO24" s="31">
        <f>H24*0.244082569</f>
        <v>0</v>
      </c>
      <c r="AP24" s="31">
        <f>H24*(1-0.244082569)</f>
        <v>0</v>
      </c>
      <c r="AQ24" s="34" t="s">
        <v>70</v>
      </c>
      <c r="AV24" s="31">
        <f t="shared" si="44"/>
        <v>0</v>
      </c>
      <c r="AW24" s="31">
        <f t="shared" si="45"/>
        <v>0</v>
      </c>
      <c r="AX24" s="31">
        <f t="shared" si="46"/>
        <v>0</v>
      </c>
      <c r="AY24" s="34" t="s">
        <v>91</v>
      </c>
      <c r="AZ24" s="34" t="s">
        <v>92</v>
      </c>
      <c r="BA24" s="12" t="s">
        <v>65</v>
      </c>
      <c r="BC24" s="31">
        <f t="shared" si="47"/>
        <v>0</v>
      </c>
      <c r="BD24" s="31">
        <f t="shared" si="48"/>
        <v>0</v>
      </c>
      <c r="BE24" s="31">
        <v>0</v>
      </c>
      <c r="BF24" s="31">
        <f t="shared" si="49"/>
        <v>6.8400000000000002E-2</v>
      </c>
      <c r="BH24" s="31">
        <f t="shared" si="50"/>
        <v>0</v>
      </c>
      <c r="BI24" s="31">
        <f t="shared" si="51"/>
        <v>0</v>
      </c>
      <c r="BJ24" s="31">
        <f t="shared" si="52"/>
        <v>0</v>
      </c>
      <c r="BK24" s="34" t="s">
        <v>66</v>
      </c>
      <c r="BL24" s="31">
        <v>721</v>
      </c>
      <c r="BW24" s="31">
        <f t="shared" si="53"/>
        <v>0</v>
      </c>
      <c r="BX24" s="4" t="s">
        <v>101</v>
      </c>
    </row>
    <row r="25" spans="1:76" x14ac:dyDescent="0.25">
      <c r="A25" s="2" t="s">
        <v>102</v>
      </c>
      <c r="B25" s="3" t="s">
        <v>54</v>
      </c>
      <c r="C25" s="3" t="s">
        <v>103</v>
      </c>
      <c r="D25" s="83" t="s">
        <v>104</v>
      </c>
      <c r="E25" s="84"/>
      <c r="F25" s="3" t="s">
        <v>60</v>
      </c>
      <c r="G25" s="31">
        <v>60</v>
      </c>
      <c r="H25" s="31"/>
      <c r="I25" s="32"/>
      <c r="J25" s="31">
        <f t="shared" si="28"/>
        <v>0</v>
      </c>
      <c r="K25" s="31">
        <f t="shared" si="29"/>
        <v>0</v>
      </c>
      <c r="L25" s="31">
        <f t="shared" si="30"/>
        <v>0</v>
      </c>
      <c r="M25" s="31">
        <f t="shared" si="31"/>
        <v>0</v>
      </c>
      <c r="N25" s="31">
        <v>2.0600000000000002E-3</v>
      </c>
      <c r="O25" s="31">
        <f t="shared" si="32"/>
        <v>0.12360000000000002</v>
      </c>
      <c r="P25" s="33" t="s">
        <v>69</v>
      </c>
      <c r="Z25" s="31">
        <f t="shared" si="33"/>
        <v>0</v>
      </c>
      <c r="AB25" s="31">
        <f t="shared" si="34"/>
        <v>0</v>
      </c>
      <c r="AC25" s="31">
        <f t="shared" si="35"/>
        <v>0</v>
      </c>
      <c r="AD25" s="31">
        <f t="shared" si="36"/>
        <v>0</v>
      </c>
      <c r="AE25" s="31">
        <f t="shared" si="37"/>
        <v>0</v>
      </c>
      <c r="AF25" s="31">
        <f t="shared" si="38"/>
        <v>0</v>
      </c>
      <c r="AG25" s="31">
        <f t="shared" si="39"/>
        <v>0</v>
      </c>
      <c r="AH25" s="31">
        <f t="shared" si="40"/>
        <v>0</v>
      </c>
      <c r="AI25" s="12" t="s">
        <v>54</v>
      </c>
      <c r="AJ25" s="31">
        <f t="shared" si="41"/>
        <v>0</v>
      </c>
      <c r="AK25" s="31">
        <f t="shared" si="42"/>
        <v>0</v>
      </c>
      <c r="AL25" s="31">
        <f t="shared" si="43"/>
        <v>0</v>
      </c>
      <c r="AN25" s="31">
        <v>12</v>
      </c>
      <c r="AO25" s="31">
        <f>H25*0.540411237</f>
        <v>0</v>
      </c>
      <c r="AP25" s="31">
        <f>H25*(1-0.540411237)</f>
        <v>0</v>
      </c>
      <c r="AQ25" s="34" t="s">
        <v>70</v>
      </c>
      <c r="AV25" s="31">
        <f t="shared" si="44"/>
        <v>0</v>
      </c>
      <c r="AW25" s="31">
        <f t="shared" si="45"/>
        <v>0</v>
      </c>
      <c r="AX25" s="31">
        <f t="shared" si="46"/>
        <v>0</v>
      </c>
      <c r="AY25" s="34" t="s">
        <v>91</v>
      </c>
      <c r="AZ25" s="34" t="s">
        <v>92</v>
      </c>
      <c r="BA25" s="12" t="s">
        <v>65</v>
      </c>
      <c r="BC25" s="31">
        <f t="shared" si="47"/>
        <v>0</v>
      </c>
      <c r="BD25" s="31">
        <f t="shared" si="48"/>
        <v>0</v>
      </c>
      <c r="BE25" s="31">
        <v>0</v>
      </c>
      <c r="BF25" s="31">
        <f t="shared" si="49"/>
        <v>0.12360000000000002</v>
      </c>
      <c r="BH25" s="31">
        <f t="shared" si="50"/>
        <v>0</v>
      </c>
      <c r="BI25" s="31">
        <f t="shared" si="51"/>
        <v>0</v>
      </c>
      <c r="BJ25" s="31">
        <f t="shared" si="52"/>
        <v>0</v>
      </c>
      <c r="BK25" s="34" t="s">
        <v>66</v>
      </c>
      <c r="BL25" s="31">
        <v>721</v>
      </c>
      <c r="BW25" s="31">
        <f t="shared" si="53"/>
        <v>0</v>
      </c>
      <c r="BX25" s="4" t="s">
        <v>104</v>
      </c>
    </row>
    <row r="26" spans="1:76" x14ac:dyDescent="0.25">
      <c r="A26" s="2" t="s">
        <v>105</v>
      </c>
      <c r="B26" s="3" t="s">
        <v>54</v>
      </c>
      <c r="C26" s="3" t="s">
        <v>106</v>
      </c>
      <c r="D26" s="83" t="s">
        <v>107</v>
      </c>
      <c r="E26" s="84"/>
      <c r="F26" s="3" t="s">
        <v>60</v>
      </c>
      <c r="G26" s="31">
        <v>80</v>
      </c>
      <c r="H26" s="31"/>
      <c r="I26" s="32"/>
      <c r="J26" s="31">
        <f t="shared" si="28"/>
        <v>0</v>
      </c>
      <c r="K26" s="31">
        <f t="shared" si="29"/>
        <v>0</v>
      </c>
      <c r="L26" s="31">
        <f t="shared" si="30"/>
        <v>0</v>
      </c>
      <c r="M26" s="31">
        <f t="shared" si="31"/>
        <v>0</v>
      </c>
      <c r="N26" s="31">
        <v>2.5000000000000001E-3</v>
      </c>
      <c r="O26" s="31">
        <f t="shared" si="32"/>
        <v>0.2</v>
      </c>
      <c r="P26" s="33" t="s">
        <v>69</v>
      </c>
      <c r="Z26" s="31">
        <f t="shared" si="33"/>
        <v>0</v>
      </c>
      <c r="AB26" s="31">
        <f t="shared" si="34"/>
        <v>0</v>
      </c>
      <c r="AC26" s="31">
        <f t="shared" si="35"/>
        <v>0</v>
      </c>
      <c r="AD26" s="31">
        <f t="shared" si="36"/>
        <v>0</v>
      </c>
      <c r="AE26" s="31">
        <f t="shared" si="37"/>
        <v>0</v>
      </c>
      <c r="AF26" s="31">
        <f t="shared" si="38"/>
        <v>0</v>
      </c>
      <c r="AG26" s="31">
        <f t="shared" si="39"/>
        <v>0</v>
      </c>
      <c r="AH26" s="31">
        <f t="shared" si="40"/>
        <v>0</v>
      </c>
      <c r="AI26" s="12" t="s">
        <v>54</v>
      </c>
      <c r="AJ26" s="31">
        <f t="shared" si="41"/>
        <v>0</v>
      </c>
      <c r="AK26" s="31">
        <f t="shared" si="42"/>
        <v>0</v>
      </c>
      <c r="AL26" s="31">
        <f t="shared" si="43"/>
        <v>0</v>
      </c>
      <c r="AN26" s="31">
        <v>12</v>
      </c>
      <c r="AO26" s="31">
        <f>H26*0.622900994</f>
        <v>0</v>
      </c>
      <c r="AP26" s="31">
        <f>H26*(1-0.622900994)</f>
        <v>0</v>
      </c>
      <c r="AQ26" s="34" t="s">
        <v>70</v>
      </c>
      <c r="AV26" s="31">
        <f t="shared" si="44"/>
        <v>0</v>
      </c>
      <c r="AW26" s="31">
        <f t="shared" si="45"/>
        <v>0</v>
      </c>
      <c r="AX26" s="31">
        <f t="shared" si="46"/>
        <v>0</v>
      </c>
      <c r="AY26" s="34" t="s">
        <v>91</v>
      </c>
      <c r="AZ26" s="34" t="s">
        <v>92</v>
      </c>
      <c r="BA26" s="12" t="s">
        <v>65</v>
      </c>
      <c r="BC26" s="31">
        <f t="shared" si="47"/>
        <v>0</v>
      </c>
      <c r="BD26" s="31">
        <f t="shared" si="48"/>
        <v>0</v>
      </c>
      <c r="BE26" s="31">
        <v>0</v>
      </c>
      <c r="BF26" s="31">
        <f t="shared" si="49"/>
        <v>0.2</v>
      </c>
      <c r="BH26" s="31">
        <f t="shared" si="50"/>
        <v>0</v>
      </c>
      <c r="BI26" s="31">
        <f t="shared" si="51"/>
        <v>0</v>
      </c>
      <c r="BJ26" s="31">
        <f t="shared" si="52"/>
        <v>0</v>
      </c>
      <c r="BK26" s="34" t="s">
        <v>66</v>
      </c>
      <c r="BL26" s="31">
        <v>721</v>
      </c>
      <c r="BW26" s="31">
        <f t="shared" si="53"/>
        <v>0</v>
      </c>
      <c r="BX26" s="4" t="s">
        <v>107</v>
      </c>
    </row>
    <row r="27" spans="1:76" x14ac:dyDescent="0.25">
      <c r="A27" s="2" t="s">
        <v>108</v>
      </c>
      <c r="B27" s="3" t="s">
        <v>54</v>
      </c>
      <c r="C27" s="3" t="s">
        <v>109</v>
      </c>
      <c r="D27" s="83" t="s">
        <v>110</v>
      </c>
      <c r="E27" s="84"/>
      <c r="F27" s="3" t="s">
        <v>60</v>
      </c>
      <c r="G27" s="31">
        <v>300</v>
      </c>
      <c r="H27" s="31"/>
      <c r="I27" s="32"/>
      <c r="J27" s="31">
        <f t="shared" si="28"/>
        <v>0</v>
      </c>
      <c r="K27" s="31">
        <f t="shared" si="29"/>
        <v>0</v>
      </c>
      <c r="L27" s="31">
        <f t="shared" si="30"/>
        <v>0</v>
      </c>
      <c r="M27" s="31">
        <f t="shared" si="31"/>
        <v>0</v>
      </c>
      <c r="N27" s="31">
        <v>3.7299999999999998E-3</v>
      </c>
      <c r="O27" s="31">
        <f t="shared" si="32"/>
        <v>1.119</v>
      </c>
      <c r="P27" s="33" t="s">
        <v>69</v>
      </c>
      <c r="Z27" s="31">
        <f t="shared" si="33"/>
        <v>0</v>
      </c>
      <c r="AB27" s="31">
        <f t="shared" si="34"/>
        <v>0</v>
      </c>
      <c r="AC27" s="31">
        <f t="shared" si="35"/>
        <v>0</v>
      </c>
      <c r="AD27" s="31">
        <f t="shared" si="36"/>
        <v>0</v>
      </c>
      <c r="AE27" s="31">
        <f t="shared" si="37"/>
        <v>0</v>
      </c>
      <c r="AF27" s="31">
        <f t="shared" si="38"/>
        <v>0</v>
      </c>
      <c r="AG27" s="31">
        <f t="shared" si="39"/>
        <v>0</v>
      </c>
      <c r="AH27" s="31">
        <f t="shared" si="40"/>
        <v>0</v>
      </c>
      <c r="AI27" s="12" t="s">
        <v>54</v>
      </c>
      <c r="AJ27" s="31">
        <f t="shared" si="41"/>
        <v>0</v>
      </c>
      <c r="AK27" s="31">
        <f t="shared" si="42"/>
        <v>0</v>
      </c>
      <c r="AL27" s="31">
        <f t="shared" si="43"/>
        <v>0</v>
      </c>
      <c r="AN27" s="31">
        <v>12</v>
      </c>
      <c r="AO27" s="31">
        <f>H27*0.760747153</f>
        <v>0</v>
      </c>
      <c r="AP27" s="31">
        <f>H27*(1-0.760747153)</f>
        <v>0</v>
      </c>
      <c r="AQ27" s="34" t="s">
        <v>70</v>
      </c>
      <c r="AV27" s="31">
        <f t="shared" si="44"/>
        <v>0</v>
      </c>
      <c r="AW27" s="31">
        <f t="shared" si="45"/>
        <v>0</v>
      </c>
      <c r="AX27" s="31">
        <f t="shared" si="46"/>
        <v>0</v>
      </c>
      <c r="AY27" s="34" t="s">
        <v>91</v>
      </c>
      <c r="AZ27" s="34" t="s">
        <v>92</v>
      </c>
      <c r="BA27" s="12" t="s">
        <v>65</v>
      </c>
      <c r="BC27" s="31">
        <f t="shared" si="47"/>
        <v>0</v>
      </c>
      <c r="BD27" s="31">
        <f t="shared" si="48"/>
        <v>0</v>
      </c>
      <c r="BE27" s="31">
        <v>0</v>
      </c>
      <c r="BF27" s="31">
        <f t="shared" si="49"/>
        <v>1.119</v>
      </c>
      <c r="BH27" s="31">
        <f t="shared" si="50"/>
        <v>0</v>
      </c>
      <c r="BI27" s="31">
        <f t="shared" si="51"/>
        <v>0</v>
      </c>
      <c r="BJ27" s="31">
        <f t="shared" si="52"/>
        <v>0</v>
      </c>
      <c r="BK27" s="34" t="s">
        <v>66</v>
      </c>
      <c r="BL27" s="31">
        <v>721</v>
      </c>
      <c r="BW27" s="31">
        <f t="shared" si="53"/>
        <v>0</v>
      </c>
      <c r="BX27" s="4" t="s">
        <v>110</v>
      </c>
    </row>
    <row r="28" spans="1:76" x14ac:dyDescent="0.25">
      <c r="A28" s="2" t="s">
        <v>111</v>
      </c>
      <c r="B28" s="3" t="s">
        <v>54</v>
      </c>
      <c r="C28" s="3" t="s">
        <v>112</v>
      </c>
      <c r="D28" s="83" t="s">
        <v>113</v>
      </c>
      <c r="E28" s="84"/>
      <c r="F28" s="3" t="s">
        <v>114</v>
      </c>
      <c r="G28" s="31">
        <v>30</v>
      </c>
      <c r="H28" s="31"/>
      <c r="I28" s="32"/>
      <c r="J28" s="31">
        <f t="shared" si="28"/>
        <v>0</v>
      </c>
      <c r="K28" s="31">
        <f t="shared" si="29"/>
        <v>0</v>
      </c>
      <c r="L28" s="31">
        <f t="shared" si="30"/>
        <v>0</v>
      </c>
      <c r="M28" s="31">
        <f t="shared" si="31"/>
        <v>0</v>
      </c>
      <c r="N28" s="31">
        <v>2.4000000000000001E-4</v>
      </c>
      <c r="O28" s="31">
        <f t="shared" si="32"/>
        <v>7.1999999999999998E-3</v>
      </c>
      <c r="P28" s="33" t="s">
        <v>69</v>
      </c>
      <c r="Z28" s="31">
        <f t="shared" si="33"/>
        <v>0</v>
      </c>
      <c r="AB28" s="31">
        <f t="shared" si="34"/>
        <v>0</v>
      </c>
      <c r="AC28" s="31">
        <f t="shared" si="35"/>
        <v>0</v>
      </c>
      <c r="AD28" s="31">
        <f t="shared" si="36"/>
        <v>0</v>
      </c>
      <c r="AE28" s="31">
        <f t="shared" si="37"/>
        <v>0</v>
      </c>
      <c r="AF28" s="31">
        <f t="shared" si="38"/>
        <v>0</v>
      </c>
      <c r="AG28" s="31">
        <f t="shared" si="39"/>
        <v>0</v>
      </c>
      <c r="AH28" s="31">
        <f t="shared" si="40"/>
        <v>0</v>
      </c>
      <c r="AI28" s="12" t="s">
        <v>54</v>
      </c>
      <c r="AJ28" s="31">
        <f t="shared" si="41"/>
        <v>0</v>
      </c>
      <c r="AK28" s="31">
        <f t="shared" si="42"/>
        <v>0</v>
      </c>
      <c r="AL28" s="31">
        <f t="shared" si="43"/>
        <v>0</v>
      </c>
      <c r="AN28" s="31">
        <v>12</v>
      </c>
      <c r="AO28" s="31">
        <f>H28*0.560580205</f>
        <v>0</v>
      </c>
      <c r="AP28" s="31">
        <f>H28*(1-0.560580205)</f>
        <v>0</v>
      </c>
      <c r="AQ28" s="34" t="s">
        <v>70</v>
      </c>
      <c r="AV28" s="31">
        <f t="shared" si="44"/>
        <v>0</v>
      </c>
      <c r="AW28" s="31">
        <f t="shared" si="45"/>
        <v>0</v>
      </c>
      <c r="AX28" s="31">
        <f t="shared" si="46"/>
        <v>0</v>
      </c>
      <c r="AY28" s="34" t="s">
        <v>91</v>
      </c>
      <c r="AZ28" s="34" t="s">
        <v>92</v>
      </c>
      <c r="BA28" s="12" t="s">
        <v>65</v>
      </c>
      <c r="BC28" s="31">
        <f t="shared" si="47"/>
        <v>0</v>
      </c>
      <c r="BD28" s="31">
        <f t="shared" si="48"/>
        <v>0</v>
      </c>
      <c r="BE28" s="31">
        <v>0</v>
      </c>
      <c r="BF28" s="31">
        <f t="shared" si="49"/>
        <v>7.1999999999999998E-3</v>
      </c>
      <c r="BH28" s="31">
        <f t="shared" si="50"/>
        <v>0</v>
      </c>
      <c r="BI28" s="31">
        <f t="shared" si="51"/>
        <v>0</v>
      </c>
      <c r="BJ28" s="31">
        <f t="shared" si="52"/>
        <v>0</v>
      </c>
      <c r="BK28" s="34" t="s">
        <v>66</v>
      </c>
      <c r="BL28" s="31">
        <v>721</v>
      </c>
      <c r="BW28" s="31">
        <f t="shared" si="53"/>
        <v>0</v>
      </c>
      <c r="BX28" s="4" t="s">
        <v>113</v>
      </c>
    </row>
    <row r="29" spans="1:76" x14ac:dyDescent="0.25">
      <c r="A29" s="2" t="s">
        <v>115</v>
      </c>
      <c r="B29" s="3" t="s">
        <v>54</v>
      </c>
      <c r="C29" s="3" t="s">
        <v>116</v>
      </c>
      <c r="D29" s="83" t="s">
        <v>117</v>
      </c>
      <c r="E29" s="84"/>
      <c r="F29" s="3" t="s">
        <v>60</v>
      </c>
      <c r="G29" s="31">
        <v>35</v>
      </c>
      <c r="H29" s="31"/>
      <c r="I29" s="32"/>
      <c r="J29" s="31">
        <f t="shared" si="28"/>
        <v>0</v>
      </c>
      <c r="K29" s="31">
        <f t="shared" si="29"/>
        <v>0</v>
      </c>
      <c r="L29" s="31">
        <f t="shared" si="30"/>
        <v>0</v>
      </c>
      <c r="M29" s="31">
        <f t="shared" si="31"/>
        <v>0</v>
      </c>
      <c r="N29" s="31">
        <v>2.0999999999999999E-3</v>
      </c>
      <c r="O29" s="31">
        <f t="shared" si="32"/>
        <v>7.3499999999999996E-2</v>
      </c>
      <c r="P29" s="33" t="s">
        <v>69</v>
      </c>
      <c r="Z29" s="31">
        <f t="shared" si="33"/>
        <v>0</v>
      </c>
      <c r="AB29" s="31">
        <f t="shared" si="34"/>
        <v>0</v>
      </c>
      <c r="AC29" s="31">
        <f t="shared" si="35"/>
        <v>0</v>
      </c>
      <c r="AD29" s="31">
        <f t="shared" si="36"/>
        <v>0</v>
      </c>
      <c r="AE29" s="31">
        <f t="shared" si="37"/>
        <v>0</v>
      </c>
      <c r="AF29" s="31">
        <f t="shared" si="38"/>
        <v>0</v>
      </c>
      <c r="AG29" s="31">
        <f t="shared" si="39"/>
        <v>0</v>
      </c>
      <c r="AH29" s="31">
        <f t="shared" si="40"/>
        <v>0</v>
      </c>
      <c r="AI29" s="12" t="s">
        <v>54</v>
      </c>
      <c r="AJ29" s="31">
        <f t="shared" si="41"/>
        <v>0</v>
      </c>
      <c r="AK29" s="31">
        <f t="shared" si="42"/>
        <v>0</v>
      </c>
      <c r="AL29" s="31">
        <f t="shared" si="43"/>
        <v>0</v>
      </c>
      <c r="AN29" s="31">
        <v>12</v>
      </c>
      <c r="AO29" s="31">
        <f>H29*0.342947433</f>
        <v>0</v>
      </c>
      <c r="AP29" s="31">
        <f>H29*(1-0.342947433)</f>
        <v>0</v>
      </c>
      <c r="AQ29" s="34" t="s">
        <v>70</v>
      </c>
      <c r="AV29" s="31">
        <f t="shared" si="44"/>
        <v>0</v>
      </c>
      <c r="AW29" s="31">
        <f t="shared" si="45"/>
        <v>0</v>
      </c>
      <c r="AX29" s="31">
        <f t="shared" si="46"/>
        <v>0</v>
      </c>
      <c r="AY29" s="34" t="s">
        <v>91</v>
      </c>
      <c r="AZ29" s="34" t="s">
        <v>92</v>
      </c>
      <c r="BA29" s="12" t="s">
        <v>65</v>
      </c>
      <c r="BC29" s="31">
        <f t="shared" si="47"/>
        <v>0</v>
      </c>
      <c r="BD29" s="31">
        <f t="shared" si="48"/>
        <v>0</v>
      </c>
      <c r="BE29" s="31">
        <v>0</v>
      </c>
      <c r="BF29" s="31">
        <f t="shared" si="49"/>
        <v>7.3499999999999996E-2</v>
      </c>
      <c r="BH29" s="31">
        <f t="shared" si="50"/>
        <v>0</v>
      </c>
      <c r="BI29" s="31">
        <f t="shared" si="51"/>
        <v>0</v>
      </c>
      <c r="BJ29" s="31">
        <f t="shared" si="52"/>
        <v>0</v>
      </c>
      <c r="BK29" s="34" t="s">
        <v>66</v>
      </c>
      <c r="BL29" s="31">
        <v>721</v>
      </c>
      <c r="BW29" s="31">
        <f t="shared" si="53"/>
        <v>0</v>
      </c>
      <c r="BX29" s="4" t="s">
        <v>117</v>
      </c>
    </row>
    <row r="30" spans="1:76" x14ac:dyDescent="0.25">
      <c r="A30" s="2" t="s">
        <v>118</v>
      </c>
      <c r="B30" s="3" t="s">
        <v>54</v>
      </c>
      <c r="C30" s="3" t="s">
        <v>119</v>
      </c>
      <c r="D30" s="83" t="s">
        <v>120</v>
      </c>
      <c r="E30" s="84"/>
      <c r="F30" s="3" t="s">
        <v>60</v>
      </c>
      <c r="G30" s="31">
        <v>70</v>
      </c>
      <c r="H30" s="31"/>
      <c r="I30" s="32"/>
      <c r="J30" s="31">
        <f t="shared" si="28"/>
        <v>0</v>
      </c>
      <c r="K30" s="31">
        <f t="shared" si="29"/>
        <v>0</v>
      </c>
      <c r="L30" s="31">
        <f t="shared" si="30"/>
        <v>0</v>
      </c>
      <c r="M30" s="31">
        <f t="shared" si="31"/>
        <v>0</v>
      </c>
      <c r="N30" s="31">
        <v>2.5200000000000001E-3</v>
      </c>
      <c r="O30" s="31">
        <f t="shared" si="32"/>
        <v>0.1764</v>
      </c>
      <c r="P30" s="33" t="s">
        <v>69</v>
      </c>
      <c r="Z30" s="31">
        <f t="shared" si="33"/>
        <v>0</v>
      </c>
      <c r="AB30" s="31">
        <f t="shared" si="34"/>
        <v>0</v>
      </c>
      <c r="AC30" s="31">
        <f t="shared" si="35"/>
        <v>0</v>
      </c>
      <c r="AD30" s="31">
        <f t="shared" si="36"/>
        <v>0</v>
      </c>
      <c r="AE30" s="31">
        <f t="shared" si="37"/>
        <v>0</v>
      </c>
      <c r="AF30" s="31">
        <f t="shared" si="38"/>
        <v>0</v>
      </c>
      <c r="AG30" s="31">
        <f t="shared" si="39"/>
        <v>0</v>
      </c>
      <c r="AH30" s="31">
        <f t="shared" si="40"/>
        <v>0</v>
      </c>
      <c r="AI30" s="12" t="s">
        <v>54</v>
      </c>
      <c r="AJ30" s="31">
        <f t="shared" si="41"/>
        <v>0</v>
      </c>
      <c r="AK30" s="31">
        <f t="shared" si="42"/>
        <v>0</v>
      </c>
      <c r="AL30" s="31">
        <f t="shared" si="43"/>
        <v>0</v>
      </c>
      <c r="AN30" s="31">
        <v>12</v>
      </c>
      <c r="AO30" s="31">
        <f>H30*0.418447205</f>
        <v>0</v>
      </c>
      <c r="AP30" s="31">
        <f>H30*(1-0.418447205)</f>
        <v>0</v>
      </c>
      <c r="AQ30" s="34" t="s">
        <v>70</v>
      </c>
      <c r="AV30" s="31">
        <f t="shared" si="44"/>
        <v>0</v>
      </c>
      <c r="AW30" s="31">
        <f t="shared" si="45"/>
        <v>0</v>
      </c>
      <c r="AX30" s="31">
        <f t="shared" si="46"/>
        <v>0</v>
      </c>
      <c r="AY30" s="34" t="s">
        <v>91</v>
      </c>
      <c r="AZ30" s="34" t="s">
        <v>92</v>
      </c>
      <c r="BA30" s="12" t="s">
        <v>65</v>
      </c>
      <c r="BC30" s="31">
        <f t="shared" si="47"/>
        <v>0</v>
      </c>
      <c r="BD30" s="31">
        <f t="shared" si="48"/>
        <v>0</v>
      </c>
      <c r="BE30" s="31">
        <v>0</v>
      </c>
      <c r="BF30" s="31">
        <f t="shared" si="49"/>
        <v>0.1764</v>
      </c>
      <c r="BH30" s="31">
        <f t="shared" si="50"/>
        <v>0</v>
      </c>
      <c r="BI30" s="31">
        <f t="shared" si="51"/>
        <v>0</v>
      </c>
      <c r="BJ30" s="31">
        <f t="shared" si="52"/>
        <v>0</v>
      </c>
      <c r="BK30" s="34" t="s">
        <v>66</v>
      </c>
      <c r="BL30" s="31">
        <v>721</v>
      </c>
      <c r="BW30" s="31">
        <f t="shared" si="53"/>
        <v>0</v>
      </c>
      <c r="BX30" s="4" t="s">
        <v>120</v>
      </c>
    </row>
    <row r="31" spans="1:76" x14ac:dyDescent="0.25">
      <c r="A31" s="2" t="s">
        <v>121</v>
      </c>
      <c r="B31" s="3" t="s">
        <v>54</v>
      </c>
      <c r="C31" s="3" t="s">
        <v>122</v>
      </c>
      <c r="D31" s="83" t="s">
        <v>123</v>
      </c>
      <c r="E31" s="84"/>
      <c r="F31" s="3" t="s">
        <v>60</v>
      </c>
      <c r="G31" s="31">
        <v>240</v>
      </c>
      <c r="H31" s="31"/>
      <c r="I31" s="32"/>
      <c r="J31" s="31">
        <f t="shared" si="28"/>
        <v>0</v>
      </c>
      <c r="K31" s="31">
        <f t="shared" si="29"/>
        <v>0</v>
      </c>
      <c r="L31" s="31">
        <f t="shared" si="30"/>
        <v>0</v>
      </c>
      <c r="M31" s="31">
        <f t="shared" si="31"/>
        <v>0</v>
      </c>
      <c r="N31" s="31">
        <v>3.5699999999999998E-3</v>
      </c>
      <c r="O31" s="31">
        <f t="shared" si="32"/>
        <v>0.85680000000000001</v>
      </c>
      <c r="P31" s="33" t="s">
        <v>69</v>
      </c>
      <c r="Z31" s="31">
        <f t="shared" si="33"/>
        <v>0</v>
      </c>
      <c r="AB31" s="31">
        <f t="shared" si="34"/>
        <v>0</v>
      </c>
      <c r="AC31" s="31">
        <f t="shared" si="35"/>
        <v>0</v>
      </c>
      <c r="AD31" s="31">
        <f t="shared" si="36"/>
        <v>0</v>
      </c>
      <c r="AE31" s="31">
        <f t="shared" si="37"/>
        <v>0</v>
      </c>
      <c r="AF31" s="31">
        <f t="shared" si="38"/>
        <v>0</v>
      </c>
      <c r="AG31" s="31">
        <f t="shared" si="39"/>
        <v>0</v>
      </c>
      <c r="AH31" s="31">
        <f t="shared" si="40"/>
        <v>0</v>
      </c>
      <c r="AI31" s="12" t="s">
        <v>54</v>
      </c>
      <c r="AJ31" s="31">
        <f t="shared" si="41"/>
        <v>0</v>
      </c>
      <c r="AK31" s="31">
        <f t="shared" si="42"/>
        <v>0</v>
      </c>
      <c r="AL31" s="31">
        <f t="shared" si="43"/>
        <v>0</v>
      </c>
      <c r="AN31" s="31">
        <v>12</v>
      </c>
      <c r="AO31" s="31">
        <f>H31*0.573708609</f>
        <v>0</v>
      </c>
      <c r="AP31" s="31">
        <f>H31*(1-0.573708609)</f>
        <v>0</v>
      </c>
      <c r="AQ31" s="34" t="s">
        <v>70</v>
      </c>
      <c r="AV31" s="31">
        <f t="shared" si="44"/>
        <v>0</v>
      </c>
      <c r="AW31" s="31">
        <f t="shared" si="45"/>
        <v>0</v>
      </c>
      <c r="AX31" s="31">
        <f t="shared" si="46"/>
        <v>0</v>
      </c>
      <c r="AY31" s="34" t="s">
        <v>91</v>
      </c>
      <c r="AZ31" s="34" t="s">
        <v>92</v>
      </c>
      <c r="BA31" s="12" t="s">
        <v>65</v>
      </c>
      <c r="BC31" s="31">
        <f t="shared" si="47"/>
        <v>0</v>
      </c>
      <c r="BD31" s="31">
        <f t="shared" si="48"/>
        <v>0</v>
      </c>
      <c r="BE31" s="31">
        <v>0</v>
      </c>
      <c r="BF31" s="31">
        <f t="shared" si="49"/>
        <v>0.85680000000000001</v>
      </c>
      <c r="BH31" s="31">
        <f t="shared" si="50"/>
        <v>0</v>
      </c>
      <c r="BI31" s="31">
        <f t="shared" si="51"/>
        <v>0</v>
      </c>
      <c r="BJ31" s="31">
        <f t="shared" si="52"/>
        <v>0</v>
      </c>
      <c r="BK31" s="34" t="s">
        <v>66</v>
      </c>
      <c r="BL31" s="31">
        <v>721</v>
      </c>
      <c r="BW31" s="31">
        <f t="shared" si="53"/>
        <v>0</v>
      </c>
      <c r="BX31" s="4" t="s">
        <v>123</v>
      </c>
    </row>
    <row r="32" spans="1:76" x14ac:dyDescent="0.25">
      <c r="A32" s="2" t="s">
        <v>124</v>
      </c>
      <c r="B32" s="3" t="s">
        <v>54</v>
      </c>
      <c r="C32" s="3" t="s">
        <v>125</v>
      </c>
      <c r="D32" s="83" t="s">
        <v>126</v>
      </c>
      <c r="E32" s="84"/>
      <c r="F32" s="3" t="s">
        <v>60</v>
      </c>
      <c r="G32" s="31">
        <v>140</v>
      </c>
      <c r="H32" s="31"/>
      <c r="I32" s="32"/>
      <c r="J32" s="31">
        <f t="shared" si="28"/>
        <v>0</v>
      </c>
      <c r="K32" s="31">
        <f t="shared" si="29"/>
        <v>0</v>
      </c>
      <c r="L32" s="31">
        <f t="shared" si="30"/>
        <v>0</v>
      </c>
      <c r="M32" s="31">
        <f t="shared" si="31"/>
        <v>0</v>
      </c>
      <c r="N32" s="31">
        <v>4.0299999999999997E-3</v>
      </c>
      <c r="O32" s="31">
        <f t="shared" si="32"/>
        <v>0.56419999999999992</v>
      </c>
      <c r="P32" s="33" t="s">
        <v>69</v>
      </c>
      <c r="Z32" s="31">
        <f t="shared" si="33"/>
        <v>0</v>
      </c>
      <c r="AB32" s="31">
        <f t="shared" si="34"/>
        <v>0</v>
      </c>
      <c r="AC32" s="31">
        <f t="shared" si="35"/>
        <v>0</v>
      </c>
      <c r="AD32" s="31">
        <f t="shared" si="36"/>
        <v>0</v>
      </c>
      <c r="AE32" s="31">
        <f t="shared" si="37"/>
        <v>0</v>
      </c>
      <c r="AF32" s="31">
        <f t="shared" si="38"/>
        <v>0</v>
      </c>
      <c r="AG32" s="31">
        <f t="shared" si="39"/>
        <v>0</v>
      </c>
      <c r="AH32" s="31">
        <f t="shared" si="40"/>
        <v>0</v>
      </c>
      <c r="AI32" s="12" t="s">
        <v>54</v>
      </c>
      <c r="AJ32" s="31">
        <f t="shared" si="41"/>
        <v>0</v>
      </c>
      <c r="AK32" s="31">
        <f t="shared" si="42"/>
        <v>0</v>
      </c>
      <c r="AL32" s="31">
        <f t="shared" si="43"/>
        <v>0</v>
      </c>
      <c r="AN32" s="31">
        <v>12</v>
      </c>
      <c r="AO32" s="31">
        <f>H32*0.556022719</f>
        <v>0</v>
      </c>
      <c r="AP32" s="31">
        <f>H32*(1-0.556022719)</f>
        <v>0</v>
      </c>
      <c r="AQ32" s="34" t="s">
        <v>70</v>
      </c>
      <c r="AV32" s="31">
        <f t="shared" si="44"/>
        <v>0</v>
      </c>
      <c r="AW32" s="31">
        <f t="shared" si="45"/>
        <v>0</v>
      </c>
      <c r="AX32" s="31">
        <f t="shared" si="46"/>
        <v>0</v>
      </c>
      <c r="AY32" s="34" t="s">
        <v>91</v>
      </c>
      <c r="AZ32" s="34" t="s">
        <v>92</v>
      </c>
      <c r="BA32" s="12" t="s">
        <v>65</v>
      </c>
      <c r="BC32" s="31">
        <f t="shared" si="47"/>
        <v>0</v>
      </c>
      <c r="BD32" s="31">
        <f t="shared" si="48"/>
        <v>0</v>
      </c>
      <c r="BE32" s="31">
        <v>0</v>
      </c>
      <c r="BF32" s="31">
        <f t="shared" si="49"/>
        <v>0.56419999999999992</v>
      </c>
      <c r="BH32" s="31">
        <f t="shared" si="50"/>
        <v>0</v>
      </c>
      <c r="BI32" s="31">
        <f t="shared" si="51"/>
        <v>0</v>
      </c>
      <c r="BJ32" s="31">
        <f t="shared" si="52"/>
        <v>0</v>
      </c>
      <c r="BK32" s="34" t="s">
        <v>66</v>
      </c>
      <c r="BL32" s="31">
        <v>721</v>
      </c>
      <c r="BW32" s="31">
        <f t="shared" si="53"/>
        <v>0</v>
      </c>
      <c r="BX32" s="4" t="s">
        <v>126</v>
      </c>
    </row>
    <row r="33" spans="1:76" x14ac:dyDescent="0.25">
      <c r="A33" s="2" t="s">
        <v>127</v>
      </c>
      <c r="B33" s="3" t="s">
        <v>54</v>
      </c>
      <c r="C33" s="3" t="s">
        <v>128</v>
      </c>
      <c r="D33" s="83" t="s">
        <v>129</v>
      </c>
      <c r="E33" s="84"/>
      <c r="F33" s="3" t="s">
        <v>60</v>
      </c>
      <c r="G33" s="31">
        <v>160</v>
      </c>
      <c r="H33" s="31"/>
      <c r="I33" s="32"/>
      <c r="J33" s="31">
        <f t="shared" si="28"/>
        <v>0</v>
      </c>
      <c r="K33" s="31">
        <f t="shared" si="29"/>
        <v>0</v>
      </c>
      <c r="L33" s="31">
        <f t="shared" si="30"/>
        <v>0</v>
      </c>
      <c r="M33" s="31">
        <f t="shared" si="31"/>
        <v>0</v>
      </c>
      <c r="N33" s="31">
        <v>6.9800000000000001E-3</v>
      </c>
      <c r="O33" s="31">
        <f t="shared" si="32"/>
        <v>1.1168</v>
      </c>
      <c r="P33" s="33" t="s">
        <v>69</v>
      </c>
      <c r="Z33" s="31">
        <f t="shared" si="33"/>
        <v>0</v>
      </c>
      <c r="AB33" s="31">
        <f t="shared" si="34"/>
        <v>0</v>
      </c>
      <c r="AC33" s="31">
        <f t="shared" si="35"/>
        <v>0</v>
      </c>
      <c r="AD33" s="31">
        <f t="shared" si="36"/>
        <v>0</v>
      </c>
      <c r="AE33" s="31">
        <f t="shared" si="37"/>
        <v>0</v>
      </c>
      <c r="AF33" s="31">
        <f t="shared" si="38"/>
        <v>0</v>
      </c>
      <c r="AG33" s="31">
        <f t="shared" si="39"/>
        <v>0</v>
      </c>
      <c r="AH33" s="31">
        <f t="shared" si="40"/>
        <v>0</v>
      </c>
      <c r="AI33" s="12" t="s">
        <v>54</v>
      </c>
      <c r="AJ33" s="31">
        <f t="shared" si="41"/>
        <v>0</v>
      </c>
      <c r="AK33" s="31">
        <f t="shared" si="42"/>
        <v>0</v>
      </c>
      <c r="AL33" s="31">
        <f t="shared" si="43"/>
        <v>0</v>
      </c>
      <c r="AN33" s="31">
        <v>12</v>
      </c>
      <c r="AO33" s="31">
        <f>H33*0.599097606</f>
        <v>0</v>
      </c>
      <c r="AP33" s="31">
        <f>H33*(1-0.599097606)</f>
        <v>0</v>
      </c>
      <c r="AQ33" s="34" t="s">
        <v>70</v>
      </c>
      <c r="AV33" s="31">
        <f t="shared" si="44"/>
        <v>0</v>
      </c>
      <c r="AW33" s="31">
        <f t="shared" si="45"/>
        <v>0</v>
      </c>
      <c r="AX33" s="31">
        <f t="shared" si="46"/>
        <v>0</v>
      </c>
      <c r="AY33" s="34" t="s">
        <v>91</v>
      </c>
      <c r="AZ33" s="34" t="s">
        <v>92</v>
      </c>
      <c r="BA33" s="12" t="s">
        <v>65</v>
      </c>
      <c r="BC33" s="31">
        <f t="shared" si="47"/>
        <v>0</v>
      </c>
      <c r="BD33" s="31">
        <f t="shared" si="48"/>
        <v>0</v>
      </c>
      <c r="BE33" s="31">
        <v>0</v>
      </c>
      <c r="BF33" s="31">
        <f t="shared" si="49"/>
        <v>1.1168</v>
      </c>
      <c r="BH33" s="31">
        <f t="shared" si="50"/>
        <v>0</v>
      </c>
      <c r="BI33" s="31">
        <f t="shared" si="51"/>
        <v>0</v>
      </c>
      <c r="BJ33" s="31">
        <f t="shared" si="52"/>
        <v>0</v>
      </c>
      <c r="BK33" s="34" t="s">
        <v>66</v>
      </c>
      <c r="BL33" s="31">
        <v>721</v>
      </c>
      <c r="BW33" s="31">
        <f t="shared" si="53"/>
        <v>0</v>
      </c>
      <c r="BX33" s="4" t="s">
        <v>129</v>
      </c>
    </row>
    <row r="34" spans="1:76" x14ac:dyDescent="0.25">
      <c r="A34" s="2" t="s">
        <v>130</v>
      </c>
      <c r="B34" s="3" t="s">
        <v>54</v>
      </c>
      <c r="C34" s="3" t="s">
        <v>131</v>
      </c>
      <c r="D34" s="83" t="s">
        <v>132</v>
      </c>
      <c r="E34" s="84"/>
      <c r="F34" s="3" t="s">
        <v>114</v>
      </c>
      <c r="G34" s="31">
        <v>33</v>
      </c>
      <c r="H34" s="31"/>
      <c r="I34" s="32"/>
      <c r="J34" s="31">
        <f t="shared" si="28"/>
        <v>0</v>
      </c>
      <c r="K34" s="31">
        <f t="shared" si="29"/>
        <v>0</v>
      </c>
      <c r="L34" s="31">
        <f t="shared" si="30"/>
        <v>0</v>
      </c>
      <c r="M34" s="31">
        <f t="shared" si="31"/>
        <v>0</v>
      </c>
      <c r="N34" s="31">
        <v>0</v>
      </c>
      <c r="O34" s="31">
        <f t="shared" si="32"/>
        <v>0</v>
      </c>
      <c r="P34" s="33" t="s">
        <v>69</v>
      </c>
      <c r="Z34" s="31">
        <f t="shared" si="33"/>
        <v>0</v>
      </c>
      <c r="AB34" s="31">
        <f t="shared" si="34"/>
        <v>0</v>
      </c>
      <c r="AC34" s="31">
        <f t="shared" si="35"/>
        <v>0</v>
      </c>
      <c r="AD34" s="31">
        <f t="shared" si="36"/>
        <v>0</v>
      </c>
      <c r="AE34" s="31">
        <f t="shared" si="37"/>
        <v>0</v>
      </c>
      <c r="AF34" s="31">
        <f t="shared" si="38"/>
        <v>0</v>
      </c>
      <c r="AG34" s="31">
        <f t="shared" si="39"/>
        <v>0</v>
      </c>
      <c r="AH34" s="31">
        <f t="shared" si="40"/>
        <v>0</v>
      </c>
      <c r="AI34" s="12" t="s">
        <v>54</v>
      </c>
      <c r="AJ34" s="31">
        <f t="shared" si="41"/>
        <v>0</v>
      </c>
      <c r="AK34" s="31">
        <f t="shared" si="42"/>
        <v>0</v>
      </c>
      <c r="AL34" s="31">
        <f t="shared" si="43"/>
        <v>0</v>
      </c>
      <c r="AN34" s="31">
        <v>12</v>
      </c>
      <c r="AO34" s="31">
        <f>H34*0</f>
        <v>0</v>
      </c>
      <c r="AP34" s="31">
        <f>H34*(1-0)</f>
        <v>0</v>
      </c>
      <c r="AQ34" s="34" t="s">
        <v>70</v>
      </c>
      <c r="AV34" s="31">
        <f t="shared" si="44"/>
        <v>0</v>
      </c>
      <c r="AW34" s="31">
        <f t="shared" si="45"/>
        <v>0</v>
      </c>
      <c r="AX34" s="31">
        <f t="shared" si="46"/>
        <v>0</v>
      </c>
      <c r="AY34" s="34" t="s">
        <v>91</v>
      </c>
      <c r="AZ34" s="34" t="s">
        <v>92</v>
      </c>
      <c r="BA34" s="12" t="s">
        <v>65</v>
      </c>
      <c r="BC34" s="31">
        <f t="shared" si="47"/>
        <v>0</v>
      </c>
      <c r="BD34" s="31">
        <f t="shared" si="48"/>
        <v>0</v>
      </c>
      <c r="BE34" s="31">
        <v>0</v>
      </c>
      <c r="BF34" s="31">
        <f t="shared" si="49"/>
        <v>0</v>
      </c>
      <c r="BH34" s="31">
        <f t="shared" si="50"/>
        <v>0</v>
      </c>
      <c r="BI34" s="31">
        <f t="shared" si="51"/>
        <v>0</v>
      </c>
      <c r="BJ34" s="31">
        <f t="shared" si="52"/>
        <v>0</v>
      </c>
      <c r="BK34" s="34" t="s">
        <v>66</v>
      </c>
      <c r="BL34" s="31">
        <v>721</v>
      </c>
      <c r="BW34" s="31">
        <f t="shared" si="53"/>
        <v>0</v>
      </c>
      <c r="BX34" s="4" t="s">
        <v>132</v>
      </c>
    </row>
    <row r="35" spans="1:76" x14ac:dyDescent="0.25">
      <c r="A35" s="2" t="s">
        <v>133</v>
      </c>
      <c r="B35" s="3" t="s">
        <v>54</v>
      </c>
      <c r="C35" s="3" t="s">
        <v>134</v>
      </c>
      <c r="D35" s="83" t="s">
        <v>135</v>
      </c>
      <c r="E35" s="84"/>
      <c r="F35" s="3" t="s">
        <v>114</v>
      </c>
      <c r="G35" s="31">
        <v>30</v>
      </c>
      <c r="H35" s="31"/>
      <c r="I35" s="32"/>
      <c r="J35" s="31">
        <f t="shared" si="28"/>
        <v>0</v>
      </c>
      <c r="K35" s="31">
        <f t="shared" si="29"/>
        <v>0</v>
      </c>
      <c r="L35" s="31">
        <f t="shared" si="30"/>
        <v>0</v>
      </c>
      <c r="M35" s="31">
        <f t="shared" si="31"/>
        <v>0</v>
      </c>
      <c r="N35" s="31">
        <v>0</v>
      </c>
      <c r="O35" s="31">
        <f t="shared" si="32"/>
        <v>0</v>
      </c>
      <c r="P35" s="33" t="s">
        <v>69</v>
      </c>
      <c r="Z35" s="31">
        <f t="shared" si="33"/>
        <v>0</v>
      </c>
      <c r="AB35" s="31">
        <f t="shared" si="34"/>
        <v>0</v>
      </c>
      <c r="AC35" s="31">
        <f t="shared" si="35"/>
        <v>0</v>
      </c>
      <c r="AD35" s="31">
        <f t="shared" si="36"/>
        <v>0</v>
      </c>
      <c r="AE35" s="31">
        <f t="shared" si="37"/>
        <v>0</v>
      </c>
      <c r="AF35" s="31">
        <f t="shared" si="38"/>
        <v>0</v>
      </c>
      <c r="AG35" s="31">
        <f t="shared" si="39"/>
        <v>0</v>
      </c>
      <c r="AH35" s="31">
        <f t="shared" si="40"/>
        <v>0</v>
      </c>
      <c r="AI35" s="12" t="s">
        <v>54</v>
      </c>
      <c r="AJ35" s="31">
        <f t="shared" si="41"/>
        <v>0</v>
      </c>
      <c r="AK35" s="31">
        <f t="shared" si="42"/>
        <v>0</v>
      </c>
      <c r="AL35" s="31">
        <f t="shared" si="43"/>
        <v>0</v>
      </c>
      <c r="AN35" s="31">
        <v>12</v>
      </c>
      <c r="AO35" s="31">
        <f>H35*0</f>
        <v>0</v>
      </c>
      <c r="AP35" s="31">
        <f>H35*(1-0)</f>
        <v>0</v>
      </c>
      <c r="AQ35" s="34" t="s">
        <v>70</v>
      </c>
      <c r="AV35" s="31">
        <f t="shared" si="44"/>
        <v>0</v>
      </c>
      <c r="AW35" s="31">
        <f t="shared" si="45"/>
        <v>0</v>
      </c>
      <c r="AX35" s="31">
        <f t="shared" si="46"/>
        <v>0</v>
      </c>
      <c r="AY35" s="34" t="s">
        <v>91</v>
      </c>
      <c r="AZ35" s="34" t="s">
        <v>92</v>
      </c>
      <c r="BA35" s="12" t="s">
        <v>65</v>
      </c>
      <c r="BC35" s="31">
        <f t="shared" si="47"/>
        <v>0</v>
      </c>
      <c r="BD35" s="31">
        <f t="shared" si="48"/>
        <v>0</v>
      </c>
      <c r="BE35" s="31">
        <v>0</v>
      </c>
      <c r="BF35" s="31">
        <f t="shared" si="49"/>
        <v>0</v>
      </c>
      <c r="BH35" s="31">
        <f t="shared" si="50"/>
        <v>0</v>
      </c>
      <c r="BI35" s="31">
        <f t="shared" si="51"/>
        <v>0</v>
      </c>
      <c r="BJ35" s="31">
        <f t="shared" si="52"/>
        <v>0</v>
      </c>
      <c r="BK35" s="34" t="s">
        <v>66</v>
      </c>
      <c r="BL35" s="31">
        <v>721</v>
      </c>
      <c r="BW35" s="31">
        <f t="shared" si="53"/>
        <v>0</v>
      </c>
      <c r="BX35" s="4" t="s">
        <v>135</v>
      </c>
    </row>
    <row r="36" spans="1:76" x14ac:dyDescent="0.25">
      <c r="A36" s="2" t="s">
        <v>136</v>
      </c>
      <c r="B36" s="3" t="s">
        <v>54</v>
      </c>
      <c r="C36" s="3" t="s">
        <v>137</v>
      </c>
      <c r="D36" s="83" t="s">
        <v>138</v>
      </c>
      <c r="E36" s="84"/>
      <c r="F36" s="3" t="s">
        <v>114</v>
      </c>
      <c r="G36" s="31">
        <v>21</v>
      </c>
      <c r="H36" s="31"/>
      <c r="I36" s="32"/>
      <c r="J36" s="31">
        <f t="shared" si="28"/>
        <v>0</v>
      </c>
      <c r="K36" s="31">
        <f t="shared" si="29"/>
        <v>0</v>
      </c>
      <c r="L36" s="31">
        <f t="shared" si="30"/>
        <v>0</v>
      </c>
      <c r="M36" s="31">
        <f t="shared" si="31"/>
        <v>0</v>
      </c>
      <c r="N36" s="31">
        <v>0</v>
      </c>
      <c r="O36" s="31">
        <f t="shared" si="32"/>
        <v>0</v>
      </c>
      <c r="P36" s="33" t="s">
        <v>69</v>
      </c>
      <c r="Z36" s="31">
        <f t="shared" si="33"/>
        <v>0</v>
      </c>
      <c r="AB36" s="31">
        <f t="shared" si="34"/>
        <v>0</v>
      </c>
      <c r="AC36" s="31">
        <f t="shared" si="35"/>
        <v>0</v>
      </c>
      <c r="AD36" s="31">
        <f t="shared" si="36"/>
        <v>0</v>
      </c>
      <c r="AE36" s="31">
        <f t="shared" si="37"/>
        <v>0</v>
      </c>
      <c r="AF36" s="31">
        <f t="shared" si="38"/>
        <v>0</v>
      </c>
      <c r="AG36" s="31">
        <f t="shared" si="39"/>
        <v>0</v>
      </c>
      <c r="AH36" s="31">
        <f t="shared" si="40"/>
        <v>0</v>
      </c>
      <c r="AI36" s="12" t="s">
        <v>54</v>
      </c>
      <c r="AJ36" s="31">
        <f t="shared" si="41"/>
        <v>0</v>
      </c>
      <c r="AK36" s="31">
        <f t="shared" si="42"/>
        <v>0</v>
      </c>
      <c r="AL36" s="31">
        <f t="shared" si="43"/>
        <v>0</v>
      </c>
      <c r="AN36" s="31">
        <v>12</v>
      </c>
      <c r="AO36" s="31">
        <f>H36*0</f>
        <v>0</v>
      </c>
      <c r="AP36" s="31">
        <f>H36*(1-0)</f>
        <v>0</v>
      </c>
      <c r="AQ36" s="34" t="s">
        <v>70</v>
      </c>
      <c r="AV36" s="31">
        <f t="shared" si="44"/>
        <v>0</v>
      </c>
      <c r="AW36" s="31">
        <f t="shared" si="45"/>
        <v>0</v>
      </c>
      <c r="AX36" s="31">
        <f t="shared" si="46"/>
        <v>0</v>
      </c>
      <c r="AY36" s="34" t="s">
        <v>91</v>
      </c>
      <c r="AZ36" s="34" t="s">
        <v>92</v>
      </c>
      <c r="BA36" s="12" t="s">
        <v>65</v>
      </c>
      <c r="BC36" s="31">
        <f t="shared" si="47"/>
        <v>0</v>
      </c>
      <c r="BD36" s="31">
        <f t="shared" si="48"/>
        <v>0</v>
      </c>
      <c r="BE36" s="31">
        <v>0</v>
      </c>
      <c r="BF36" s="31">
        <f t="shared" si="49"/>
        <v>0</v>
      </c>
      <c r="BH36" s="31">
        <f t="shared" si="50"/>
        <v>0</v>
      </c>
      <c r="BI36" s="31">
        <f t="shared" si="51"/>
        <v>0</v>
      </c>
      <c r="BJ36" s="31">
        <f t="shared" si="52"/>
        <v>0</v>
      </c>
      <c r="BK36" s="34" t="s">
        <v>66</v>
      </c>
      <c r="BL36" s="31">
        <v>721</v>
      </c>
      <c r="BW36" s="31">
        <f t="shared" si="53"/>
        <v>0</v>
      </c>
      <c r="BX36" s="4" t="s">
        <v>138</v>
      </c>
    </row>
    <row r="37" spans="1:76" x14ac:dyDescent="0.25">
      <c r="A37" s="2" t="s">
        <v>139</v>
      </c>
      <c r="B37" s="3" t="s">
        <v>54</v>
      </c>
      <c r="C37" s="3" t="s">
        <v>140</v>
      </c>
      <c r="D37" s="83" t="s">
        <v>141</v>
      </c>
      <c r="E37" s="84"/>
      <c r="F37" s="3" t="s">
        <v>114</v>
      </c>
      <c r="G37" s="31">
        <v>6</v>
      </c>
      <c r="H37" s="31"/>
      <c r="I37" s="32"/>
      <c r="J37" s="31">
        <f t="shared" si="28"/>
        <v>0</v>
      </c>
      <c r="K37" s="31">
        <f t="shared" si="29"/>
        <v>0</v>
      </c>
      <c r="L37" s="31">
        <f t="shared" si="30"/>
        <v>0</v>
      </c>
      <c r="M37" s="31">
        <f t="shared" si="31"/>
        <v>0</v>
      </c>
      <c r="N37" s="31">
        <v>1.2999999999999999E-4</v>
      </c>
      <c r="O37" s="31">
        <f t="shared" si="32"/>
        <v>7.7999999999999988E-4</v>
      </c>
      <c r="P37" s="33" t="s">
        <v>69</v>
      </c>
      <c r="Z37" s="31">
        <f t="shared" si="33"/>
        <v>0</v>
      </c>
      <c r="AB37" s="31">
        <f t="shared" si="34"/>
        <v>0</v>
      </c>
      <c r="AC37" s="31">
        <f t="shared" si="35"/>
        <v>0</v>
      </c>
      <c r="AD37" s="31">
        <f t="shared" si="36"/>
        <v>0</v>
      </c>
      <c r="AE37" s="31">
        <f t="shared" si="37"/>
        <v>0</v>
      </c>
      <c r="AF37" s="31">
        <f t="shared" si="38"/>
        <v>0</v>
      </c>
      <c r="AG37" s="31">
        <f t="shared" si="39"/>
        <v>0</v>
      </c>
      <c r="AH37" s="31">
        <f t="shared" si="40"/>
        <v>0</v>
      </c>
      <c r="AI37" s="12" t="s">
        <v>54</v>
      </c>
      <c r="AJ37" s="31">
        <f t="shared" si="41"/>
        <v>0</v>
      </c>
      <c r="AK37" s="31">
        <f t="shared" si="42"/>
        <v>0</v>
      </c>
      <c r="AL37" s="31">
        <f t="shared" si="43"/>
        <v>0</v>
      </c>
      <c r="AN37" s="31">
        <v>12</v>
      </c>
      <c r="AO37" s="31">
        <f>H37*0.835483251</f>
        <v>0</v>
      </c>
      <c r="AP37" s="31">
        <f>H37*(1-0.835483251)</f>
        <v>0</v>
      </c>
      <c r="AQ37" s="34" t="s">
        <v>70</v>
      </c>
      <c r="AV37" s="31">
        <f t="shared" si="44"/>
        <v>0</v>
      </c>
      <c r="AW37" s="31">
        <f t="shared" si="45"/>
        <v>0</v>
      </c>
      <c r="AX37" s="31">
        <f t="shared" si="46"/>
        <v>0</v>
      </c>
      <c r="AY37" s="34" t="s">
        <v>91</v>
      </c>
      <c r="AZ37" s="34" t="s">
        <v>92</v>
      </c>
      <c r="BA37" s="12" t="s">
        <v>65</v>
      </c>
      <c r="BC37" s="31">
        <f t="shared" si="47"/>
        <v>0</v>
      </c>
      <c r="BD37" s="31">
        <f t="shared" si="48"/>
        <v>0</v>
      </c>
      <c r="BE37" s="31">
        <v>0</v>
      </c>
      <c r="BF37" s="31">
        <f t="shared" si="49"/>
        <v>7.7999999999999988E-4</v>
      </c>
      <c r="BH37" s="31">
        <f t="shared" si="50"/>
        <v>0</v>
      </c>
      <c r="BI37" s="31">
        <f t="shared" si="51"/>
        <v>0</v>
      </c>
      <c r="BJ37" s="31">
        <f t="shared" si="52"/>
        <v>0</v>
      </c>
      <c r="BK37" s="34" t="s">
        <v>66</v>
      </c>
      <c r="BL37" s="31">
        <v>721</v>
      </c>
      <c r="BW37" s="31">
        <f t="shared" si="53"/>
        <v>0</v>
      </c>
      <c r="BX37" s="4" t="s">
        <v>141</v>
      </c>
    </row>
    <row r="38" spans="1:76" ht="13.5" customHeight="1" x14ac:dyDescent="0.25">
      <c r="A38" s="39"/>
      <c r="C38" s="40" t="s">
        <v>142</v>
      </c>
      <c r="D38" s="90" t="s">
        <v>143</v>
      </c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2"/>
    </row>
    <row r="39" spans="1:76" x14ac:dyDescent="0.25">
      <c r="A39" s="2" t="s">
        <v>144</v>
      </c>
      <c r="B39" s="3" t="s">
        <v>54</v>
      </c>
      <c r="C39" s="3" t="s">
        <v>145</v>
      </c>
      <c r="D39" s="83" t="s">
        <v>146</v>
      </c>
      <c r="E39" s="84"/>
      <c r="F39" s="3" t="s">
        <v>114</v>
      </c>
      <c r="G39" s="31">
        <v>5</v>
      </c>
      <c r="H39" s="31"/>
      <c r="I39" s="32"/>
      <c r="J39" s="31">
        <f>ROUND(G39*AO39,2)</f>
        <v>0</v>
      </c>
      <c r="K39" s="31">
        <f>ROUND(G39*AP39,2)</f>
        <v>0</v>
      </c>
      <c r="L39" s="31">
        <f>ROUND(G39*H39,2)</f>
        <v>0</v>
      </c>
      <c r="M39" s="31">
        <f>L39*(1+BW39/100)</f>
        <v>0</v>
      </c>
      <c r="N39" s="31">
        <v>7.5000000000000002E-4</v>
      </c>
      <c r="O39" s="31">
        <f>G39*N39</f>
        <v>3.7499999999999999E-3</v>
      </c>
      <c r="P39" s="33" t="s">
        <v>69</v>
      </c>
      <c r="Z39" s="31">
        <f>ROUND(IF(AQ39="5",BJ39,0),2)</f>
        <v>0</v>
      </c>
      <c r="AB39" s="31">
        <f>ROUND(IF(AQ39="1",BH39,0),2)</f>
        <v>0</v>
      </c>
      <c r="AC39" s="31">
        <f>ROUND(IF(AQ39="1",BI39,0),2)</f>
        <v>0</v>
      </c>
      <c r="AD39" s="31">
        <f>ROUND(IF(AQ39="7",BH39,0),2)</f>
        <v>0</v>
      </c>
      <c r="AE39" s="31">
        <f>ROUND(IF(AQ39="7",BI39,0),2)</f>
        <v>0</v>
      </c>
      <c r="AF39" s="31">
        <f>ROUND(IF(AQ39="2",BH39,0),2)</f>
        <v>0</v>
      </c>
      <c r="AG39" s="31">
        <f>ROUND(IF(AQ39="2",BI39,0),2)</f>
        <v>0</v>
      </c>
      <c r="AH39" s="31">
        <f>ROUND(IF(AQ39="0",BJ39,0),2)</f>
        <v>0</v>
      </c>
      <c r="AI39" s="12" t="s">
        <v>54</v>
      </c>
      <c r="AJ39" s="31">
        <f>IF(AN39=0,L39,0)</f>
        <v>0</v>
      </c>
      <c r="AK39" s="31">
        <f>IF(AN39=12,L39,0)</f>
        <v>0</v>
      </c>
      <c r="AL39" s="31">
        <f>IF(AN39=21,L39,0)</f>
        <v>0</v>
      </c>
      <c r="AN39" s="31">
        <v>12</v>
      </c>
      <c r="AO39" s="31">
        <f>H39*0.931151961</f>
        <v>0</v>
      </c>
      <c r="AP39" s="31">
        <f>H39*(1-0.931151961)</f>
        <v>0</v>
      </c>
      <c r="AQ39" s="34" t="s">
        <v>70</v>
      </c>
      <c r="AV39" s="31">
        <f>ROUND(AW39+AX39,2)</f>
        <v>0</v>
      </c>
      <c r="AW39" s="31">
        <f>ROUND(G39*AO39,2)</f>
        <v>0</v>
      </c>
      <c r="AX39" s="31">
        <f>ROUND(G39*AP39,2)</f>
        <v>0</v>
      </c>
      <c r="AY39" s="34" t="s">
        <v>91</v>
      </c>
      <c r="AZ39" s="34" t="s">
        <v>92</v>
      </c>
      <c r="BA39" s="12" t="s">
        <v>65</v>
      </c>
      <c r="BC39" s="31">
        <f>AW39+AX39</f>
        <v>0</v>
      </c>
      <c r="BD39" s="31">
        <f>H39/(100-BE39)*100</f>
        <v>0</v>
      </c>
      <c r="BE39" s="31">
        <v>0</v>
      </c>
      <c r="BF39" s="31">
        <f>O39</f>
        <v>3.7499999999999999E-3</v>
      </c>
      <c r="BH39" s="31">
        <f>G39*AO39</f>
        <v>0</v>
      </c>
      <c r="BI39" s="31">
        <f>G39*AP39</f>
        <v>0</v>
      </c>
      <c r="BJ39" s="31">
        <f>G39*H39</f>
        <v>0</v>
      </c>
      <c r="BK39" s="34" t="s">
        <v>66</v>
      </c>
      <c r="BL39" s="31">
        <v>721</v>
      </c>
      <c r="BW39" s="31">
        <f>I39</f>
        <v>0</v>
      </c>
      <c r="BX39" s="4" t="s">
        <v>146</v>
      </c>
    </row>
    <row r="40" spans="1:76" ht="13.5" customHeight="1" x14ac:dyDescent="0.25">
      <c r="A40" s="39"/>
      <c r="C40" s="40" t="s">
        <v>142</v>
      </c>
      <c r="D40" s="90" t="s">
        <v>147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</row>
    <row r="41" spans="1:76" x14ac:dyDescent="0.25">
      <c r="A41" s="2" t="s">
        <v>148</v>
      </c>
      <c r="B41" s="3" t="s">
        <v>54</v>
      </c>
      <c r="C41" s="3" t="s">
        <v>149</v>
      </c>
      <c r="D41" s="83" t="s">
        <v>150</v>
      </c>
      <c r="E41" s="84"/>
      <c r="F41" s="3" t="s">
        <v>114</v>
      </c>
      <c r="G41" s="31">
        <v>1</v>
      </c>
      <c r="H41" s="31"/>
      <c r="I41" s="32"/>
      <c r="J41" s="31">
        <f>ROUND(G41*AO41,2)</f>
        <v>0</v>
      </c>
      <c r="K41" s="31">
        <f>ROUND(G41*AP41,2)</f>
        <v>0</v>
      </c>
      <c r="L41" s="31">
        <f>ROUND(G41*H41,2)</f>
        <v>0</v>
      </c>
      <c r="M41" s="31">
        <f>L41*(1+BW41/100)</f>
        <v>0</v>
      </c>
      <c r="N41" s="31">
        <v>7.6630000000000004E-2</v>
      </c>
      <c r="O41" s="31">
        <f>G41*N41</f>
        <v>7.6630000000000004E-2</v>
      </c>
      <c r="P41" s="33" t="s">
        <v>69</v>
      </c>
      <c r="Z41" s="31">
        <f>ROUND(IF(AQ41="5",BJ41,0),2)</f>
        <v>0</v>
      </c>
      <c r="AB41" s="31">
        <f>ROUND(IF(AQ41="1",BH41,0),2)</f>
        <v>0</v>
      </c>
      <c r="AC41" s="31">
        <f>ROUND(IF(AQ41="1",BI41,0),2)</f>
        <v>0</v>
      </c>
      <c r="AD41" s="31">
        <f>ROUND(IF(AQ41="7",BH41,0),2)</f>
        <v>0</v>
      </c>
      <c r="AE41" s="31">
        <f>ROUND(IF(AQ41="7",BI41,0),2)</f>
        <v>0</v>
      </c>
      <c r="AF41" s="31">
        <f>ROUND(IF(AQ41="2",BH41,0),2)</f>
        <v>0</v>
      </c>
      <c r="AG41" s="31">
        <f>ROUND(IF(AQ41="2",BI41,0),2)</f>
        <v>0</v>
      </c>
      <c r="AH41" s="31">
        <f>ROUND(IF(AQ41="0",BJ41,0),2)</f>
        <v>0</v>
      </c>
      <c r="AI41" s="12" t="s">
        <v>54</v>
      </c>
      <c r="AJ41" s="31">
        <f>IF(AN41=0,L41,0)</f>
        <v>0</v>
      </c>
      <c r="AK41" s="31">
        <f>IF(AN41=12,L41,0)</f>
        <v>0</v>
      </c>
      <c r="AL41" s="31">
        <f>IF(AN41=21,L41,0)</f>
        <v>0</v>
      </c>
      <c r="AN41" s="31">
        <v>12</v>
      </c>
      <c r="AO41" s="31">
        <f>H41*0.909155366</f>
        <v>0</v>
      </c>
      <c r="AP41" s="31">
        <f>H41*(1-0.909155366)</f>
        <v>0</v>
      </c>
      <c r="AQ41" s="34" t="s">
        <v>70</v>
      </c>
      <c r="AV41" s="31">
        <f>ROUND(AW41+AX41,2)</f>
        <v>0</v>
      </c>
      <c r="AW41" s="31">
        <f>ROUND(G41*AO41,2)</f>
        <v>0</v>
      </c>
      <c r="AX41" s="31">
        <f>ROUND(G41*AP41,2)</f>
        <v>0</v>
      </c>
      <c r="AY41" s="34" t="s">
        <v>91</v>
      </c>
      <c r="AZ41" s="34" t="s">
        <v>92</v>
      </c>
      <c r="BA41" s="12" t="s">
        <v>65</v>
      </c>
      <c r="BC41" s="31">
        <f>AW41+AX41</f>
        <v>0</v>
      </c>
      <c r="BD41" s="31">
        <f>H41/(100-BE41)*100</f>
        <v>0</v>
      </c>
      <c r="BE41" s="31">
        <v>0</v>
      </c>
      <c r="BF41" s="31">
        <f>O41</f>
        <v>7.6630000000000004E-2</v>
      </c>
      <c r="BH41" s="31">
        <f>G41*AO41</f>
        <v>0</v>
      </c>
      <c r="BI41" s="31">
        <f>G41*AP41</f>
        <v>0</v>
      </c>
      <c r="BJ41" s="31">
        <f>G41*H41</f>
        <v>0</v>
      </c>
      <c r="BK41" s="34" t="s">
        <v>66</v>
      </c>
      <c r="BL41" s="31">
        <v>721</v>
      </c>
      <c r="BW41" s="31">
        <f>I41</f>
        <v>0</v>
      </c>
      <c r="BX41" s="4" t="s">
        <v>150</v>
      </c>
    </row>
    <row r="42" spans="1:76" x14ac:dyDescent="0.25">
      <c r="A42" s="2" t="s">
        <v>151</v>
      </c>
      <c r="B42" s="3" t="s">
        <v>54</v>
      </c>
      <c r="C42" s="3" t="s">
        <v>152</v>
      </c>
      <c r="D42" s="83" t="s">
        <v>153</v>
      </c>
      <c r="E42" s="84"/>
      <c r="F42" s="3" t="s">
        <v>60</v>
      </c>
      <c r="G42" s="31">
        <v>900</v>
      </c>
      <c r="H42" s="31"/>
      <c r="I42" s="32"/>
      <c r="J42" s="31">
        <f>ROUND(G42*AO42,2)</f>
        <v>0</v>
      </c>
      <c r="K42" s="31">
        <f>ROUND(G42*AP42,2)</f>
        <v>0</v>
      </c>
      <c r="L42" s="31">
        <f>ROUND(G42*H42,2)</f>
        <v>0</v>
      </c>
      <c r="M42" s="31">
        <f>L42*(1+BW42/100)</f>
        <v>0</v>
      </c>
      <c r="N42" s="31">
        <v>0</v>
      </c>
      <c r="O42" s="31">
        <f>G42*N42</f>
        <v>0</v>
      </c>
      <c r="P42" s="33" t="s">
        <v>69</v>
      </c>
      <c r="Z42" s="31">
        <f>ROUND(IF(AQ42="5",BJ42,0),2)</f>
        <v>0</v>
      </c>
      <c r="AB42" s="31">
        <f>ROUND(IF(AQ42="1",BH42,0),2)</f>
        <v>0</v>
      </c>
      <c r="AC42" s="31">
        <f>ROUND(IF(AQ42="1",BI42,0),2)</f>
        <v>0</v>
      </c>
      <c r="AD42" s="31">
        <f>ROUND(IF(AQ42="7",BH42,0),2)</f>
        <v>0</v>
      </c>
      <c r="AE42" s="31">
        <f>ROUND(IF(AQ42="7",BI42,0),2)</f>
        <v>0</v>
      </c>
      <c r="AF42" s="31">
        <f>ROUND(IF(AQ42="2",BH42,0),2)</f>
        <v>0</v>
      </c>
      <c r="AG42" s="31">
        <f>ROUND(IF(AQ42="2",BI42,0),2)</f>
        <v>0</v>
      </c>
      <c r="AH42" s="31">
        <f>ROUND(IF(AQ42="0",BJ42,0),2)</f>
        <v>0</v>
      </c>
      <c r="AI42" s="12" t="s">
        <v>54</v>
      </c>
      <c r="AJ42" s="31">
        <f>IF(AN42=0,L42,0)</f>
        <v>0</v>
      </c>
      <c r="AK42" s="31">
        <f>IF(AN42=12,L42,0)</f>
        <v>0</v>
      </c>
      <c r="AL42" s="31">
        <f>IF(AN42=21,L42,0)</f>
        <v>0</v>
      </c>
      <c r="AN42" s="31">
        <v>12</v>
      </c>
      <c r="AO42" s="31">
        <f>H42*0.026021685</f>
        <v>0</v>
      </c>
      <c r="AP42" s="31">
        <f>H42*(1-0.026021685)</f>
        <v>0</v>
      </c>
      <c r="AQ42" s="34" t="s">
        <v>70</v>
      </c>
      <c r="AV42" s="31">
        <f>ROUND(AW42+AX42,2)</f>
        <v>0</v>
      </c>
      <c r="AW42" s="31">
        <f>ROUND(G42*AO42,2)</f>
        <v>0</v>
      </c>
      <c r="AX42" s="31">
        <f>ROUND(G42*AP42,2)</f>
        <v>0</v>
      </c>
      <c r="AY42" s="34" t="s">
        <v>91</v>
      </c>
      <c r="AZ42" s="34" t="s">
        <v>92</v>
      </c>
      <c r="BA42" s="12" t="s">
        <v>65</v>
      </c>
      <c r="BC42" s="31">
        <f>AW42+AX42</f>
        <v>0</v>
      </c>
      <c r="BD42" s="31">
        <f>H42/(100-BE42)*100</f>
        <v>0</v>
      </c>
      <c r="BE42" s="31">
        <v>0</v>
      </c>
      <c r="BF42" s="31">
        <f>O42</f>
        <v>0</v>
      </c>
      <c r="BH42" s="31">
        <f>G42*AO42</f>
        <v>0</v>
      </c>
      <c r="BI42" s="31">
        <f>G42*AP42</f>
        <v>0</v>
      </c>
      <c r="BJ42" s="31">
        <f>G42*H42</f>
        <v>0</v>
      </c>
      <c r="BK42" s="34" t="s">
        <v>66</v>
      </c>
      <c r="BL42" s="31">
        <v>721</v>
      </c>
      <c r="BW42" s="31">
        <f>I42</f>
        <v>0</v>
      </c>
      <c r="BX42" s="4" t="s">
        <v>153</v>
      </c>
    </row>
    <row r="43" spans="1:76" x14ac:dyDescent="0.25">
      <c r="A43" s="2" t="s">
        <v>154</v>
      </c>
      <c r="B43" s="3" t="s">
        <v>54</v>
      </c>
      <c r="C43" s="3" t="s">
        <v>155</v>
      </c>
      <c r="D43" s="83" t="s">
        <v>156</v>
      </c>
      <c r="E43" s="84"/>
      <c r="F43" s="3" t="s">
        <v>157</v>
      </c>
      <c r="G43" s="31">
        <v>14</v>
      </c>
      <c r="H43" s="31"/>
      <c r="I43" s="32"/>
      <c r="J43" s="31">
        <f>ROUND(G43*AO43,2)</f>
        <v>0</v>
      </c>
      <c r="K43" s="31">
        <f>ROUND(G43*AP43,2)</f>
        <v>0</v>
      </c>
      <c r="L43" s="31">
        <f>ROUND(G43*H43,2)</f>
        <v>0</v>
      </c>
      <c r="M43" s="31">
        <f>L43*(1+BW43/100)</f>
        <v>0</v>
      </c>
      <c r="N43" s="31">
        <v>2.4199999999999998E-3</v>
      </c>
      <c r="O43" s="31">
        <f>G43*N43</f>
        <v>3.388E-2</v>
      </c>
      <c r="P43" s="33" t="s">
        <v>61</v>
      </c>
      <c r="Z43" s="31">
        <f>ROUND(IF(AQ43="5",BJ43,0),2)</f>
        <v>0</v>
      </c>
      <c r="AB43" s="31">
        <f>ROUND(IF(AQ43="1",BH43,0),2)</f>
        <v>0</v>
      </c>
      <c r="AC43" s="31">
        <f>ROUND(IF(AQ43="1",BI43,0),2)</f>
        <v>0</v>
      </c>
      <c r="AD43" s="31">
        <f>ROUND(IF(AQ43="7",BH43,0),2)</f>
        <v>0</v>
      </c>
      <c r="AE43" s="31">
        <f>ROUND(IF(AQ43="7",BI43,0),2)</f>
        <v>0</v>
      </c>
      <c r="AF43" s="31">
        <f>ROUND(IF(AQ43="2",BH43,0),2)</f>
        <v>0</v>
      </c>
      <c r="AG43" s="31">
        <f>ROUND(IF(AQ43="2",BI43,0),2)</f>
        <v>0</v>
      </c>
      <c r="AH43" s="31">
        <f>ROUND(IF(AQ43="0",BJ43,0),2)</f>
        <v>0</v>
      </c>
      <c r="AI43" s="12" t="s">
        <v>54</v>
      </c>
      <c r="AJ43" s="31">
        <f>IF(AN43=0,L43,0)</f>
        <v>0</v>
      </c>
      <c r="AK43" s="31">
        <f>IF(AN43=12,L43,0)</f>
        <v>0</v>
      </c>
      <c r="AL43" s="31">
        <f>IF(AN43=21,L43,0)</f>
        <v>0</v>
      </c>
      <c r="AN43" s="31">
        <v>12</v>
      </c>
      <c r="AO43" s="31">
        <f>H43*0.93172311</f>
        <v>0</v>
      </c>
      <c r="AP43" s="31">
        <f>H43*(1-0.93172311)</f>
        <v>0</v>
      </c>
      <c r="AQ43" s="34" t="s">
        <v>70</v>
      </c>
      <c r="AV43" s="31">
        <f>ROUND(AW43+AX43,2)</f>
        <v>0</v>
      </c>
      <c r="AW43" s="31">
        <f>ROUND(G43*AO43,2)</f>
        <v>0</v>
      </c>
      <c r="AX43" s="31">
        <f>ROUND(G43*AP43,2)</f>
        <v>0</v>
      </c>
      <c r="AY43" s="34" t="s">
        <v>91</v>
      </c>
      <c r="AZ43" s="34" t="s">
        <v>92</v>
      </c>
      <c r="BA43" s="12" t="s">
        <v>65</v>
      </c>
      <c r="BC43" s="31">
        <f>AW43+AX43</f>
        <v>0</v>
      </c>
      <c r="BD43" s="31">
        <f>H43/(100-BE43)*100</f>
        <v>0</v>
      </c>
      <c r="BE43" s="31">
        <v>0</v>
      </c>
      <c r="BF43" s="31">
        <f>O43</f>
        <v>3.388E-2</v>
      </c>
      <c r="BH43" s="31">
        <f>G43*AO43</f>
        <v>0</v>
      </c>
      <c r="BI43" s="31">
        <f>G43*AP43</f>
        <v>0</v>
      </c>
      <c r="BJ43" s="31">
        <f>G43*H43</f>
        <v>0</v>
      </c>
      <c r="BK43" s="34" t="s">
        <v>66</v>
      </c>
      <c r="BL43" s="31">
        <v>721</v>
      </c>
      <c r="BW43" s="31">
        <f>I43</f>
        <v>0</v>
      </c>
      <c r="BX43" s="4" t="s">
        <v>156</v>
      </c>
    </row>
    <row r="44" spans="1:76" ht="13.5" customHeight="1" x14ac:dyDescent="0.25">
      <c r="A44" s="39"/>
      <c r="C44" s="40" t="s">
        <v>142</v>
      </c>
      <c r="D44" s="90" t="s">
        <v>158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2"/>
    </row>
    <row r="45" spans="1:76" x14ac:dyDescent="0.25">
      <c r="A45" s="2" t="s">
        <v>159</v>
      </c>
      <c r="B45" s="3" t="s">
        <v>54</v>
      </c>
      <c r="C45" s="3" t="s">
        <v>160</v>
      </c>
      <c r="D45" s="83" t="s">
        <v>161</v>
      </c>
      <c r="E45" s="84"/>
      <c r="F45" s="3" t="s">
        <v>114</v>
      </c>
      <c r="G45" s="31">
        <v>33</v>
      </c>
      <c r="H45" s="31"/>
      <c r="I45" s="32"/>
      <c r="J45" s="31">
        <f>ROUND(G45*AO45,2)</f>
        <v>0</v>
      </c>
      <c r="K45" s="31">
        <f>ROUND(G45*AP45,2)</f>
        <v>0</v>
      </c>
      <c r="L45" s="31">
        <f>ROUND(G45*H45,2)</f>
        <v>0</v>
      </c>
      <c r="M45" s="31">
        <f>L45*(1+BW45/100)</f>
        <v>0</v>
      </c>
      <c r="N45" s="31">
        <v>2.2599999999999999E-3</v>
      </c>
      <c r="O45" s="31">
        <f>G45*N45</f>
        <v>7.4579999999999994E-2</v>
      </c>
      <c r="P45" s="33" t="s">
        <v>69</v>
      </c>
      <c r="Z45" s="31">
        <f>ROUND(IF(AQ45="5",BJ45,0),2)</f>
        <v>0</v>
      </c>
      <c r="AB45" s="31">
        <f>ROUND(IF(AQ45="1",BH45,0),2)</f>
        <v>0</v>
      </c>
      <c r="AC45" s="31">
        <f>ROUND(IF(AQ45="1",BI45,0),2)</f>
        <v>0</v>
      </c>
      <c r="AD45" s="31">
        <f>ROUND(IF(AQ45="7",BH45,0),2)</f>
        <v>0</v>
      </c>
      <c r="AE45" s="31">
        <f>ROUND(IF(AQ45="7",BI45,0),2)</f>
        <v>0</v>
      </c>
      <c r="AF45" s="31">
        <f>ROUND(IF(AQ45="2",BH45,0),2)</f>
        <v>0</v>
      </c>
      <c r="AG45" s="31">
        <f>ROUND(IF(AQ45="2",BI45,0),2)</f>
        <v>0</v>
      </c>
      <c r="AH45" s="31">
        <f>ROUND(IF(AQ45="0",BJ45,0),2)</f>
        <v>0</v>
      </c>
      <c r="AI45" s="12" t="s">
        <v>54</v>
      </c>
      <c r="AJ45" s="31">
        <f>IF(AN45=0,L45,0)</f>
        <v>0</v>
      </c>
      <c r="AK45" s="31">
        <f>IF(AN45=12,L45,0)</f>
        <v>0</v>
      </c>
      <c r="AL45" s="31">
        <f>IF(AN45=21,L45,0)</f>
        <v>0</v>
      </c>
      <c r="AN45" s="31">
        <v>12</v>
      </c>
      <c r="AO45" s="31">
        <f>H45*0.832411198</f>
        <v>0</v>
      </c>
      <c r="AP45" s="31">
        <f>H45*(1-0.832411198)</f>
        <v>0</v>
      </c>
      <c r="AQ45" s="34" t="s">
        <v>70</v>
      </c>
      <c r="AV45" s="31">
        <f>ROUND(AW45+AX45,2)</f>
        <v>0</v>
      </c>
      <c r="AW45" s="31">
        <f>ROUND(G45*AO45,2)</f>
        <v>0</v>
      </c>
      <c r="AX45" s="31">
        <f>ROUND(G45*AP45,2)</f>
        <v>0</v>
      </c>
      <c r="AY45" s="34" t="s">
        <v>91</v>
      </c>
      <c r="AZ45" s="34" t="s">
        <v>92</v>
      </c>
      <c r="BA45" s="12" t="s">
        <v>65</v>
      </c>
      <c r="BC45" s="31">
        <f>AW45+AX45</f>
        <v>0</v>
      </c>
      <c r="BD45" s="31">
        <f>H45/(100-BE45)*100</f>
        <v>0</v>
      </c>
      <c r="BE45" s="31">
        <v>0</v>
      </c>
      <c r="BF45" s="31">
        <f>O45</f>
        <v>7.4579999999999994E-2</v>
      </c>
      <c r="BH45" s="31">
        <f>G45*AO45</f>
        <v>0</v>
      </c>
      <c r="BI45" s="31">
        <f>G45*AP45</f>
        <v>0</v>
      </c>
      <c r="BJ45" s="31">
        <f>G45*H45</f>
        <v>0</v>
      </c>
      <c r="BK45" s="34" t="s">
        <v>66</v>
      </c>
      <c r="BL45" s="31">
        <v>721</v>
      </c>
      <c r="BW45" s="31">
        <f>I45</f>
        <v>0</v>
      </c>
      <c r="BX45" s="4" t="s">
        <v>161</v>
      </c>
    </row>
    <row r="46" spans="1:76" ht="13.5" customHeight="1" x14ac:dyDescent="0.25">
      <c r="A46" s="39"/>
      <c r="C46" s="40" t="s">
        <v>142</v>
      </c>
      <c r="D46" s="90" t="s">
        <v>162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2"/>
    </row>
    <row r="47" spans="1:76" x14ac:dyDescent="0.25">
      <c r="A47" s="2" t="s">
        <v>163</v>
      </c>
      <c r="B47" s="3" t="s">
        <v>54</v>
      </c>
      <c r="C47" s="3" t="s">
        <v>164</v>
      </c>
      <c r="D47" s="83" t="s">
        <v>165</v>
      </c>
      <c r="E47" s="84"/>
      <c r="F47" s="3" t="s">
        <v>114</v>
      </c>
      <c r="G47" s="31">
        <v>33</v>
      </c>
      <c r="H47" s="31"/>
      <c r="I47" s="32"/>
      <c r="J47" s="31">
        <f>ROUND(G47*AO47,2)</f>
        <v>0</v>
      </c>
      <c r="K47" s="31">
        <f>ROUND(G47*AP47,2)</f>
        <v>0</v>
      </c>
      <c r="L47" s="31">
        <f>ROUND(G47*H47,2)</f>
        <v>0</v>
      </c>
      <c r="M47" s="31">
        <f>L47*(1+BW47/100)</f>
        <v>0</v>
      </c>
      <c r="N47" s="31">
        <v>4.0000000000000002E-4</v>
      </c>
      <c r="O47" s="31">
        <f>G47*N47</f>
        <v>1.32E-2</v>
      </c>
      <c r="P47" s="33" t="s">
        <v>69</v>
      </c>
      <c r="Z47" s="31">
        <f>ROUND(IF(AQ47="5",BJ47,0),2)</f>
        <v>0</v>
      </c>
      <c r="AB47" s="31">
        <f>ROUND(IF(AQ47="1",BH47,0),2)</f>
        <v>0</v>
      </c>
      <c r="AC47" s="31">
        <f>ROUND(IF(AQ47="1",BI47,0),2)</f>
        <v>0</v>
      </c>
      <c r="AD47" s="31">
        <f>ROUND(IF(AQ47="7",BH47,0),2)</f>
        <v>0</v>
      </c>
      <c r="AE47" s="31">
        <f>ROUND(IF(AQ47="7",BI47,0),2)</f>
        <v>0</v>
      </c>
      <c r="AF47" s="31">
        <f>ROUND(IF(AQ47="2",BH47,0),2)</f>
        <v>0</v>
      </c>
      <c r="AG47" s="31">
        <f>ROUND(IF(AQ47="2",BI47,0),2)</f>
        <v>0</v>
      </c>
      <c r="AH47" s="31">
        <f>ROUND(IF(AQ47="0",BJ47,0),2)</f>
        <v>0</v>
      </c>
      <c r="AI47" s="12" t="s">
        <v>54</v>
      </c>
      <c r="AJ47" s="31">
        <f>IF(AN47=0,L47,0)</f>
        <v>0</v>
      </c>
      <c r="AK47" s="31">
        <f>IF(AN47=12,L47,0)</f>
        <v>0</v>
      </c>
      <c r="AL47" s="31">
        <f>IF(AN47=21,L47,0)</f>
        <v>0</v>
      </c>
      <c r="AN47" s="31">
        <v>12</v>
      </c>
      <c r="AO47" s="31">
        <f>H47*0.927750995</f>
        <v>0</v>
      </c>
      <c r="AP47" s="31">
        <f>H47*(1-0.927750995)</f>
        <v>0</v>
      </c>
      <c r="AQ47" s="34" t="s">
        <v>70</v>
      </c>
      <c r="AV47" s="31">
        <f>ROUND(AW47+AX47,2)</f>
        <v>0</v>
      </c>
      <c r="AW47" s="31">
        <f>ROUND(G47*AO47,2)</f>
        <v>0</v>
      </c>
      <c r="AX47" s="31">
        <f>ROUND(G47*AP47,2)</f>
        <v>0</v>
      </c>
      <c r="AY47" s="34" t="s">
        <v>91</v>
      </c>
      <c r="AZ47" s="34" t="s">
        <v>92</v>
      </c>
      <c r="BA47" s="12" t="s">
        <v>65</v>
      </c>
      <c r="BC47" s="31">
        <f>AW47+AX47</f>
        <v>0</v>
      </c>
      <c r="BD47" s="31">
        <f>H47/(100-BE47)*100</f>
        <v>0</v>
      </c>
      <c r="BE47" s="31">
        <v>0</v>
      </c>
      <c r="BF47" s="31">
        <f>O47</f>
        <v>1.32E-2</v>
      </c>
      <c r="BH47" s="31">
        <f>G47*AO47</f>
        <v>0</v>
      </c>
      <c r="BI47" s="31">
        <f>G47*AP47</f>
        <v>0</v>
      </c>
      <c r="BJ47" s="31">
        <f>G47*H47</f>
        <v>0</v>
      </c>
      <c r="BK47" s="34" t="s">
        <v>66</v>
      </c>
      <c r="BL47" s="31">
        <v>721</v>
      </c>
      <c r="BW47" s="31">
        <f>I47</f>
        <v>0</v>
      </c>
      <c r="BX47" s="4" t="s">
        <v>165</v>
      </c>
    </row>
    <row r="48" spans="1:76" x14ac:dyDescent="0.25">
      <c r="A48" s="2" t="s">
        <v>166</v>
      </c>
      <c r="B48" s="3" t="s">
        <v>54</v>
      </c>
      <c r="C48" s="3" t="s">
        <v>167</v>
      </c>
      <c r="D48" s="83" t="s">
        <v>168</v>
      </c>
      <c r="E48" s="84"/>
      <c r="F48" s="3" t="s">
        <v>114</v>
      </c>
      <c r="G48" s="31">
        <v>10</v>
      </c>
      <c r="H48" s="31"/>
      <c r="I48" s="32"/>
      <c r="J48" s="31">
        <f>ROUND(G48*AO48,2)</f>
        <v>0</v>
      </c>
      <c r="K48" s="31">
        <f>ROUND(G48*AP48,2)</f>
        <v>0</v>
      </c>
      <c r="L48" s="31">
        <f>ROUND(G48*H48,2)</f>
        <v>0</v>
      </c>
      <c r="M48" s="31">
        <f>L48*(1+BW48/100)</f>
        <v>0</v>
      </c>
      <c r="N48" s="31">
        <v>1.3999999999999999E-4</v>
      </c>
      <c r="O48" s="31">
        <f>G48*N48</f>
        <v>1.3999999999999998E-3</v>
      </c>
      <c r="P48" s="33" t="s">
        <v>169</v>
      </c>
      <c r="Z48" s="31">
        <f>ROUND(IF(AQ48="5",BJ48,0),2)</f>
        <v>0</v>
      </c>
      <c r="AB48" s="31">
        <f>ROUND(IF(AQ48="1",BH48,0),2)</f>
        <v>0</v>
      </c>
      <c r="AC48" s="31">
        <f>ROUND(IF(AQ48="1",BI48,0),2)</f>
        <v>0</v>
      </c>
      <c r="AD48" s="31">
        <f>ROUND(IF(AQ48="7",BH48,0),2)</f>
        <v>0</v>
      </c>
      <c r="AE48" s="31">
        <f>ROUND(IF(AQ48="7",BI48,0),2)</f>
        <v>0</v>
      </c>
      <c r="AF48" s="31">
        <f>ROUND(IF(AQ48="2",BH48,0),2)</f>
        <v>0</v>
      </c>
      <c r="AG48" s="31">
        <f>ROUND(IF(AQ48="2",BI48,0),2)</f>
        <v>0</v>
      </c>
      <c r="AH48" s="31">
        <f>ROUND(IF(AQ48="0",BJ48,0),2)</f>
        <v>0</v>
      </c>
      <c r="AI48" s="12" t="s">
        <v>54</v>
      </c>
      <c r="AJ48" s="31">
        <f>IF(AN48=0,L48,0)</f>
        <v>0</v>
      </c>
      <c r="AK48" s="31">
        <f>IF(AN48=12,L48,0)</f>
        <v>0</v>
      </c>
      <c r="AL48" s="31">
        <f>IF(AN48=21,L48,0)</f>
        <v>0</v>
      </c>
      <c r="AN48" s="31">
        <v>12</v>
      </c>
      <c r="AO48" s="31">
        <f>H48*0.897186038</f>
        <v>0</v>
      </c>
      <c r="AP48" s="31">
        <f>H48*(1-0.897186038)</f>
        <v>0</v>
      </c>
      <c r="AQ48" s="34" t="s">
        <v>70</v>
      </c>
      <c r="AV48" s="31">
        <f>ROUND(AW48+AX48,2)</f>
        <v>0</v>
      </c>
      <c r="AW48" s="31">
        <f>ROUND(G48*AO48,2)</f>
        <v>0</v>
      </c>
      <c r="AX48" s="31">
        <f>ROUND(G48*AP48,2)</f>
        <v>0</v>
      </c>
      <c r="AY48" s="34" t="s">
        <v>91</v>
      </c>
      <c r="AZ48" s="34" t="s">
        <v>92</v>
      </c>
      <c r="BA48" s="12" t="s">
        <v>65</v>
      </c>
      <c r="BC48" s="31">
        <f>AW48+AX48</f>
        <v>0</v>
      </c>
      <c r="BD48" s="31">
        <f>H48/(100-BE48)*100</f>
        <v>0</v>
      </c>
      <c r="BE48" s="31">
        <v>0</v>
      </c>
      <c r="BF48" s="31">
        <f>O48</f>
        <v>1.3999999999999998E-3</v>
      </c>
      <c r="BH48" s="31">
        <f>G48*AO48</f>
        <v>0</v>
      </c>
      <c r="BI48" s="31">
        <f>G48*AP48</f>
        <v>0</v>
      </c>
      <c r="BJ48" s="31">
        <f>G48*H48</f>
        <v>0</v>
      </c>
      <c r="BK48" s="34" t="s">
        <v>66</v>
      </c>
      <c r="BL48" s="31">
        <v>721</v>
      </c>
      <c r="BW48" s="31">
        <f>I48</f>
        <v>0</v>
      </c>
      <c r="BX48" s="4" t="s">
        <v>168</v>
      </c>
    </row>
    <row r="49" spans="1:76" x14ac:dyDescent="0.25">
      <c r="A49" s="2" t="s">
        <v>170</v>
      </c>
      <c r="B49" s="3" t="s">
        <v>54</v>
      </c>
      <c r="C49" s="3" t="s">
        <v>171</v>
      </c>
      <c r="D49" s="83" t="s">
        <v>172</v>
      </c>
      <c r="E49" s="84"/>
      <c r="F49" s="3" t="s">
        <v>114</v>
      </c>
      <c r="G49" s="31">
        <v>15</v>
      </c>
      <c r="H49" s="31"/>
      <c r="I49" s="32"/>
      <c r="J49" s="31">
        <f>ROUND(G49*AO49,2)</f>
        <v>0</v>
      </c>
      <c r="K49" s="31">
        <f>ROUND(G49*AP49,2)</f>
        <v>0</v>
      </c>
      <c r="L49" s="31">
        <f>ROUND(G49*H49,2)</f>
        <v>0</v>
      </c>
      <c r="M49" s="31">
        <f>L49*(1+BW49/100)</f>
        <v>0</v>
      </c>
      <c r="N49" s="31">
        <v>5.0000000000000001E-4</v>
      </c>
      <c r="O49" s="31">
        <f>G49*N49</f>
        <v>7.4999999999999997E-3</v>
      </c>
      <c r="P49" s="33" t="s">
        <v>54</v>
      </c>
      <c r="Z49" s="31">
        <f>ROUND(IF(AQ49="5",BJ49,0),2)</f>
        <v>0</v>
      </c>
      <c r="AB49" s="31">
        <f>ROUND(IF(AQ49="1",BH49,0),2)</f>
        <v>0</v>
      </c>
      <c r="AC49" s="31">
        <f>ROUND(IF(AQ49="1",BI49,0),2)</f>
        <v>0</v>
      </c>
      <c r="AD49" s="31">
        <f>ROUND(IF(AQ49="7",BH49,0),2)</f>
        <v>0</v>
      </c>
      <c r="AE49" s="31">
        <f>ROUND(IF(AQ49="7",BI49,0),2)</f>
        <v>0</v>
      </c>
      <c r="AF49" s="31">
        <f>ROUND(IF(AQ49="2",BH49,0),2)</f>
        <v>0</v>
      </c>
      <c r="AG49" s="31">
        <f>ROUND(IF(AQ49="2",BI49,0),2)</f>
        <v>0</v>
      </c>
      <c r="AH49" s="31">
        <f>ROUND(IF(AQ49="0",BJ49,0),2)</f>
        <v>0</v>
      </c>
      <c r="AI49" s="12" t="s">
        <v>54</v>
      </c>
      <c r="AJ49" s="31">
        <f>IF(AN49=0,L49,0)</f>
        <v>0</v>
      </c>
      <c r="AK49" s="31">
        <f>IF(AN49=12,L49,0)</f>
        <v>0</v>
      </c>
      <c r="AL49" s="31">
        <f>IF(AN49=21,L49,0)</f>
        <v>0</v>
      </c>
      <c r="AN49" s="31">
        <v>12</v>
      </c>
      <c r="AO49" s="31">
        <f>H49*0.670769231</f>
        <v>0</v>
      </c>
      <c r="AP49" s="31">
        <f>H49*(1-0.670769231)</f>
        <v>0</v>
      </c>
      <c r="AQ49" s="34" t="s">
        <v>70</v>
      </c>
      <c r="AV49" s="31">
        <f>ROUND(AW49+AX49,2)</f>
        <v>0</v>
      </c>
      <c r="AW49" s="31">
        <f>ROUND(G49*AO49,2)</f>
        <v>0</v>
      </c>
      <c r="AX49" s="31">
        <f>ROUND(G49*AP49,2)</f>
        <v>0</v>
      </c>
      <c r="AY49" s="34" t="s">
        <v>91</v>
      </c>
      <c r="AZ49" s="34" t="s">
        <v>92</v>
      </c>
      <c r="BA49" s="12" t="s">
        <v>65</v>
      </c>
      <c r="BC49" s="31">
        <f>AW49+AX49</f>
        <v>0</v>
      </c>
      <c r="BD49" s="31">
        <f>H49/(100-BE49)*100</f>
        <v>0</v>
      </c>
      <c r="BE49" s="31">
        <v>0</v>
      </c>
      <c r="BF49" s="31">
        <f>O49</f>
        <v>7.4999999999999997E-3</v>
      </c>
      <c r="BH49" s="31">
        <f>G49*AO49</f>
        <v>0</v>
      </c>
      <c r="BI49" s="31">
        <f>G49*AP49</f>
        <v>0</v>
      </c>
      <c r="BJ49" s="31">
        <f>G49*H49</f>
        <v>0</v>
      </c>
      <c r="BK49" s="34" t="s">
        <v>66</v>
      </c>
      <c r="BL49" s="31">
        <v>721</v>
      </c>
      <c r="BW49" s="31">
        <f>I49</f>
        <v>0</v>
      </c>
      <c r="BX49" s="4" t="s">
        <v>172</v>
      </c>
    </row>
    <row r="50" spans="1:76" x14ac:dyDescent="0.25">
      <c r="A50" s="2" t="s">
        <v>173</v>
      </c>
      <c r="B50" s="3" t="s">
        <v>54</v>
      </c>
      <c r="C50" s="3" t="s">
        <v>174</v>
      </c>
      <c r="D50" s="83" t="s">
        <v>175</v>
      </c>
      <c r="E50" s="84"/>
      <c r="F50" s="3" t="s">
        <v>114</v>
      </c>
      <c r="G50" s="31">
        <v>15</v>
      </c>
      <c r="H50" s="31"/>
      <c r="I50" s="32"/>
      <c r="J50" s="31">
        <f>ROUND(G50*AO50,2)</f>
        <v>0</v>
      </c>
      <c r="K50" s="31">
        <f>ROUND(G50*AP50,2)</f>
        <v>0</v>
      </c>
      <c r="L50" s="31">
        <f>ROUND(G50*H50,2)</f>
        <v>0</v>
      </c>
      <c r="M50" s="31">
        <f>L50*(1+BW50/100)</f>
        <v>0</v>
      </c>
      <c r="N50" s="31">
        <v>5.0000000000000001E-4</v>
      </c>
      <c r="O50" s="31">
        <f>G50*N50</f>
        <v>7.4999999999999997E-3</v>
      </c>
      <c r="P50" s="33" t="s">
        <v>54</v>
      </c>
      <c r="Z50" s="31">
        <f>ROUND(IF(AQ50="5",BJ50,0),2)</f>
        <v>0</v>
      </c>
      <c r="AB50" s="31">
        <f>ROUND(IF(AQ50="1",BH50,0),2)</f>
        <v>0</v>
      </c>
      <c r="AC50" s="31">
        <f>ROUND(IF(AQ50="1",BI50,0),2)</f>
        <v>0</v>
      </c>
      <c r="AD50" s="31">
        <f>ROUND(IF(AQ50="7",BH50,0),2)</f>
        <v>0</v>
      </c>
      <c r="AE50" s="31">
        <f>ROUND(IF(AQ50="7",BI50,0),2)</f>
        <v>0</v>
      </c>
      <c r="AF50" s="31">
        <f>ROUND(IF(AQ50="2",BH50,0),2)</f>
        <v>0</v>
      </c>
      <c r="AG50" s="31">
        <f>ROUND(IF(AQ50="2",BI50,0),2)</f>
        <v>0</v>
      </c>
      <c r="AH50" s="31">
        <f>ROUND(IF(AQ50="0",BJ50,0),2)</f>
        <v>0</v>
      </c>
      <c r="AI50" s="12" t="s">
        <v>54</v>
      </c>
      <c r="AJ50" s="31">
        <f>IF(AN50=0,L50,0)</f>
        <v>0</v>
      </c>
      <c r="AK50" s="31">
        <f>IF(AN50=12,L50,0)</f>
        <v>0</v>
      </c>
      <c r="AL50" s="31">
        <f>IF(AN50=21,L50,0)</f>
        <v>0</v>
      </c>
      <c r="AN50" s="31">
        <v>12</v>
      </c>
      <c r="AO50" s="31">
        <f>H50*0.858278146</f>
        <v>0</v>
      </c>
      <c r="AP50" s="31">
        <f>H50*(1-0.858278146)</f>
        <v>0</v>
      </c>
      <c r="AQ50" s="34" t="s">
        <v>70</v>
      </c>
      <c r="AV50" s="31">
        <f>ROUND(AW50+AX50,2)</f>
        <v>0</v>
      </c>
      <c r="AW50" s="31">
        <f>ROUND(G50*AO50,2)</f>
        <v>0</v>
      </c>
      <c r="AX50" s="31">
        <f>ROUND(G50*AP50,2)</f>
        <v>0</v>
      </c>
      <c r="AY50" s="34" t="s">
        <v>91</v>
      </c>
      <c r="AZ50" s="34" t="s">
        <v>92</v>
      </c>
      <c r="BA50" s="12" t="s">
        <v>65</v>
      </c>
      <c r="BC50" s="31">
        <f>AW50+AX50</f>
        <v>0</v>
      </c>
      <c r="BD50" s="31">
        <f>H50/(100-BE50)*100</f>
        <v>0</v>
      </c>
      <c r="BE50" s="31">
        <v>0</v>
      </c>
      <c r="BF50" s="31">
        <f>O50</f>
        <v>7.4999999999999997E-3</v>
      </c>
      <c r="BH50" s="31">
        <f>G50*AO50</f>
        <v>0</v>
      </c>
      <c r="BI50" s="31">
        <f>G50*AP50</f>
        <v>0</v>
      </c>
      <c r="BJ50" s="31">
        <f>G50*H50</f>
        <v>0</v>
      </c>
      <c r="BK50" s="34" t="s">
        <v>66</v>
      </c>
      <c r="BL50" s="31">
        <v>721</v>
      </c>
      <c r="BW50" s="31">
        <f>I50</f>
        <v>0</v>
      </c>
      <c r="BX50" s="4" t="s">
        <v>175</v>
      </c>
    </row>
    <row r="51" spans="1:76" x14ac:dyDescent="0.25">
      <c r="A51" s="2" t="s">
        <v>176</v>
      </c>
      <c r="B51" s="3" t="s">
        <v>54</v>
      </c>
      <c r="C51" s="3" t="s">
        <v>177</v>
      </c>
      <c r="D51" s="83" t="s">
        <v>178</v>
      </c>
      <c r="E51" s="84"/>
      <c r="F51" s="3" t="s">
        <v>179</v>
      </c>
      <c r="G51" s="31">
        <v>4.1444000000000001</v>
      </c>
      <c r="H51" s="31"/>
      <c r="I51" s="32"/>
      <c r="J51" s="31">
        <f>ROUND(G51*AO51,2)</f>
        <v>0</v>
      </c>
      <c r="K51" s="31">
        <f>ROUND(G51*AP51,2)</f>
        <v>0</v>
      </c>
      <c r="L51" s="31">
        <f>ROUND(G51*H51,2)</f>
        <v>0</v>
      </c>
      <c r="M51" s="31">
        <f>L51*(1+BW51/100)</f>
        <v>0</v>
      </c>
      <c r="N51" s="31">
        <v>0</v>
      </c>
      <c r="O51" s="31">
        <f>G51*N51</f>
        <v>0</v>
      </c>
      <c r="P51" s="33" t="s">
        <v>69</v>
      </c>
      <c r="Z51" s="31">
        <f>ROUND(IF(AQ51="5",BJ51,0),2)</f>
        <v>0</v>
      </c>
      <c r="AB51" s="31">
        <f>ROUND(IF(AQ51="1",BH51,0),2)</f>
        <v>0</v>
      </c>
      <c r="AC51" s="31">
        <f>ROUND(IF(AQ51="1",BI51,0),2)</f>
        <v>0</v>
      </c>
      <c r="AD51" s="31">
        <f>ROUND(IF(AQ51="7",BH51,0),2)</f>
        <v>0</v>
      </c>
      <c r="AE51" s="31">
        <f>ROUND(IF(AQ51="7",BI51,0),2)</f>
        <v>0</v>
      </c>
      <c r="AF51" s="31">
        <f>ROUND(IF(AQ51="2",BH51,0),2)</f>
        <v>0</v>
      </c>
      <c r="AG51" s="31">
        <f>ROUND(IF(AQ51="2",BI51,0),2)</f>
        <v>0</v>
      </c>
      <c r="AH51" s="31">
        <f>ROUND(IF(AQ51="0",BJ51,0),2)</f>
        <v>0</v>
      </c>
      <c r="AI51" s="12" t="s">
        <v>54</v>
      </c>
      <c r="AJ51" s="31">
        <f>IF(AN51=0,L51,0)</f>
        <v>0</v>
      </c>
      <c r="AK51" s="31">
        <f>IF(AN51=12,L51,0)</f>
        <v>0</v>
      </c>
      <c r="AL51" s="31">
        <f>IF(AN51=21,L51,0)</f>
        <v>0</v>
      </c>
      <c r="AN51" s="31">
        <v>12</v>
      </c>
      <c r="AO51" s="31">
        <f>H51*0</f>
        <v>0</v>
      </c>
      <c r="AP51" s="31">
        <f>H51*(1-0)</f>
        <v>0</v>
      </c>
      <c r="AQ51" s="34" t="s">
        <v>70</v>
      </c>
      <c r="AV51" s="31">
        <f>ROUND(AW51+AX51,2)</f>
        <v>0</v>
      </c>
      <c r="AW51" s="31">
        <f>ROUND(G51*AO51,2)</f>
        <v>0</v>
      </c>
      <c r="AX51" s="31">
        <f>ROUND(G51*AP51,2)</f>
        <v>0</v>
      </c>
      <c r="AY51" s="34" t="s">
        <v>91</v>
      </c>
      <c r="AZ51" s="34" t="s">
        <v>92</v>
      </c>
      <c r="BA51" s="12" t="s">
        <v>65</v>
      </c>
      <c r="BC51" s="31">
        <f>AW51+AX51</f>
        <v>0</v>
      </c>
      <c r="BD51" s="31">
        <f>H51/(100-BE51)*100</f>
        <v>0</v>
      </c>
      <c r="BE51" s="31">
        <v>0</v>
      </c>
      <c r="BF51" s="31">
        <f>O51</f>
        <v>0</v>
      </c>
      <c r="BH51" s="31">
        <f>G51*AO51</f>
        <v>0</v>
      </c>
      <c r="BI51" s="31">
        <f>G51*AP51</f>
        <v>0</v>
      </c>
      <c r="BJ51" s="31">
        <f>G51*H51</f>
        <v>0</v>
      </c>
      <c r="BK51" s="34" t="s">
        <v>66</v>
      </c>
      <c r="BL51" s="31">
        <v>721</v>
      </c>
      <c r="BW51" s="31">
        <f>I51</f>
        <v>0</v>
      </c>
      <c r="BX51" s="4" t="s">
        <v>178</v>
      </c>
    </row>
    <row r="52" spans="1:76" x14ac:dyDescent="0.25">
      <c r="A52" s="35" t="s">
        <v>54</v>
      </c>
      <c r="B52" s="36" t="s">
        <v>54</v>
      </c>
      <c r="C52" s="36" t="s">
        <v>180</v>
      </c>
      <c r="D52" s="85" t="s">
        <v>181</v>
      </c>
      <c r="E52" s="86"/>
      <c r="F52" s="37" t="s">
        <v>4</v>
      </c>
      <c r="G52" s="37" t="s">
        <v>4</v>
      </c>
      <c r="H52" s="37"/>
      <c r="I52" s="37"/>
      <c r="J52" s="1">
        <f>SUM(J53:J113)</f>
        <v>0</v>
      </c>
      <c r="K52" s="1">
        <f>SUM(K53:K113)</f>
        <v>0</v>
      </c>
      <c r="L52" s="1">
        <f>SUM(L53:L113)</f>
        <v>0</v>
      </c>
      <c r="M52" s="1">
        <f>SUM(M53:M113)</f>
        <v>0</v>
      </c>
      <c r="N52" s="12" t="s">
        <v>54</v>
      </c>
      <c r="O52" s="1">
        <f>SUM(O53:O113)</f>
        <v>1.6615799999999998</v>
      </c>
      <c r="P52" s="38" t="s">
        <v>54</v>
      </c>
      <c r="AI52" s="12" t="s">
        <v>54</v>
      </c>
      <c r="AS52" s="1">
        <f>SUM(AJ53:AJ113)</f>
        <v>0</v>
      </c>
      <c r="AT52" s="1">
        <f>SUM(AK53:AK113)</f>
        <v>0</v>
      </c>
      <c r="AU52" s="1">
        <f>SUM(AL53:AL113)</f>
        <v>0</v>
      </c>
    </row>
    <row r="53" spans="1:76" x14ac:dyDescent="0.25">
      <c r="A53" s="2" t="s">
        <v>182</v>
      </c>
      <c r="B53" s="3" t="s">
        <v>54</v>
      </c>
      <c r="C53" s="3" t="s">
        <v>183</v>
      </c>
      <c r="D53" s="83" t="s">
        <v>184</v>
      </c>
      <c r="E53" s="84"/>
      <c r="F53" s="3" t="s">
        <v>60</v>
      </c>
      <c r="G53" s="31">
        <v>3</v>
      </c>
      <c r="H53" s="31"/>
      <c r="I53" s="32"/>
      <c r="J53" s="31">
        <f t="shared" ref="J53:J73" si="54">ROUND(G53*AO53,2)</f>
        <v>0</v>
      </c>
      <c r="K53" s="31">
        <f t="shared" ref="K53:K73" si="55">ROUND(G53*AP53,2)</f>
        <v>0</v>
      </c>
      <c r="L53" s="31">
        <f t="shared" ref="L53:L73" si="56">ROUND(G53*H53,2)</f>
        <v>0</v>
      </c>
      <c r="M53" s="31">
        <f t="shared" ref="M53:M73" si="57">L53*(1+BW53/100)</f>
        <v>0</v>
      </c>
      <c r="N53" s="31">
        <v>1.5E-3</v>
      </c>
      <c r="O53" s="31">
        <f t="shared" ref="O53:O73" si="58">G53*N53</f>
        <v>4.5000000000000005E-3</v>
      </c>
      <c r="P53" s="33" t="s">
        <v>69</v>
      </c>
      <c r="Z53" s="31">
        <f t="shared" ref="Z53:Z73" si="59">ROUND(IF(AQ53="5",BJ53,0),2)</f>
        <v>0</v>
      </c>
      <c r="AB53" s="31">
        <f t="shared" ref="AB53:AB73" si="60">ROUND(IF(AQ53="1",BH53,0),2)</f>
        <v>0</v>
      </c>
      <c r="AC53" s="31">
        <f t="shared" ref="AC53:AC73" si="61">ROUND(IF(AQ53="1",BI53,0),2)</f>
        <v>0</v>
      </c>
      <c r="AD53" s="31">
        <f t="shared" ref="AD53:AD73" si="62">ROUND(IF(AQ53="7",BH53,0),2)</f>
        <v>0</v>
      </c>
      <c r="AE53" s="31">
        <f t="shared" ref="AE53:AE73" si="63">ROUND(IF(AQ53="7",BI53,0),2)</f>
        <v>0</v>
      </c>
      <c r="AF53" s="31">
        <f t="shared" ref="AF53:AF73" si="64">ROUND(IF(AQ53="2",BH53,0),2)</f>
        <v>0</v>
      </c>
      <c r="AG53" s="31">
        <f t="shared" ref="AG53:AG73" si="65">ROUND(IF(AQ53="2",BI53,0),2)</f>
        <v>0</v>
      </c>
      <c r="AH53" s="31">
        <f t="shared" ref="AH53:AH73" si="66">ROUND(IF(AQ53="0",BJ53,0),2)</f>
        <v>0</v>
      </c>
      <c r="AI53" s="12" t="s">
        <v>54</v>
      </c>
      <c r="AJ53" s="31">
        <f t="shared" ref="AJ53:AJ73" si="67">IF(AN53=0,L53,0)</f>
        <v>0</v>
      </c>
      <c r="AK53" s="31">
        <f t="shared" ref="AK53:AK73" si="68">IF(AN53=12,L53,0)</f>
        <v>0</v>
      </c>
      <c r="AL53" s="31">
        <f t="shared" ref="AL53:AL73" si="69">IF(AN53=21,L53,0)</f>
        <v>0</v>
      </c>
      <c r="AN53" s="31">
        <v>12</v>
      </c>
      <c r="AO53" s="31">
        <f>H53*0.483927711</f>
        <v>0</v>
      </c>
      <c r="AP53" s="31">
        <f>H53*(1-0.483927711)</f>
        <v>0</v>
      </c>
      <c r="AQ53" s="34" t="s">
        <v>70</v>
      </c>
      <c r="AV53" s="31">
        <f t="shared" ref="AV53:AV73" si="70">ROUND(AW53+AX53,2)</f>
        <v>0</v>
      </c>
      <c r="AW53" s="31">
        <f t="shared" ref="AW53:AW73" si="71">ROUND(G53*AO53,2)</f>
        <v>0</v>
      </c>
      <c r="AX53" s="31">
        <f t="shared" ref="AX53:AX73" si="72">ROUND(G53*AP53,2)</f>
        <v>0</v>
      </c>
      <c r="AY53" s="34" t="s">
        <v>185</v>
      </c>
      <c r="AZ53" s="34" t="s">
        <v>92</v>
      </c>
      <c r="BA53" s="12" t="s">
        <v>65</v>
      </c>
      <c r="BC53" s="31">
        <f t="shared" ref="BC53:BC73" si="73">AW53+AX53</f>
        <v>0</v>
      </c>
      <c r="BD53" s="31">
        <f t="shared" ref="BD53:BD73" si="74">H53/(100-BE53)*100</f>
        <v>0</v>
      </c>
      <c r="BE53" s="31">
        <v>0</v>
      </c>
      <c r="BF53" s="31">
        <f t="shared" ref="BF53:BF73" si="75">O53</f>
        <v>4.5000000000000005E-3</v>
      </c>
      <c r="BH53" s="31">
        <f t="shared" ref="BH53:BH73" si="76">G53*AO53</f>
        <v>0</v>
      </c>
      <c r="BI53" s="31">
        <f t="shared" ref="BI53:BI73" si="77">G53*AP53</f>
        <v>0</v>
      </c>
      <c r="BJ53" s="31">
        <f t="shared" ref="BJ53:BJ73" si="78">G53*H53</f>
        <v>0</v>
      </c>
      <c r="BK53" s="34" t="s">
        <v>66</v>
      </c>
      <c r="BL53" s="31">
        <v>722</v>
      </c>
      <c r="BW53" s="31">
        <f t="shared" ref="BW53:BW73" si="79">I53</f>
        <v>0</v>
      </c>
      <c r="BX53" s="4" t="s">
        <v>184</v>
      </c>
    </row>
    <row r="54" spans="1:76" x14ac:dyDescent="0.25">
      <c r="A54" s="2" t="s">
        <v>186</v>
      </c>
      <c r="B54" s="3" t="s">
        <v>54</v>
      </c>
      <c r="C54" s="3" t="s">
        <v>187</v>
      </c>
      <c r="D54" s="83" t="s">
        <v>188</v>
      </c>
      <c r="E54" s="84"/>
      <c r="F54" s="3" t="s">
        <v>60</v>
      </c>
      <c r="G54" s="31">
        <v>300</v>
      </c>
      <c r="H54" s="31"/>
      <c r="I54" s="32"/>
      <c r="J54" s="31">
        <f t="shared" si="54"/>
        <v>0</v>
      </c>
      <c r="K54" s="31">
        <f t="shared" si="55"/>
        <v>0</v>
      </c>
      <c r="L54" s="31">
        <f t="shared" si="56"/>
        <v>0</v>
      </c>
      <c r="M54" s="31">
        <f t="shared" si="57"/>
        <v>0</v>
      </c>
      <c r="N54" s="31">
        <v>4.6000000000000001E-4</v>
      </c>
      <c r="O54" s="31">
        <f t="shared" si="58"/>
        <v>0.13800000000000001</v>
      </c>
      <c r="P54" s="33" t="s">
        <v>69</v>
      </c>
      <c r="Z54" s="31">
        <f t="shared" si="59"/>
        <v>0</v>
      </c>
      <c r="AB54" s="31">
        <f t="shared" si="60"/>
        <v>0</v>
      </c>
      <c r="AC54" s="31">
        <f t="shared" si="61"/>
        <v>0</v>
      </c>
      <c r="AD54" s="31">
        <f t="shared" si="62"/>
        <v>0</v>
      </c>
      <c r="AE54" s="31">
        <f t="shared" si="63"/>
        <v>0</v>
      </c>
      <c r="AF54" s="31">
        <f t="shared" si="64"/>
        <v>0</v>
      </c>
      <c r="AG54" s="31">
        <f t="shared" si="65"/>
        <v>0</v>
      </c>
      <c r="AH54" s="31">
        <f t="shared" si="66"/>
        <v>0</v>
      </c>
      <c r="AI54" s="12" t="s">
        <v>54</v>
      </c>
      <c r="AJ54" s="31">
        <f t="shared" si="67"/>
        <v>0</v>
      </c>
      <c r="AK54" s="31">
        <f t="shared" si="68"/>
        <v>0</v>
      </c>
      <c r="AL54" s="31">
        <f t="shared" si="69"/>
        <v>0</v>
      </c>
      <c r="AN54" s="31">
        <v>12</v>
      </c>
      <c r="AO54" s="31">
        <f>H54*0.226015393</f>
        <v>0</v>
      </c>
      <c r="AP54" s="31">
        <f>H54*(1-0.226015393)</f>
        <v>0</v>
      </c>
      <c r="AQ54" s="34" t="s">
        <v>70</v>
      </c>
      <c r="AV54" s="31">
        <f t="shared" si="70"/>
        <v>0</v>
      </c>
      <c r="AW54" s="31">
        <f t="shared" si="71"/>
        <v>0</v>
      </c>
      <c r="AX54" s="31">
        <f t="shared" si="72"/>
        <v>0</v>
      </c>
      <c r="AY54" s="34" t="s">
        <v>185</v>
      </c>
      <c r="AZ54" s="34" t="s">
        <v>92</v>
      </c>
      <c r="BA54" s="12" t="s">
        <v>65</v>
      </c>
      <c r="BC54" s="31">
        <f t="shared" si="73"/>
        <v>0</v>
      </c>
      <c r="BD54" s="31">
        <f t="shared" si="74"/>
        <v>0</v>
      </c>
      <c r="BE54" s="31">
        <v>0</v>
      </c>
      <c r="BF54" s="31">
        <f t="shared" si="75"/>
        <v>0.13800000000000001</v>
      </c>
      <c r="BH54" s="31">
        <f t="shared" si="76"/>
        <v>0</v>
      </c>
      <c r="BI54" s="31">
        <f t="shared" si="77"/>
        <v>0</v>
      </c>
      <c r="BJ54" s="31">
        <f t="shared" si="78"/>
        <v>0</v>
      </c>
      <c r="BK54" s="34" t="s">
        <v>66</v>
      </c>
      <c r="BL54" s="31">
        <v>722</v>
      </c>
      <c r="BW54" s="31">
        <f t="shared" si="79"/>
        <v>0</v>
      </c>
      <c r="BX54" s="4" t="s">
        <v>188</v>
      </c>
    </row>
    <row r="55" spans="1:76" x14ac:dyDescent="0.25">
      <c r="A55" s="2" t="s">
        <v>189</v>
      </c>
      <c r="B55" s="3" t="s">
        <v>54</v>
      </c>
      <c r="C55" s="3" t="s">
        <v>190</v>
      </c>
      <c r="D55" s="83" t="s">
        <v>191</v>
      </c>
      <c r="E55" s="84"/>
      <c r="F55" s="3" t="s">
        <v>60</v>
      </c>
      <c r="G55" s="31">
        <v>130</v>
      </c>
      <c r="H55" s="31"/>
      <c r="I55" s="32"/>
      <c r="J55" s="31">
        <f t="shared" si="54"/>
        <v>0</v>
      </c>
      <c r="K55" s="31">
        <f t="shared" si="55"/>
        <v>0</v>
      </c>
      <c r="L55" s="31">
        <f t="shared" si="56"/>
        <v>0</v>
      </c>
      <c r="M55" s="31">
        <f t="shared" si="57"/>
        <v>0</v>
      </c>
      <c r="N55" s="31">
        <v>5.8E-4</v>
      </c>
      <c r="O55" s="31">
        <f t="shared" si="58"/>
        <v>7.5399999999999995E-2</v>
      </c>
      <c r="P55" s="33" t="s">
        <v>69</v>
      </c>
      <c r="Z55" s="31">
        <f t="shared" si="59"/>
        <v>0</v>
      </c>
      <c r="AB55" s="31">
        <f t="shared" si="60"/>
        <v>0</v>
      </c>
      <c r="AC55" s="31">
        <f t="shared" si="61"/>
        <v>0</v>
      </c>
      <c r="AD55" s="31">
        <f t="shared" si="62"/>
        <v>0</v>
      </c>
      <c r="AE55" s="31">
        <f t="shared" si="63"/>
        <v>0</v>
      </c>
      <c r="AF55" s="31">
        <f t="shared" si="64"/>
        <v>0</v>
      </c>
      <c r="AG55" s="31">
        <f t="shared" si="65"/>
        <v>0</v>
      </c>
      <c r="AH55" s="31">
        <f t="shared" si="66"/>
        <v>0</v>
      </c>
      <c r="AI55" s="12" t="s">
        <v>54</v>
      </c>
      <c r="AJ55" s="31">
        <f t="shared" si="67"/>
        <v>0</v>
      </c>
      <c r="AK55" s="31">
        <f t="shared" si="68"/>
        <v>0</v>
      </c>
      <c r="AL55" s="31">
        <f t="shared" si="69"/>
        <v>0</v>
      </c>
      <c r="AN55" s="31">
        <v>12</v>
      </c>
      <c r="AO55" s="31">
        <f>H55*0.270882804</f>
        <v>0</v>
      </c>
      <c r="AP55" s="31">
        <f>H55*(1-0.270882804)</f>
        <v>0</v>
      </c>
      <c r="AQ55" s="34" t="s">
        <v>70</v>
      </c>
      <c r="AV55" s="31">
        <f t="shared" si="70"/>
        <v>0</v>
      </c>
      <c r="AW55" s="31">
        <f t="shared" si="71"/>
        <v>0</v>
      </c>
      <c r="AX55" s="31">
        <f t="shared" si="72"/>
        <v>0</v>
      </c>
      <c r="AY55" s="34" t="s">
        <v>185</v>
      </c>
      <c r="AZ55" s="34" t="s">
        <v>92</v>
      </c>
      <c r="BA55" s="12" t="s">
        <v>65</v>
      </c>
      <c r="BC55" s="31">
        <f t="shared" si="73"/>
        <v>0</v>
      </c>
      <c r="BD55" s="31">
        <f t="shared" si="74"/>
        <v>0</v>
      </c>
      <c r="BE55" s="31">
        <v>0</v>
      </c>
      <c r="BF55" s="31">
        <f t="shared" si="75"/>
        <v>7.5399999999999995E-2</v>
      </c>
      <c r="BH55" s="31">
        <f t="shared" si="76"/>
        <v>0</v>
      </c>
      <c r="BI55" s="31">
        <f t="shared" si="77"/>
        <v>0</v>
      </c>
      <c r="BJ55" s="31">
        <f t="shared" si="78"/>
        <v>0</v>
      </c>
      <c r="BK55" s="34" t="s">
        <v>66</v>
      </c>
      <c r="BL55" s="31">
        <v>722</v>
      </c>
      <c r="BW55" s="31">
        <f t="shared" si="79"/>
        <v>0</v>
      </c>
      <c r="BX55" s="4" t="s">
        <v>191</v>
      </c>
    </row>
    <row r="56" spans="1:76" x14ac:dyDescent="0.25">
      <c r="A56" s="2" t="s">
        <v>192</v>
      </c>
      <c r="B56" s="3" t="s">
        <v>54</v>
      </c>
      <c r="C56" s="3" t="s">
        <v>193</v>
      </c>
      <c r="D56" s="83" t="s">
        <v>194</v>
      </c>
      <c r="E56" s="84"/>
      <c r="F56" s="3" t="s">
        <v>60</v>
      </c>
      <c r="G56" s="31">
        <v>0</v>
      </c>
      <c r="H56" s="31"/>
      <c r="I56" s="32"/>
      <c r="J56" s="31">
        <f t="shared" si="54"/>
        <v>0</v>
      </c>
      <c r="K56" s="31">
        <f t="shared" si="55"/>
        <v>0</v>
      </c>
      <c r="L56" s="31">
        <f t="shared" si="56"/>
        <v>0</v>
      </c>
      <c r="M56" s="31">
        <f t="shared" si="57"/>
        <v>0</v>
      </c>
      <c r="N56" s="31">
        <v>7.3999999999999999E-4</v>
      </c>
      <c r="O56" s="31">
        <f t="shared" si="58"/>
        <v>0</v>
      </c>
      <c r="P56" s="33" t="s">
        <v>69</v>
      </c>
      <c r="Z56" s="31">
        <f t="shared" si="59"/>
        <v>0</v>
      </c>
      <c r="AB56" s="31">
        <f t="shared" si="60"/>
        <v>0</v>
      </c>
      <c r="AC56" s="31">
        <f t="shared" si="61"/>
        <v>0</v>
      </c>
      <c r="AD56" s="31">
        <f t="shared" si="62"/>
        <v>0</v>
      </c>
      <c r="AE56" s="31">
        <f t="shared" si="63"/>
        <v>0</v>
      </c>
      <c r="AF56" s="31">
        <f t="shared" si="64"/>
        <v>0</v>
      </c>
      <c r="AG56" s="31">
        <f t="shared" si="65"/>
        <v>0</v>
      </c>
      <c r="AH56" s="31">
        <f t="shared" si="66"/>
        <v>0</v>
      </c>
      <c r="AI56" s="12" t="s">
        <v>54</v>
      </c>
      <c r="AJ56" s="31">
        <f t="shared" si="67"/>
        <v>0</v>
      </c>
      <c r="AK56" s="31">
        <f t="shared" si="68"/>
        <v>0</v>
      </c>
      <c r="AL56" s="31">
        <f t="shared" si="69"/>
        <v>0</v>
      </c>
      <c r="AN56" s="31">
        <v>12</v>
      </c>
      <c r="AO56" s="31">
        <f t="shared" ref="AO56:AO61" si="80">H56*0</f>
        <v>0</v>
      </c>
      <c r="AP56" s="31">
        <f t="shared" ref="AP56:AP61" si="81">H56*(1-0)</f>
        <v>0</v>
      </c>
      <c r="AQ56" s="34" t="s">
        <v>70</v>
      </c>
      <c r="AV56" s="31">
        <f t="shared" si="70"/>
        <v>0</v>
      </c>
      <c r="AW56" s="31">
        <f t="shared" si="71"/>
        <v>0</v>
      </c>
      <c r="AX56" s="31">
        <f t="shared" si="72"/>
        <v>0</v>
      </c>
      <c r="AY56" s="34" t="s">
        <v>185</v>
      </c>
      <c r="AZ56" s="34" t="s">
        <v>92</v>
      </c>
      <c r="BA56" s="12" t="s">
        <v>65</v>
      </c>
      <c r="BC56" s="31">
        <f t="shared" si="73"/>
        <v>0</v>
      </c>
      <c r="BD56" s="31">
        <f t="shared" si="74"/>
        <v>0</v>
      </c>
      <c r="BE56" s="31">
        <v>0</v>
      </c>
      <c r="BF56" s="31">
        <f t="shared" si="75"/>
        <v>0</v>
      </c>
      <c r="BH56" s="31">
        <f t="shared" si="76"/>
        <v>0</v>
      </c>
      <c r="BI56" s="31">
        <f t="shared" si="77"/>
        <v>0</v>
      </c>
      <c r="BJ56" s="31">
        <f t="shared" si="78"/>
        <v>0</v>
      </c>
      <c r="BK56" s="34" t="s">
        <v>66</v>
      </c>
      <c r="BL56" s="31">
        <v>722</v>
      </c>
      <c r="BW56" s="31">
        <f t="shared" si="79"/>
        <v>0</v>
      </c>
      <c r="BX56" s="4" t="s">
        <v>194</v>
      </c>
    </row>
    <row r="57" spans="1:76" x14ac:dyDescent="0.25">
      <c r="A57" s="2" t="s">
        <v>195</v>
      </c>
      <c r="B57" s="3" t="s">
        <v>54</v>
      </c>
      <c r="C57" s="3" t="s">
        <v>196</v>
      </c>
      <c r="D57" s="83" t="s">
        <v>197</v>
      </c>
      <c r="E57" s="84"/>
      <c r="F57" s="3" t="s">
        <v>60</v>
      </c>
      <c r="G57" s="31">
        <v>0</v>
      </c>
      <c r="H57" s="31"/>
      <c r="I57" s="32"/>
      <c r="J57" s="31">
        <f t="shared" si="54"/>
        <v>0</v>
      </c>
      <c r="K57" s="31">
        <f t="shared" si="55"/>
        <v>0</v>
      </c>
      <c r="L57" s="31">
        <f t="shared" si="56"/>
        <v>0</v>
      </c>
      <c r="M57" s="31">
        <f t="shared" si="57"/>
        <v>0</v>
      </c>
      <c r="N57" s="31">
        <v>1.1100000000000001E-3</v>
      </c>
      <c r="O57" s="31">
        <f t="shared" si="58"/>
        <v>0</v>
      </c>
      <c r="P57" s="33" t="s">
        <v>69</v>
      </c>
      <c r="Z57" s="31">
        <f t="shared" si="59"/>
        <v>0</v>
      </c>
      <c r="AB57" s="31">
        <f t="shared" si="60"/>
        <v>0</v>
      </c>
      <c r="AC57" s="31">
        <f t="shared" si="61"/>
        <v>0</v>
      </c>
      <c r="AD57" s="31">
        <f t="shared" si="62"/>
        <v>0</v>
      </c>
      <c r="AE57" s="31">
        <f t="shared" si="63"/>
        <v>0</v>
      </c>
      <c r="AF57" s="31">
        <f t="shared" si="64"/>
        <v>0</v>
      </c>
      <c r="AG57" s="31">
        <f t="shared" si="65"/>
        <v>0</v>
      </c>
      <c r="AH57" s="31">
        <f t="shared" si="66"/>
        <v>0</v>
      </c>
      <c r="AI57" s="12" t="s">
        <v>54</v>
      </c>
      <c r="AJ57" s="31">
        <f t="shared" si="67"/>
        <v>0</v>
      </c>
      <c r="AK57" s="31">
        <f t="shared" si="68"/>
        <v>0</v>
      </c>
      <c r="AL57" s="31">
        <f t="shared" si="69"/>
        <v>0</v>
      </c>
      <c r="AN57" s="31">
        <v>12</v>
      </c>
      <c r="AO57" s="31">
        <f t="shared" si="80"/>
        <v>0</v>
      </c>
      <c r="AP57" s="31">
        <f t="shared" si="81"/>
        <v>0</v>
      </c>
      <c r="AQ57" s="34" t="s">
        <v>70</v>
      </c>
      <c r="AV57" s="31">
        <f t="shared" si="70"/>
        <v>0</v>
      </c>
      <c r="AW57" s="31">
        <f t="shared" si="71"/>
        <v>0</v>
      </c>
      <c r="AX57" s="31">
        <f t="shared" si="72"/>
        <v>0</v>
      </c>
      <c r="AY57" s="34" t="s">
        <v>185</v>
      </c>
      <c r="AZ57" s="34" t="s">
        <v>92</v>
      </c>
      <c r="BA57" s="12" t="s">
        <v>65</v>
      </c>
      <c r="BC57" s="31">
        <f t="shared" si="73"/>
        <v>0</v>
      </c>
      <c r="BD57" s="31">
        <f t="shared" si="74"/>
        <v>0</v>
      </c>
      <c r="BE57" s="31">
        <v>0</v>
      </c>
      <c r="BF57" s="31">
        <f t="shared" si="75"/>
        <v>0</v>
      </c>
      <c r="BH57" s="31">
        <f t="shared" si="76"/>
        <v>0</v>
      </c>
      <c r="BI57" s="31">
        <f t="shared" si="77"/>
        <v>0</v>
      </c>
      <c r="BJ57" s="31">
        <f t="shared" si="78"/>
        <v>0</v>
      </c>
      <c r="BK57" s="34" t="s">
        <v>66</v>
      </c>
      <c r="BL57" s="31">
        <v>722</v>
      </c>
      <c r="BW57" s="31">
        <f t="shared" si="79"/>
        <v>0</v>
      </c>
      <c r="BX57" s="4" t="s">
        <v>197</v>
      </c>
    </row>
    <row r="58" spans="1:76" x14ac:dyDescent="0.25">
      <c r="A58" s="2" t="s">
        <v>198</v>
      </c>
      <c r="B58" s="3" t="s">
        <v>54</v>
      </c>
      <c r="C58" s="3" t="s">
        <v>199</v>
      </c>
      <c r="D58" s="83" t="s">
        <v>200</v>
      </c>
      <c r="E58" s="84"/>
      <c r="F58" s="3" t="s">
        <v>60</v>
      </c>
      <c r="G58" s="31">
        <v>0</v>
      </c>
      <c r="H58" s="31"/>
      <c r="I58" s="32"/>
      <c r="J58" s="31">
        <f t="shared" si="54"/>
        <v>0</v>
      </c>
      <c r="K58" s="31">
        <f t="shared" si="55"/>
        <v>0</v>
      </c>
      <c r="L58" s="31">
        <f t="shared" si="56"/>
        <v>0</v>
      </c>
      <c r="M58" s="31">
        <f t="shared" si="57"/>
        <v>0</v>
      </c>
      <c r="N58" s="31">
        <v>6.0000000000000001E-3</v>
      </c>
      <c r="O58" s="31">
        <f t="shared" si="58"/>
        <v>0</v>
      </c>
      <c r="P58" s="33" t="s">
        <v>69</v>
      </c>
      <c r="Z58" s="31">
        <f t="shared" si="59"/>
        <v>0</v>
      </c>
      <c r="AB58" s="31">
        <f t="shared" si="60"/>
        <v>0</v>
      </c>
      <c r="AC58" s="31">
        <f t="shared" si="61"/>
        <v>0</v>
      </c>
      <c r="AD58" s="31">
        <f t="shared" si="62"/>
        <v>0</v>
      </c>
      <c r="AE58" s="31">
        <f t="shared" si="63"/>
        <v>0</v>
      </c>
      <c r="AF58" s="31">
        <f t="shared" si="64"/>
        <v>0</v>
      </c>
      <c r="AG58" s="31">
        <f t="shared" si="65"/>
        <v>0</v>
      </c>
      <c r="AH58" s="31">
        <f t="shared" si="66"/>
        <v>0</v>
      </c>
      <c r="AI58" s="12" t="s">
        <v>54</v>
      </c>
      <c r="AJ58" s="31">
        <f t="shared" si="67"/>
        <v>0</v>
      </c>
      <c r="AK58" s="31">
        <f t="shared" si="68"/>
        <v>0</v>
      </c>
      <c r="AL58" s="31">
        <f t="shared" si="69"/>
        <v>0</v>
      </c>
      <c r="AN58" s="31">
        <v>12</v>
      </c>
      <c r="AO58" s="31">
        <f t="shared" si="80"/>
        <v>0</v>
      </c>
      <c r="AP58" s="31">
        <f t="shared" si="81"/>
        <v>0</v>
      </c>
      <c r="AQ58" s="34" t="s">
        <v>70</v>
      </c>
      <c r="AV58" s="31">
        <f t="shared" si="70"/>
        <v>0</v>
      </c>
      <c r="AW58" s="31">
        <f t="shared" si="71"/>
        <v>0</v>
      </c>
      <c r="AX58" s="31">
        <f t="shared" si="72"/>
        <v>0</v>
      </c>
      <c r="AY58" s="34" t="s">
        <v>185</v>
      </c>
      <c r="AZ58" s="34" t="s">
        <v>92</v>
      </c>
      <c r="BA58" s="12" t="s">
        <v>65</v>
      </c>
      <c r="BC58" s="31">
        <f t="shared" si="73"/>
        <v>0</v>
      </c>
      <c r="BD58" s="31">
        <f t="shared" si="74"/>
        <v>0</v>
      </c>
      <c r="BE58" s="31">
        <v>0</v>
      </c>
      <c r="BF58" s="31">
        <f t="shared" si="75"/>
        <v>0</v>
      </c>
      <c r="BH58" s="31">
        <f t="shared" si="76"/>
        <v>0</v>
      </c>
      <c r="BI58" s="31">
        <f t="shared" si="77"/>
        <v>0</v>
      </c>
      <c r="BJ58" s="31">
        <f t="shared" si="78"/>
        <v>0</v>
      </c>
      <c r="BK58" s="34" t="s">
        <v>66</v>
      </c>
      <c r="BL58" s="31">
        <v>722</v>
      </c>
      <c r="BW58" s="31">
        <f t="shared" si="79"/>
        <v>0</v>
      </c>
      <c r="BX58" s="4" t="s">
        <v>200</v>
      </c>
    </row>
    <row r="59" spans="1:76" x14ac:dyDescent="0.25">
      <c r="A59" s="2" t="s">
        <v>201</v>
      </c>
      <c r="B59" s="3" t="s">
        <v>54</v>
      </c>
      <c r="C59" s="3" t="s">
        <v>202</v>
      </c>
      <c r="D59" s="83" t="s">
        <v>203</v>
      </c>
      <c r="E59" s="84"/>
      <c r="F59" s="3" t="s">
        <v>60</v>
      </c>
      <c r="G59" s="31">
        <v>0</v>
      </c>
      <c r="H59" s="31"/>
      <c r="I59" s="32"/>
      <c r="J59" s="31">
        <f t="shared" si="54"/>
        <v>0</v>
      </c>
      <c r="K59" s="31">
        <f t="shared" si="55"/>
        <v>0</v>
      </c>
      <c r="L59" s="31">
        <f t="shared" si="56"/>
        <v>0</v>
      </c>
      <c r="M59" s="31">
        <f t="shared" si="57"/>
        <v>0</v>
      </c>
      <c r="N59" s="31">
        <v>6.77E-3</v>
      </c>
      <c r="O59" s="31">
        <f t="shared" si="58"/>
        <v>0</v>
      </c>
      <c r="P59" s="33" t="s">
        <v>69</v>
      </c>
      <c r="Z59" s="31">
        <f t="shared" si="59"/>
        <v>0</v>
      </c>
      <c r="AB59" s="31">
        <f t="shared" si="60"/>
        <v>0</v>
      </c>
      <c r="AC59" s="31">
        <f t="shared" si="61"/>
        <v>0</v>
      </c>
      <c r="AD59" s="31">
        <f t="shared" si="62"/>
        <v>0</v>
      </c>
      <c r="AE59" s="31">
        <f t="shared" si="63"/>
        <v>0</v>
      </c>
      <c r="AF59" s="31">
        <f t="shared" si="64"/>
        <v>0</v>
      </c>
      <c r="AG59" s="31">
        <f t="shared" si="65"/>
        <v>0</v>
      </c>
      <c r="AH59" s="31">
        <f t="shared" si="66"/>
        <v>0</v>
      </c>
      <c r="AI59" s="12" t="s">
        <v>54</v>
      </c>
      <c r="AJ59" s="31">
        <f t="shared" si="67"/>
        <v>0</v>
      </c>
      <c r="AK59" s="31">
        <f t="shared" si="68"/>
        <v>0</v>
      </c>
      <c r="AL59" s="31">
        <f t="shared" si="69"/>
        <v>0</v>
      </c>
      <c r="AN59" s="31">
        <v>12</v>
      </c>
      <c r="AO59" s="31">
        <f t="shared" si="80"/>
        <v>0</v>
      </c>
      <c r="AP59" s="31">
        <f t="shared" si="81"/>
        <v>0</v>
      </c>
      <c r="AQ59" s="34" t="s">
        <v>70</v>
      </c>
      <c r="AV59" s="31">
        <f t="shared" si="70"/>
        <v>0</v>
      </c>
      <c r="AW59" s="31">
        <f t="shared" si="71"/>
        <v>0</v>
      </c>
      <c r="AX59" s="31">
        <f t="shared" si="72"/>
        <v>0</v>
      </c>
      <c r="AY59" s="34" t="s">
        <v>185</v>
      </c>
      <c r="AZ59" s="34" t="s">
        <v>92</v>
      </c>
      <c r="BA59" s="12" t="s">
        <v>65</v>
      </c>
      <c r="BC59" s="31">
        <f t="shared" si="73"/>
        <v>0</v>
      </c>
      <c r="BD59" s="31">
        <f t="shared" si="74"/>
        <v>0</v>
      </c>
      <c r="BE59" s="31">
        <v>0</v>
      </c>
      <c r="BF59" s="31">
        <f t="shared" si="75"/>
        <v>0</v>
      </c>
      <c r="BH59" s="31">
        <f t="shared" si="76"/>
        <v>0</v>
      </c>
      <c r="BI59" s="31">
        <f t="shared" si="77"/>
        <v>0</v>
      </c>
      <c r="BJ59" s="31">
        <f t="shared" si="78"/>
        <v>0</v>
      </c>
      <c r="BK59" s="34" t="s">
        <v>66</v>
      </c>
      <c r="BL59" s="31">
        <v>722</v>
      </c>
      <c r="BW59" s="31">
        <f t="shared" si="79"/>
        <v>0</v>
      </c>
      <c r="BX59" s="4" t="s">
        <v>203</v>
      </c>
    </row>
    <row r="60" spans="1:76" x14ac:dyDescent="0.25">
      <c r="A60" s="2" t="s">
        <v>204</v>
      </c>
      <c r="B60" s="3" t="s">
        <v>54</v>
      </c>
      <c r="C60" s="3" t="s">
        <v>205</v>
      </c>
      <c r="D60" s="83" t="s">
        <v>206</v>
      </c>
      <c r="E60" s="84"/>
      <c r="F60" s="3" t="s">
        <v>60</v>
      </c>
      <c r="G60" s="31">
        <v>0</v>
      </c>
      <c r="H60" s="31"/>
      <c r="I60" s="32"/>
      <c r="J60" s="31">
        <f t="shared" si="54"/>
        <v>0</v>
      </c>
      <c r="K60" s="31">
        <f t="shared" si="55"/>
        <v>0</v>
      </c>
      <c r="L60" s="31">
        <f t="shared" si="56"/>
        <v>0</v>
      </c>
      <c r="M60" s="31">
        <f t="shared" si="57"/>
        <v>0</v>
      </c>
      <c r="N60" s="31">
        <v>4.2999999999999999E-4</v>
      </c>
      <c r="O60" s="31">
        <f t="shared" si="58"/>
        <v>0</v>
      </c>
      <c r="P60" s="33" t="s">
        <v>69</v>
      </c>
      <c r="Z60" s="31">
        <f t="shared" si="59"/>
        <v>0</v>
      </c>
      <c r="AB60" s="31">
        <f t="shared" si="60"/>
        <v>0</v>
      </c>
      <c r="AC60" s="31">
        <f t="shared" si="61"/>
        <v>0</v>
      </c>
      <c r="AD60" s="31">
        <f t="shared" si="62"/>
        <v>0</v>
      </c>
      <c r="AE60" s="31">
        <f t="shared" si="63"/>
        <v>0</v>
      </c>
      <c r="AF60" s="31">
        <f t="shared" si="64"/>
        <v>0</v>
      </c>
      <c r="AG60" s="31">
        <f t="shared" si="65"/>
        <v>0</v>
      </c>
      <c r="AH60" s="31">
        <f t="shared" si="66"/>
        <v>0</v>
      </c>
      <c r="AI60" s="12" t="s">
        <v>54</v>
      </c>
      <c r="AJ60" s="31">
        <f t="shared" si="67"/>
        <v>0</v>
      </c>
      <c r="AK60" s="31">
        <f t="shared" si="68"/>
        <v>0</v>
      </c>
      <c r="AL60" s="31">
        <f t="shared" si="69"/>
        <v>0</v>
      </c>
      <c r="AN60" s="31">
        <v>12</v>
      </c>
      <c r="AO60" s="31">
        <f t="shared" si="80"/>
        <v>0</v>
      </c>
      <c r="AP60" s="31">
        <f t="shared" si="81"/>
        <v>0</v>
      </c>
      <c r="AQ60" s="34" t="s">
        <v>70</v>
      </c>
      <c r="AV60" s="31">
        <f t="shared" si="70"/>
        <v>0</v>
      </c>
      <c r="AW60" s="31">
        <f t="shared" si="71"/>
        <v>0</v>
      </c>
      <c r="AX60" s="31">
        <f t="shared" si="72"/>
        <v>0</v>
      </c>
      <c r="AY60" s="34" t="s">
        <v>185</v>
      </c>
      <c r="AZ60" s="34" t="s">
        <v>92</v>
      </c>
      <c r="BA60" s="12" t="s">
        <v>65</v>
      </c>
      <c r="BC60" s="31">
        <f t="shared" si="73"/>
        <v>0</v>
      </c>
      <c r="BD60" s="31">
        <f t="shared" si="74"/>
        <v>0</v>
      </c>
      <c r="BE60" s="31">
        <v>0</v>
      </c>
      <c r="BF60" s="31">
        <f t="shared" si="75"/>
        <v>0</v>
      </c>
      <c r="BH60" s="31">
        <f t="shared" si="76"/>
        <v>0</v>
      </c>
      <c r="BI60" s="31">
        <f t="shared" si="77"/>
        <v>0</v>
      </c>
      <c r="BJ60" s="31">
        <f t="shared" si="78"/>
        <v>0</v>
      </c>
      <c r="BK60" s="34" t="s">
        <v>66</v>
      </c>
      <c r="BL60" s="31">
        <v>722</v>
      </c>
      <c r="BW60" s="31">
        <f t="shared" si="79"/>
        <v>0</v>
      </c>
      <c r="BX60" s="4" t="s">
        <v>206</v>
      </c>
    </row>
    <row r="61" spans="1:76" x14ac:dyDescent="0.25">
      <c r="A61" s="2" t="s">
        <v>207</v>
      </c>
      <c r="B61" s="3" t="s">
        <v>54</v>
      </c>
      <c r="C61" s="3" t="s">
        <v>208</v>
      </c>
      <c r="D61" s="83" t="s">
        <v>209</v>
      </c>
      <c r="E61" s="84"/>
      <c r="F61" s="3" t="s">
        <v>60</v>
      </c>
      <c r="G61" s="31">
        <v>0</v>
      </c>
      <c r="H61" s="31"/>
      <c r="I61" s="32"/>
      <c r="J61" s="31">
        <f t="shared" si="54"/>
        <v>0</v>
      </c>
      <c r="K61" s="31">
        <f t="shared" si="55"/>
        <v>0</v>
      </c>
      <c r="L61" s="31">
        <f t="shared" si="56"/>
        <v>0</v>
      </c>
      <c r="M61" s="31">
        <f t="shared" si="57"/>
        <v>0</v>
      </c>
      <c r="N61" s="31">
        <v>5.2999999999999998E-4</v>
      </c>
      <c r="O61" s="31">
        <f t="shared" si="58"/>
        <v>0</v>
      </c>
      <c r="P61" s="33" t="s">
        <v>69</v>
      </c>
      <c r="Z61" s="31">
        <f t="shared" si="59"/>
        <v>0</v>
      </c>
      <c r="AB61" s="31">
        <f t="shared" si="60"/>
        <v>0</v>
      </c>
      <c r="AC61" s="31">
        <f t="shared" si="61"/>
        <v>0</v>
      </c>
      <c r="AD61" s="31">
        <f t="shared" si="62"/>
        <v>0</v>
      </c>
      <c r="AE61" s="31">
        <f t="shared" si="63"/>
        <v>0</v>
      </c>
      <c r="AF61" s="31">
        <f t="shared" si="64"/>
        <v>0</v>
      </c>
      <c r="AG61" s="31">
        <f t="shared" si="65"/>
        <v>0</v>
      </c>
      <c r="AH61" s="31">
        <f t="shared" si="66"/>
        <v>0</v>
      </c>
      <c r="AI61" s="12" t="s">
        <v>54</v>
      </c>
      <c r="AJ61" s="31">
        <f t="shared" si="67"/>
        <v>0</v>
      </c>
      <c r="AK61" s="31">
        <f t="shared" si="68"/>
        <v>0</v>
      </c>
      <c r="AL61" s="31">
        <f t="shared" si="69"/>
        <v>0</v>
      </c>
      <c r="AN61" s="31">
        <v>12</v>
      </c>
      <c r="AO61" s="31">
        <f t="shared" si="80"/>
        <v>0</v>
      </c>
      <c r="AP61" s="31">
        <f t="shared" si="81"/>
        <v>0</v>
      </c>
      <c r="AQ61" s="34" t="s">
        <v>70</v>
      </c>
      <c r="AV61" s="31">
        <f t="shared" si="70"/>
        <v>0</v>
      </c>
      <c r="AW61" s="31">
        <f t="shared" si="71"/>
        <v>0</v>
      </c>
      <c r="AX61" s="31">
        <f t="shared" si="72"/>
        <v>0</v>
      </c>
      <c r="AY61" s="34" t="s">
        <v>185</v>
      </c>
      <c r="AZ61" s="34" t="s">
        <v>92</v>
      </c>
      <c r="BA61" s="12" t="s">
        <v>65</v>
      </c>
      <c r="BC61" s="31">
        <f t="shared" si="73"/>
        <v>0</v>
      </c>
      <c r="BD61" s="31">
        <f t="shared" si="74"/>
        <v>0</v>
      </c>
      <c r="BE61" s="31">
        <v>0</v>
      </c>
      <c r="BF61" s="31">
        <f t="shared" si="75"/>
        <v>0</v>
      </c>
      <c r="BH61" s="31">
        <f t="shared" si="76"/>
        <v>0</v>
      </c>
      <c r="BI61" s="31">
        <f t="shared" si="77"/>
        <v>0</v>
      </c>
      <c r="BJ61" s="31">
        <f t="shared" si="78"/>
        <v>0</v>
      </c>
      <c r="BK61" s="34" t="s">
        <v>66</v>
      </c>
      <c r="BL61" s="31">
        <v>722</v>
      </c>
      <c r="BW61" s="31">
        <f t="shared" si="79"/>
        <v>0</v>
      </c>
      <c r="BX61" s="4" t="s">
        <v>209</v>
      </c>
    </row>
    <row r="62" spans="1:76" x14ac:dyDescent="0.25">
      <c r="A62" s="2" t="s">
        <v>210</v>
      </c>
      <c r="B62" s="3" t="s">
        <v>54</v>
      </c>
      <c r="C62" s="3" t="s">
        <v>211</v>
      </c>
      <c r="D62" s="83" t="s">
        <v>212</v>
      </c>
      <c r="E62" s="84"/>
      <c r="F62" s="3" t="s">
        <v>60</v>
      </c>
      <c r="G62" s="31">
        <v>70</v>
      </c>
      <c r="H62" s="31"/>
      <c r="I62" s="32"/>
      <c r="J62" s="31">
        <f t="shared" si="54"/>
        <v>0</v>
      </c>
      <c r="K62" s="31">
        <f t="shared" si="55"/>
        <v>0</v>
      </c>
      <c r="L62" s="31">
        <f t="shared" si="56"/>
        <v>0</v>
      </c>
      <c r="M62" s="31">
        <f t="shared" si="57"/>
        <v>0</v>
      </c>
      <c r="N62" s="31">
        <v>7.2999999999999996E-4</v>
      </c>
      <c r="O62" s="31">
        <f t="shared" si="58"/>
        <v>5.11E-2</v>
      </c>
      <c r="P62" s="33" t="s">
        <v>69</v>
      </c>
      <c r="Z62" s="31">
        <f t="shared" si="59"/>
        <v>0</v>
      </c>
      <c r="AB62" s="31">
        <f t="shared" si="60"/>
        <v>0</v>
      </c>
      <c r="AC62" s="31">
        <f t="shared" si="61"/>
        <v>0</v>
      </c>
      <c r="AD62" s="31">
        <f t="shared" si="62"/>
        <v>0</v>
      </c>
      <c r="AE62" s="31">
        <f t="shared" si="63"/>
        <v>0</v>
      </c>
      <c r="AF62" s="31">
        <f t="shared" si="64"/>
        <v>0</v>
      </c>
      <c r="AG62" s="31">
        <f t="shared" si="65"/>
        <v>0</v>
      </c>
      <c r="AH62" s="31">
        <f t="shared" si="66"/>
        <v>0</v>
      </c>
      <c r="AI62" s="12" t="s">
        <v>54</v>
      </c>
      <c r="AJ62" s="31">
        <f t="shared" si="67"/>
        <v>0</v>
      </c>
      <c r="AK62" s="31">
        <f t="shared" si="68"/>
        <v>0</v>
      </c>
      <c r="AL62" s="31">
        <f t="shared" si="69"/>
        <v>0</v>
      </c>
      <c r="AN62" s="31">
        <v>12</v>
      </c>
      <c r="AO62" s="31">
        <f>H62*0.554517759</f>
        <v>0</v>
      </c>
      <c r="AP62" s="31">
        <f>H62*(1-0.554517759)</f>
        <v>0</v>
      </c>
      <c r="AQ62" s="34" t="s">
        <v>70</v>
      </c>
      <c r="AV62" s="31">
        <f t="shared" si="70"/>
        <v>0</v>
      </c>
      <c r="AW62" s="31">
        <f t="shared" si="71"/>
        <v>0</v>
      </c>
      <c r="AX62" s="31">
        <f t="shared" si="72"/>
        <v>0</v>
      </c>
      <c r="AY62" s="34" t="s">
        <v>185</v>
      </c>
      <c r="AZ62" s="34" t="s">
        <v>92</v>
      </c>
      <c r="BA62" s="12" t="s">
        <v>65</v>
      </c>
      <c r="BC62" s="31">
        <f t="shared" si="73"/>
        <v>0</v>
      </c>
      <c r="BD62" s="31">
        <f t="shared" si="74"/>
        <v>0</v>
      </c>
      <c r="BE62" s="31">
        <v>0</v>
      </c>
      <c r="BF62" s="31">
        <f t="shared" si="75"/>
        <v>5.11E-2</v>
      </c>
      <c r="BH62" s="31">
        <f t="shared" si="76"/>
        <v>0</v>
      </c>
      <c r="BI62" s="31">
        <f t="shared" si="77"/>
        <v>0</v>
      </c>
      <c r="BJ62" s="31">
        <f t="shared" si="78"/>
        <v>0</v>
      </c>
      <c r="BK62" s="34" t="s">
        <v>66</v>
      </c>
      <c r="BL62" s="31">
        <v>722</v>
      </c>
      <c r="BW62" s="31">
        <f t="shared" si="79"/>
        <v>0</v>
      </c>
      <c r="BX62" s="4" t="s">
        <v>212</v>
      </c>
    </row>
    <row r="63" spans="1:76" x14ac:dyDescent="0.25">
      <c r="A63" s="2" t="s">
        <v>213</v>
      </c>
      <c r="B63" s="3" t="s">
        <v>54</v>
      </c>
      <c r="C63" s="3" t="s">
        <v>214</v>
      </c>
      <c r="D63" s="83" t="s">
        <v>215</v>
      </c>
      <c r="E63" s="84"/>
      <c r="F63" s="3" t="s">
        <v>60</v>
      </c>
      <c r="G63" s="31">
        <v>85</v>
      </c>
      <c r="H63" s="31"/>
      <c r="I63" s="32"/>
      <c r="J63" s="31">
        <f t="shared" si="54"/>
        <v>0</v>
      </c>
      <c r="K63" s="31">
        <f t="shared" si="55"/>
        <v>0</v>
      </c>
      <c r="L63" s="31">
        <f t="shared" si="56"/>
        <v>0</v>
      </c>
      <c r="M63" s="31">
        <f t="shared" si="57"/>
        <v>0</v>
      </c>
      <c r="N63" s="31">
        <v>1.0200000000000001E-3</v>
      </c>
      <c r="O63" s="31">
        <f t="shared" si="58"/>
        <v>8.6699999999999999E-2</v>
      </c>
      <c r="P63" s="33" t="s">
        <v>69</v>
      </c>
      <c r="Z63" s="31">
        <f t="shared" si="59"/>
        <v>0</v>
      </c>
      <c r="AB63" s="31">
        <f t="shared" si="60"/>
        <v>0</v>
      </c>
      <c r="AC63" s="31">
        <f t="shared" si="61"/>
        <v>0</v>
      </c>
      <c r="AD63" s="31">
        <f t="shared" si="62"/>
        <v>0</v>
      </c>
      <c r="AE63" s="31">
        <f t="shared" si="63"/>
        <v>0</v>
      </c>
      <c r="AF63" s="31">
        <f t="shared" si="64"/>
        <v>0</v>
      </c>
      <c r="AG63" s="31">
        <f t="shared" si="65"/>
        <v>0</v>
      </c>
      <c r="AH63" s="31">
        <f t="shared" si="66"/>
        <v>0</v>
      </c>
      <c r="AI63" s="12" t="s">
        <v>54</v>
      </c>
      <c r="AJ63" s="31">
        <f t="shared" si="67"/>
        <v>0</v>
      </c>
      <c r="AK63" s="31">
        <f t="shared" si="68"/>
        <v>0</v>
      </c>
      <c r="AL63" s="31">
        <f t="shared" si="69"/>
        <v>0</v>
      </c>
      <c r="AN63" s="31">
        <v>12</v>
      </c>
      <c r="AO63" s="31">
        <f>H63*0.658248547</f>
        <v>0</v>
      </c>
      <c r="AP63" s="31">
        <f>H63*(1-0.658248547)</f>
        <v>0</v>
      </c>
      <c r="AQ63" s="34" t="s">
        <v>70</v>
      </c>
      <c r="AV63" s="31">
        <f t="shared" si="70"/>
        <v>0</v>
      </c>
      <c r="AW63" s="31">
        <f t="shared" si="71"/>
        <v>0</v>
      </c>
      <c r="AX63" s="31">
        <f t="shared" si="72"/>
        <v>0</v>
      </c>
      <c r="AY63" s="34" t="s">
        <v>185</v>
      </c>
      <c r="AZ63" s="34" t="s">
        <v>92</v>
      </c>
      <c r="BA63" s="12" t="s">
        <v>65</v>
      </c>
      <c r="BC63" s="31">
        <f t="shared" si="73"/>
        <v>0</v>
      </c>
      <c r="BD63" s="31">
        <f t="shared" si="74"/>
        <v>0</v>
      </c>
      <c r="BE63" s="31">
        <v>0</v>
      </c>
      <c r="BF63" s="31">
        <f t="shared" si="75"/>
        <v>8.6699999999999999E-2</v>
      </c>
      <c r="BH63" s="31">
        <f t="shared" si="76"/>
        <v>0</v>
      </c>
      <c r="BI63" s="31">
        <f t="shared" si="77"/>
        <v>0</v>
      </c>
      <c r="BJ63" s="31">
        <f t="shared" si="78"/>
        <v>0</v>
      </c>
      <c r="BK63" s="34" t="s">
        <v>66</v>
      </c>
      <c r="BL63" s="31">
        <v>722</v>
      </c>
      <c r="BW63" s="31">
        <f t="shared" si="79"/>
        <v>0</v>
      </c>
      <c r="BX63" s="4" t="s">
        <v>215</v>
      </c>
    </row>
    <row r="64" spans="1:76" x14ac:dyDescent="0.25">
      <c r="A64" s="2" t="s">
        <v>216</v>
      </c>
      <c r="B64" s="3" t="s">
        <v>54</v>
      </c>
      <c r="C64" s="3" t="s">
        <v>217</v>
      </c>
      <c r="D64" s="83" t="s">
        <v>218</v>
      </c>
      <c r="E64" s="84"/>
      <c r="F64" s="3" t="s">
        <v>60</v>
      </c>
      <c r="G64" s="31">
        <v>90</v>
      </c>
      <c r="H64" s="31"/>
      <c r="I64" s="32"/>
      <c r="J64" s="31">
        <f t="shared" si="54"/>
        <v>0</v>
      </c>
      <c r="K64" s="31">
        <f t="shared" si="55"/>
        <v>0</v>
      </c>
      <c r="L64" s="31">
        <f t="shared" si="56"/>
        <v>0</v>
      </c>
      <c r="M64" s="31">
        <f t="shared" si="57"/>
        <v>0</v>
      </c>
      <c r="N64" s="31">
        <v>1.3799999999999999E-3</v>
      </c>
      <c r="O64" s="31">
        <f t="shared" si="58"/>
        <v>0.12419999999999999</v>
      </c>
      <c r="P64" s="33" t="s">
        <v>69</v>
      </c>
      <c r="Z64" s="31">
        <f t="shared" si="59"/>
        <v>0</v>
      </c>
      <c r="AB64" s="31">
        <f t="shared" si="60"/>
        <v>0</v>
      </c>
      <c r="AC64" s="31">
        <f t="shared" si="61"/>
        <v>0</v>
      </c>
      <c r="AD64" s="31">
        <f t="shared" si="62"/>
        <v>0</v>
      </c>
      <c r="AE64" s="31">
        <f t="shared" si="63"/>
        <v>0</v>
      </c>
      <c r="AF64" s="31">
        <f t="shared" si="64"/>
        <v>0</v>
      </c>
      <c r="AG64" s="31">
        <f t="shared" si="65"/>
        <v>0</v>
      </c>
      <c r="AH64" s="31">
        <f t="shared" si="66"/>
        <v>0</v>
      </c>
      <c r="AI64" s="12" t="s">
        <v>54</v>
      </c>
      <c r="AJ64" s="31">
        <f t="shared" si="67"/>
        <v>0</v>
      </c>
      <c r="AK64" s="31">
        <f t="shared" si="68"/>
        <v>0</v>
      </c>
      <c r="AL64" s="31">
        <f t="shared" si="69"/>
        <v>0</v>
      </c>
      <c r="AN64" s="31">
        <v>12</v>
      </c>
      <c r="AO64" s="31">
        <f>H64*0.655336538</f>
        <v>0</v>
      </c>
      <c r="AP64" s="31">
        <f>H64*(1-0.655336538)</f>
        <v>0</v>
      </c>
      <c r="AQ64" s="34" t="s">
        <v>70</v>
      </c>
      <c r="AV64" s="31">
        <f t="shared" si="70"/>
        <v>0</v>
      </c>
      <c r="AW64" s="31">
        <f t="shared" si="71"/>
        <v>0</v>
      </c>
      <c r="AX64" s="31">
        <f t="shared" si="72"/>
        <v>0</v>
      </c>
      <c r="AY64" s="34" t="s">
        <v>185</v>
      </c>
      <c r="AZ64" s="34" t="s">
        <v>92</v>
      </c>
      <c r="BA64" s="12" t="s">
        <v>65</v>
      </c>
      <c r="BC64" s="31">
        <f t="shared" si="73"/>
        <v>0</v>
      </c>
      <c r="BD64" s="31">
        <f t="shared" si="74"/>
        <v>0</v>
      </c>
      <c r="BE64" s="31">
        <v>0</v>
      </c>
      <c r="BF64" s="31">
        <f t="shared" si="75"/>
        <v>0.12419999999999999</v>
      </c>
      <c r="BH64" s="31">
        <f t="shared" si="76"/>
        <v>0</v>
      </c>
      <c r="BI64" s="31">
        <f t="shared" si="77"/>
        <v>0</v>
      </c>
      <c r="BJ64" s="31">
        <f t="shared" si="78"/>
        <v>0</v>
      </c>
      <c r="BK64" s="34" t="s">
        <v>66</v>
      </c>
      <c r="BL64" s="31">
        <v>722</v>
      </c>
      <c r="BW64" s="31">
        <f t="shared" si="79"/>
        <v>0</v>
      </c>
      <c r="BX64" s="4" t="s">
        <v>218</v>
      </c>
    </row>
    <row r="65" spans="1:76" x14ac:dyDescent="0.25">
      <c r="A65" s="2" t="s">
        <v>219</v>
      </c>
      <c r="B65" s="3" t="s">
        <v>54</v>
      </c>
      <c r="C65" s="3" t="s">
        <v>220</v>
      </c>
      <c r="D65" s="83" t="s">
        <v>221</v>
      </c>
      <c r="E65" s="84"/>
      <c r="F65" s="3" t="s">
        <v>60</v>
      </c>
      <c r="G65" s="31">
        <v>95</v>
      </c>
      <c r="H65" s="31"/>
      <c r="I65" s="32"/>
      <c r="J65" s="31">
        <f t="shared" si="54"/>
        <v>0</v>
      </c>
      <c r="K65" s="31">
        <f t="shared" si="55"/>
        <v>0</v>
      </c>
      <c r="L65" s="31">
        <f t="shared" si="56"/>
        <v>0</v>
      </c>
      <c r="M65" s="31">
        <f t="shared" si="57"/>
        <v>0</v>
      </c>
      <c r="N65" s="31">
        <v>2.0999999999999999E-3</v>
      </c>
      <c r="O65" s="31">
        <f t="shared" si="58"/>
        <v>0.19949999999999998</v>
      </c>
      <c r="P65" s="33" t="s">
        <v>69</v>
      </c>
      <c r="Z65" s="31">
        <f t="shared" si="59"/>
        <v>0</v>
      </c>
      <c r="AB65" s="31">
        <f t="shared" si="60"/>
        <v>0</v>
      </c>
      <c r="AC65" s="31">
        <f t="shared" si="61"/>
        <v>0</v>
      </c>
      <c r="AD65" s="31">
        <f t="shared" si="62"/>
        <v>0</v>
      </c>
      <c r="AE65" s="31">
        <f t="shared" si="63"/>
        <v>0</v>
      </c>
      <c r="AF65" s="31">
        <f t="shared" si="64"/>
        <v>0</v>
      </c>
      <c r="AG65" s="31">
        <f t="shared" si="65"/>
        <v>0</v>
      </c>
      <c r="AH65" s="31">
        <f t="shared" si="66"/>
        <v>0</v>
      </c>
      <c r="AI65" s="12" t="s">
        <v>54</v>
      </c>
      <c r="AJ65" s="31">
        <f t="shared" si="67"/>
        <v>0</v>
      </c>
      <c r="AK65" s="31">
        <f t="shared" si="68"/>
        <v>0</v>
      </c>
      <c r="AL65" s="31">
        <f t="shared" si="69"/>
        <v>0</v>
      </c>
      <c r="AN65" s="31">
        <v>12</v>
      </c>
      <c r="AO65" s="31">
        <f>H65*0.715333361</f>
        <v>0</v>
      </c>
      <c r="AP65" s="31">
        <f>H65*(1-0.715333361)</f>
        <v>0</v>
      </c>
      <c r="AQ65" s="34" t="s">
        <v>70</v>
      </c>
      <c r="AV65" s="31">
        <f t="shared" si="70"/>
        <v>0</v>
      </c>
      <c r="AW65" s="31">
        <f t="shared" si="71"/>
        <v>0</v>
      </c>
      <c r="AX65" s="31">
        <f t="shared" si="72"/>
        <v>0</v>
      </c>
      <c r="AY65" s="34" t="s">
        <v>185</v>
      </c>
      <c r="AZ65" s="34" t="s">
        <v>92</v>
      </c>
      <c r="BA65" s="12" t="s">
        <v>65</v>
      </c>
      <c r="BC65" s="31">
        <f t="shared" si="73"/>
        <v>0</v>
      </c>
      <c r="BD65" s="31">
        <f t="shared" si="74"/>
        <v>0</v>
      </c>
      <c r="BE65" s="31">
        <v>0</v>
      </c>
      <c r="BF65" s="31">
        <f t="shared" si="75"/>
        <v>0.19949999999999998</v>
      </c>
      <c r="BH65" s="31">
        <f t="shared" si="76"/>
        <v>0</v>
      </c>
      <c r="BI65" s="31">
        <f t="shared" si="77"/>
        <v>0</v>
      </c>
      <c r="BJ65" s="31">
        <f t="shared" si="78"/>
        <v>0</v>
      </c>
      <c r="BK65" s="34" t="s">
        <v>66</v>
      </c>
      <c r="BL65" s="31">
        <v>722</v>
      </c>
      <c r="BW65" s="31">
        <f t="shared" si="79"/>
        <v>0</v>
      </c>
      <c r="BX65" s="4" t="s">
        <v>221</v>
      </c>
    </row>
    <row r="66" spans="1:76" x14ac:dyDescent="0.25">
      <c r="A66" s="2" t="s">
        <v>222</v>
      </c>
      <c r="B66" s="3" t="s">
        <v>54</v>
      </c>
      <c r="C66" s="3" t="s">
        <v>223</v>
      </c>
      <c r="D66" s="83" t="s">
        <v>224</v>
      </c>
      <c r="E66" s="84"/>
      <c r="F66" s="3" t="s">
        <v>60</v>
      </c>
      <c r="G66" s="31">
        <v>15</v>
      </c>
      <c r="H66" s="31"/>
      <c r="I66" s="32"/>
      <c r="J66" s="31">
        <f t="shared" si="54"/>
        <v>0</v>
      </c>
      <c r="K66" s="31">
        <f t="shared" si="55"/>
        <v>0</v>
      </c>
      <c r="L66" s="31">
        <f t="shared" si="56"/>
        <v>0</v>
      </c>
      <c r="M66" s="31">
        <f t="shared" si="57"/>
        <v>0</v>
      </c>
      <c r="N66" s="31">
        <v>1.07E-3</v>
      </c>
      <c r="O66" s="31">
        <f t="shared" si="58"/>
        <v>1.6049999999999998E-2</v>
      </c>
      <c r="P66" s="33" t="s">
        <v>69</v>
      </c>
      <c r="Z66" s="31">
        <f t="shared" si="59"/>
        <v>0</v>
      </c>
      <c r="AB66" s="31">
        <f t="shared" si="60"/>
        <v>0</v>
      </c>
      <c r="AC66" s="31">
        <f t="shared" si="61"/>
        <v>0</v>
      </c>
      <c r="AD66" s="31">
        <f t="shared" si="62"/>
        <v>0</v>
      </c>
      <c r="AE66" s="31">
        <f t="shared" si="63"/>
        <v>0</v>
      </c>
      <c r="AF66" s="31">
        <f t="shared" si="64"/>
        <v>0</v>
      </c>
      <c r="AG66" s="31">
        <f t="shared" si="65"/>
        <v>0</v>
      </c>
      <c r="AH66" s="31">
        <f t="shared" si="66"/>
        <v>0</v>
      </c>
      <c r="AI66" s="12" t="s">
        <v>54</v>
      </c>
      <c r="AJ66" s="31">
        <f t="shared" si="67"/>
        <v>0</v>
      </c>
      <c r="AK66" s="31">
        <f t="shared" si="68"/>
        <v>0</v>
      </c>
      <c r="AL66" s="31">
        <f t="shared" si="69"/>
        <v>0</v>
      </c>
      <c r="AN66" s="31">
        <v>12</v>
      </c>
      <c r="AO66" s="31">
        <f>H66*0.560640577</f>
        <v>0</v>
      </c>
      <c r="AP66" s="31">
        <f>H66*(1-0.560640577)</f>
        <v>0</v>
      </c>
      <c r="AQ66" s="34" t="s">
        <v>70</v>
      </c>
      <c r="AV66" s="31">
        <f t="shared" si="70"/>
        <v>0</v>
      </c>
      <c r="AW66" s="31">
        <f t="shared" si="71"/>
        <v>0</v>
      </c>
      <c r="AX66" s="31">
        <f t="shared" si="72"/>
        <v>0</v>
      </c>
      <c r="AY66" s="34" t="s">
        <v>185</v>
      </c>
      <c r="AZ66" s="34" t="s">
        <v>92</v>
      </c>
      <c r="BA66" s="12" t="s">
        <v>65</v>
      </c>
      <c r="BC66" s="31">
        <f t="shared" si="73"/>
        <v>0</v>
      </c>
      <c r="BD66" s="31">
        <f t="shared" si="74"/>
        <v>0</v>
      </c>
      <c r="BE66" s="31">
        <v>0</v>
      </c>
      <c r="BF66" s="31">
        <f t="shared" si="75"/>
        <v>1.6049999999999998E-2</v>
      </c>
      <c r="BH66" s="31">
        <f t="shared" si="76"/>
        <v>0</v>
      </c>
      <c r="BI66" s="31">
        <f t="shared" si="77"/>
        <v>0</v>
      </c>
      <c r="BJ66" s="31">
        <f t="shared" si="78"/>
        <v>0</v>
      </c>
      <c r="BK66" s="34" t="s">
        <v>66</v>
      </c>
      <c r="BL66" s="31">
        <v>722</v>
      </c>
      <c r="BW66" s="31">
        <f t="shared" si="79"/>
        <v>0</v>
      </c>
      <c r="BX66" s="4" t="s">
        <v>224</v>
      </c>
    </row>
    <row r="67" spans="1:76" x14ac:dyDescent="0.25">
      <c r="A67" s="2" t="s">
        <v>225</v>
      </c>
      <c r="B67" s="3" t="s">
        <v>54</v>
      </c>
      <c r="C67" s="3" t="s">
        <v>226</v>
      </c>
      <c r="D67" s="83" t="s">
        <v>227</v>
      </c>
      <c r="E67" s="84"/>
      <c r="F67" s="3" t="s">
        <v>60</v>
      </c>
      <c r="G67" s="31">
        <v>150</v>
      </c>
      <c r="H67" s="31"/>
      <c r="I67" s="32"/>
      <c r="J67" s="31">
        <f t="shared" si="54"/>
        <v>0</v>
      </c>
      <c r="K67" s="31">
        <f t="shared" si="55"/>
        <v>0</v>
      </c>
      <c r="L67" s="31">
        <f t="shared" si="56"/>
        <v>0</v>
      </c>
      <c r="M67" s="31">
        <f t="shared" si="57"/>
        <v>0</v>
      </c>
      <c r="N67" s="31">
        <v>1.6199999999999999E-3</v>
      </c>
      <c r="O67" s="31">
        <f t="shared" si="58"/>
        <v>0.24299999999999999</v>
      </c>
      <c r="P67" s="33" t="s">
        <v>69</v>
      </c>
      <c r="Z67" s="31">
        <f t="shared" si="59"/>
        <v>0</v>
      </c>
      <c r="AB67" s="31">
        <f t="shared" si="60"/>
        <v>0</v>
      </c>
      <c r="AC67" s="31">
        <f t="shared" si="61"/>
        <v>0</v>
      </c>
      <c r="AD67" s="31">
        <f t="shared" si="62"/>
        <v>0</v>
      </c>
      <c r="AE67" s="31">
        <f t="shared" si="63"/>
        <v>0</v>
      </c>
      <c r="AF67" s="31">
        <f t="shared" si="64"/>
        <v>0</v>
      </c>
      <c r="AG67" s="31">
        <f t="shared" si="65"/>
        <v>0</v>
      </c>
      <c r="AH67" s="31">
        <f t="shared" si="66"/>
        <v>0</v>
      </c>
      <c r="AI67" s="12" t="s">
        <v>54</v>
      </c>
      <c r="AJ67" s="31">
        <f t="shared" si="67"/>
        <v>0</v>
      </c>
      <c r="AK67" s="31">
        <f t="shared" si="68"/>
        <v>0</v>
      </c>
      <c r="AL67" s="31">
        <f t="shared" si="69"/>
        <v>0</v>
      </c>
      <c r="AN67" s="31">
        <v>12</v>
      </c>
      <c r="AO67" s="31">
        <f>H67*0.684410685</f>
        <v>0</v>
      </c>
      <c r="AP67" s="31">
        <f>H67*(1-0.684410685)</f>
        <v>0</v>
      </c>
      <c r="AQ67" s="34" t="s">
        <v>70</v>
      </c>
      <c r="AV67" s="31">
        <f t="shared" si="70"/>
        <v>0</v>
      </c>
      <c r="AW67" s="31">
        <f t="shared" si="71"/>
        <v>0</v>
      </c>
      <c r="AX67" s="31">
        <f t="shared" si="72"/>
        <v>0</v>
      </c>
      <c r="AY67" s="34" t="s">
        <v>185</v>
      </c>
      <c r="AZ67" s="34" t="s">
        <v>92</v>
      </c>
      <c r="BA67" s="12" t="s">
        <v>65</v>
      </c>
      <c r="BC67" s="31">
        <f t="shared" si="73"/>
        <v>0</v>
      </c>
      <c r="BD67" s="31">
        <f t="shared" si="74"/>
        <v>0</v>
      </c>
      <c r="BE67" s="31">
        <v>0</v>
      </c>
      <c r="BF67" s="31">
        <f t="shared" si="75"/>
        <v>0.24299999999999999</v>
      </c>
      <c r="BH67" s="31">
        <f t="shared" si="76"/>
        <v>0</v>
      </c>
      <c r="BI67" s="31">
        <f t="shared" si="77"/>
        <v>0</v>
      </c>
      <c r="BJ67" s="31">
        <f t="shared" si="78"/>
        <v>0</v>
      </c>
      <c r="BK67" s="34" t="s">
        <v>66</v>
      </c>
      <c r="BL67" s="31">
        <v>722</v>
      </c>
      <c r="BW67" s="31">
        <f t="shared" si="79"/>
        <v>0</v>
      </c>
      <c r="BX67" s="4" t="s">
        <v>227</v>
      </c>
    </row>
    <row r="68" spans="1:76" x14ac:dyDescent="0.25">
      <c r="A68" s="2" t="s">
        <v>228</v>
      </c>
      <c r="B68" s="3" t="s">
        <v>54</v>
      </c>
      <c r="C68" s="3" t="s">
        <v>229</v>
      </c>
      <c r="D68" s="83" t="s">
        <v>230</v>
      </c>
      <c r="E68" s="84"/>
      <c r="F68" s="3" t="s">
        <v>60</v>
      </c>
      <c r="G68" s="31">
        <v>200</v>
      </c>
      <c r="H68" s="31"/>
      <c r="I68" s="32"/>
      <c r="J68" s="31">
        <f t="shared" si="54"/>
        <v>0</v>
      </c>
      <c r="K68" s="31">
        <f t="shared" si="55"/>
        <v>0</v>
      </c>
      <c r="L68" s="31">
        <f t="shared" si="56"/>
        <v>0</v>
      </c>
      <c r="M68" s="31">
        <f t="shared" si="57"/>
        <v>0</v>
      </c>
      <c r="N68" s="31">
        <v>1.9300000000000001E-3</v>
      </c>
      <c r="O68" s="31">
        <f t="shared" si="58"/>
        <v>0.38600000000000001</v>
      </c>
      <c r="P68" s="33" t="s">
        <v>69</v>
      </c>
      <c r="Z68" s="31">
        <f t="shared" si="59"/>
        <v>0</v>
      </c>
      <c r="AB68" s="31">
        <f t="shared" si="60"/>
        <v>0</v>
      </c>
      <c r="AC68" s="31">
        <f t="shared" si="61"/>
        <v>0</v>
      </c>
      <c r="AD68" s="31">
        <f t="shared" si="62"/>
        <v>0</v>
      </c>
      <c r="AE68" s="31">
        <f t="shared" si="63"/>
        <v>0</v>
      </c>
      <c r="AF68" s="31">
        <f t="shared" si="64"/>
        <v>0</v>
      </c>
      <c r="AG68" s="31">
        <f t="shared" si="65"/>
        <v>0</v>
      </c>
      <c r="AH68" s="31">
        <f t="shared" si="66"/>
        <v>0</v>
      </c>
      <c r="AI68" s="12" t="s">
        <v>54</v>
      </c>
      <c r="AJ68" s="31">
        <f t="shared" si="67"/>
        <v>0</v>
      </c>
      <c r="AK68" s="31">
        <f t="shared" si="68"/>
        <v>0</v>
      </c>
      <c r="AL68" s="31">
        <f t="shared" si="69"/>
        <v>0</v>
      </c>
      <c r="AN68" s="31">
        <v>12</v>
      </c>
      <c r="AO68" s="31">
        <f>H68*0.698255234</f>
        <v>0</v>
      </c>
      <c r="AP68" s="31">
        <f>H68*(1-0.698255234)</f>
        <v>0</v>
      </c>
      <c r="AQ68" s="34" t="s">
        <v>70</v>
      </c>
      <c r="AV68" s="31">
        <f t="shared" si="70"/>
        <v>0</v>
      </c>
      <c r="AW68" s="31">
        <f t="shared" si="71"/>
        <v>0</v>
      </c>
      <c r="AX68" s="31">
        <f t="shared" si="72"/>
        <v>0</v>
      </c>
      <c r="AY68" s="34" t="s">
        <v>185</v>
      </c>
      <c r="AZ68" s="34" t="s">
        <v>92</v>
      </c>
      <c r="BA68" s="12" t="s">
        <v>65</v>
      </c>
      <c r="BC68" s="31">
        <f t="shared" si="73"/>
        <v>0</v>
      </c>
      <c r="BD68" s="31">
        <f t="shared" si="74"/>
        <v>0</v>
      </c>
      <c r="BE68" s="31">
        <v>0</v>
      </c>
      <c r="BF68" s="31">
        <f t="shared" si="75"/>
        <v>0.38600000000000001</v>
      </c>
      <c r="BH68" s="31">
        <f t="shared" si="76"/>
        <v>0</v>
      </c>
      <c r="BI68" s="31">
        <f t="shared" si="77"/>
        <v>0</v>
      </c>
      <c r="BJ68" s="31">
        <f t="shared" si="78"/>
        <v>0</v>
      </c>
      <c r="BK68" s="34" t="s">
        <v>66</v>
      </c>
      <c r="BL68" s="31">
        <v>722</v>
      </c>
      <c r="BW68" s="31">
        <f t="shared" si="79"/>
        <v>0</v>
      </c>
      <c r="BX68" s="4" t="s">
        <v>230</v>
      </c>
    </row>
    <row r="69" spans="1:76" x14ac:dyDescent="0.25">
      <c r="A69" s="2" t="s">
        <v>231</v>
      </c>
      <c r="B69" s="3" t="s">
        <v>54</v>
      </c>
      <c r="C69" s="3" t="s">
        <v>232</v>
      </c>
      <c r="D69" s="83" t="s">
        <v>233</v>
      </c>
      <c r="E69" s="84"/>
      <c r="F69" s="3" t="s">
        <v>60</v>
      </c>
      <c r="G69" s="31">
        <v>90</v>
      </c>
      <c r="H69" s="31"/>
      <c r="I69" s="32"/>
      <c r="J69" s="31">
        <f t="shared" si="54"/>
        <v>0</v>
      </c>
      <c r="K69" s="31">
        <f t="shared" si="55"/>
        <v>0</v>
      </c>
      <c r="L69" s="31">
        <f t="shared" si="56"/>
        <v>0</v>
      </c>
      <c r="M69" s="31">
        <f t="shared" si="57"/>
        <v>0</v>
      </c>
      <c r="N69" s="31">
        <v>0</v>
      </c>
      <c r="O69" s="31">
        <f t="shared" si="58"/>
        <v>0</v>
      </c>
      <c r="P69" s="33" t="s">
        <v>69</v>
      </c>
      <c r="Z69" s="31">
        <f t="shared" si="59"/>
        <v>0</v>
      </c>
      <c r="AB69" s="31">
        <f t="shared" si="60"/>
        <v>0</v>
      </c>
      <c r="AC69" s="31">
        <f t="shared" si="61"/>
        <v>0</v>
      </c>
      <c r="AD69" s="31">
        <f t="shared" si="62"/>
        <v>0</v>
      </c>
      <c r="AE69" s="31">
        <f t="shared" si="63"/>
        <v>0</v>
      </c>
      <c r="AF69" s="31">
        <f t="shared" si="64"/>
        <v>0</v>
      </c>
      <c r="AG69" s="31">
        <f t="shared" si="65"/>
        <v>0</v>
      </c>
      <c r="AH69" s="31">
        <f t="shared" si="66"/>
        <v>0</v>
      </c>
      <c r="AI69" s="12" t="s">
        <v>54</v>
      </c>
      <c r="AJ69" s="31">
        <f t="shared" si="67"/>
        <v>0</v>
      </c>
      <c r="AK69" s="31">
        <f t="shared" si="68"/>
        <v>0</v>
      </c>
      <c r="AL69" s="31">
        <f t="shared" si="69"/>
        <v>0</v>
      </c>
      <c r="AN69" s="31">
        <v>12</v>
      </c>
      <c r="AO69" s="31">
        <f>H69*0.013526346</f>
        <v>0</v>
      </c>
      <c r="AP69" s="31">
        <f>H69*(1-0.013526346)</f>
        <v>0</v>
      </c>
      <c r="AQ69" s="34" t="s">
        <v>70</v>
      </c>
      <c r="AV69" s="31">
        <f t="shared" si="70"/>
        <v>0</v>
      </c>
      <c r="AW69" s="31">
        <f t="shared" si="71"/>
        <v>0</v>
      </c>
      <c r="AX69" s="31">
        <f t="shared" si="72"/>
        <v>0</v>
      </c>
      <c r="AY69" s="34" t="s">
        <v>185</v>
      </c>
      <c r="AZ69" s="34" t="s">
        <v>92</v>
      </c>
      <c r="BA69" s="12" t="s">
        <v>65</v>
      </c>
      <c r="BC69" s="31">
        <f t="shared" si="73"/>
        <v>0</v>
      </c>
      <c r="BD69" s="31">
        <f t="shared" si="74"/>
        <v>0</v>
      </c>
      <c r="BE69" s="31">
        <v>0</v>
      </c>
      <c r="BF69" s="31">
        <f t="shared" si="75"/>
        <v>0</v>
      </c>
      <c r="BH69" s="31">
        <f t="shared" si="76"/>
        <v>0</v>
      </c>
      <c r="BI69" s="31">
        <f t="shared" si="77"/>
        <v>0</v>
      </c>
      <c r="BJ69" s="31">
        <f t="shared" si="78"/>
        <v>0</v>
      </c>
      <c r="BK69" s="34" t="s">
        <v>66</v>
      </c>
      <c r="BL69" s="31">
        <v>722</v>
      </c>
      <c r="BW69" s="31">
        <f t="shared" si="79"/>
        <v>0</v>
      </c>
      <c r="BX69" s="4" t="s">
        <v>233</v>
      </c>
    </row>
    <row r="70" spans="1:76" x14ac:dyDescent="0.25">
      <c r="A70" s="2" t="s">
        <v>234</v>
      </c>
      <c r="B70" s="3" t="s">
        <v>54</v>
      </c>
      <c r="C70" s="3" t="s">
        <v>235</v>
      </c>
      <c r="D70" s="83" t="s">
        <v>236</v>
      </c>
      <c r="E70" s="84"/>
      <c r="F70" s="3" t="s">
        <v>60</v>
      </c>
      <c r="G70" s="31">
        <v>195</v>
      </c>
      <c r="H70" s="31"/>
      <c r="I70" s="32"/>
      <c r="J70" s="31">
        <f t="shared" si="54"/>
        <v>0</v>
      </c>
      <c r="K70" s="31">
        <f t="shared" si="55"/>
        <v>0</v>
      </c>
      <c r="L70" s="31">
        <f t="shared" si="56"/>
        <v>0</v>
      </c>
      <c r="M70" s="31">
        <f t="shared" si="57"/>
        <v>0</v>
      </c>
      <c r="N70" s="31">
        <v>0</v>
      </c>
      <c r="O70" s="31">
        <f t="shared" si="58"/>
        <v>0</v>
      </c>
      <c r="P70" s="33" t="s">
        <v>69</v>
      </c>
      <c r="Z70" s="31">
        <f t="shared" si="59"/>
        <v>0</v>
      </c>
      <c r="AB70" s="31">
        <f t="shared" si="60"/>
        <v>0</v>
      </c>
      <c r="AC70" s="31">
        <f t="shared" si="61"/>
        <v>0</v>
      </c>
      <c r="AD70" s="31">
        <f t="shared" si="62"/>
        <v>0</v>
      </c>
      <c r="AE70" s="31">
        <f t="shared" si="63"/>
        <v>0</v>
      </c>
      <c r="AF70" s="31">
        <f t="shared" si="64"/>
        <v>0</v>
      </c>
      <c r="AG70" s="31">
        <f t="shared" si="65"/>
        <v>0</v>
      </c>
      <c r="AH70" s="31">
        <f t="shared" si="66"/>
        <v>0</v>
      </c>
      <c r="AI70" s="12" t="s">
        <v>54</v>
      </c>
      <c r="AJ70" s="31">
        <f t="shared" si="67"/>
        <v>0</v>
      </c>
      <c r="AK70" s="31">
        <f t="shared" si="68"/>
        <v>0</v>
      </c>
      <c r="AL70" s="31">
        <f t="shared" si="69"/>
        <v>0</v>
      </c>
      <c r="AN70" s="31">
        <v>12</v>
      </c>
      <c r="AO70" s="31">
        <f>H70*0.017942164</f>
        <v>0</v>
      </c>
      <c r="AP70" s="31">
        <f>H70*(1-0.017942164)</f>
        <v>0</v>
      </c>
      <c r="AQ70" s="34" t="s">
        <v>70</v>
      </c>
      <c r="AV70" s="31">
        <f t="shared" si="70"/>
        <v>0</v>
      </c>
      <c r="AW70" s="31">
        <f t="shared" si="71"/>
        <v>0</v>
      </c>
      <c r="AX70" s="31">
        <f t="shared" si="72"/>
        <v>0</v>
      </c>
      <c r="AY70" s="34" t="s">
        <v>185</v>
      </c>
      <c r="AZ70" s="34" t="s">
        <v>92</v>
      </c>
      <c r="BA70" s="12" t="s">
        <v>65</v>
      </c>
      <c r="BC70" s="31">
        <f t="shared" si="73"/>
        <v>0</v>
      </c>
      <c r="BD70" s="31">
        <f t="shared" si="74"/>
        <v>0</v>
      </c>
      <c r="BE70" s="31">
        <v>0</v>
      </c>
      <c r="BF70" s="31">
        <f t="shared" si="75"/>
        <v>0</v>
      </c>
      <c r="BH70" s="31">
        <f t="shared" si="76"/>
        <v>0</v>
      </c>
      <c r="BI70" s="31">
        <f t="shared" si="77"/>
        <v>0</v>
      </c>
      <c r="BJ70" s="31">
        <f t="shared" si="78"/>
        <v>0</v>
      </c>
      <c r="BK70" s="34" t="s">
        <v>66</v>
      </c>
      <c r="BL70" s="31">
        <v>722</v>
      </c>
      <c r="BW70" s="31">
        <f t="shared" si="79"/>
        <v>0</v>
      </c>
      <c r="BX70" s="4" t="s">
        <v>236</v>
      </c>
    </row>
    <row r="71" spans="1:76" x14ac:dyDescent="0.25">
      <c r="A71" s="2" t="s">
        <v>237</v>
      </c>
      <c r="B71" s="3" t="s">
        <v>54</v>
      </c>
      <c r="C71" s="3" t="s">
        <v>238</v>
      </c>
      <c r="D71" s="83" t="s">
        <v>239</v>
      </c>
      <c r="E71" s="84"/>
      <c r="F71" s="3" t="s">
        <v>60</v>
      </c>
      <c r="G71" s="31">
        <v>160</v>
      </c>
      <c r="H71" s="31"/>
      <c r="I71" s="32"/>
      <c r="J71" s="31">
        <f t="shared" si="54"/>
        <v>0</v>
      </c>
      <c r="K71" s="31">
        <f t="shared" si="55"/>
        <v>0</v>
      </c>
      <c r="L71" s="31">
        <f t="shared" si="56"/>
        <v>0</v>
      </c>
      <c r="M71" s="31">
        <f t="shared" si="57"/>
        <v>0</v>
      </c>
      <c r="N71" s="31">
        <v>0</v>
      </c>
      <c r="O71" s="31">
        <f t="shared" si="58"/>
        <v>0</v>
      </c>
      <c r="P71" s="33" t="s">
        <v>69</v>
      </c>
      <c r="Z71" s="31">
        <f t="shared" si="59"/>
        <v>0</v>
      </c>
      <c r="AB71" s="31">
        <f t="shared" si="60"/>
        <v>0</v>
      </c>
      <c r="AC71" s="31">
        <f t="shared" si="61"/>
        <v>0</v>
      </c>
      <c r="AD71" s="31">
        <f t="shared" si="62"/>
        <v>0</v>
      </c>
      <c r="AE71" s="31">
        <f t="shared" si="63"/>
        <v>0</v>
      </c>
      <c r="AF71" s="31">
        <f t="shared" si="64"/>
        <v>0</v>
      </c>
      <c r="AG71" s="31">
        <f t="shared" si="65"/>
        <v>0</v>
      </c>
      <c r="AH71" s="31">
        <f t="shared" si="66"/>
        <v>0</v>
      </c>
      <c r="AI71" s="12" t="s">
        <v>54</v>
      </c>
      <c r="AJ71" s="31">
        <f t="shared" si="67"/>
        <v>0</v>
      </c>
      <c r="AK71" s="31">
        <f t="shared" si="68"/>
        <v>0</v>
      </c>
      <c r="AL71" s="31">
        <f t="shared" si="69"/>
        <v>0</v>
      </c>
      <c r="AN71" s="31">
        <v>12</v>
      </c>
      <c r="AO71" s="31">
        <f>H71*0.016586718</f>
        <v>0</v>
      </c>
      <c r="AP71" s="31">
        <f>H71*(1-0.016586718)</f>
        <v>0</v>
      </c>
      <c r="AQ71" s="34" t="s">
        <v>70</v>
      </c>
      <c r="AV71" s="31">
        <f t="shared" si="70"/>
        <v>0</v>
      </c>
      <c r="AW71" s="31">
        <f t="shared" si="71"/>
        <v>0</v>
      </c>
      <c r="AX71" s="31">
        <f t="shared" si="72"/>
        <v>0</v>
      </c>
      <c r="AY71" s="34" t="s">
        <v>185</v>
      </c>
      <c r="AZ71" s="34" t="s">
        <v>92</v>
      </c>
      <c r="BA71" s="12" t="s">
        <v>65</v>
      </c>
      <c r="BC71" s="31">
        <f t="shared" si="73"/>
        <v>0</v>
      </c>
      <c r="BD71" s="31">
        <f t="shared" si="74"/>
        <v>0</v>
      </c>
      <c r="BE71" s="31">
        <v>0</v>
      </c>
      <c r="BF71" s="31">
        <f t="shared" si="75"/>
        <v>0</v>
      </c>
      <c r="BH71" s="31">
        <f t="shared" si="76"/>
        <v>0</v>
      </c>
      <c r="BI71" s="31">
        <f t="shared" si="77"/>
        <v>0</v>
      </c>
      <c r="BJ71" s="31">
        <f t="shared" si="78"/>
        <v>0</v>
      </c>
      <c r="BK71" s="34" t="s">
        <v>66</v>
      </c>
      <c r="BL71" s="31">
        <v>722</v>
      </c>
      <c r="BW71" s="31">
        <f t="shared" si="79"/>
        <v>0</v>
      </c>
      <c r="BX71" s="4" t="s">
        <v>239</v>
      </c>
    </row>
    <row r="72" spans="1:76" x14ac:dyDescent="0.25">
      <c r="A72" s="2" t="s">
        <v>240</v>
      </c>
      <c r="B72" s="3" t="s">
        <v>54</v>
      </c>
      <c r="C72" s="3" t="s">
        <v>241</v>
      </c>
      <c r="D72" s="83" t="s">
        <v>242</v>
      </c>
      <c r="E72" s="84"/>
      <c r="F72" s="3" t="s">
        <v>60</v>
      </c>
      <c r="G72" s="31">
        <v>1710</v>
      </c>
      <c r="H72" s="31"/>
      <c r="I72" s="32"/>
      <c r="J72" s="31">
        <f t="shared" si="54"/>
        <v>0</v>
      </c>
      <c r="K72" s="31">
        <f t="shared" si="55"/>
        <v>0</v>
      </c>
      <c r="L72" s="31">
        <f t="shared" si="56"/>
        <v>0</v>
      </c>
      <c r="M72" s="31">
        <f t="shared" si="57"/>
        <v>0</v>
      </c>
      <c r="N72" s="31">
        <v>1.0000000000000001E-5</v>
      </c>
      <c r="O72" s="31">
        <f t="shared" si="58"/>
        <v>1.7100000000000001E-2</v>
      </c>
      <c r="P72" s="33" t="s">
        <v>69</v>
      </c>
      <c r="Z72" s="31">
        <f t="shared" si="59"/>
        <v>0</v>
      </c>
      <c r="AB72" s="31">
        <f t="shared" si="60"/>
        <v>0</v>
      </c>
      <c r="AC72" s="31">
        <f t="shared" si="61"/>
        <v>0</v>
      </c>
      <c r="AD72" s="31">
        <f t="shared" si="62"/>
        <v>0</v>
      </c>
      <c r="AE72" s="31">
        <f t="shared" si="63"/>
        <v>0</v>
      </c>
      <c r="AF72" s="31">
        <f t="shared" si="64"/>
        <v>0</v>
      </c>
      <c r="AG72" s="31">
        <f t="shared" si="65"/>
        <v>0</v>
      </c>
      <c r="AH72" s="31">
        <f t="shared" si="66"/>
        <v>0</v>
      </c>
      <c r="AI72" s="12" t="s">
        <v>54</v>
      </c>
      <c r="AJ72" s="31">
        <f t="shared" si="67"/>
        <v>0</v>
      </c>
      <c r="AK72" s="31">
        <f t="shared" si="68"/>
        <v>0</v>
      </c>
      <c r="AL72" s="31">
        <f t="shared" si="69"/>
        <v>0</v>
      </c>
      <c r="AN72" s="31">
        <v>12</v>
      </c>
      <c r="AO72" s="31">
        <f>H72*0.047043972</f>
        <v>0</v>
      </c>
      <c r="AP72" s="31">
        <f>H72*(1-0.047043972)</f>
        <v>0</v>
      </c>
      <c r="AQ72" s="34" t="s">
        <v>70</v>
      </c>
      <c r="AV72" s="31">
        <f t="shared" si="70"/>
        <v>0</v>
      </c>
      <c r="AW72" s="31">
        <f t="shared" si="71"/>
        <v>0</v>
      </c>
      <c r="AX72" s="31">
        <f t="shared" si="72"/>
        <v>0</v>
      </c>
      <c r="AY72" s="34" t="s">
        <v>185</v>
      </c>
      <c r="AZ72" s="34" t="s">
        <v>92</v>
      </c>
      <c r="BA72" s="12" t="s">
        <v>65</v>
      </c>
      <c r="BC72" s="31">
        <f t="shared" si="73"/>
        <v>0</v>
      </c>
      <c r="BD72" s="31">
        <f t="shared" si="74"/>
        <v>0</v>
      </c>
      <c r="BE72" s="31">
        <v>0</v>
      </c>
      <c r="BF72" s="31">
        <f t="shared" si="75"/>
        <v>1.7100000000000001E-2</v>
      </c>
      <c r="BH72" s="31">
        <f t="shared" si="76"/>
        <v>0</v>
      </c>
      <c r="BI72" s="31">
        <f t="shared" si="77"/>
        <v>0</v>
      </c>
      <c r="BJ72" s="31">
        <f t="shared" si="78"/>
        <v>0</v>
      </c>
      <c r="BK72" s="34" t="s">
        <v>66</v>
      </c>
      <c r="BL72" s="31">
        <v>722</v>
      </c>
      <c r="BW72" s="31">
        <f t="shared" si="79"/>
        <v>0</v>
      </c>
      <c r="BX72" s="4" t="s">
        <v>242</v>
      </c>
    </row>
    <row r="73" spans="1:76" x14ac:dyDescent="0.25">
      <c r="A73" s="2" t="s">
        <v>243</v>
      </c>
      <c r="B73" s="3" t="s">
        <v>54</v>
      </c>
      <c r="C73" s="3" t="s">
        <v>244</v>
      </c>
      <c r="D73" s="83" t="s">
        <v>245</v>
      </c>
      <c r="E73" s="84"/>
      <c r="F73" s="3" t="s">
        <v>60</v>
      </c>
      <c r="G73" s="31">
        <v>300</v>
      </c>
      <c r="H73" s="31"/>
      <c r="I73" s="32"/>
      <c r="J73" s="31">
        <f t="shared" si="54"/>
        <v>0</v>
      </c>
      <c r="K73" s="31">
        <f t="shared" si="55"/>
        <v>0</v>
      </c>
      <c r="L73" s="31">
        <f t="shared" si="56"/>
        <v>0</v>
      </c>
      <c r="M73" s="31">
        <f t="shared" si="57"/>
        <v>0</v>
      </c>
      <c r="N73" s="31">
        <v>4.0000000000000003E-5</v>
      </c>
      <c r="O73" s="31">
        <f t="shared" si="58"/>
        <v>1.2E-2</v>
      </c>
      <c r="P73" s="33" t="s">
        <v>69</v>
      </c>
      <c r="Z73" s="31">
        <f t="shared" si="59"/>
        <v>0</v>
      </c>
      <c r="AB73" s="31">
        <f t="shared" si="60"/>
        <v>0</v>
      </c>
      <c r="AC73" s="31">
        <f t="shared" si="61"/>
        <v>0</v>
      </c>
      <c r="AD73" s="31">
        <f t="shared" si="62"/>
        <v>0</v>
      </c>
      <c r="AE73" s="31">
        <f t="shared" si="63"/>
        <v>0</v>
      </c>
      <c r="AF73" s="31">
        <f t="shared" si="64"/>
        <v>0</v>
      </c>
      <c r="AG73" s="31">
        <f t="shared" si="65"/>
        <v>0</v>
      </c>
      <c r="AH73" s="31">
        <f t="shared" si="66"/>
        <v>0</v>
      </c>
      <c r="AI73" s="12" t="s">
        <v>54</v>
      </c>
      <c r="AJ73" s="31">
        <f t="shared" si="67"/>
        <v>0</v>
      </c>
      <c r="AK73" s="31">
        <f t="shared" si="68"/>
        <v>0</v>
      </c>
      <c r="AL73" s="31">
        <f t="shared" si="69"/>
        <v>0</v>
      </c>
      <c r="AN73" s="31">
        <v>12</v>
      </c>
      <c r="AO73" s="31">
        <f>H73*0.248868778</f>
        <v>0</v>
      </c>
      <c r="AP73" s="31">
        <f>H73*(1-0.248868778)</f>
        <v>0</v>
      </c>
      <c r="AQ73" s="34" t="s">
        <v>70</v>
      </c>
      <c r="AV73" s="31">
        <f t="shared" si="70"/>
        <v>0</v>
      </c>
      <c r="AW73" s="31">
        <f t="shared" si="71"/>
        <v>0</v>
      </c>
      <c r="AX73" s="31">
        <f t="shared" si="72"/>
        <v>0</v>
      </c>
      <c r="AY73" s="34" t="s">
        <v>185</v>
      </c>
      <c r="AZ73" s="34" t="s">
        <v>92</v>
      </c>
      <c r="BA73" s="12" t="s">
        <v>65</v>
      </c>
      <c r="BC73" s="31">
        <f t="shared" si="73"/>
        <v>0</v>
      </c>
      <c r="BD73" s="31">
        <f t="shared" si="74"/>
        <v>0</v>
      </c>
      <c r="BE73" s="31">
        <v>0</v>
      </c>
      <c r="BF73" s="31">
        <f t="shared" si="75"/>
        <v>1.2E-2</v>
      </c>
      <c r="BH73" s="31">
        <f t="shared" si="76"/>
        <v>0</v>
      </c>
      <c r="BI73" s="31">
        <f t="shared" si="77"/>
        <v>0</v>
      </c>
      <c r="BJ73" s="31">
        <f t="shared" si="78"/>
        <v>0</v>
      </c>
      <c r="BK73" s="34" t="s">
        <v>66</v>
      </c>
      <c r="BL73" s="31">
        <v>722</v>
      </c>
      <c r="BW73" s="31">
        <f t="shared" si="79"/>
        <v>0</v>
      </c>
      <c r="BX73" s="4" t="s">
        <v>245</v>
      </c>
    </row>
    <row r="74" spans="1:76" ht="13.5" customHeight="1" x14ac:dyDescent="0.25">
      <c r="A74" s="39"/>
      <c r="C74" s="40" t="s">
        <v>142</v>
      </c>
      <c r="D74" s="90" t="s">
        <v>246</v>
      </c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2"/>
    </row>
    <row r="75" spans="1:76" x14ac:dyDescent="0.25">
      <c r="A75" s="2" t="s">
        <v>247</v>
      </c>
      <c r="B75" s="3" t="s">
        <v>54</v>
      </c>
      <c r="C75" s="3" t="s">
        <v>248</v>
      </c>
      <c r="D75" s="83" t="s">
        <v>245</v>
      </c>
      <c r="E75" s="84"/>
      <c r="F75" s="3" t="s">
        <v>60</v>
      </c>
      <c r="G75" s="31">
        <v>130</v>
      </c>
      <c r="H75" s="31"/>
      <c r="I75" s="32"/>
      <c r="J75" s="31">
        <f>ROUND(G75*AO75,2)</f>
        <v>0</v>
      </c>
      <c r="K75" s="31">
        <f>ROUND(G75*AP75,2)</f>
        <v>0</v>
      </c>
      <c r="L75" s="31">
        <f>ROUND(G75*H75,2)</f>
        <v>0</v>
      </c>
      <c r="M75" s="31">
        <f>L75*(1+BW75/100)</f>
        <v>0</v>
      </c>
      <c r="N75" s="31">
        <v>6.0000000000000002E-5</v>
      </c>
      <c r="O75" s="31">
        <f>G75*N75</f>
        <v>7.8000000000000005E-3</v>
      </c>
      <c r="P75" s="33" t="s">
        <v>69</v>
      </c>
      <c r="Z75" s="31">
        <f>ROUND(IF(AQ75="5",BJ75,0),2)</f>
        <v>0</v>
      </c>
      <c r="AB75" s="31">
        <f>ROUND(IF(AQ75="1",BH75,0),2)</f>
        <v>0</v>
      </c>
      <c r="AC75" s="31">
        <f>ROUND(IF(AQ75="1",BI75,0),2)</f>
        <v>0</v>
      </c>
      <c r="AD75" s="31">
        <f>ROUND(IF(AQ75="7",BH75,0),2)</f>
        <v>0</v>
      </c>
      <c r="AE75" s="31">
        <f>ROUND(IF(AQ75="7",BI75,0),2)</f>
        <v>0</v>
      </c>
      <c r="AF75" s="31">
        <f>ROUND(IF(AQ75="2",BH75,0),2)</f>
        <v>0</v>
      </c>
      <c r="AG75" s="31">
        <f>ROUND(IF(AQ75="2",BI75,0),2)</f>
        <v>0</v>
      </c>
      <c r="AH75" s="31">
        <f>ROUND(IF(AQ75="0",BJ75,0),2)</f>
        <v>0</v>
      </c>
      <c r="AI75" s="12" t="s">
        <v>54</v>
      </c>
      <c r="AJ75" s="31">
        <f>IF(AN75=0,L75,0)</f>
        <v>0</v>
      </c>
      <c r="AK75" s="31">
        <f>IF(AN75=12,L75,0)</f>
        <v>0</v>
      </c>
      <c r="AL75" s="31">
        <f>IF(AN75=21,L75,0)</f>
        <v>0</v>
      </c>
      <c r="AN75" s="31">
        <v>12</v>
      </c>
      <c r="AO75" s="31">
        <f>H75*0.269338946</f>
        <v>0</v>
      </c>
      <c r="AP75" s="31">
        <f>H75*(1-0.269338946)</f>
        <v>0</v>
      </c>
      <c r="AQ75" s="34" t="s">
        <v>70</v>
      </c>
      <c r="AV75" s="31">
        <f>ROUND(AW75+AX75,2)</f>
        <v>0</v>
      </c>
      <c r="AW75" s="31">
        <f>ROUND(G75*AO75,2)</f>
        <v>0</v>
      </c>
      <c r="AX75" s="31">
        <f>ROUND(G75*AP75,2)</f>
        <v>0</v>
      </c>
      <c r="AY75" s="34" t="s">
        <v>185</v>
      </c>
      <c r="AZ75" s="34" t="s">
        <v>92</v>
      </c>
      <c r="BA75" s="12" t="s">
        <v>65</v>
      </c>
      <c r="BC75" s="31">
        <f>AW75+AX75</f>
        <v>0</v>
      </c>
      <c r="BD75" s="31">
        <f>H75/(100-BE75)*100</f>
        <v>0</v>
      </c>
      <c r="BE75" s="31">
        <v>0</v>
      </c>
      <c r="BF75" s="31">
        <f>O75</f>
        <v>7.8000000000000005E-3</v>
      </c>
      <c r="BH75" s="31">
        <f>G75*AO75</f>
        <v>0</v>
      </c>
      <c r="BI75" s="31">
        <f>G75*AP75</f>
        <v>0</v>
      </c>
      <c r="BJ75" s="31">
        <f>G75*H75</f>
        <v>0</v>
      </c>
      <c r="BK75" s="34" t="s">
        <v>66</v>
      </c>
      <c r="BL75" s="31">
        <v>722</v>
      </c>
      <c r="BW75" s="31">
        <f>I75</f>
        <v>0</v>
      </c>
      <c r="BX75" s="4" t="s">
        <v>245</v>
      </c>
    </row>
    <row r="76" spans="1:76" ht="13.5" customHeight="1" x14ac:dyDescent="0.25">
      <c r="A76" s="39"/>
      <c r="C76" s="40" t="s">
        <v>142</v>
      </c>
      <c r="D76" s="90" t="s">
        <v>249</v>
      </c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2"/>
    </row>
    <row r="77" spans="1:76" x14ac:dyDescent="0.25">
      <c r="A77" s="2" t="s">
        <v>250</v>
      </c>
      <c r="B77" s="3" t="s">
        <v>54</v>
      </c>
      <c r="C77" s="3" t="s">
        <v>251</v>
      </c>
      <c r="D77" s="83" t="s">
        <v>245</v>
      </c>
      <c r="E77" s="84"/>
      <c r="F77" s="3" t="s">
        <v>60</v>
      </c>
      <c r="G77" s="31">
        <v>70</v>
      </c>
      <c r="H77" s="31"/>
      <c r="I77" s="32"/>
      <c r="J77" s="31">
        <f>ROUND(G77*AO77,2)</f>
        <v>0</v>
      </c>
      <c r="K77" s="31">
        <f>ROUND(G77*AP77,2)</f>
        <v>0</v>
      </c>
      <c r="L77" s="31">
        <f>ROUND(G77*H77,2)</f>
        <v>0</v>
      </c>
      <c r="M77" s="31">
        <f>L77*(1+BW77/100)</f>
        <v>0</v>
      </c>
      <c r="N77" s="31">
        <v>6.0000000000000002E-5</v>
      </c>
      <c r="O77" s="31">
        <f>G77*N77</f>
        <v>4.1999999999999997E-3</v>
      </c>
      <c r="P77" s="33" t="s">
        <v>69</v>
      </c>
      <c r="Z77" s="31">
        <f>ROUND(IF(AQ77="5",BJ77,0),2)</f>
        <v>0</v>
      </c>
      <c r="AB77" s="31">
        <f>ROUND(IF(AQ77="1",BH77,0),2)</f>
        <v>0</v>
      </c>
      <c r="AC77" s="31">
        <f>ROUND(IF(AQ77="1",BI77,0),2)</f>
        <v>0</v>
      </c>
      <c r="AD77" s="31">
        <f>ROUND(IF(AQ77="7",BH77,0),2)</f>
        <v>0</v>
      </c>
      <c r="AE77" s="31">
        <f>ROUND(IF(AQ77="7",BI77,0),2)</f>
        <v>0</v>
      </c>
      <c r="AF77" s="31">
        <f>ROUND(IF(AQ77="2",BH77,0),2)</f>
        <v>0</v>
      </c>
      <c r="AG77" s="31">
        <f>ROUND(IF(AQ77="2",BI77,0),2)</f>
        <v>0</v>
      </c>
      <c r="AH77" s="31">
        <f>ROUND(IF(AQ77="0",BJ77,0),2)</f>
        <v>0</v>
      </c>
      <c r="AI77" s="12" t="s">
        <v>54</v>
      </c>
      <c r="AJ77" s="31">
        <f>IF(AN77=0,L77,0)</f>
        <v>0</v>
      </c>
      <c r="AK77" s="31">
        <f>IF(AN77=12,L77,0)</f>
        <v>0</v>
      </c>
      <c r="AL77" s="31">
        <f>IF(AN77=21,L77,0)</f>
        <v>0</v>
      </c>
      <c r="AN77" s="31">
        <v>12</v>
      </c>
      <c r="AO77" s="31">
        <f>H77*0.311569365</f>
        <v>0</v>
      </c>
      <c r="AP77" s="31">
        <f>H77*(1-0.311569365)</f>
        <v>0</v>
      </c>
      <c r="AQ77" s="34" t="s">
        <v>70</v>
      </c>
      <c r="AV77" s="31">
        <f>ROUND(AW77+AX77,2)</f>
        <v>0</v>
      </c>
      <c r="AW77" s="31">
        <f>ROUND(G77*AO77,2)</f>
        <v>0</v>
      </c>
      <c r="AX77" s="31">
        <f>ROUND(G77*AP77,2)</f>
        <v>0</v>
      </c>
      <c r="AY77" s="34" t="s">
        <v>185</v>
      </c>
      <c r="AZ77" s="34" t="s">
        <v>92</v>
      </c>
      <c r="BA77" s="12" t="s">
        <v>65</v>
      </c>
      <c r="BC77" s="31">
        <f>AW77+AX77</f>
        <v>0</v>
      </c>
      <c r="BD77" s="31">
        <f>H77/(100-BE77)*100</f>
        <v>0</v>
      </c>
      <c r="BE77" s="31">
        <v>0</v>
      </c>
      <c r="BF77" s="31">
        <f>O77</f>
        <v>4.1999999999999997E-3</v>
      </c>
      <c r="BH77" s="31">
        <f>G77*AO77</f>
        <v>0</v>
      </c>
      <c r="BI77" s="31">
        <f>G77*AP77</f>
        <v>0</v>
      </c>
      <c r="BJ77" s="31">
        <f>G77*H77</f>
        <v>0</v>
      </c>
      <c r="BK77" s="34" t="s">
        <v>66</v>
      </c>
      <c r="BL77" s="31">
        <v>722</v>
      </c>
      <c r="BW77" s="31">
        <f>I77</f>
        <v>0</v>
      </c>
      <c r="BX77" s="4" t="s">
        <v>245</v>
      </c>
    </row>
    <row r="78" spans="1:76" ht="13.5" customHeight="1" x14ac:dyDescent="0.25">
      <c r="A78" s="39"/>
      <c r="C78" s="40" t="s">
        <v>142</v>
      </c>
      <c r="D78" s="90" t="s">
        <v>252</v>
      </c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2"/>
    </row>
    <row r="79" spans="1:76" x14ac:dyDescent="0.25">
      <c r="A79" s="2" t="s">
        <v>253</v>
      </c>
      <c r="B79" s="3" t="s">
        <v>54</v>
      </c>
      <c r="C79" s="3" t="s">
        <v>254</v>
      </c>
      <c r="D79" s="83" t="s">
        <v>245</v>
      </c>
      <c r="E79" s="84"/>
      <c r="F79" s="3" t="s">
        <v>60</v>
      </c>
      <c r="G79" s="31">
        <v>85</v>
      </c>
      <c r="H79" s="31"/>
      <c r="I79" s="32"/>
      <c r="J79" s="31">
        <f>ROUND(G79*AO79,2)</f>
        <v>0</v>
      </c>
      <c r="K79" s="31">
        <f>ROUND(G79*AP79,2)</f>
        <v>0</v>
      </c>
      <c r="L79" s="31">
        <f>ROUND(G79*H79,2)</f>
        <v>0</v>
      </c>
      <c r="M79" s="31">
        <f>L79*(1+BW79/100)</f>
        <v>0</v>
      </c>
      <c r="N79" s="31">
        <v>1.1E-4</v>
      </c>
      <c r="O79" s="31">
        <f>G79*N79</f>
        <v>9.3500000000000007E-3</v>
      </c>
      <c r="P79" s="33" t="s">
        <v>69</v>
      </c>
      <c r="Z79" s="31">
        <f>ROUND(IF(AQ79="5",BJ79,0),2)</f>
        <v>0</v>
      </c>
      <c r="AB79" s="31">
        <f>ROUND(IF(AQ79="1",BH79,0),2)</f>
        <v>0</v>
      </c>
      <c r="AC79" s="31">
        <f>ROUND(IF(AQ79="1",BI79,0),2)</f>
        <v>0</v>
      </c>
      <c r="AD79" s="31">
        <f>ROUND(IF(AQ79="7",BH79,0),2)</f>
        <v>0</v>
      </c>
      <c r="AE79" s="31">
        <f>ROUND(IF(AQ79="7",BI79,0),2)</f>
        <v>0</v>
      </c>
      <c r="AF79" s="31">
        <f>ROUND(IF(AQ79="2",BH79,0),2)</f>
        <v>0</v>
      </c>
      <c r="AG79" s="31">
        <f>ROUND(IF(AQ79="2",BI79,0),2)</f>
        <v>0</v>
      </c>
      <c r="AH79" s="31">
        <f>ROUND(IF(AQ79="0",BJ79,0),2)</f>
        <v>0</v>
      </c>
      <c r="AI79" s="12" t="s">
        <v>54</v>
      </c>
      <c r="AJ79" s="31">
        <f>IF(AN79=0,L79,0)</f>
        <v>0</v>
      </c>
      <c r="AK79" s="31">
        <f>IF(AN79=12,L79,0)</f>
        <v>0</v>
      </c>
      <c r="AL79" s="31">
        <f>IF(AN79=21,L79,0)</f>
        <v>0</v>
      </c>
      <c r="AN79" s="31">
        <v>12</v>
      </c>
      <c r="AO79" s="31">
        <f>H79*0.304482759</f>
        <v>0</v>
      </c>
      <c r="AP79" s="31">
        <f>H79*(1-0.304482759)</f>
        <v>0</v>
      </c>
      <c r="AQ79" s="34" t="s">
        <v>70</v>
      </c>
      <c r="AV79" s="31">
        <f>ROUND(AW79+AX79,2)</f>
        <v>0</v>
      </c>
      <c r="AW79" s="31">
        <f>ROUND(G79*AO79,2)</f>
        <v>0</v>
      </c>
      <c r="AX79" s="31">
        <f>ROUND(G79*AP79,2)</f>
        <v>0</v>
      </c>
      <c r="AY79" s="34" t="s">
        <v>185</v>
      </c>
      <c r="AZ79" s="34" t="s">
        <v>92</v>
      </c>
      <c r="BA79" s="12" t="s">
        <v>65</v>
      </c>
      <c r="BC79" s="31">
        <f>AW79+AX79</f>
        <v>0</v>
      </c>
      <c r="BD79" s="31">
        <f>H79/(100-BE79)*100</f>
        <v>0</v>
      </c>
      <c r="BE79" s="31">
        <v>0</v>
      </c>
      <c r="BF79" s="31">
        <f>O79</f>
        <v>9.3500000000000007E-3</v>
      </c>
      <c r="BH79" s="31">
        <f>G79*AO79</f>
        <v>0</v>
      </c>
      <c r="BI79" s="31">
        <f>G79*AP79</f>
        <v>0</v>
      </c>
      <c r="BJ79" s="31">
        <f>G79*H79</f>
        <v>0</v>
      </c>
      <c r="BK79" s="34" t="s">
        <v>66</v>
      </c>
      <c r="BL79" s="31">
        <v>722</v>
      </c>
      <c r="BW79" s="31">
        <f>I79</f>
        <v>0</v>
      </c>
      <c r="BX79" s="4" t="s">
        <v>245</v>
      </c>
    </row>
    <row r="80" spans="1:76" ht="13.5" customHeight="1" x14ac:dyDescent="0.25">
      <c r="A80" s="39"/>
      <c r="C80" s="40" t="s">
        <v>142</v>
      </c>
      <c r="D80" s="90" t="s">
        <v>255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2"/>
    </row>
    <row r="81" spans="1:76" x14ac:dyDescent="0.25">
      <c r="A81" s="2" t="s">
        <v>256</v>
      </c>
      <c r="B81" s="3" t="s">
        <v>54</v>
      </c>
      <c r="C81" s="3" t="s">
        <v>257</v>
      </c>
      <c r="D81" s="83" t="s">
        <v>245</v>
      </c>
      <c r="E81" s="84"/>
      <c r="F81" s="3" t="s">
        <v>60</v>
      </c>
      <c r="G81" s="31">
        <v>0</v>
      </c>
      <c r="H81" s="31"/>
      <c r="I81" s="32"/>
      <c r="J81" s="31">
        <f>ROUND(G81*AO81,2)</f>
        <v>0</v>
      </c>
      <c r="K81" s="31">
        <f>ROUND(G81*AP81,2)</f>
        <v>0</v>
      </c>
      <c r="L81" s="31">
        <f>ROUND(G81*H81,2)</f>
        <v>0</v>
      </c>
      <c r="M81" s="31">
        <f>L81*(1+BW81/100)</f>
        <v>0</v>
      </c>
      <c r="N81" s="31">
        <v>1.3999999999999999E-4</v>
      </c>
      <c r="O81" s="31">
        <f>G81*N81</f>
        <v>0</v>
      </c>
      <c r="P81" s="33" t="s">
        <v>69</v>
      </c>
      <c r="Z81" s="31">
        <f>ROUND(IF(AQ81="5",BJ81,0),2)</f>
        <v>0</v>
      </c>
      <c r="AB81" s="31">
        <f>ROUND(IF(AQ81="1",BH81,0),2)</f>
        <v>0</v>
      </c>
      <c r="AC81" s="31">
        <f>ROUND(IF(AQ81="1",BI81,0),2)</f>
        <v>0</v>
      </c>
      <c r="AD81" s="31">
        <f>ROUND(IF(AQ81="7",BH81,0),2)</f>
        <v>0</v>
      </c>
      <c r="AE81" s="31">
        <f>ROUND(IF(AQ81="7",BI81,0),2)</f>
        <v>0</v>
      </c>
      <c r="AF81" s="31">
        <f>ROUND(IF(AQ81="2",BH81,0),2)</f>
        <v>0</v>
      </c>
      <c r="AG81" s="31">
        <f>ROUND(IF(AQ81="2",BI81,0),2)</f>
        <v>0</v>
      </c>
      <c r="AH81" s="31">
        <f>ROUND(IF(AQ81="0",BJ81,0),2)</f>
        <v>0</v>
      </c>
      <c r="AI81" s="12" t="s">
        <v>54</v>
      </c>
      <c r="AJ81" s="31">
        <f>IF(AN81=0,L81,0)</f>
        <v>0</v>
      </c>
      <c r="AK81" s="31">
        <f>IF(AN81=12,L81,0)</f>
        <v>0</v>
      </c>
      <c r="AL81" s="31">
        <f>IF(AN81=21,L81,0)</f>
        <v>0</v>
      </c>
      <c r="AN81" s="31">
        <v>12</v>
      </c>
      <c r="AO81" s="31">
        <f>H81*0</f>
        <v>0</v>
      </c>
      <c r="AP81" s="31">
        <f>H81*(1-0)</f>
        <v>0</v>
      </c>
      <c r="AQ81" s="34" t="s">
        <v>70</v>
      </c>
      <c r="AV81" s="31">
        <f>ROUND(AW81+AX81,2)</f>
        <v>0</v>
      </c>
      <c r="AW81" s="31">
        <f>ROUND(G81*AO81,2)</f>
        <v>0</v>
      </c>
      <c r="AX81" s="31">
        <f>ROUND(G81*AP81,2)</f>
        <v>0</v>
      </c>
      <c r="AY81" s="34" t="s">
        <v>185</v>
      </c>
      <c r="AZ81" s="34" t="s">
        <v>92</v>
      </c>
      <c r="BA81" s="12" t="s">
        <v>65</v>
      </c>
      <c r="BC81" s="31">
        <f>AW81+AX81</f>
        <v>0</v>
      </c>
      <c r="BD81" s="31">
        <f>H81/(100-BE81)*100</f>
        <v>0</v>
      </c>
      <c r="BE81" s="31">
        <v>0</v>
      </c>
      <c r="BF81" s="31">
        <f>O81</f>
        <v>0</v>
      </c>
      <c r="BH81" s="31">
        <f>G81*AO81</f>
        <v>0</v>
      </c>
      <c r="BI81" s="31">
        <f>G81*AP81</f>
        <v>0</v>
      </c>
      <c r="BJ81" s="31">
        <f>G81*H81</f>
        <v>0</v>
      </c>
      <c r="BK81" s="34" t="s">
        <v>66</v>
      </c>
      <c r="BL81" s="31">
        <v>722</v>
      </c>
      <c r="BW81" s="31">
        <f>I81</f>
        <v>0</v>
      </c>
      <c r="BX81" s="4" t="s">
        <v>245</v>
      </c>
    </row>
    <row r="82" spans="1:76" ht="13.5" customHeight="1" x14ac:dyDescent="0.25">
      <c r="A82" s="39"/>
      <c r="C82" s="40" t="s">
        <v>142</v>
      </c>
      <c r="D82" s="90" t="s">
        <v>258</v>
      </c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2"/>
    </row>
    <row r="83" spans="1:76" x14ac:dyDescent="0.25">
      <c r="A83" s="2" t="s">
        <v>259</v>
      </c>
      <c r="B83" s="3" t="s">
        <v>54</v>
      </c>
      <c r="C83" s="3" t="s">
        <v>260</v>
      </c>
      <c r="D83" s="83" t="s">
        <v>245</v>
      </c>
      <c r="E83" s="84"/>
      <c r="F83" s="3" t="s">
        <v>60</v>
      </c>
      <c r="G83" s="31">
        <v>0</v>
      </c>
      <c r="H83" s="31"/>
      <c r="I83" s="32"/>
      <c r="J83" s="31">
        <f>ROUND(G83*AO83,2)</f>
        <v>0</v>
      </c>
      <c r="K83" s="31">
        <f>ROUND(G83*AP83,2)</f>
        <v>0</v>
      </c>
      <c r="L83" s="31">
        <f>ROUND(G83*H83,2)</f>
        <v>0</v>
      </c>
      <c r="M83" s="31">
        <f>L83*(1+BW83/100)</f>
        <v>0</v>
      </c>
      <c r="N83" s="31">
        <v>1.9000000000000001E-4</v>
      </c>
      <c r="O83" s="31">
        <f>G83*N83</f>
        <v>0</v>
      </c>
      <c r="P83" s="33" t="s">
        <v>69</v>
      </c>
      <c r="Z83" s="31">
        <f>ROUND(IF(AQ83="5",BJ83,0),2)</f>
        <v>0</v>
      </c>
      <c r="AB83" s="31">
        <f>ROUND(IF(AQ83="1",BH83,0),2)</f>
        <v>0</v>
      </c>
      <c r="AC83" s="31">
        <f>ROUND(IF(AQ83="1",BI83,0),2)</f>
        <v>0</v>
      </c>
      <c r="AD83" s="31">
        <f>ROUND(IF(AQ83="7",BH83,0),2)</f>
        <v>0</v>
      </c>
      <c r="AE83" s="31">
        <f>ROUND(IF(AQ83="7",BI83,0),2)</f>
        <v>0</v>
      </c>
      <c r="AF83" s="31">
        <f>ROUND(IF(AQ83="2",BH83,0),2)</f>
        <v>0</v>
      </c>
      <c r="AG83" s="31">
        <f>ROUND(IF(AQ83="2",BI83,0),2)</f>
        <v>0</v>
      </c>
      <c r="AH83" s="31">
        <f>ROUND(IF(AQ83="0",BJ83,0),2)</f>
        <v>0</v>
      </c>
      <c r="AI83" s="12" t="s">
        <v>54</v>
      </c>
      <c r="AJ83" s="31">
        <f>IF(AN83=0,L83,0)</f>
        <v>0</v>
      </c>
      <c r="AK83" s="31">
        <f>IF(AN83=12,L83,0)</f>
        <v>0</v>
      </c>
      <c r="AL83" s="31">
        <f>IF(AN83=21,L83,0)</f>
        <v>0</v>
      </c>
      <c r="AN83" s="31">
        <v>12</v>
      </c>
      <c r="AO83" s="31">
        <f>H83*0</f>
        <v>0</v>
      </c>
      <c r="AP83" s="31">
        <f>H83*(1-0)</f>
        <v>0</v>
      </c>
      <c r="AQ83" s="34" t="s">
        <v>70</v>
      </c>
      <c r="AV83" s="31">
        <f>ROUND(AW83+AX83,2)</f>
        <v>0</v>
      </c>
      <c r="AW83" s="31">
        <f>ROUND(G83*AO83,2)</f>
        <v>0</v>
      </c>
      <c r="AX83" s="31">
        <f>ROUND(G83*AP83,2)</f>
        <v>0</v>
      </c>
      <c r="AY83" s="34" t="s">
        <v>185</v>
      </c>
      <c r="AZ83" s="34" t="s">
        <v>92</v>
      </c>
      <c r="BA83" s="12" t="s">
        <v>65</v>
      </c>
      <c r="BC83" s="31">
        <f>AW83+AX83</f>
        <v>0</v>
      </c>
      <c r="BD83" s="31">
        <f>H83/(100-BE83)*100</f>
        <v>0</v>
      </c>
      <c r="BE83" s="31">
        <v>0</v>
      </c>
      <c r="BF83" s="31">
        <f>O83</f>
        <v>0</v>
      </c>
      <c r="BH83" s="31">
        <f>G83*AO83</f>
        <v>0</v>
      </c>
      <c r="BI83" s="31">
        <f>G83*AP83</f>
        <v>0</v>
      </c>
      <c r="BJ83" s="31">
        <f>G83*H83</f>
        <v>0</v>
      </c>
      <c r="BK83" s="34" t="s">
        <v>66</v>
      </c>
      <c r="BL83" s="31">
        <v>722</v>
      </c>
      <c r="BW83" s="31">
        <f>I83</f>
        <v>0</v>
      </c>
      <c r="BX83" s="4" t="s">
        <v>245</v>
      </c>
    </row>
    <row r="84" spans="1:76" ht="13.5" customHeight="1" x14ac:dyDescent="0.25">
      <c r="A84" s="39"/>
      <c r="C84" s="40" t="s">
        <v>142</v>
      </c>
      <c r="D84" s="90" t="s">
        <v>261</v>
      </c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2"/>
    </row>
    <row r="85" spans="1:76" x14ac:dyDescent="0.25">
      <c r="A85" s="2" t="s">
        <v>262</v>
      </c>
      <c r="B85" s="3" t="s">
        <v>54</v>
      </c>
      <c r="C85" s="3" t="s">
        <v>263</v>
      </c>
      <c r="D85" s="83" t="s">
        <v>245</v>
      </c>
      <c r="E85" s="84"/>
      <c r="F85" s="3" t="s">
        <v>60</v>
      </c>
      <c r="G85" s="31">
        <v>45</v>
      </c>
      <c r="H85" s="31"/>
      <c r="I85" s="32"/>
      <c r="J85" s="31">
        <f>ROUND(G85*AO85,2)</f>
        <v>0</v>
      </c>
      <c r="K85" s="31">
        <f>ROUND(G85*AP85,2)</f>
        <v>0</v>
      </c>
      <c r="L85" s="31">
        <f>ROUND(G85*H85,2)</f>
        <v>0</v>
      </c>
      <c r="M85" s="31">
        <f>L85*(1+BW85/100)</f>
        <v>0</v>
      </c>
      <c r="N85" s="31">
        <v>2.0000000000000001E-4</v>
      </c>
      <c r="O85" s="31">
        <f>G85*N85</f>
        <v>9.0000000000000011E-3</v>
      </c>
      <c r="P85" s="33" t="s">
        <v>69</v>
      </c>
      <c r="Z85" s="31">
        <f>ROUND(IF(AQ85="5",BJ85,0),2)</f>
        <v>0</v>
      </c>
      <c r="AB85" s="31">
        <f>ROUND(IF(AQ85="1",BH85,0),2)</f>
        <v>0</v>
      </c>
      <c r="AC85" s="31">
        <f>ROUND(IF(AQ85="1",BI85,0),2)</f>
        <v>0</v>
      </c>
      <c r="AD85" s="31">
        <f>ROUND(IF(AQ85="7",BH85,0),2)</f>
        <v>0</v>
      </c>
      <c r="AE85" s="31">
        <f>ROUND(IF(AQ85="7",BI85,0),2)</f>
        <v>0</v>
      </c>
      <c r="AF85" s="31">
        <f>ROUND(IF(AQ85="2",BH85,0),2)</f>
        <v>0</v>
      </c>
      <c r="AG85" s="31">
        <f>ROUND(IF(AQ85="2",BI85,0),2)</f>
        <v>0</v>
      </c>
      <c r="AH85" s="31">
        <f>ROUND(IF(AQ85="0",BJ85,0),2)</f>
        <v>0</v>
      </c>
      <c r="AI85" s="12" t="s">
        <v>54</v>
      </c>
      <c r="AJ85" s="31">
        <f>IF(AN85=0,L85,0)</f>
        <v>0</v>
      </c>
      <c r="AK85" s="31">
        <f>IF(AN85=12,L85,0)</f>
        <v>0</v>
      </c>
      <c r="AL85" s="31">
        <f>IF(AN85=21,L85,0)</f>
        <v>0</v>
      </c>
      <c r="AN85" s="31">
        <v>12</v>
      </c>
      <c r="AO85" s="31">
        <f>H85*0.343942993</f>
        <v>0</v>
      </c>
      <c r="AP85" s="31">
        <f>H85*(1-0.343942993)</f>
        <v>0</v>
      </c>
      <c r="AQ85" s="34" t="s">
        <v>70</v>
      </c>
      <c r="AV85" s="31">
        <f>ROUND(AW85+AX85,2)</f>
        <v>0</v>
      </c>
      <c r="AW85" s="31">
        <f>ROUND(G85*AO85,2)</f>
        <v>0</v>
      </c>
      <c r="AX85" s="31">
        <f>ROUND(G85*AP85,2)</f>
        <v>0</v>
      </c>
      <c r="AY85" s="34" t="s">
        <v>185</v>
      </c>
      <c r="AZ85" s="34" t="s">
        <v>92</v>
      </c>
      <c r="BA85" s="12" t="s">
        <v>65</v>
      </c>
      <c r="BC85" s="31">
        <f>AW85+AX85</f>
        <v>0</v>
      </c>
      <c r="BD85" s="31">
        <f>H85/(100-BE85)*100</f>
        <v>0</v>
      </c>
      <c r="BE85" s="31">
        <v>0</v>
      </c>
      <c r="BF85" s="31">
        <f>O85</f>
        <v>9.0000000000000011E-3</v>
      </c>
      <c r="BH85" s="31">
        <f>G85*AO85</f>
        <v>0</v>
      </c>
      <c r="BI85" s="31">
        <f>G85*AP85</f>
        <v>0</v>
      </c>
      <c r="BJ85" s="31">
        <f>G85*H85</f>
        <v>0</v>
      </c>
      <c r="BK85" s="34" t="s">
        <v>66</v>
      </c>
      <c r="BL85" s="31">
        <v>722</v>
      </c>
      <c r="BW85" s="31">
        <f>I85</f>
        <v>0</v>
      </c>
      <c r="BX85" s="4" t="s">
        <v>245</v>
      </c>
    </row>
    <row r="86" spans="1:76" ht="13.5" customHeight="1" x14ac:dyDescent="0.25">
      <c r="A86" s="39"/>
      <c r="C86" s="40" t="s">
        <v>142</v>
      </c>
      <c r="D86" s="90" t="s">
        <v>264</v>
      </c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2"/>
    </row>
    <row r="87" spans="1:76" x14ac:dyDescent="0.25">
      <c r="A87" s="2" t="s">
        <v>265</v>
      </c>
      <c r="B87" s="3" t="s">
        <v>54</v>
      </c>
      <c r="C87" s="3" t="s">
        <v>266</v>
      </c>
      <c r="D87" s="83" t="s">
        <v>267</v>
      </c>
      <c r="E87" s="84"/>
      <c r="F87" s="3" t="s">
        <v>60</v>
      </c>
      <c r="G87" s="31">
        <v>0</v>
      </c>
      <c r="H87" s="31"/>
      <c r="I87" s="32"/>
      <c r="J87" s="31">
        <f>ROUND(G87*AO87,2)</f>
        <v>0</v>
      </c>
      <c r="K87" s="31">
        <f>ROUND(G87*AP87,2)</f>
        <v>0</v>
      </c>
      <c r="L87" s="31">
        <f>ROUND(G87*H87,2)</f>
        <v>0</v>
      </c>
      <c r="M87" s="31">
        <f>L87*(1+BW87/100)</f>
        <v>0</v>
      </c>
      <c r="N87" s="31">
        <v>5.0000000000000002E-5</v>
      </c>
      <c r="O87" s="31">
        <f>G87*N87</f>
        <v>0</v>
      </c>
      <c r="P87" s="33" t="s">
        <v>69</v>
      </c>
      <c r="Z87" s="31">
        <f>ROUND(IF(AQ87="5",BJ87,0),2)</f>
        <v>0</v>
      </c>
      <c r="AB87" s="31">
        <f>ROUND(IF(AQ87="1",BH87,0),2)</f>
        <v>0</v>
      </c>
      <c r="AC87" s="31">
        <f>ROUND(IF(AQ87="1",BI87,0),2)</f>
        <v>0</v>
      </c>
      <c r="AD87" s="31">
        <f>ROUND(IF(AQ87="7",BH87,0),2)</f>
        <v>0</v>
      </c>
      <c r="AE87" s="31">
        <f>ROUND(IF(AQ87="7",BI87,0),2)</f>
        <v>0</v>
      </c>
      <c r="AF87" s="31">
        <f>ROUND(IF(AQ87="2",BH87,0),2)</f>
        <v>0</v>
      </c>
      <c r="AG87" s="31">
        <f>ROUND(IF(AQ87="2",BI87,0),2)</f>
        <v>0</v>
      </c>
      <c r="AH87" s="31">
        <f>ROUND(IF(AQ87="0",BJ87,0),2)</f>
        <v>0</v>
      </c>
      <c r="AI87" s="12" t="s">
        <v>54</v>
      </c>
      <c r="AJ87" s="31">
        <f>IF(AN87=0,L87,0)</f>
        <v>0</v>
      </c>
      <c r="AK87" s="31">
        <f>IF(AN87=12,L87,0)</f>
        <v>0</v>
      </c>
      <c r="AL87" s="31">
        <f>IF(AN87=21,L87,0)</f>
        <v>0</v>
      </c>
      <c r="AN87" s="31">
        <v>12</v>
      </c>
      <c r="AO87" s="31">
        <f>H87*0</f>
        <v>0</v>
      </c>
      <c r="AP87" s="31">
        <f>H87*(1-0)</f>
        <v>0</v>
      </c>
      <c r="AQ87" s="34" t="s">
        <v>70</v>
      </c>
      <c r="AV87" s="31">
        <f>ROUND(AW87+AX87,2)</f>
        <v>0</v>
      </c>
      <c r="AW87" s="31">
        <f>ROUND(G87*AO87,2)</f>
        <v>0</v>
      </c>
      <c r="AX87" s="31">
        <f>ROUND(G87*AP87,2)</f>
        <v>0</v>
      </c>
      <c r="AY87" s="34" t="s">
        <v>185</v>
      </c>
      <c r="AZ87" s="34" t="s">
        <v>92</v>
      </c>
      <c r="BA87" s="12" t="s">
        <v>65</v>
      </c>
      <c r="BC87" s="31">
        <f>AW87+AX87</f>
        <v>0</v>
      </c>
      <c r="BD87" s="31">
        <f>H87/(100-BE87)*100</f>
        <v>0</v>
      </c>
      <c r="BE87" s="31">
        <v>0</v>
      </c>
      <c r="BF87" s="31">
        <f>O87</f>
        <v>0</v>
      </c>
      <c r="BH87" s="31">
        <f>G87*AO87</f>
        <v>0</v>
      </c>
      <c r="BI87" s="31">
        <f>G87*AP87</f>
        <v>0</v>
      </c>
      <c r="BJ87" s="31">
        <f>G87*H87</f>
        <v>0</v>
      </c>
      <c r="BK87" s="34" t="s">
        <v>66</v>
      </c>
      <c r="BL87" s="31">
        <v>722</v>
      </c>
      <c r="BW87" s="31">
        <f>I87</f>
        <v>0</v>
      </c>
      <c r="BX87" s="4" t="s">
        <v>267</v>
      </c>
    </row>
    <row r="88" spans="1:76" ht="13.5" customHeight="1" x14ac:dyDescent="0.25">
      <c r="A88" s="39"/>
      <c r="C88" s="40" t="s">
        <v>142</v>
      </c>
      <c r="D88" s="90" t="s">
        <v>246</v>
      </c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2"/>
    </row>
    <row r="89" spans="1:76" x14ac:dyDescent="0.25">
      <c r="A89" s="2" t="s">
        <v>268</v>
      </c>
      <c r="B89" s="3" t="s">
        <v>54</v>
      </c>
      <c r="C89" s="3" t="s">
        <v>269</v>
      </c>
      <c r="D89" s="83" t="s">
        <v>267</v>
      </c>
      <c r="E89" s="84"/>
      <c r="F89" s="3" t="s">
        <v>60</v>
      </c>
      <c r="G89" s="31">
        <v>0</v>
      </c>
      <c r="H89" s="31"/>
      <c r="I89" s="32"/>
      <c r="J89" s="31">
        <f>ROUND(G89*AO89,2)</f>
        <v>0</v>
      </c>
      <c r="K89" s="31">
        <f>ROUND(G89*AP89,2)</f>
        <v>0</v>
      </c>
      <c r="L89" s="31">
        <f>ROUND(G89*H89,2)</f>
        <v>0</v>
      </c>
      <c r="M89" s="31">
        <f>L89*(1+BW89/100)</f>
        <v>0</v>
      </c>
      <c r="N89" s="31">
        <v>6.9999999999999994E-5</v>
      </c>
      <c r="O89" s="31">
        <f>G89*N89</f>
        <v>0</v>
      </c>
      <c r="P89" s="33" t="s">
        <v>69</v>
      </c>
      <c r="Z89" s="31">
        <f>ROUND(IF(AQ89="5",BJ89,0),2)</f>
        <v>0</v>
      </c>
      <c r="AB89" s="31">
        <f>ROUND(IF(AQ89="1",BH89,0),2)</f>
        <v>0</v>
      </c>
      <c r="AC89" s="31">
        <f>ROUND(IF(AQ89="1",BI89,0),2)</f>
        <v>0</v>
      </c>
      <c r="AD89" s="31">
        <f>ROUND(IF(AQ89="7",BH89,0),2)</f>
        <v>0</v>
      </c>
      <c r="AE89" s="31">
        <f>ROUND(IF(AQ89="7",BI89,0),2)</f>
        <v>0</v>
      </c>
      <c r="AF89" s="31">
        <f>ROUND(IF(AQ89="2",BH89,0),2)</f>
        <v>0</v>
      </c>
      <c r="AG89" s="31">
        <f>ROUND(IF(AQ89="2",BI89,0),2)</f>
        <v>0</v>
      </c>
      <c r="AH89" s="31">
        <f>ROUND(IF(AQ89="0",BJ89,0),2)</f>
        <v>0</v>
      </c>
      <c r="AI89" s="12" t="s">
        <v>54</v>
      </c>
      <c r="AJ89" s="31">
        <f>IF(AN89=0,L89,0)</f>
        <v>0</v>
      </c>
      <c r="AK89" s="31">
        <f>IF(AN89=12,L89,0)</f>
        <v>0</v>
      </c>
      <c r="AL89" s="31">
        <f>IF(AN89=21,L89,0)</f>
        <v>0</v>
      </c>
      <c r="AN89" s="31">
        <v>12</v>
      </c>
      <c r="AO89" s="31">
        <f>H89*0</f>
        <v>0</v>
      </c>
      <c r="AP89" s="31">
        <f>H89*(1-0)</f>
        <v>0</v>
      </c>
      <c r="AQ89" s="34" t="s">
        <v>70</v>
      </c>
      <c r="AV89" s="31">
        <f>ROUND(AW89+AX89,2)</f>
        <v>0</v>
      </c>
      <c r="AW89" s="31">
        <f>ROUND(G89*AO89,2)</f>
        <v>0</v>
      </c>
      <c r="AX89" s="31">
        <f>ROUND(G89*AP89,2)</f>
        <v>0</v>
      </c>
      <c r="AY89" s="34" t="s">
        <v>185</v>
      </c>
      <c r="AZ89" s="34" t="s">
        <v>92</v>
      </c>
      <c r="BA89" s="12" t="s">
        <v>65</v>
      </c>
      <c r="BC89" s="31">
        <f>AW89+AX89</f>
        <v>0</v>
      </c>
      <c r="BD89" s="31">
        <f>H89/(100-BE89)*100</f>
        <v>0</v>
      </c>
      <c r="BE89" s="31">
        <v>0</v>
      </c>
      <c r="BF89" s="31">
        <f>O89</f>
        <v>0</v>
      </c>
      <c r="BH89" s="31">
        <f>G89*AO89</f>
        <v>0</v>
      </c>
      <c r="BI89" s="31">
        <f>G89*AP89</f>
        <v>0</v>
      </c>
      <c r="BJ89" s="31">
        <f>G89*H89</f>
        <v>0</v>
      </c>
      <c r="BK89" s="34" t="s">
        <v>66</v>
      </c>
      <c r="BL89" s="31">
        <v>722</v>
      </c>
      <c r="BW89" s="31">
        <f>I89</f>
        <v>0</v>
      </c>
      <c r="BX89" s="4" t="s">
        <v>267</v>
      </c>
    </row>
    <row r="90" spans="1:76" ht="13.5" customHeight="1" x14ac:dyDescent="0.25">
      <c r="A90" s="39"/>
      <c r="C90" s="40" t="s">
        <v>142</v>
      </c>
      <c r="D90" s="90" t="s">
        <v>249</v>
      </c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2"/>
    </row>
    <row r="91" spans="1:76" x14ac:dyDescent="0.25">
      <c r="A91" s="2" t="s">
        <v>270</v>
      </c>
      <c r="B91" s="3" t="s">
        <v>54</v>
      </c>
      <c r="C91" s="3" t="s">
        <v>271</v>
      </c>
      <c r="D91" s="83" t="s">
        <v>272</v>
      </c>
      <c r="E91" s="84"/>
      <c r="F91" s="3" t="s">
        <v>273</v>
      </c>
      <c r="G91" s="31">
        <v>80</v>
      </c>
      <c r="H91" s="31"/>
      <c r="I91" s="32"/>
      <c r="J91" s="31">
        <f t="shared" ref="J91:J106" si="82">ROUND(G91*AO91,2)</f>
        <v>0</v>
      </c>
      <c r="K91" s="31">
        <f t="shared" ref="K91:K106" si="83">ROUND(G91*AP91,2)</f>
        <v>0</v>
      </c>
      <c r="L91" s="31">
        <f t="shared" ref="L91:L106" si="84">ROUND(G91*H91,2)</f>
        <v>0</v>
      </c>
      <c r="M91" s="31">
        <f t="shared" ref="M91:M106" si="85">L91*(1+BW91/100)</f>
        <v>0</v>
      </c>
      <c r="N91" s="31">
        <v>0</v>
      </c>
      <c r="O91" s="31">
        <f t="shared" ref="O91:O106" si="86">G91*N91</f>
        <v>0</v>
      </c>
      <c r="P91" s="33" t="s">
        <v>69</v>
      </c>
      <c r="Z91" s="31">
        <f t="shared" ref="Z91:Z106" si="87">ROUND(IF(AQ91="5",BJ91,0),2)</f>
        <v>0</v>
      </c>
      <c r="AB91" s="31">
        <f t="shared" ref="AB91:AB106" si="88">ROUND(IF(AQ91="1",BH91,0),2)</f>
        <v>0</v>
      </c>
      <c r="AC91" s="31">
        <f t="shared" ref="AC91:AC106" si="89">ROUND(IF(AQ91="1",BI91,0),2)</f>
        <v>0</v>
      </c>
      <c r="AD91" s="31">
        <f t="shared" ref="AD91:AD106" si="90">ROUND(IF(AQ91="7",BH91,0),2)</f>
        <v>0</v>
      </c>
      <c r="AE91" s="31">
        <f t="shared" ref="AE91:AE106" si="91">ROUND(IF(AQ91="7",BI91,0),2)</f>
        <v>0</v>
      </c>
      <c r="AF91" s="31">
        <f t="shared" ref="AF91:AF106" si="92">ROUND(IF(AQ91="2",BH91,0),2)</f>
        <v>0</v>
      </c>
      <c r="AG91" s="31">
        <f t="shared" ref="AG91:AG106" si="93">ROUND(IF(AQ91="2",BI91,0),2)</f>
        <v>0</v>
      </c>
      <c r="AH91" s="31">
        <f t="shared" ref="AH91:AH106" si="94">ROUND(IF(AQ91="0",BJ91,0),2)</f>
        <v>0</v>
      </c>
      <c r="AI91" s="12" t="s">
        <v>54</v>
      </c>
      <c r="AJ91" s="31">
        <f t="shared" ref="AJ91:AJ106" si="95">IF(AN91=0,L91,0)</f>
        <v>0</v>
      </c>
      <c r="AK91" s="31">
        <f t="shared" ref="AK91:AK106" si="96">IF(AN91=12,L91,0)</f>
        <v>0</v>
      </c>
      <c r="AL91" s="31">
        <f t="shared" ref="AL91:AL106" si="97">IF(AN91=21,L91,0)</f>
        <v>0</v>
      </c>
      <c r="AN91" s="31">
        <v>12</v>
      </c>
      <c r="AO91" s="31">
        <f>H91*0.632199894</f>
        <v>0</v>
      </c>
      <c r="AP91" s="31">
        <f>H91*(1-0.632199894)</f>
        <v>0</v>
      </c>
      <c r="AQ91" s="34" t="s">
        <v>70</v>
      </c>
      <c r="AV91" s="31">
        <f t="shared" ref="AV91:AV106" si="98">ROUND(AW91+AX91,2)</f>
        <v>0</v>
      </c>
      <c r="AW91" s="31">
        <f t="shared" ref="AW91:AW106" si="99">ROUND(G91*AO91,2)</f>
        <v>0</v>
      </c>
      <c r="AX91" s="31">
        <f t="shared" ref="AX91:AX106" si="100">ROUND(G91*AP91,2)</f>
        <v>0</v>
      </c>
      <c r="AY91" s="34" t="s">
        <v>185</v>
      </c>
      <c r="AZ91" s="34" t="s">
        <v>92</v>
      </c>
      <c r="BA91" s="12" t="s">
        <v>65</v>
      </c>
      <c r="BC91" s="31">
        <f t="shared" ref="BC91:BC106" si="101">AW91+AX91</f>
        <v>0</v>
      </c>
      <c r="BD91" s="31">
        <f t="shared" ref="BD91:BD106" si="102">H91/(100-BE91)*100</f>
        <v>0</v>
      </c>
      <c r="BE91" s="31">
        <v>0</v>
      </c>
      <c r="BF91" s="31">
        <f t="shared" ref="BF91:BF106" si="103">O91</f>
        <v>0</v>
      </c>
      <c r="BH91" s="31">
        <f t="shared" ref="BH91:BH106" si="104">G91*AO91</f>
        <v>0</v>
      </c>
      <c r="BI91" s="31">
        <f t="shared" ref="BI91:BI106" si="105">G91*AP91</f>
        <v>0</v>
      </c>
      <c r="BJ91" s="31">
        <f t="shared" ref="BJ91:BJ106" si="106">G91*H91</f>
        <v>0</v>
      </c>
      <c r="BK91" s="34" t="s">
        <v>66</v>
      </c>
      <c r="BL91" s="31">
        <v>722</v>
      </c>
      <c r="BW91" s="31">
        <f t="shared" ref="BW91:BW106" si="107">I91</f>
        <v>0</v>
      </c>
      <c r="BX91" s="4" t="s">
        <v>272</v>
      </c>
    </row>
    <row r="92" spans="1:76" x14ac:dyDescent="0.25">
      <c r="A92" s="2" t="s">
        <v>274</v>
      </c>
      <c r="B92" s="3" t="s">
        <v>54</v>
      </c>
      <c r="C92" s="3" t="s">
        <v>275</v>
      </c>
      <c r="D92" s="83" t="s">
        <v>276</v>
      </c>
      <c r="E92" s="84"/>
      <c r="F92" s="3" t="s">
        <v>114</v>
      </c>
      <c r="G92" s="31">
        <v>160</v>
      </c>
      <c r="H92" s="31"/>
      <c r="I92" s="32"/>
      <c r="J92" s="31">
        <f t="shared" si="82"/>
        <v>0</v>
      </c>
      <c r="K92" s="31">
        <f t="shared" si="83"/>
        <v>0</v>
      </c>
      <c r="L92" s="31">
        <f t="shared" si="84"/>
        <v>0</v>
      </c>
      <c r="M92" s="31">
        <f t="shared" si="85"/>
        <v>0</v>
      </c>
      <c r="N92" s="31">
        <v>0</v>
      </c>
      <c r="O92" s="31">
        <f t="shared" si="86"/>
        <v>0</v>
      </c>
      <c r="P92" s="33" t="s">
        <v>69</v>
      </c>
      <c r="Z92" s="31">
        <f t="shared" si="87"/>
        <v>0</v>
      </c>
      <c r="AB92" s="31">
        <f t="shared" si="88"/>
        <v>0</v>
      </c>
      <c r="AC92" s="31">
        <f t="shared" si="89"/>
        <v>0</v>
      </c>
      <c r="AD92" s="31">
        <f t="shared" si="90"/>
        <v>0</v>
      </c>
      <c r="AE92" s="31">
        <f t="shared" si="91"/>
        <v>0</v>
      </c>
      <c r="AF92" s="31">
        <f t="shared" si="92"/>
        <v>0</v>
      </c>
      <c r="AG92" s="31">
        <f t="shared" si="93"/>
        <v>0</v>
      </c>
      <c r="AH92" s="31">
        <f t="shared" si="94"/>
        <v>0</v>
      </c>
      <c r="AI92" s="12" t="s">
        <v>54</v>
      </c>
      <c r="AJ92" s="31">
        <f t="shared" si="95"/>
        <v>0</v>
      </c>
      <c r="AK92" s="31">
        <f t="shared" si="96"/>
        <v>0</v>
      </c>
      <c r="AL92" s="31">
        <f t="shared" si="97"/>
        <v>0</v>
      </c>
      <c r="AN92" s="31">
        <v>12</v>
      </c>
      <c r="AO92" s="31">
        <f>H92*0</f>
        <v>0</v>
      </c>
      <c r="AP92" s="31">
        <f>H92*(1-0)</f>
        <v>0</v>
      </c>
      <c r="AQ92" s="34" t="s">
        <v>70</v>
      </c>
      <c r="AV92" s="31">
        <f t="shared" si="98"/>
        <v>0</v>
      </c>
      <c r="AW92" s="31">
        <f t="shared" si="99"/>
        <v>0</v>
      </c>
      <c r="AX92" s="31">
        <f t="shared" si="100"/>
        <v>0</v>
      </c>
      <c r="AY92" s="34" t="s">
        <v>185</v>
      </c>
      <c r="AZ92" s="34" t="s">
        <v>92</v>
      </c>
      <c r="BA92" s="12" t="s">
        <v>65</v>
      </c>
      <c r="BC92" s="31">
        <f t="shared" si="101"/>
        <v>0</v>
      </c>
      <c r="BD92" s="31">
        <f t="shared" si="102"/>
        <v>0</v>
      </c>
      <c r="BE92" s="31">
        <v>0</v>
      </c>
      <c r="BF92" s="31">
        <f t="shared" si="103"/>
        <v>0</v>
      </c>
      <c r="BH92" s="31">
        <f t="shared" si="104"/>
        <v>0</v>
      </c>
      <c r="BI92" s="31">
        <f t="shared" si="105"/>
        <v>0</v>
      </c>
      <c r="BJ92" s="31">
        <f t="shared" si="106"/>
        <v>0</v>
      </c>
      <c r="BK92" s="34" t="s">
        <v>66</v>
      </c>
      <c r="BL92" s="31">
        <v>722</v>
      </c>
      <c r="BW92" s="31">
        <f t="shared" si="107"/>
        <v>0</v>
      </c>
      <c r="BX92" s="4" t="s">
        <v>276</v>
      </c>
    </row>
    <row r="93" spans="1:76" x14ac:dyDescent="0.25">
      <c r="A93" s="2" t="s">
        <v>277</v>
      </c>
      <c r="B93" s="3" t="s">
        <v>54</v>
      </c>
      <c r="C93" s="3" t="s">
        <v>278</v>
      </c>
      <c r="D93" s="83" t="s">
        <v>279</v>
      </c>
      <c r="E93" s="84"/>
      <c r="F93" s="3" t="s">
        <v>114</v>
      </c>
      <c r="G93" s="31">
        <v>16</v>
      </c>
      <c r="H93" s="31"/>
      <c r="I93" s="32"/>
      <c r="J93" s="31">
        <f t="shared" si="82"/>
        <v>0</v>
      </c>
      <c r="K93" s="31">
        <f t="shared" si="83"/>
        <v>0</v>
      </c>
      <c r="L93" s="31">
        <f t="shared" si="84"/>
        <v>0</v>
      </c>
      <c r="M93" s="31">
        <f t="shared" si="85"/>
        <v>0</v>
      </c>
      <c r="N93" s="31">
        <v>1.8000000000000001E-4</v>
      </c>
      <c r="O93" s="31">
        <f t="shared" si="86"/>
        <v>2.8800000000000002E-3</v>
      </c>
      <c r="P93" s="33" t="s">
        <v>69</v>
      </c>
      <c r="Z93" s="31">
        <f t="shared" si="87"/>
        <v>0</v>
      </c>
      <c r="AB93" s="31">
        <f t="shared" si="88"/>
        <v>0</v>
      </c>
      <c r="AC93" s="31">
        <f t="shared" si="89"/>
        <v>0</v>
      </c>
      <c r="AD93" s="31">
        <f t="shared" si="90"/>
        <v>0</v>
      </c>
      <c r="AE93" s="31">
        <f t="shared" si="91"/>
        <v>0</v>
      </c>
      <c r="AF93" s="31">
        <f t="shared" si="92"/>
        <v>0</v>
      </c>
      <c r="AG93" s="31">
        <f t="shared" si="93"/>
        <v>0</v>
      </c>
      <c r="AH93" s="31">
        <f t="shared" si="94"/>
        <v>0</v>
      </c>
      <c r="AI93" s="12" t="s">
        <v>54</v>
      </c>
      <c r="AJ93" s="31">
        <f t="shared" si="95"/>
        <v>0</v>
      </c>
      <c r="AK93" s="31">
        <f t="shared" si="96"/>
        <v>0</v>
      </c>
      <c r="AL93" s="31">
        <f t="shared" si="97"/>
        <v>0</v>
      </c>
      <c r="AN93" s="31">
        <v>12</v>
      </c>
      <c r="AO93" s="31">
        <f>H93*0.672674182</f>
        <v>0</v>
      </c>
      <c r="AP93" s="31">
        <f>H93*(1-0.672674182)</f>
        <v>0</v>
      </c>
      <c r="AQ93" s="34" t="s">
        <v>70</v>
      </c>
      <c r="AV93" s="31">
        <f t="shared" si="98"/>
        <v>0</v>
      </c>
      <c r="AW93" s="31">
        <f t="shared" si="99"/>
        <v>0</v>
      </c>
      <c r="AX93" s="31">
        <f t="shared" si="100"/>
        <v>0</v>
      </c>
      <c r="AY93" s="34" t="s">
        <v>185</v>
      </c>
      <c r="AZ93" s="34" t="s">
        <v>92</v>
      </c>
      <c r="BA93" s="12" t="s">
        <v>65</v>
      </c>
      <c r="BC93" s="31">
        <f t="shared" si="101"/>
        <v>0</v>
      </c>
      <c r="BD93" s="31">
        <f t="shared" si="102"/>
        <v>0</v>
      </c>
      <c r="BE93" s="31">
        <v>0</v>
      </c>
      <c r="BF93" s="31">
        <f t="shared" si="103"/>
        <v>2.8800000000000002E-3</v>
      </c>
      <c r="BH93" s="31">
        <f t="shared" si="104"/>
        <v>0</v>
      </c>
      <c r="BI93" s="31">
        <f t="shared" si="105"/>
        <v>0</v>
      </c>
      <c r="BJ93" s="31">
        <f t="shared" si="106"/>
        <v>0</v>
      </c>
      <c r="BK93" s="34" t="s">
        <v>66</v>
      </c>
      <c r="BL93" s="31">
        <v>722</v>
      </c>
      <c r="BW93" s="31">
        <f t="shared" si="107"/>
        <v>0</v>
      </c>
      <c r="BX93" s="4" t="s">
        <v>279</v>
      </c>
    </row>
    <row r="94" spans="1:76" x14ac:dyDescent="0.25">
      <c r="A94" s="2" t="s">
        <v>280</v>
      </c>
      <c r="B94" s="3" t="s">
        <v>54</v>
      </c>
      <c r="C94" s="3" t="s">
        <v>281</v>
      </c>
      <c r="D94" s="83" t="s">
        <v>282</v>
      </c>
      <c r="E94" s="84"/>
      <c r="F94" s="3" t="s">
        <v>114</v>
      </c>
      <c r="G94" s="31">
        <v>25</v>
      </c>
      <c r="H94" s="31"/>
      <c r="I94" s="32"/>
      <c r="J94" s="31">
        <f t="shared" si="82"/>
        <v>0</v>
      </c>
      <c r="K94" s="31">
        <f t="shared" si="83"/>
        <v>0</v>
      </c>
      <c r="L94" s="31">
        <f t="shared" si="84"/>
        <v>0</v>
      </c>
      <c r="M94" s="31">
        <f t="shared" si="85"/>
        <v>0</v>
      </c>
      <c r="N94" s="31">
        <v>3.1E-4</v>
      </c>
      <c r="O94" s="31">
        <f t="shared" si="86"/>
        <v>7.7499999999999999E-3</v>
      </c>
      <c r="P94" s="33" t="s">
        <v>69</v>
      </c>
      <c r="Z94" s="31">
        <f t="shared" si="87"/>
        <v>0</v>
      </c>
      <c r="AB94" s="31">
        <f t="shared" si="88"/>
        <v>0</v>
      </c>
      <c r="AC94" s="31">
        <f t="shared" si="89"/>
        <v>0</v>
      </c>
      <c r="AD94" s="31">
        <f t="shared" si="90"/>
        <v>0</v>
      </c>
      <c r="AE94" s="31">
        <f t="shared" si="91"/>
        <v>0</v>
      </c>
      <c r="AF94" s="31">
        <f t="shared" si="92"/>
        <v>0</v>
      </c>
      <c r="AG94" s="31">
        <f t="shared" si="93"/>
        <v>0</v>
      </c>
      <c r="AH94" s="31">
        <f t="shared" si="94"/>
        <v>0</v>
      </c>
      <c r="AI94" s="12" t="s">
        <v>54</v>
      </c>
      <c r="AJ94" s="31">
        <f t="shared" si="95"/>
        <v>0</v>
      </c>
      <c r="AK94" s="31">
        <f t="shared" si="96"/>
        <v>0</v>
      </c>
      <c r="AL94" s="31">
        <f t="shared" si="97"/>
        <v>0</v>
      </c>
      <c r="AN94" s="31">
        <v>12</v>
      </c>
      <c r="AO94" s="31">
        <f>H94*0.717760974</f>
        <v>0</v>
      </c>
      <c r="AP94" s="31">
        <f>H94*(1-0.717760974)</f>
        <v>0</v>
      </c>
      <c r="AQ94" s="34" t="s">
        <v>70</v>
      </c>
      <c r="AV94" s="31">
        <f t="shared" si="98"/>
        <v>0</v>
      </c>
      <c r="AW94" s="31">
        <f t="shared" si="99"/>
        <v>0</v>
      </c>
      <c r="AX94" s="31">
        <f t="shared" si="100"/>
        <v>0</v>
      </c>
      <c r="AY94" s="34" t="s">
        <v>185</v>
      </c>
      <c r="AZ94" s="34" t="s">
        <v>92</v>
      </c>
      <c r="BA94" s="12" t="s">
        <v>65</v>
      </c>
      <c r="BC94" s="31">
        <f t="shared" si="101"/>
        <v>0</v>
      </c>
      <c r="BD94" s="31">
        <f t="shared" si="102"/>
        <v>0</v>
      </c>
      <c r="BE94" s="31">
        <v>0</v>
      </c>
      <c r="BF94" s="31">
        <f t="shared" si="103"/>
        <v>7.7499999999999999E-3</v>
      </c>
      <c r="BH94" s="31">
        <f t="shared" si="104"/>
        <v>0</v>
      </c>
      <c r="BI94" s="31">
        <f t="shared" si="105"/>
        <v>0</v>
      </c>
      <c r="BJ94" s="31">
        <f t="shared" si="106"/>
        <v>0</v>
      </c>
      <c r="BK94" s="34" t="s">
        <v>66</v>
      </c>
      <c r="BL94" s="31">
        <v>722</v>
      </c>
      <c r="BW94" s="31">
        <f t="shared" si="107"/>
        <v>0</v>
      </c>
      <c r="BX94" s="4" t="s">
        <v>282</v>
      </c>
    </row>
    <row r="95" spans="1:76" x14ac:dyDescent="0.25">
      <c r="A95" s="2" t="s">
        <v>283</v>
      </c>
      <c r="B95" s="3" t="s">
        <v>54</v>
      </c>
      <c r="C95" s="3" t="s">
        <v>284</v>
      </c>
      <c r="D95" s="83" t="s">
        <v>285</v>
      </c>
      <c r="E95" s="84"/>
      <c r="F95" s="3" t="s">
        <v>114</v>
      </c>
      <c r="G95" s="31">
        <v>2</v>
      </c>
      <c r="H95" s="31"/>
      <c r="I95" s="32"/>
      <c r="J95" s="31">
        <f t="shared" si="82"/>
        <v>0</v>
      </c>
      <c r="K95" s="31">
        <f t="shared" si="83"/>
        <v>0</v>
      </c>
      <c r="L95" s="31">
        <f t="shared" si="84"/>
        <v>0</v>
      </c>
      <c r="M95" s="31">
        <f t="shared" si="85"/>
        <v>0</v>
      </c>
      <c r="N95" s="31">
        <v>4.8000000000000001E-4</v>
      </c>
      <c r="O95" s="31">
        <f t="shared" si="86"/>
        <v>9.6000000000000002E-4</v>
      </c>
      <c r="P95" s="33" t="s">
        <v>69</v>
      </c>
      <c r="Z95" s="31">
        <f t="shared" si="87"/>
        <v>0</v>
      </c>
      <c r="AB95" s="31">
        <f t="shared" si="88"/>
        <v>0</v>
      </c>
      <c r="AC95" s="31">
        <f t="shared" si="89"/>
        <v>0</v>
      </c>
      <c r="AD95" s="31">
        <f t="shared" si="90"/>
        <v>0</v>
      </c>
      <c r="AE95" s="31">
        <f t="shared" si="91"/>
        <v>0</v>
      </c>
      <c r="AF95" s="31">
        <f t="shared" si="92"/>
        <v>0</v>
      </c>
      <c r="AG95" s="31">
        <f t="shared" si="93"/>
        <v>0</v>
      </c>
      <c r="AH95" s="31">
        <f t="shared" si="94"/>
        <v>0</v>
      </c>
      <c r="AI95" s="12" t="s">
        <v>54</v>
      </c>
      <c r="AJ95" s="31">
        <f t="shared" si="95"/>
        <v>0</v>
      </c>
      <c r="AK95" s="31">
        <f t="shared" si="96"/>
        <v>0</v>
      </c>
      <c r="AL95" s="31">
        <f t="shared" si="97"/>
        <v>0</v>
      </c>
      <c r="AN95" s="31">
        <v>12</v>
      </c>
      <c r="AO95" s="31">
        <f>H95*0.783425219</f>
        <v>0</v>
      </c>
      <c r="AP95" s="31">
        <f>H95*(1-0.783425219)</f>
        <v>0</v>
      </c>
      <c r="AQ95" s="34" t="s">
        <v>70</v>
      </c>
      <c r="AV95" s="31">
        <f t="shared" si="98"/>
        <v>0</v>
      </c>
      <c r="AW95" s="31">
        <f t="shared" si="99"/>
        <v>0</v>
      </c>
      <c r="AX95" s="31">
        <f t="shared" si="100"/>
        <v>0</v>
      </c>
      <c r="AY95" s="34" t="s">
        <v>185</v>
      </c>
      <c r="AZ95" s="34" t="s">
        <v>92</v>
      </c>
      <c r="BA95" s="12" t="s">
        <v>65</v>
      </c>
      <c r="BC95" s="31">
        <f t="shared" si="101"/>
        <v>0</v>
      </c>
      <c r="BD95" s="31">
        <f t="shared" si="102"/>
        <v>0</v>
      </c>
      <c r="BE95" s="31">
        <v>0</v>
      </c>
      <c r="BF95" s="31">
        <f t="shared" si="103"/>
        <v>9.6000000000000002E-4</v>
      </c>
      <c r="BH95" s="31">
        <f t="shared" si="104"/>
        <v>0</v>
      </c>
      <c r="BI95" s="31">
        <f t="shared" si="105"/>
        <v>0</v>
      </c>
      <c r="BJ95" s="31">
        <f t="shared" si="106"/>
        <v>0</v>
      </c>
      <c r="BK95" s="34" t="s">
        <v>66</v>
      </c>
      <c r="BL95" s="31">
        <v>722</v>
      </c>
      <c r="BW95" s="31">
        <f t="shared" si="107"/>
        <v>0</v>
      </c>
      <c r="BX95" s="4" t="s">
        <v>285</v>
      </c>
    </row>
    <row r="96" spans="1:76" x14ac:dyDescent="0.25">
      <c r="A96" s="2" t="s">
        <v>286</v>
      </c>
      <c r="B96" s="3" t="s">
        <v>54</v>
      </c>
      <c r="C96" s="3" t="s">
        <v>287</v>
      </c>
      <c r="D96" s="83" t="s">
        <v>288</v>
      </c>
      <c r="E96" s="84"/>
      <c r="F96" s="3" t="s">
        <v>114</v>
      </c>
      <c r="G96" s="31">
        <v>6</v>
      </c>
      <c r="H96" s="31"/>
      <c r="I96" s="32"/>
      <c r="J96" s="31">
        <f t="shared" si="82"/>
        <v>0</v>
      </c>
      <c r="K96" s="31">
        <f t="shared" si="83"/>
        <v>0</v>
      </c>
      <c r="L96" s="31">
        <f t="shared" si="84"/>
        <v>0</v>
      </c>
      <c r="M96" s="31">
        <f t="shared" si="85"/>
        <v>0</v>
      </c>
      <c r="N96" s="31">
        <v>6.8000000000000005E-4</v>
      </c>
      <c r="O96" s="31">
        <f t="shared" si="86"/>
        <v>4.0800000000000003E-3</v>
      </c>
      <c r="P96" s="33" t="s">
        <v>69</v>
      </c>
      <c r="Z96" s="31">
        <f t="shared" si="87"/>
        <v>0</v>
      </c>
      <c r="AB96" s="31">
        <f t="shared" si="88"/>
        <v>0</v>
      </c>
      <c r="AC96" s="31">
        <f t="shared" si="89"/>
        <v>0</v>
      </c>
      <c r="AD96" s="31">
        <f t="shared" si="90"/>
        <v>0</v>
      </c>
      <c r="AE96" s="31">
        <f t="shared" si="91"/>
        <v>0</v>
      </c>
      <c r="AF96" s="31">
        <f t="shared" si="92"/>
        <v>0</v>
      </c>
      <c r="AG96" s="31">
        <f t="shared" si="93"/>
        <v>0</v>
      </c>
      <c r="AH96" s="31">
        <f t="shared" si="94"/>
        <v>0</v>
      </c>
      <c r="AI96" s="12" t="s">
        <v>54</v>
      </c>
      <c r="AJ96" s="31">
        <f t="shared" si="95"/>
        <v>0</v>
      </c>
      <c r="AK96" s="31">
        <f t="shared" si="96"/>
        <v>0</v>
      </c>
      <c r="AL96" s="31">
        <f t="shared" si="97"/>
        <v>0</v>
      </c>
      <c r="AN96" s="31">
        <v>12</v>
      </c>
      <c r="AO96" s="31">
        <f>H96*0.812596783</f>
        <v>0</v>
      </c>
      <c r="AP96" s="31">
        <f>H96*(1-0.812596783)</f>
        <v>0</v>
      </c>
      <c r="AQ96" s="34" t="s">
        <v>70</v>
      </c>
      <c r="AV96" s="31">
        <f t="shared" si="98"/>
        <v>0</v>
      </c>
      <c r="AW96" s="31">
        <f t="shared" si="99"/>
        <v>0</v>
      </c>
      <c r="AX96" s="31">
        <f t="shared" si="100"/>
        <v>0</v>
      </c>
      <c r="AY96" s="34" t="s">
        <v>185</v>
      </c>
      <c r="AZ96" s="34" t="s">
        <v>92</v>
      </c>
      <c r="BA96" s="12" t="s">
        <v>65</v>
      </c>
      <c r="BC96" s="31">
        <f t="shared" si="101"/>
        <v>0</v>
      </c>
      <c r="BD96" s="31">
        <f t="shared" si="102"/>
        <v>0</v>
      </c>
      <c r="BE96" s="31">
        <v>0</v>
      </c>
      <c r="BF96" s="31">
        <f t="shared" si="103"/>
        <v>4.0800000000000003E-3</v>
      </c>
      <c r="BH96" s="31">
        <f t="shared" si="104"/>
        <v>0</v>
      </c>
      <c r="BI96" s="31">
        <f t="shared" si="105"/>
        <v>0</v>
      </c>
      <c r="BJ96" s="31">
        <f t="shared" si="106"/>
        <v>0</v>
      </c>
      <c r="BK96" s="34" t="s">
        <v>66</v>
      </c>
      <c r="BL96" s="31">
        <v>722</v>
      </c>
      <c r="BW96" s="31">
        <f t="shared" si="107"/>
        <v>0</v>
      </c>
      <c r="BX96" s="4" t="s">
        <v>288</v>
      </c>
    </row>
    <row r="97" spans="1:76" x14ac:dyDescent="0.25">
      <c r="A97" s="2" t="s">
        <v>289</v>
      </c>
      <c r="B97" s="3" t="s">
        <v>54</v>
      </c>
      <c r="C97" s="3" t="s">
        <v>290</v>
      </c>
      <c r="D97" s="83" t="s">
        <v>291</v>
      </c>
      <c r="E97" s="84"/>
      <c r="F97" s="3" t="s">
        <v>114</v>
      </c>
      <c r="G97" s="31">
        <v>1</v>
      </c>
      <c r="H97" s="31"/>
      <c r="I97" s="32"/>
      <c r="J97" s="31">
        <f t="shared" si="82"/>
        <v>0</v>
      </c>
      <c r="K97" s="31">
        <f t="shared" si="83"/>
        <v>0</v>
      </c>
      <c r="L97" s="31">
        <f t="shared" si="84"/>
        <v>0</v>
      </c>
      <c r="M97" s="31">
        <f t="shared" si="85"/>
        <v>0</v>
      </c>
      <c r="N97" s="31">
        <v>1.0399999999999999E-3</v>
      </c>
      <c r="O97" s="31">
        <f t="shared" si="86"/>
        <v>1.0399999999999999E-3</v>
      </c>
      <c r="P97" s="33" t="s">
        <v>69</v>
      </c>
      <c r="Z97" s="31">
        <f t="shared" si="87"/>
        <v>0</v>
      </c>
      <c r="AB97" s="31">
        <f t="shared" si="88"/>
        <v>0</v>
      </c>
      <c r="AC97" s="31">
        <f t="shared" si="89"/>
        <v>0</v>
      </c>
      <c r="AD97" s="31">
        <f t="shared" si="90"/>
        <v>0</v>
      </c>
      <c r="AE97" s="31">
        <f t="shared" si="91"/>
        <v>0</v>
      </c>
      <c r="AF97" s="31">
        <f t="shared" si="92"/>
        <v>0</v>
      </c>
      <c r="AG97" s="31">
        <f t="shared" si="93"/>
        <v>0</v>
      </c>
      <c r="AH97" s="31">
        <f t="shared" si="94"/>
        <v>0</v>
      </c>
      <c r="AI97" s="12" t="s">
        <v>54</v>
      </c>
      <c r="AJ97" s="31">
        <f t="shared" si="95"/>
        <v>0</v>
      </c>
      <c r="AK97" s="31">
        <f t="shared" si="96"/>
        <v>0</v>
      </c>
      <c r="AL97" s="31">
        <f t="shared" si="97"/>
        <v>0</v>
      </c>
      <c r="AN97" s="31">
        <v>12</v>
      </c>
      <c r="AO97" s="31">
        <f>H97*0.830598529</f>
        <v>0</v>
      </c>
      <c r="AP97" s="31">
        <f>H97*(1-0.830598529)</f>
        <v>0</v>
      </c>
      <c r="AQ97" s="34" t="s">
        <v>70</v>
      </c>
      <c r="AV97" s="31">
        <f t="shared" si="98"/>
        <v>0</v>
      </c>
      <c r="AW97" s="31">
        <f t="shared" si="99"/>
        <v>0</v>
      </c>
      <c r="AX97" s="31">
        <f t="shared" si="100"/>
        <v>0</v>
      </c>
      <c r="AY97" s="34" t="s">
        <v>185</v>
      </c>
      <c r="AZ97" s="34" t="s">
        <v>92</v>
      </c>
      <c r="BA97" s="12" t="s">
        <v>65</v>
      </c>
      <c r="BC97" s="31">
        <f t="shared" si="101"/>
        <v>0</v>
      </c>
      <c r="BD97" s="31">
        <f t="shared" si="102"/>
        <v>0</v>
      </c>
      <c r="BE97" s="31">
        <v>0</v>
      </c>
      <c r="BF97" s="31">
        <f t="shared" si="103"/>
        <v>1.0399999999999999E-3</v>
      </c>
      <c r="BH97" s="31">
        <f t="shared" si="104"/>
        <v>0</v>
      </c>
      <c r="BI97" s="31">
        <f t="shared" si="105"/>
        <v>0</v>
      </c>
      <c r="BJ97" s="31">
        <f t="shared" si="106"/>
        <v>0</v>
      </c>
      <c r="BK97" s="34" t="s">
        <v>66</v>
      </c>
      <c r="BL97" s="31">
        <v>722</v>
      </c>
      <c r="BW97" s="31">
        <f t="shared" si="107"/>
        <v>0</v>
      </c>
      <c r="BX97" s="4" t="s">
        <v>291</v>
      </c>
    </row>
    <row r="98" spans="1:76" x14ac:dyDescent="0.25">
      <c r="A98" s="2" t="s">
        <v>292</v>
      </c>
      <c r="B98" s="3" t="s">
        <v>54</v>
      </c>
      <c r="C98" s="3" t="s">
        <v>293</v>
      </c>
      <c r="D98" s="83" t="s">
        <v>294</v>
      </c>
      <c r="E98" s="84"/>
      <c r="F98" s="3" t="s">
        <v>114</v>
      </c>
      <c r="G98" s="31">
        <v>8</v>
      </c>
      <c r="H98" s="31"/>
      <c r="I98" s="32"/>
      <c r="J98" s="31">
        <f t="shared" si="82"/>
        <v>0</v>
      </c>
      <c r="K98" s="31">
        <f t="shared" si="83"/>
        <v>0</v>
      </c>
      <c r="L98" s="31">
        <f t="shared" si="84"/>
        <v>0</v>
      </c>
      <c r="M98" s="31">
        <f t="shared" si="85"/>
        <v>0</v>
      </c>
      <c r="N98" s="31">
        <v>1.6299999999999999E-3</v>
      </c>
      <c r="O98" s="31">
        <f t="shared" si="86"/>
        <v>1.304E-2</v>
      </c>
      <c r="P98" s="33" t="s">
        <v>69</v>
      </c>
      <c r="Z98" s="31">
        <f t="shared" si="87"/>
        <v>0</v>
      </c>
      <c r="AB98" s="31">
        <f t="shared" si="88"/>
        <v>0</v>
      </c>
      <c r="AC98" s="31">
        <f t="shared" si="89"/>
        <v>0</v>
      </c>
      <c r="AD98" s="31">
        <f t="shared" si="90"/>
        <v>0</v>
      </c>
      <c r="AE98" s="31">
        <f t="shared" si="91"/>
        <v>0</v>
      </c>
      <c r="AF98" s="31">
        <f t="shared" si="92"/>
        <v>0</v>
      </c>
      <c r="AG98" s="31">
        <f t="shared" si="93"/>
        <v>0</v>
      </c>
      <c r="AH98" s="31">
        <f t="shared" si="94"/>
        <v>0</v>
      </c>
      <c r="AI98" s="12" t="s">
        <v>54</v>
      </c>
      <c r="AJ98" s="31">
        <f t="shared" si="95"/>
        <v>0</v>
      </c>
      <c r="AK98" s="31">
        <f t="shared" si="96"/>
        <v>0</v>
      </c>
      <c r="AL98" s="31">
        <f t="shared" si="97"/>
        <v>0</v>
      </c>
      <c r="AN98" s="31">
        <v>12</v>
      </c>
      <c r="AO98" s="31">
        <f>H98*0.8615161</f>
        <v>0</v>
      </c>
      <c r="AP98" s="31">
        <f>H98*(1-0.8615161)</f>
        <v>0</v>
      </c>
      <c r="AQ98" s="34" t="s">
        <v>70</v>
      </c>
      <c r="AV98" s="31">
        <f t="shared" si="98"/>
        <v>0</v>
      </c>
      <c r="AW98" s="31">
        <f t="shared" si="99"/>
        <v>0</v>
      </c>
      <c r="AX98" s="31">
        <f t="shared" si="100"/>
        <v>0</v>
      </c>
      <c r="AY98" s="34" t="s">
        <v>185</v>
      </c>
      <c r="AZ98" s="34" t="s">
        <v>92</v>
      </c>
      <c r="BA98" s="12" t="s">
        <v>65</v>
      </c>
      <c r="BC98" s="31">
        <f t="shared" si="101"/>
        <v>0</v>
      </c>
      <c r="BD98" s="31">
        <f t="shared" si="102"/>
        <v>0</v>
      </c>
      <c r="BE98" s="31">
        <v>0</v>
      </c>
      <c r="BF98" s="31">
        <f t="shared" si="103"/>
        <v>1.304E-2</v>
      </c>
      <c r="BH98" s="31">
        <f t="shared" si="104"/>
        <v>0</v>
      </c>
      <c r="BI98" s="31">
        <f t="shared" si="105"/>
        <v>0</v>
      </c>
      <c r="BJ98" s="31">
        <f t="shared" si="106"/>
        <v>0</v>
      </c>
      <c r="BK98" s="34" t="s">
        <v>66</v>
      </c>
      <c r="BL98" s="31">
        <v>722</v>
      </c>
      <c r="BW98" s="31">
        <f t="shared" si="107"/>
        <v>0</v>
      </c>
      <c r="BX98" s="4" t="s">
        <v>294</v>
      </c>
    </row>
    <row r="99" spans="1:76" x14ac:dyDescent="0.25">
      <c r="A99" s="2" t="s">
        <v>295</v>
      </c>
      <c r="B99" s="3" t="s">
        <v>54</v>
      </c>
      <c r="C99" s="3" t="s">
        <v>296</v>
      </c>
      <c r="D99" s="83" t="s">
        <v>297</v>
      </c>
      <c r="E99" s="84"/>
      <c r="F99" s="3" t="s">
        <v>114</v>
      </c>
      <c r="G99" s="31">
        <v>1</v>
      </c>
      <c r="H99" s="31"/>
      <c r="I99" s="32"/>
      <c r="J99" s="31">
        <f t="shared" si="82"/>
        <v>0</v>
      </c>
      <c r="K99" s="31">
        <f t="shared" si="83"/>
        <v>0</v>
      </c>
      <c r="L99" s="31">
        <f t="shared" si="84"/>
        <v>0</v>
      </c>
      <c r="M99" s="31">
        <f t="shared" si="85"/>
        <v>0</v>
      </c>
      <c r="N99" s="31">
        <v>3.1099999999999999E-3</v>
      </c>
      <c r="O99" s="31">
        <f t="shared" si="86"/>
        <v>3.1099999999999999E-3</v>
      </c>
      <c r="P99" s="33" t="s">
        <v>69</v>
      </c>
      <c r="Z99" s="31">
        <f t="shared" si="87"/>
        <v>0</v>
      </c>
      <c r="AB99" s="31">
        <f t="shared" si="88"/>
        <v>0</v>
      </c>
      <c r="AC99" s="31">
        <f t="shared" si="89"/>
        <v>0</v>
      </c>
      <c r="AD99" s="31">
        <f t="shared" si="90"/>
        <v>0</v>
      </c>
      <c r="AE99" s="31">
        <f t="shared" si="91"/>
        <v>0</v>
      </c>
      <c r="AF99" s="31">
        <f t="shared" si="92"/>
        <v>0</v>
      </c>
      <c r="AG99" s="31">
        <f t="shared" si="93"/>
        <v>0</v>
      </c>
      <c r="AH99" s="31">
        <f t="shared" si="94"/>
        <v>0</v>
      </c>
      <c r="AI99" s="12" t="s">
        <v>54</v>
      </c>
      <c r="AJ99" s="31">
        <f t="shared" si="95"/>
        <v>0</v>
      </c>
      <c r="AK99" s="31">
        <f t="shared" si="96"/>
        <v>0</v>
      </c>
      <c r="AL99" s="31">
        <f t="shared" si="97"/>
        <v>0</v>
      </c>
      <c r="AN99" s="31">
        <v>12</v>
      </c>
      <c r="AO99" s="31">
        <f>H99*0.909185466</f>
        <v>0</v>
      </c>
      <c r="AP99" s="31">
        <f>H99*(1-0.909185466)</f>
        <v>0</v>
      </c>
      <c r="AQ99" s="34" t="s">
        <v>70</v>
      </c>
      <c r="AV99" s="31">
        <f t="shared" si="98"/>
        <v>0</v>
      </c>
      <c r="AW99" s="31">
        <f t="shared" si="99"/>
        <v>0</v>
      </c>
      <c r="AX99" s="31">
        <f t="shared" si="100"/>
        <v>0</v>
      </c>
      <c r="AY99" s="34" t="s">
        <v>185</v>
      </c>
      <c r="AZ99" s="34" t="s">
        <v>92</v>
      </c>
      <c r="BA99" s="12" t="s">
        <v>65</v>
      </c>
      <c r="BC99" s="31">
        <f t="shared" si="101"/>
        <v>0</v>
      </c>
      <c r="BD99" s="31">
        <f t="shared" si="102"/>
        <v>0</v>
      </c>
      <c r="BE99" s="31">
        <v>0</v>
      </c>
      <c r="BF99" s="31">
        <f t="shared" si="103"/>
        <v>3.1099999999999999E-3</v>
      </c>
      <c r="BH99" s="31">
        <f t="shared" si="104"/>
        <v>0</v>
      </c>
      <c r="BI99" s="31">
        <f t="shared" si="105"/>
        <v>0</v>
      </c>
      <c r="BJ99" s="31">
        <f t="shared" si="106"/>
        <v>0</v>
      </c>
      <c r="BK99" s="34" t="s">
        <v>66</v>
      </c>
      <c r="BL99" s="31">
        <v>722</v>
      </c>
      <c r="BW99" s="31">
        <f t="shared" si="107"/>
        <v>0</v>
      </c>
      <c r="BX99" s="4" t="s">
        <v>297</v>
      </c>
    </row>
    <row r="100" spans="1:76" x14ac:dyDescent="0.25">
      <c r="A100" s="2" t="s">
        <v>298</v>
      </c>
      <c r="B100" s="3" t="s">
        <v>54</v>
      </c>
      <c r="C100" s="3" t="s">
        <v>299</v>
      </c>
      <c r="D100" s="83" t="s">
        <v>300</v>
      </c>
      <c r="E100" s="84"/>
      <c r="F100" s="3" t="s">
        <v>114</v>
      </c>
      <c r="G100" s="31">
        <v>1</v>
      </c>
      <c r="H100" s="31"/>
      <c r="I100" s="32"/>
      <c r="J100" s="31">
        <f t="shared" si="82"/>
        <v>0</v>
      </c>
      <c r="K100" s="31">
        <f t="shared" si="83"/>
        <v>0</v>
      </c>
      <c r="L100" s="31">
        <f t="shared" si="84"/>
        <v>0</v>
      </c>
      <c r="M100" s="31">
        <f t="shared" si="85"/>
        <v>0</v>
      </c>
      <c r="N100" s="31">
        <v>2.0000000000000001E-4</v>
      </c>
      <c r="O100" s="31">
        <f t="shared" si="86"/>
        <v>2.0000000000000001E-4</v>
      </c>
      <c r="P100" s="33" t="s">
        <v>69</v>
      </c>
      <c r="Z100" s="31">
        <f t="shared" si="87"/>
        <v>0</v>
      </c>
      <c r="AB100" s="31">
        <f t="shared" si="88"/>
        <v>0</v>
      </c>
      <c r="AC100" s="31">
        <f t="shared" si="89"/>
        <v>0</v>
      </c>
      <c r="AD100" s="31">
        <f t="shared" si="90"/>
        <v>0</v>
      </c>
      <c r="AE100" s="31">
        <f t="shared" si="91"/>
        <v>0</v>
      </c>
      <c r="AF100" s="31">
        <f t="shared" si="92"/>
        <v>0</v>
      </c>
      <c r="AG100" s="31">
        <f t="shared" si="93"/>
        <v>0</v>
      </c>
      <c r="AH100" s="31">
        <f t="shared" si="94"/>
        <v>0</v>
      </c>
      <c r="AI100" s="12" t="s">
        <v>54</v>
      </c>
      <c r="AJ100" s="31">
        <f t="shared" si="95"/>
        <v>0</v>
      </c>
      <c r="AK100" s="31">
        <f t="shared" si="96"/>
        <v>0</v>
      </c>
      <c r="AL100" s="31">
        <f t="shared" si="97"/>
        <v>0</v>
      </c>
      <c r="AN100" s="31">
        <v>12</v>
      </c>
      <c r="AO100" s="31">
        <f>H100*0.700311267</f>
        <v>0</v>
      </c>
      <c r="AP100" s="31">
        <f>H100*(1-0.700311267)</f>
        <v>0</v>
      </c>
      <c r="AQ100" s="34" t="s">
        <v>70</v>
      </c>
      <c r="AV100" s="31">
        <f t="shared" si="98"/>
        <v>0</v>
      </c>
      <c r="AW100" s="31">
        <f t="shared" si="99"/>
        <v>0</v>
      </c>
      <c r="AX100" s="31">
        <f t="shared" si="100"/>
        <v>0</v>
      </c>
      <c r="AY100" s="34" t="s">
        <v>185</v>
      </c>
      <c r="AZ100" s="34" t="s">
        <v>92</v>
      </c>
      <c r="BA100" s="12" t="s">
        <v>65</v>
      </c>
      <c r="BC100" s="31">
        <f t="shared" si="101"/>
        <v>0</v>
      </c>
      <c r="BD100" s="31">
        <f t="shared" si="102"/>
        <v>0</v>
      </c>
      <c r="BE100" s="31">
        <v>0</v>
      </c>
      <c r="BF100" s="31">
        <f t="shared" si="103"/>
        <v>2.0000000000000001E-4</v>
      </c>
      <c r="BH100" s="31">
        <f t="shared" si="104"/>
        <v>0</v>
      </c>
      <c r="BI100" s="31">
        <f t="shared" si="105"/>
        <v>0</v>
      </c>
      <c r="BJ100" s="31">
        <f t="shared" si="106"/>
        <v>0</v>
      </c>
      <c r="BK100" s="34" t="s">
        <v>66</v>
      </c>
      <c r="BL100" s="31">
        <v>722</v>
      </c>
      <c r="BW100" s="31">
        <f t="shared" si="107"/>
        <v>0</v>
      </c>
      <c r="BX100" s="4" t="s">
        <v>300</v>
      </c>
    </row>
    <row r="101" spans="1:76" x14ac:dyDescent="0.25">
      <c r="A101" s="2" t="s">
        <v>301</v>
      </c>
      <c r="B101" s="3" t="s">
        <v>54</v>
      </c>
      <c r="C101" s="3" t="s">
        <v>302</v>
      </c>
      <c r="D101" s="83" t="s">
        <v>303</v>
      </c>
      <c r="E101" s="84"/>
      <c r="F101" s="3" t="s">
        <v>114</v>
      </c>
      <c r="G101" s="31">
        <v>2</v>
      </c>
      <c r="H101" s="31"/>
      <c r="I101" s="32"/>
      <c r="J101" s="31">
        <f t="shared" si="82"/>
        <v>0</v>
      </c>
      <c r="K101" s="31">
        <f t="shared" si="83"/>
        <v>0</v>
      </c>
      <c r="L101" s="31">
        <f t="shared" si="84"/>
        <v>0</v>
      </c>
      <c r="M101" s="31">
        <f t="shared" si="85"/>
        <v>0</v>
      </c>
      <c r="N101" s="31">
        <v>7.6999999999999996E-4</v>
      </c>
      <c r="O101" s="31">
        <f t="shared" si="86"/>
        <v>1.5399999999999999E-3</v>
      </c>
      <c r="P101" s="33" t="s">
        <v>69</v>
      </c>
      <c r="Z101" s="31">
        <f t="shared" si="87"/>
        <v>0</v>
      </c>
      <c r="AB101" s="31">
        <f t="shared" si="88"/>
        <v>0</v>
      </c>
      <c r="AC101" s="31">
        <f t="shared" si="89"/>
        <v>0</v>
      </c>
      <c r="AD101" s="31">
        <f t="shared" si="90"/>
        <v>0</v>
      </c>
      <c r="AE101" s="31">
        <f t="shared" si="91"/>
        <v>0</v>
      </c>
      <c r="AF101" s="31">
        <f t="shared" si="92"/>
        <v>0</v>
      </c>
      <c r="AG101" s="31">
        <f t="shared" si="93"/>
        <v>0</v>
      </c>
      <c r="AH101" s="31">
        <f t="shared" si="94"/>
        <v>0</v>
      </c>
      <c r="AI101" s="12" t="s">
        <v>54</v>
      </c>
      <c r="AJ101" s="31">
        <f t="shared" si="95"/>
        <v>0</v>
      </c>
      <c r="AK101" s="31">
        <f t="shared" si="96"/>
        <v>0</v>
      </c>
      <c r="AL101" s="31">
        <f t="shared" si="97"/>
        <v>0</v>
      </c>
      <c r="AN101" s="31">
        <v>12</v>
      </c>
      <c r="AO101" s="31">
        <f>H101*0.811794953</f>
        <v>0</v>
      </c>
      <c r="AP101" s="31">
        <f>H101*(1-0.811794953)</f>
        <v>0</v>
      </c>
      <c r="AQ101" s="34" t="s">
        <v>70</v>
      </c>
      <c r="AV101" s="31">
        <f t="shared" si="98"/>
        <v>0</v>
      </c>
      <c r="AW101" s="31">
        <f t="shared" si="99"/>
        <v>0</v>
      </c>
      <c r="AX101" s="31">
        <f t="shared" si="100"/>
        <v>0</v>
      </c>
      <c r="AY101" s="34" t="s">
        <v>185</v>
      </c>
      <c r="AZ101" s="34" t="s">
        <v>92</v>
      </c>
      <c r="BA101" s="12" t="s">
        <v>65</v>
      </c>
      <c r="BC101" s="31">
        <f t="shared" si="101"/>
        <v>0</v>
      </c>
      <c r="BD101" s="31">
        <f t="shared" si="102"/>
        <v>0</v>
      </c>
      <c r="BE101" s="31">
        <v>0</v>
      </c>
      <c r="BF101" s="31">
        <f t="shared" si="103"/>
        <v>1.5399999999999999E-3</v>
      </c>
      <c r="BH101" s="31">
        <f t="shared" si="104"/>
        <v>0</v>
      </c>
      <c r="BI101" s="31">
        <f t="shared" si="105"/>
        <v>0</v>
      </c>
      <c r="BJ101" s="31">
        <f t="shared" si="106"/>
        <v>0</v>
      </c>
      <c r="BK101" s="34" t="s">
        <v>66</v>
      </c>
      <c r="BL101" s="31">
        <v>722</v>
      </c>
      <c r="BW101" s="31">
        <f t="shared" si="107"/>
        <v>0</v>
      </c>
      <c r="BX101" s="4" t="s">
        <v>303</v>
      </c>
    </row>
    <row r="102" spans="1:76" x14ac:dyDescent="0.25">
      <c r="A102" s="2" t="s">
        <v>304</v>
      </c>
      <c r="B102" s="3" t="s">
        <v>54</v>
      </c>
      <c r="C102" s="3" t="s">
        <v>305</v>
      </c>
      <c r="D102" s="83" t="s">
        <v>306</v>
      </c>
      <c r="E102" s="84"/>
      <c r="F102" s="3" t="s">
        <v>114</v>
      </c>
      <c r="G102" s="31">
        <v>1</v>
      </c>
      <c r="H102" s="31"/>
      <c r="I102" s="32"/>
      <c r="J102" s="31">
        <f t="shared" si="82"/>
        <v>0</v>
      </c>
      <c r="K102" s="31">
        <f t="shared" si="83"/>
        <v>0</v>
      </c>
      <c r="L102" s="31">
        <f t="shared" si="84"/>
        <v>0</v>
      </c>
      <c r="M102" s="31">
        <f t="shared" si="85"/>
        <v>0</v>
      </c>
      <c r="N102" s="31">
        <v>3.1E-4</v>
      </c>
      <c r="O102" s="31">
        <f t="shared" si="86"/>
        <v>3.1E-4</v>
      </c>
      <c r="P102" s="33" t="s">
        <v>69</v>
      </c>
      <c r="Z102" s="31">
        <f t="shared" si="87"/>
        <v>0</v>
      </c>
      <c r="AB102" s="31">
        <f t="shared" si="88"/>
        <v>0</v>
      </c>
      <c r="AC102" s="31">
        <f t="shared" si="89"/>
        <v>0</v>
      </c>
      <c r="AD102" s="31">
        <f t="shared" si="90"/>
        <v>0</v>
      </c>
      <c r="AE102" s="31">
        <f t="shared" si="91"/>
        <v>0</v>
      </c>
      <c r="AF102" s="31">
        <f t="shared" si="92"/>
        <v>0</v>
      </c>
      <c r="AG102" s="31">
        <f t="shared" si="93"/>
        <v>0</v>
      </c>
      <c r="AH102" s="31">
        <f t="shared" si="94"/>
        <v>0</v>
      </c>
      <c r="AI102" s="12" t="s">
        <v>54</v>
      </c>
      <c r="AJ102" s="31">
        <f t="shared" si="95"/>
        <v>0</v>
      </c>
      <c r="AK102" s="31">
        <f t="shared" si="96"/>
        <v>0</v>
      </c>
      <c r="AL102" s="31">
        <f t="shared" si="97"/>
        <v>0</v>
      </c>
      <c r="AN102" s="31">
        <v>12</v>
      </c>
      <c r="AO102" s="31">
        <f>H102*0.844264442</f>
        <v>0</v>
      </c>
      <c r="AP102" s="31">
        <f>H102*(1-0.844264442)</f>
        <v>0</v>
      </c>
      <c r="AQ102" s="34" t="s">
        <v>70</v>
      </c>
      <c r="AV102" s="31">
        <f t="shared" si="98"/>
        <v>0</v>
      </c>
      <c r="AW102" s="31">
        <f t="shared" si="99"/>
        <v>0</v>
      </c>
      <c r="AX102" s="31">
        <f t="shared" si="100"/>
        <v>0</v>
      </c>
      <c r="AY102" s="34" t="s">
        <v>185</v>
      </c>
      <c r="AZ102" s="34" t="s">
        <v>92</v>
      </c>
      <c r="BA102" s="12" t="s">
        <v>65</v>
      </c>
      <c r="BC102" s="31">
        <f t="shared" si="101"/>
        <v>0</v>
      </c>
      <c r="BD102" s="31">
        <f t="shared" si="102"/>
        <v>0</v>
      </c>
      <c r="BE102" s="31">
        <v>0</v>
      </c>
      <c r="BF102" s="31">
        <f t="shared" si="103"/>
        <v>3.1E-4</v>
      </c>
      <c r="BH102" s="31">
        <f t="shared" si="104"/>
        <v>0</v>
      </c>
      <c r="BI102" s="31">
        <f t="shared" si="105"/>
        <v>0</v>
      </c>
      <c r="BJ102" s="31">
        <f t="shared" si="106"/>
        <v>0</v>
      </c>
      <c r="BK102" s="34" t="s">
        <v>66</v>
      </c>
      <c r="BL102" s="31">
        <v>722</v>
      </c>
      <c r="BW102" s="31">
        <f t="shared" si="107"/>
        <v>0</v>
      </c>
      <c r="BX102" s="4" t="s">
        <v>306</v>
      </c>
    </row>
    <row r="103" spans="1:76" x14ac:dyDescent="0.25">
      <c r="A103" s="2" t="s">
        <v>307</v>
      </c>
      <c r="B103" s="3" t="s">
        <v>54</v>
      </c>
      <c r="C103" s="3" t="s">
        <v>308</v>
      </c>
      <c r="D103" s="83" t="s">
        <v>309</v>
      </c>
      <c r="E103" s="84"/>
      <c r="F103" s="3" t="s">
        <v>114</v>
      </c>
      <c r="G103" s="31">
        <v>1</v>
      </c>
      <c r="H103" s="31"/>
      <c r="I103" s="32"/>
      <c r="J103" s="31">
        <f t="shared" si="82"/>
        <v>0</v>
      </c>
      <c r="K103" s="31">
        <f t="shared" si="83"/>
        <v>0</v>
      </c>
      <c r="L103" s="31">
        <f t="shared" si="84"/>
        <v>0</v>
      </c>
      <c r="M103" s="31">
        <f t="shared" si="85"/>
        <v>0</v>
      </c>
      <c r="N103" s="31">
        <v>2.5000000000000001E-4</v>
      </c>
      <c r="O103" s="31">
        <f t="shared" si="86"/>
        <v>2.5000000000000001E-4</v>
      </c>
      <c r="P103" s="33" t="s">
        <v>69</v>
      </c>
      <c r="Z103" s="31">
        <f t="shared" si="87"/>
        <v>0</v>
      </c>
      <c r="AB103" s="31">
        <f t="shared" si="88"/>
        <v>0</v>
      </c>
      <c r="AC103" s="31">
        <f t="shared" si="89"/>
        <v>0</v>
      </c>
      <c r="AD103" s="31">
        <f t="shared" si="90"/>
        <v>0</v>
      </c>
      <c r="AE103" s="31">
        <f t="shared" si="91"/>
        <v>0</v>
      </c>
      <c r="AF103" s="31">
        <f t="shared" si="92"/>
        <v>0</v>
      </c>
      <c r="AG103" s="31">
        <f t="shared" si="93"/>
        <v>0</v>
      </c>
      <c r="AH103" s="31">
        <f t="shared" si="94"/>
        <v>0</v>
      </c>
      <c r="AI103" s="12" t="s">
        <v>54</v>
      </c>
      <c r="AJ103" s="31">
        <f t="shared" si="95"/>
        <v>0</v>
      </c>
      <c r="AK103" s="31">
        <f t="shared" si="96"/>
        <v>0</v>
      </c>
      <c r="AL103" s="31">
        <f t="shared" si="97"/>
        <v>0</v>
      </c>
      <c r="AN103" s="31">
        <v>12</v>
      </c>
      <c r="AO103" s="31">
        <f>H103*0.651021586</f>
        <v>0</v>
      </c>
      <c r="AP103" s="31">
        <f>H103*(1-0.651021586)</f>
        <v>0</v>
      </c>
      <c r="AQ103" s="34" t="s">
        <v>70</v>
      </c>
      <c r="AV103" s="31">
        <f t="shared" si="98"/>
        <v>0</v>
      </c>
      <c r="AW103" s="31">
        <f t="shared" si="99"/>
        <v>0</v>
      </c>
      <c r="AX103" s="31">
        <f t="shared" si="100"/>
        <v>0</v>
      </c>
      <c r="AY103" s="34" t="s">
        <v>185</v>
      </c>
      <c r="AZ103" s="34" t="s">
        <v>92</v>
      </c>
      <c r="BA103" s="12" t="s">
        <v>65</v>
      </c>
      <c r="BC103" s="31">
        <f t="shared" si="101"/>
        <v>0</v>
      </c>
      <c r="BD103" s="31">
        <f t="shared" si="102"/>
        <v>0</v>
      </c>
      <c r="BE103" s="31">
        <v>0</v>
      </c>
      <c r="BF103" s="31">
        <f t="shared" si="103"/>
        <v>2.5000000000000001E-4</v>
      </c>
      <c r="BH103" s="31">
        <f t="shared" si="104"/>
        <v>0</v>
      </c>
      <c r="BI103" s="31">
        <f t="shared" si="105"/>
        <v>0</v>
      </c>
      <c r="BJ103" s="31">
        <f t="shared" si="106"/>
        <v>0</v>
      </c>
      <c r="BK103" s="34" t="s">
        <v>66</v>
      </c>
      <c r="BL103" s="31">
        <v>722</v>
      </c>
      <c r="BW103" s="31">
        <f t="shared" si="107"/>
        <v>0</v>
      </c>
      <c r="BX103" s="4" t="s">
        <v>309</v>
      </c>
    </row>
    <row r="104" spans="1:76" x14ac:dyDescent="0.25">
      <c r="A104" s="2" t="s">
        <v>310</v>
      </c>
      <c r="B104" s="3" t="s">
        <v>54</v>
      </c>
      <c r="C104" s="3" t="s">
        <v>311</v>
      </c>
      <c r="D104" s="83" t="s">
        <v>312</v>
      </c>
      <c r="E104" s="84"/>
      <c r="F104" s="3" t="s">
        <v>114</v>
      </c>
      <c r="G104" s="31">
        <v>3</v>
      </c>
      <c r="H104" s="31"/>
      <c r="I104" s="32"/>
      <c r="J104" s="31">
        <f t="shared" si="82"/>
        <v>0</v>
      </c>
      <c r="K104" s="31">
        <f t="shared" si="83"/>
        <v>0</v>
      </c>
      <c r="L104" s="31">
        <f t="shared" si="84"/>
        <v>0</v>
      </c>
      <c r="M104" s="31">
        <f t="shared" si="85"/>
        <v>0</v>
      </c>
      <c r="N104" s="31">
        <v>3.8999999999999999E-4</v>
      </c>
      <c r="O104" s="31">
        <f t="shared" si="86"/>
        <v>1.17E-3</v>
      </c>
      <c r="P104" s="33" t="s">
        <v>69</v>
      </c>
      <c r="Z104" s="31">
        <f t="shared" si="87"/>
        <v>0</v>
      </c>
      <c r="AB104" s="31">
        <f t="shared" si="88"/>
        <v>0</v>
      </c>
      <c r="AC104" s="31">
        <f t="shared" si="89"/>
        <v>0</v>
      </c>
      <c r="AD104" s="31">
        <f t="shared" si="90"/>
        <v>0</v>
      </c>
      <c r="AE104" s="31">
        <f t="shared" si="91"/>
        <v>0</v>
      </c>
      <c r="AF104" s="31">
        <f t="shared" si="92"/>
        <v>0</v>
      </c>
      <c r="AG104" s="31">
        <f t="shared" si="93"/>
        <v>0</v>
      </c>
      <c r="AH104" s="31">
        <f t="shared" si="94"/>
        <v>0</v>
      </c>
      <c r="AI104" s="12" t="s">
        <v>54</v>
      </c>
      <c r="AJ104" s="31">
        <f t="shared" si="95"/>
        <v>0</v>
      </c>
      <c r="AK104" s="31">
        <f t="shared" si="96"/>
        <v>0</v>
      </c>
      <c r="AL104" s="31">
        <f t="shared" si="97"/>
        <v>0</v>
      </c>
      <c r="AN104" s="31">
        <v>12</v>
      </c>
      <c r="AO104" s="31">
        <f>H104*0.664043449</f>
        <v>0</v>
      </c>
      <c r="AP104" s="31">
        <f>H104*(1-0.664043449)</f>
        <v>0</v>
      </c>
      <c r="AQ104" s="34" t="s">
        <v>70</v>
      </c>
      <c r="AV104" s="31">
        <f t="shared" si="98"/>
        <v>0</v>
      </c>
      <c r="AW104" s="31">
        <f t="shared" si="99"/>
        <v>0</v>
      </c>
      <c r="AX104" s="31">
        <f t="shared" si="100"/>
        <v>0</v>
      </c>
      <c r="AY104" s="34" t="s">
        <v>185</v>
      </c>
      <c r="AZ104" s="34" t="s">
        <v>92</v>
      </c>
      <c r="BA104" s="12" t="s">
        <v>65</v>
      </c>
      <c r="BC104" s="31">
        <f t="shared" si="101"/>
        <v>0</v>
      </c>
      <c r="BD104" s="31">
        <f t="shared" si="102"/>
        <v>0</v>
      </c>
      <c r="BE104" s="31">
        <v>0</v>
      </c>
      <c r="BF104" s="31">
        <f t="shared" si="103"/>
        <v>1.17E-3</v>
      </c>
      <c r="BH104" s="31">
        <f t="shared" si="104"/>
        <v>0</v>
      </c>
      <c r="BI104" s="31">
        <f t="shared" si="105"/>
        <v>0</v>
      </c>
      <c r="BJ104" s="31">
        <f t="shared" si="106"/>
        <v>0</v>
      </c>
      <c r="BK104" s="34" t="s">
        <v>66</v>
      </c>
      <c r="BL104" s="31">
        <v>722</v>
      </c>
      <c r="BW104" s="31">
        <f t="shared" si="107"/>
        <v>0</v>
      </c>
      <c r="BX104" s="4" t="s">
        <v>312</v>
      </c>
    </row>
    <row r="105" spans="1:76" x14ac:dyDescent="0.25">
      <c r="A105" s="2" t="s">
        <v>313</v>
      </c>
      <c r="B105" s="3" t="s">
        <v>54</v>
      </c>
      <c r="C105" s="3" t="s">
        <v>314</v>
      </c>
      <c r="D105" s="83" t="s">
        <v>315</v>
      </c>
      <c r="E105" s="84"/>
      <c r="F105" s="3" t="s">
        <v>114</v>
      </c>
      <c r="G105" s="31">
        <v>1</v>
      </c>
      <c r="H105" s="31"/>
      <c r="I105" s="32"/>
      <c r="J105" s="31">
        <f t="shared" si="82"/>
        <v>0</v>
      </c>
      <c r="K105" s="31">
        <f t="shared" si="83"/>
        <v>0</v>
      </c>
      <c r="L105" s="31">
        <f t="shared" si="84"/>
        <v>0</v>
      </c>
      <c r="M105" s="31">
        <f t="shared" si="85"/>
        <v>0</v>
      </c>
      <c r="N105" s="31">
        <v>8.4999999999999995E-4</v>
      </c>
      <c r="O105" s="31">
        <f t="shared" si="86"/>
        <v>8.4999999999999995E-4</v>
      </c>
      <c r="P105" s="33" t="s">
        <v>69</v>
      </c>
      <c r="Z105" s="31">
        <f t="shared" si="87"/>
        <v>0</v>
      </c>
      <c r="AB105" s="31">
        <f t="shared" si="88"/>
        <v>0</v>
      </c>
      <c r="AC105" s="31">
        <f t="shared" si="89"/>
        <v>0</v>
      </c>
      <c r="AD105" s="31">
        <f t="shared" si="90"/>
        <v>0</v>
      </c>
      <c r="AE105" s="31">
        <f t="shared" si="91"/>
        <v>0</v>
      </c>
      <c r="AF105" s="31">
        <f t="shared" si="92"/>
        <v>0</v>
      </c>
      <c r="AG105" s="31">
        <f t="shared" si="93"/>
        <v>0</v>
      </c>
      <c r="AH105" s="31">
        <f t="shared" si="94"/>
        <v>0</v>
      </c>
      <c r="AI105" s="12" t="s">
        <v>54</v>
      </c>
      <c r="AJ105" s="31">
        <f t="shared" si="95"/>
        <v>0</v>
      </c>
      <c r="AK105" s="31">
        <f t="shared" si="96"/>
        <v>0</v>
      </c>
      <c r="AL105" s="31">
        <f t="shared" si="97"/>
        <v>0</v>
      </c>
      <c r="AN105" s="31">
        <v>12</v>
      </c>
      <c r="AO105" s="31">
        <f>H105*0.891406631</f>
        <v>0</v>
      </c>
      <c r="AP105" s="31">
        <f>H105*(1-0.891406631)</f>
        <v>0</v>
      </c>
      <c r="AQ105" s="34" t="s">
        <v>70</v>
      </c>
      <c r="AV105" s="31">
        <f t="shared" si="98"/>
        <v>0</v>
      </c>
      <c r="AW105" s="31">
        <f t="shared" si="99"/>
        <v>0</v>
      </c>
      <c r="AX105" s="31">
        <f t="shared" si="100"/>
        <v>0</v>
      </c>
      <c r="AY105" s="34" t="s">
        <v>185</v>
      </c>
      <c r="AZ105" s="34" t="s">
        <v>92</v>
      </c>
      <c r="BA105" s="12" t="s">
        <v>65</v>
      </c>
      <c r="BC105" s="31">
        <f t="shared" si="101"/>
        <v>0</v>
      </c>
      <c r="BD105" s="31">
        <f t="shared" si="102"/>
        <v>0</v>
      </c>
      <c r="BE105" s="31">
        <v>0</v>
      </c>
      <c r="BF105" s="31">
        <f t="shared" si="103"/>
        <v>8.4999999999999995E-4</v>
      </c>
      <c r="BH105" s="31">
        <f t="shared" si="104"/>
        <v>0</v>
      </c>
      <c r="BI105" s="31">
        <f t="shared" si="105"/>
        <v>0</v>
      </c>
      <c r="BJ105" s="31">
        <f t="shared" si="106"/>
        <v>0</v>
      </c>
      <c r="BK105" s="34" t="s">
        <v>66</v>
      </c>
      <c r="BL105" s="31">
        <v>722</v>
      </c>
      <c r="BW105" s="31">
        <f t="shared" si="107"/>
        <v>0</v>
      </c>
      <c r="BX105" s="4" t="s">
        <v>315</v>
      </c>
    </row>
    <row r="106" spans="1:76" x14ac:dyDescent="0.25">
      <c r="A106" s="2" t="s">
        <v>316</v>
      </c>
      <c r="B106" s="3" t="s">
        <v>54</v>
      </c>
      <c r="C106" s="3" t="s">
        <v>317</v>
      </c>
      <c r="D106" s="83" t="s">
        <v>318</v>
      </c>
      <c r="E106" s="84"/>
      <c r="F106" s="3" t="s">
        <v>114</v>
      </c>
      <c r="G106" s="31">
        <v>15</v>
      </c>
      <c r="H106" s="31"/>
      <c r="I106" s="32"/>
      <c r="J106" s="31">
        <f t="shared" si="82"/>
        <v>0</v>
      </c>
      <c r="K106" s="31">
        <f t="shared" si="83"/>
        <v>0</v>
      </c>
      <c r="L106" s="31">
        <f t="shared" si="84"/>
        <v>0</v>
      </c>
      <c r="M106" s="31">
        <f t="shared" si="85"/>
        <v>0</v>
      </c>
      <c r="N106" s="31">
        <v>1.4999999999999999E-2</v>
      </c>
      <c r="O106" s="31">
        <f t="shared" si="86"/>
        <v>0.22499999999999998</v>
      </c>
      <c r="P106" s="33" t="s">
        <v>69</v>
      </c>
      <c r="Z106" s="31">
        <f t="shared" si="87"/>
        <v>0</v>
      </c>
      <c r="AB106" s="31">
        <f t="shared" si="88"/>
        <v>0</v>
      </c>
      <c r="AC106" s="31">
        <f t="shared" si="89"/>
        <v>0</v>
      </c>
      <c r="AD106" s="31">
        <f t="shared" si="90"/>
        <v>0</v>
      </c>
      <c r="AE106" s="31">
        <f t="shared" si="91"/>
        <v>0</v>
      </c>
      <c r="AF106" s="31">
        <f t="shared" si="92"/>
        <v>0</v>
      </c>
      <c r="AG106" s="31">
        <f t="shared" si="93"/>
        <v>0</v>
      </c>
      <c r="AH106" s="31">
        <f t="shared" si="94"/>
        <v>0</v>
      </c>
      <c r="AI106" s="12" t="s">
        <v>54</v>
      </c>
      <c r="AJ106" s="31">
        <f t="shared" si="95"/>
        <v>0</v>
      </c>
      <c r="AK106" s="31">
        <f t="shared" si="96"/>
        <v>0</v>
      </c>
      <c r="AL106" s="31">
        <f t="shared" si="97"/>
        <v>0</v>
      </c>
      <c r="AN106" s="31">
        <v>12</v>
      </c>
      <c r="AO106" s="31">
        <f>H106*0.905446388</f>
        <v>0</v>
      </c>
      <c r="AP106" s="31">
        <f>H106*(1-0.905446388)</f>
        <v>0</v>
      </c>
      <c r="AQ106" s="34" t="s">
        <v>70</v>
      </c>
      <c r="AV106" s="31">
        <f t="shared" si="98"/>
        <v>0</v>
      </c>
      <c r="AW106" s="31">
        <f t="shared" si="99"/>
        <v>0</v>
      </c>
      <c r="AX106" s="31">
        <f t="shared" si="100"/>
        <v>0</v>
      </c>
      <c r="AY106" s="34" t="s">
        <v>185</v>
      </c>
      <c r="AZ106" s="34" t="s">
        <v>92</v>
      </c>
      <c r="BA106" s="12" t="s">
        <v>65</v>
      </c>
      <c r="BC106" s="31">
        <f t="shared" si="101"/>
        <v>0</v>
      </c>
      <c r="BD106" s="31">
        <f t="shared" si="102"/>
        <v>0</v>
      </c>
      <c r="BE106" s="31">
        <v>0</v>
      </c>
      <c r="BF106" s="31">
        <f t="shared" si="103"/>
        <v>0.22499999999999998</v>
      </c>
      <c r="BH106" s="31">
        <f t="shared" si="104"/>
        <v>0</v>
      </c>
      <c r="BI106" s="31">
        <f t="shared" si="105"/>
        <v>0</v>
      </c>
      <c r="BJ106" s="31">
        <f t="shared" si="106"/>
        <v>0</v>
      </c>
      <c r="BK106" s="34" t="s">
        <v>66</v>
      </c>
      <c r="BL106" s="31">
        <v>722</v>
      </c>
      <c r="BW106" s="31">
        <f t="shared" si="107"/>
        <v>0</v>
      </c>
      <c r="BX106" s="4" t="s">
        <v>318</v>
      </c>
    </row>
    <row r="107" spans="1:76" ht="13.5" customHeight="1" x14ac:dyDescent="0.25">
      <c r="A107" s="39"/>
      <c r="C107" s="40" t="s">
        <v>142</v>
      </c>
      <c r="D107" s="90" t="s">
        <v>319</v>
      </c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2"/>
    </row>
    <row r="108" spans="1:76" ht="25.5" x14ac:dyDescent="0.25">
      <c r="A108" s="2" t="s">
        <v>320</v>
      </c>
      <c r="B108" s="3" t="s">
        <v>54</v>
      </c>
      <c r="C108" s="3" t="s">
        <v>321</v>
      </c>
      <c r="D108" s="83" t="s">
        <v>322</v>
      </c>
      <c r="E108" s="84"/>
      <c r="F108" s="3" t="s">
        <v>114</v>
      </c>
      <c r="G108" s="31">
        <v>1</v>
      </c>
      <c r="H108" s="31"/>
      <c r="I108" s="32"/>
      <c r="J108" s="31">
        <f t="shared" ref="J108:J113" si="108">ROUND(G108*AO108,2)</f>
        <v>0</v>
      </c>
      <c r="K108" s="31">
        <f t="shared" ref="K108:K113" si="109">ROUND(G108*AP108,2)</f>
        <v>0</v>
      </c>
      <c r="L108" s="31">
        <f t="shared" ref="L108:L113" si="110">ROUND(G108*H108,2)</f>
        <v>0</v>
      </c>
      <c r="M108" s="31">
        <f t="shared" ref="M108:M113" si="111">L108*(1+BW108/100)</f>
        <v>0</v>
      </c>
      <c r="N108" s="31">
        <v>2E-3</v>
      </c>
      <c r="O108" s="31">
        <f t="shared" ref="O108:O113" si="112">G108*N108</f>
        <v>2E-3</v>
      </c>
      <c r="P108" s="33" t="s">
        <v>54</v>
      </c>
      <c r="Z108" s="31">
        <f t="shared" ref="Z108:Z113" si="113">ROUND(IF(AQ108="5",BJ108,0),2)</f>
        <v>0</v>
      </c>
      <c r="AB108" s="31">
        <f t="shared" ref="AB108:AB113" si="114">ROUND(IF(AQ108="1",BH108,0),2)</f>
        <v>0</v>
      </c>
      <c r="AC108" s="31">
        <f t="shared" ref="AC108:AC113" si="115">ROUND(IF(AQ108="1",BI108,0),2)</f>
        <v>0</v>
      </c>
      <c r="AD108" s="31">
        <f t="shared" ref="AD108:AD113" si="116">ROUND(IF(AQ108="7",BH108,0),2)</f>
        <v>0</v>
      </c>
      <c r="AE108" s="31">
        <f t="shared" ref="AE108:AE113" si="117">ROUND(IF(AQ108="7",BI108,0),2)</f>
        <v>0</v>
      </c>
      <c r="AF108" s="31">
        <f t="shared" ref="AF108:AF113" si="118">ROUND(IF(AQ108="2",BH108,0),2)</f>
        <v>0</v>
      </c>
      <c r="AG108" s="31">
        <f t="shared" ref="AG108:AG113" si="119">ROUND(IF(AQ108="2",BI108,0),2)</f>
        <v>0</v>
      </c>
      <c r="AH108" s="31">
        <f t="shared" ref="AH108:AH113" si="120">ROUND(IF(AQ108="0",BJ108,0),2)</f>
        <v>0</v>
      </c>
      <c r="AI108" s="12" t="s">
        <v>54</v>
      </c>
      <c r="AJ108" s="31">
        <f t="shared" ref="AJ108:AJ113" si="121">IF(AN108=0,L108,0)</f>
        <v>0</v>
      </c>
      <c r="AK108" s="31">
        <f t="shared" ref="AK108:AK113" si="122">IF(AN108=12,L108,0)</f>
        <v>0</v>
      </c>
      <c r="AL108" s="31">
        <f t="shared" ref="AL108:AL113" si="123">IF(AN108=21,L108,0)</f>
        <v>0</v>
      </c>
      <c r="AN108" s="31">
        <v>12</v>
      </c>
      <c r="AO108" s="31">
        <f>H108*1</f>
        <v>0</v>
      </c>
      <c r="AP108" s="31">
        <f>H108*(1-1)</f>
        <v>0</v>
      </c>
      <c r="AQ108" s="34" t="s">
        <v>70</v>
      </c>
      <c r="AV108" s="31">
        <f t="shared" ref="AV108:AV113" si="124">ROUND(AW108+AX108,2)</f>
        <v>0</v>
      </c>
      <c r="AW108" s="31">
        <f t="shared" ref="AW108:AW113" si="125">ROUND(G108*AO108,2)</f>
        <v>0</v>
      </c>
      <c r="AX108" s="31">
        <f t="shared" ref="AX108:AX113" si="126">ROUND(G108*AP108,2)</f>
        <v>0</v>
      </c>
      <c r="AY108" s="34" t="s">
        <v>185</v>
      </c>
      <c r="AZ108" s="34" t="s">
        <v>92</v>
      </c>
      <c r="BA108" s="12" t="s">
        <v>65</v>
      </c>
      <c r="BC108" s="31">
        <f t="shared" ref="BC108:BC113" si="127">AW108+AX108</f>
        <v>0</v>
      </c>
      <c r="BD108" s="31">
        <f t="shared" ref="BD108:BD113" si="128">H108/(100-BE108)*100</f>
        <v>0</v>
      </c>
      <c r="BE108" s="31">
        <v>0</v>
      </c>
      <c r="BF108" s="31">
        <f t="shared" ref="BF108:BF113" si="129">O108</f>
        <v>2E-3</v>
      </c>
      <c r="BH108" s="31">
        <f t="shared" ref="BH108:BH113" si="130">G108*AO108</f>
        <v>0</v>
      </c>
      <c r="BI108" s="31">
        <f t="shared" ref="BI108:BI113" si="131">G108*AP108</f>
        <v>0</v>
      </c>
      <c r="BJ108" s="31">
        <f t="shared" ref="BJ108:BJ113" si="132">G108*H108</f>
        <v>0</v>
      </c>
      <c r="BK108" s="34" t="s">
        <v>66</v>
      </c>
      <c r="BL108" s="31">
        <v>722</v>
      </c>
      <c r="BW108" s="31">
        <f t="shared" ref="BW108:BW113" si="133">I108</f>
        <v>0</v>
      </c>
      <c r="BX108" s="4" t="s">
        <v>322</v>
      </c>
    </row>
    <row r="109" spans="1:76" x14ac:dyDescent="0.25">
      <c r="A109" s="2" t="s">
        <v>323</v>
      </c>
      <c r="B109" s="3" t="s">
        <v>54</v>
      </c>
      <c r="C109" s="3" t="s">
        <v>324</v>
      </c>
      <c r="D109" s="83" t="s">
        <v>325</v>
      </c>
      <c r="E109" s="84"/>
      <c r="F109" s="3" t="s">
        <v>114</v>
      </c>
      <c r="G109" s="31">
        <v>2</v>
      </c>
      <c r="H109" s="31"/>
      <c r="I109" s="32"/>
      <c r="J109" s="31">
        <f t="shared" si="108"/>
        <v>0</v>
      </c>
      <c r="K109" s="31">
        <f t="shared" si="109"/>
        <v>0</v>
      </c>
      <c r="L109" s="31">
        <f t="shared" si="110"/>
        <v>0</v>
      </c>
      <c r="M109" s="31">
        <f t="shared" si="111"/>
        <v>0</v>
      </c>
      <c r="N109" s="31">
        <v>5.0000000000000001E-4</v>
      </c>
      <c r="O109" s="31">
        <f t="shared" si="112"/>
        <v>1E-3</v>
      </c>
      <c r="P109" s="33" t="s">
        <v>54</v>
      </c>
      <c r="Z109" s="31">
        <f t="shared" si="113"/>
        <v>0</v>
      </c>
      <c r="AB109" s="31">
        <f t="shared" si="114"/>
        <v>0</v>
      </c>
      <c r="AC109" s="31">
        <f t="shared" si="115"/>
        <v>0</v>
      </c>
      <c r="AD109" s="31">
        <f t="shared" si="116"/>
        <v>0</v>
      </c>
      <c r="AE109" s="31">
        <f t="shared" si="117"/>
        <v>0</v>
      </c>
      <c r="AF109" s="31">
        <f t="shared" si="118"/>
        <v>0</v>
      </c>
      <c r="AG109" s="31">
        <f t="shared" si="119"/>
        <v>0</v>
      </c>
      <c r="AH109" s="31">
        <f t="shared" si="120"/>
        <v>0</v>
      </c>
      <c r="AI109" s="12" t="s">
        <v>54</v>
      </c>
      <c r="AJ109" s="31">
        <f t="shared" si="121"/>
        <v>0</v>
      </c>
      <c r="AK109" s="31">
        <f t="shared" si="122"/>
        <v>0</v>
      </c>
      <c r="AL109" s="31">
        <f t="shared" si="123"/>
        <v>0</v>
      </c>
      <c r="AN109" s="31">
        <v>12</v>
      </c>
      <c r="AO109" s="31">
        <f>H109*0.862467866</f>
        <v>0</v>
      </c>
      <c r="AP109" s="31">
        <f>H109*(1-0.862467866)</f>
        <v>0</v>
      </c>
      <c r="AQ109" s="34" t="s">
        <v>70</v>
      </c>
      <c r="AV109" s="31">
        <f t="shared" si="124"/>
        <v>0</v>
      </c>
      <c r="AW109" s="31">
        <f t="shared" si="125"/>
        <v>0</v>
      </c>
      <c r="AX109" s="31">
        <f t="shared" si="126"/>
        <v>0</v>
      </c>
      <c r="AY109" s="34" t="s">
        <v>185</v>
      </c>
      <c r="AZ109" s="34" t="s">
        <v>92</v>
      </c>
      <c r="BA109" s="12" t="s">
        <v>65</v>
      </c>
      <c r="BC109" s="31">
        <f t="shared" si="127"/>
        <v>0</v>
      </c>
      <c r="BD109" s="31">
        <f t="shared" si="128"/>
        <v>0</v>
      </c>
      <c r="BE109" s="31">
        <v>0</v>
      </c>
      <c r="BF109" s="31">
        <f t="shared" si="129"/>
        <v>1E-3</v>
      </c>
      <c r="BH109" s="31">
        <f t="shared" si="130"/>
        <v>0</v>
      </c>
      <c r="BI109" s="31">
        <f t="shared" si="131"/>
        <v>0</v>
      </c>
      <c r="BJ109" s="31">
        <f t="shared" si="132"/>
        <v>0</v>
      </c>
      <c r="BK109" s="34" t="s">
        <v>66</v>
      </c>
      <c r="BL109" s="31">
        <v>722</v>
      </c>
      <c r="BW109" s="31">
        <f t="shared" si="133"/>
        <v>0</v>
      </c>
      <c r="BX109" s="4" t="s">
        <v>325</v>
      </c>
    </row>
    <row r="110" spans="1:76" x14ac:dyDescent="0.25">
      <c r="A110" s="2" t="s">
        <v>326</v>
      </c>
      <c r="B110" s="3" t="s">
        <v>54</v>
      </c>
      <c r="C110" s="3" t="s">
        <v>327</v>
      </c>
      <c r="D110" s="83" t="s">
        <v>328</v>
      </c>
      <c r="E110" s="84"/>
      <c r="F110" s="3" t="s">
        <v>114</v>
      </c>
      <c r="G110" s="31">
        <v>5</v>
      </c>
      <c r="H110" s="31"/>
      <c r="I110" s="32"/>
      <c r="J110" s="31">
        <f t="shared" si="108"/>
        <v>0</v>
      </c>
      <c r="K110" s="31">
        <f t="shared" si="109"/>
        <v>0</v>
      </c>
      <c r="L110" s="31">
        <f t="shared" si="110"/>
        <v>0</v>
      </c>
      <c r="M110" s="31">
        <f t="shared" si="111"/>
        <v>0</v>
      </c>
      <c r="N110" s="31">
        <v>5.0000000000000001E-4</v>
      </c>
      <c r="O110" s="31">
        <f t="shared" si="112"/>
        <v>2.5000000000000001E-3</v>
      </c>
      <c r="P110" s="33" t="s">
        <v>54</v>
      </c>
      <c r="Z110" s="31">
        <f t="shared" si="113"/>
        <v>0</v>
      </c>
      <c r="AB110" s="31">
        <f t="shared" si="114"/>
        <v>0</v>
      </c>
      <c r="AC110" s="31">
        <f t="shared" si="115"/>
        <v>0</v>
      </c>
      <c r="AD110" s="31">
        <f t="shared" si="116"/>
        <v>0</v>
      </c>
      <c r="AE110" s="31">
        <f t="shared" si="117"/>
        <v>0</v>
      </c>
      <c r="AF110" s="31">
        <f t="shared" si="118"/>
        <v>0</v>
      </c>
      <c r="AG110" s="31">
        <f t="shared" si="119"/>
        <v>0</v>
      </c>
      <c r="AH110" s="31">
        <f t="shared" si="120"/>
        <v>0</v>
      </c>
      <c r="AI110" s="12" t="s">
        <v>54</v>
      </c>
      <c r="AJ110" s="31">
        <f t="shared" si="121"/>
        <v>0</v>
      </c>
      <c r="AK110" s="31">
        <f t="shared" si="122"/>
        <v>0</v>
      </c>
      <c r="AL110" s="31">
        <f t="shared" si="123"/>
        <v>0</v>
      </c>
      <c r="AN110" s="31">
        <v>12</v>
      </c>
      <c r="AO110" s="31">
        <f>H110*0.847360913</f>
        <v>0</v>
      </c>
      <c r="AP110" s="31">
        <f>H110*(1-0.847360913)</f>
        <v>0</v>
      </c>
      <c r="AQ110" s="34" t="s">
        <v>70</v>
      </c>
      <c r="AV110" s="31">
        <f t="shared" si="124"/>
        <v>0</v>
      </c>
      <c r="AW110" s="31">
        <f t="shared" si="125"/>
        <v>0</v>
      </c>
      <c r="AX110" s="31">
        <f t="shared" si="126"/>
        <v>0</v>
      </c>
      <c r="AY110" s="34" t="s">
        <v>185</v>
      </c>
      <c r="AZ110" s="34" t="s">
        <v>92</v>
      </c>
      <c r="BA110" s="12" t="s">
        <v>65</v>
      </c>
      <c r="BC110" s="31">
        <f t="shared" si="127"/>
        <v>0</v>
      </c>
      <c r="BD110" s="31">
        <f t="shared" si="128"/>
        <v>0</v>
      </c>
      <c r="BE110" s="31">
        <v>0</v>
      </c>
      <c r="BF110" s="31">
        <f t="shared" si="129"/>
        <v>2.5000000000000001E-3</v>
      </c>
      <c r="BH110" s="31">
        <f t="shared" si="130"/>
        <v>0</v>
      </c>
      <c r="BI110" s="31">
        <f t="shared" si="131"/>
        <v>0</v>
      </c>
      <c r="BJ110" s="31">
        <f t="shared" si="132"/>
        <v>0</v>
      </c>
      <c r="BK110" s="34" t="s">
        <v>66</v>
      </c>
      <c r="BL110" s="31">
        <v>722</v>
      </c>
      <c r="BW110" s="31">
        <f t="shared" si="133"/>
        <v>0</v>
      </c>
      <c r="BX110" s="4" t="s">
        <v>328</v>
      </c>
    </row>
    <row r="111" spans="1:76" x14ac:dyDescent="0.25">
      <c r="A111" s="2" t="s">
        <v>329</v>
      </c>
      <c r="B111" s="3" t="s">
        <v>54</v>
      </c>
      <c r="C111" s="3" t="s">
        <v>330</v>
      </c>
      <c r="D111" s="83" t="s">
        <v>331</v>
      </c>
      <c r="E111" s="84"/>
      <c r="F111" s="3" t="s">
        <v>114</v>
      </c>
      <c r="G111" s="31">
        <v>5</v>
      </c>
      <c r="H111" s="31"/>
      <c r="I111" s="32"/>
      <c r="J111" s="31">
        <f t="shared" si="108"/>
        <v>0</v>
      </c>
      <c r="K111" s="31">
        <f t="shared" si="109"/>
        <v>0</v>
      </c>
      <c r="L111" s="31">
        <f t="shared" si="110"/>
        <v>0</v>
      </c>
      <c r="M111" s="31">
        <f t="shared" si="111"/>
        <v>0</v>
      </c>
      <c r="N111" s="31">
        <v>5.0000000000000001E-4</v>
      </c>
      <c r="O111" s="31">
        <f t="shared" si="112"/>
        <v>2.5000000000000001E-3</v>
      </c>
      <c r="P111" s="33" t="s">
        <v>54</v>
      </c>
      <c r="Z111" s="31">
        <f t="shared" si="113"/>
        <v>0</v>
      </c>
      <c r="AB111" s="31">
        <f t="shared" si="114"/>
        <v>0</v>
      </c>
      <c r="AC111" s="31">
        <f t="shared" si="115"/>
        <v>0</v>
      </c>
      <c r="AD111" s="31">
        <f t="shared" si="116"/>
        <v>0</v>
      </c>
      <c r="AE111" s="31">
        <f t="shared" si="117"/>
        <v>0</v>
      </c>
      <c r="AF111" s="31">
        <f t="shared" si="118"/>
        <v>0</v>
      </c>
      <c r="AG111" s="31">
        <f t="shared" si="119"/>
        <v>0</v>
      </c>
      <c r="AH111" s="31">
        <f t="shared" si="120"/>
        <v>0</v>
      </c>
      <c r="AI111" s="12" t="s">
        <v>54</v>
      </c>
      <c r="AJ111" s="31">
        <f t="shared" si="121"/>
        <v>0</v>
      </c>
      <c r="AK111" s="31">
        <f t="shared" si="122"/>
        <v>0</v>
      </c>
      <c r="AL111" s="31">
        <f t="shared" si="123"/>
        <v>0</v>
      </c>
      <c r="AN111" s="31">
        <v>12</v>
      </c>
      <c r="AO111" s="31">
        <f>H111*0.766375546</f>
        <v>0</v>
      </c>
      <c r="AP111" s="31">
        <f>H111*(1-0.766375546)</f>
        <v>0</v>
      </c>
      <c r="AQ111" s="34" t="s">
        <v>70</v>
      </c>
      <c r="AV111" s="31">
        <f t="shared" si="124"/>
        <v>0</v>
      </c>
      <c r="AW111" s="31">
        <f t="shared" si="125"/>
        <v>0</v>
      </c>
      <c r="AX111" s="31">
        <f t="shared" si="126"/>
        <v>0</v>
      </c>
      <c r="AY111" s="34" t="s">
        <v>185</v>
      </c>
      <c r="AZ111" s="34" t="s">
        <v>92</v>
      </c>
      <c r="BA111" s="12" t="s">
        <v>65</v>
      </c>
      <c r="BC111" s="31">
        <f t="shared" si="127"/>
        <v>0</v>
      </c>
      <c r="BD111" s="31">
        <f t="shared" si="128"/>
        <v>0</v>
      </c>
      <c r="BE111" s="31">
        <v>0</v>
      </c>
      <c r="BF111" s="31">
        <f t="shared" si="129"/>
        <v>2.5000000000000001E-3</v>
      </c>
      <c r="BH111" s="31">
        <f t="shared" si="130"/>
        <v>0</v>
      </c>
      <c r="BI111" s="31">
        <f t="shared" si="131"/>
        <v>0</v>
      </c>
      <c r="BJ111" s="31">
        <f t="shared" si="132"/>
        <v>0</v>
      </c>
      <c r="BK111" s="34" t="s">
        <v>66</v>
      </c>
      <c r="BL111" s="31">
        <v>722</v>
      </c>
      <c r="BW111" s="31">
        <f t="shared" si="133"/>
        <v>0</v>
      </c>
      <c r="BX111" s="4" t="s">
        <v>331</v>
      </c>
    </row>
    <row r="112" spans="1:76" x14ac:dyDescent="0.25">
      <c r="A112" s="2" t="s">
        <v>332</v>
      </c>
      <c r="B112" s="3" t="s">
        <v>54</v>
      </c>
      <c r="C112" s="3" t="s">
        <v>333</v>
      </c>
      <c r="D112" s="83" t="s">
        <v>334</v>
      </c>
      <c r="E112" s="84"/>
      <c r="F112" s="3" t="s">
        <v>114</v>
      </c>
      <c r="G112" s="31">
        <v>15</v>
      </c>
      <c r="H112" s="31"/>
      <c r="I112" s="32"/>
      <c r="J112" s="31">
        <f t="shared" si="108"/>
        <v>0</v>
      </c>
      <c r="K112" s="31">
        <f t="shared" si="109"/>
        <v>0</v>
      </c>
      <c r="L112" s="31">
        <f t="shared" si="110"/>
        <v>0</v>
      </c>
      <c r="M112" s="31">
        <f t="shared" si="111"/>
        <v>0</v>
      </c>
      <c r="N112" s="31">
        <v>5.0000000000000001E-4</v>
      </c>
      <c r="O112" s="31">
        <f t="shared" si="112"/>
        <v>7.4999999999999997E-3</v>
      </c>
      <c r="P112" s="33" t="s">
        <v>54</v>
      </c>
      <c r="Z112" s="31">
        <f t="shared" si="113"/>
        <v>0</v>
      </c>
      <c r="AB112" s="31">
        <f t="shared" si="114"/>
        <v>0</v>
      </c>
      <c r="AC112" s="31">
        <f t="shared" si="115"/>
        <v>0</v>
      </c>
      <c r="AD112" s="31">
        <f t="shared" si="116"/>
        <v>0</v>
      </c>
      <c r="AE112" s="31">
        <f t="shared" si="117"/>
        <v>0</v>
      </c>
      <c r="AF112" s="31">
        <f t="shared" si="118"/>
        <v>0</v>
      </c>
      <c r="AG112" s="31">
        <f t="shared" si="119"/>
        <v>0</v>
      </c>
      <c r="AH112" s="31">
        <f t="shared" si="120"/>
        <v>0</v>
      </c>
      <c r="AI112" s="12" t="s">
        <v>54</v>
      </c>
      <c r="AJ112" s="31">
        <f t="shared" si="121"/>
        <v>0</v>
      </c>
      <c r="AK112" s="31">
        <f t="shared" si="122"/>
        <v>0</v>
      </c>
      <c r="AL112" s="31">
        <f t="shared" si="123"/>
        <v>0</v>
      </c>
      <c r="AN112" s="31">
        <v>12</v>
      </c>
      <c r="AO112" s="31">
        <f>H112*0.697740113</f>
        <v>0</v>
      </c>
      <c r="AP112" s="31">
        <f>H112*(1-0.697740113)</f>
        <v>0</v>
      </c>
      <c r="AQ112" s="34" t="s">
        <v>70</v>
      </c>
      <c r="AV112" s="31">
        <f t="shared" si="124"/>
        <v>0</v>
      </c>
      <c r="AW112" s="31">
        <f t="shared" si="125"/>
        <v>0</v>
      </c>
      <c r="AX112" s="31">
        <f t="shared" si="126"/>
        <v>0</v>
      </c>
      <c r="AY112" s="34" t="s">
        <v>185</v>
      </c>
      <c r="AZ112" s="34" t="s">
        <v>92</v>
      </c>
      <c r="BA112" s="12" t="s">
        <v>65</v>
      </c>
      <c r="BC112" s="31">
        <f t="shared" si="127"/>
        <v>0</v>
      </c>
      <c r="BD112" s="31">
        <f t="shared" si="128"/>
        <v>0</v>
      </c>
      <c r="BE112" s="31">
        <v>0</v>
      </c>
      <c r="BF112" s="31">
        <f t="shared" si="129"/>
        <v>7.4999999999999997E-3</v>
      </c>
      <c r="BH112" s="31">
        <f t="shared" si="130"/>
        <v>0</v>
      </c>
      <c r="BI112" s="31">
        <f t="shared" si="131"/>
        <v>0</v>
      </c>
      <c r="BJ112" s="31">
        <f t="shared" si="132"/>
        <v>0</v>
      </c>
      <c r="BK112" s="34" t="s">
        <v>66</v>
      </c>
      <c r="BL112" s="31">
        <v>722</v>
      </c>
      <c r="BW112" s="31">
        <f t="shared" si="133"/>
        <v>0</v>
      </c>
      <c r="BX112" s="4" t="s">
        <v>334</v>
      </c>
    </row>
    <row r="113" spans="1:76" x14ac:dyDescent="0.25">
      <c r="A113" s="2" t="s">
        <v>335</v>
      </c>
      <c r="B113" s="3" t="s">
        <v>54</v>
      </c>
      <c r="C113" s="3" t="s">
        <v>336</v>
      </c>
      <c r="D113" s="83" t="s">
        <v>337</v>
      </c>
      <c r="E113" s="84"/>
      <c r="F113" s="3" t="s">
        <v>179</v>
      </c>
      <c r="G113" s="31">
        <v>1.4570000000000001</v>
      </c>
      <c r="H113" s="31"/>
      <c r="I113" s="32"/>
      <c r="J113" s="31">
        <f t="shared" si="108"/>
        <v>0</v>
      </c>
      <c r="K113" s="31">
        <f t="shared" si="109"/>
        <v>0</v>
      </c>
      <c r="L113" s="31">
        <f t="shared" si="110"/>
        <v>0</v>
      </c>
      <c r="M113" s="31">
        <f t="shared" si="111"/>
        <v>0</v>
      </c>
      <c r="N113" s="31">
        <v>0</v>
      </c>
      <c r="O113" s="31">
        <f t="shared" si="112"/>
        <v>0</v>
      </c>
      <c r="P113" s="33" t="s">
        <v>69</v>
      </c>
      <c r="Z113" s="31">
        <f t="shared" si="113"/>
        <v>0</v>
      </c>
      <c r="AB113" s="31">
        <f t="shared" si="114"/>
        <v>0</v>
      </c>
      <c r="AC113" s="31">
        <f t="shared" si="115"/>
        <v>0</v>
      </c>
      <c r="AD113" s="31">
        <f t="shared" si="116"/>
        <v>0</v>
      </c>
      <c r="AE113" s="31">
        <f t="shared" si="117"/>
        <v>0</v>
      </c>
      <c r="AF113" s="31">
        <f t="shared" si="118"/>
        <v>0</v>
      </c>
      <c r="AG113" s="31">
        <f t="shared" si="119"/>
        <v>0</v>
      </c>
      <c r="AH113" s="31">
        <f t="shared" si="120"/>
        <v>0</v>
      </c>
      <c r="AI113" s="12" t="s">
        <v>54</v>
      </c>
      <c r="AJ113" s="31">
        <f t="shared" si="121"/>
        <v>0</v>
      </c>
      <c r="AK113" s="31">
        <f t="shared" si="122"/>
        <v>0</v>
      </c>
      <c r="AL113" s="31">
        <f t="shared" si="123"/>
        <v>0</v>
      </c>
      <c r="AN113" s="31">
        <v>12</v>
      </c>
      <c r="AO113" s="31">
        <f>H113*0</f>
        <v>0</v>
      </c>
      <c r="AP113" s="31">
        <f>H113*(1-0)</f>
        <v>0</v>
      </c>
      <c r="AQ113" s="34" t="s">
        <v>70</v>
      </c>
      <c r="AV113" s="31">
        <f t="shared" si="124"/>
        <v>0</v>
      </c>
      <c r="AW113" s="31">
        <f t="shared" si="125"/>
        <v>0</v>
      </c>
      <c r="AX113" s="31">
        <f t="shared" si="126"/>
        <v>0</v>
      </c>
      <c r="AY113" s="34" t="s">
        <v>185</v>
      </c>
      <c r="AZ113" s="34" t="s">
        <v>92</v>
      </c>
      <c r="BA113" s="12" t="s">
        <v>65</v>
      </c>
      <c r="BC113" s="31">
        <f t="shared" si="127"/>
        <v>0</v>
      </c>
      <c r="BD113" s="31">
        <f t="shared" si="128"/>
        <v>0</v>
      </c>
      <c r="BE113" s="31">
        <v>0</v>
      </c>
      <c r="BF113" s="31">
        <f t="shared" si="129"/>
        <v>0</v>
      </c>
      <c r="BH113" s="31">
        <f t="shared" si="130"/>
        <v>0</v>
      </c>
      <c r="BI113" s="31">
        <f t="shared" si="131"/>
        <v>0</v>
      </c>
      <c r="BJ113" s="31">
        <f t="shared" si="132"/>
        <v>0</v>
      </c>
      <c r="BK113" s="34" t="s">
        <v>66</v>
      </c>
      <c r="BL113" s="31">
        <v>722</v>
      </c>
      <c r="BW113" s="31">
        <f t="shared" si="133"/>
        <v>0</v>
      </c>
      <c r="BX113" s="4" t="s">
        <v>337</v>
      </c>
    </row>
    <row r="114" spans="1:76" x14ac:dyDescent="0.25">
      <c r="A114" s="35" t="s">
        <v>54</v>
      </c>
      <c r="B114" s="36" t="s">
        <v>54</v>
      </c>
      <c r="C114" s="36" t="s">
        <v>338</v>
      </c>
      <c r="D114" s="85" t="s">
        <v>339</v>
      </c>
      <c r="E114" s="86"/>
      <c r="F114" s="37" t="s">
        <v>4</v>
      </c>
      <c r="G114" s="37" t="s">
        <v>4</v>
      </c>
      <c r="H114" s="37"/>
      <c r="I114" s="37" t="s">
        <v>4</v>
      </c>
      <c r="J114" s="1">
        <f>SUM(J115:J149)</f>
        <v>0</v>
      </c>
      <c r="K114" s="1">
        <f>SUM(K115:K149)</f>
        <v>0</v>
      </c>
      <c r="L114" s="1">
        <f>SUM(L115:L149)</f>
        <v>0</v>
      </c>
      <c r="M114" s="1">
        <f>SUM(M115:M149)</f>
        <v>0</v>
      </c>
      <c r="N114" s="12" t="s">
        <v>54</v>
      </c>
      <c r="O114" s="1">
        <f>SUM(O115:O149)</f>
        <v>2.1997300000000006</v>
      </c>
      <c r="P114" s="38" t="s">
        <v>54</v>
      </c>
      <c r="AI114" s="12" t="s">
        <v>54</v>
      </c>
      <c r="AS114" s="1">
        <f>SUM(AJ115:AJ149)</f>
        <v>0</v>
      </c>
      <c r="AT114" s="1">
        <f>SUM(AK115:AK149)</f>
        <v>0</v>
      </c>
      <c r="AU114" s="1">
        <f>SUM(AL115:AL149)</f>
        <v>0</v>
      </c>
    </row>
    <row r="115" spans="1:76" x14ac:dyDescent="0.25">
      <c r="A115" s="2" t="s">
        <v>340</v>
      </c>
      <c r="B115" s="3" t="s">
        <v>54</v>
      </c>
      <c r="C115" s="3" t="s">
        <v>341</v>
      </c>
      <c r="D115" s="83" t="s">
        <v>342</v>
      </c>
      <c r="E115" s="84"/>
      <c r="F115" s="3" t="s">
        <v>273</v>
      </c>
      <c r="G115" s="31">
        <v>21</v>
      </c>
      <c r="H115" s="31"/>
      <c r="I115" s="32"/>
      <c r="J115" s="31">
        <f t="shared" ref="J115:J126" si="134">ROUND(G115*AO115,2)</f>
        <v>0</v>
      </c>
      <c r="K115" s="31">
        <f t="shared" ref="K115:K126" si="135">ROUND(G115*AP115,2)</f>
        <v>0</v>
      </c>
      <c r="L115" s="31">
        <f t="shared" ref="L115:L126" si="136">ROUND(G115*H115,2)</f>
        <v>0</v>
      </c>
      <c r="M115" s="31">
        <f t="shared" ref="M115:M126" si="137">L115*(1+BW115/100)</f>
        <v>0</v>
      </c>
      <c r="N115" s="31">
        <v>1.77E-2</v>
      </c>
      <c r="O115" s="31">
        <f t="shared" ref="O115:O126" si="138">G115*N115</f>
        <v>0.37170000000000003</v>
      </c>
      <c r="P115" s="33" t="s">
        <v>69</v>
      </c>
      <c r="Z115" s="31">
        <f t="shared" ref="Z115:Z126" si="139">ROUND(IF(AQ115="5",BJ115,0),2)</f>
        <v>0</v>
      </c>
      <c r="AB115" s="31">
        <f t="shared" ref="AB115:AB126" si="140">ROUND(IF(AQ115="1",BH115,0),2)</f>
        <v>0</v>
      </c>
      <c r="AC115" s="31">
        <f t="shared" ref="AC115:AC126" si="141">ROUND(IF(AQ115="1",BI115,0),2)</f>
        <v>0</v>
      </c>
      <c r="AD115" s="31">
        <f t="shared" ref="AD115:AD126" si="142">ROUND(IF(AQ115="7",BH115,0),2)</f>
        <v>0</v>
      </c>
      <c r="AE115" s="31">
        <f t="shared" ref="AE115:AE126" si="143">ROUND(IF(AQ115="7",BI115,0),2)</f>
        <v>0</v>
      </c>
      <c r="AF115" s="31">
        <f t="shared" ref="AF115:AF126" si="144">ROUND(IF(AQ115="2",BH115,0),2)</f>
        <v>0</v>
      </c>
      <c r="AG115" s="31">
        <f t="shared" ref="AG115:AG126" si="145">ROUND(IF(AQ115="2",BI115,0),2)</f>
        <v>0</v>
      </c>
      <c r="AH115" s="31">
        <f t="shared" ref="AH115:AH126" si="146">ROUND(IF(AQ115="0",BJ115,0),2)</f>
        <v>0</v>
      </c>
      <c r="AI115" s="12" t="s">
        <v>54</v>
      </c>
      <c r="AJ115" s="31">
        <f t="shared" ref="AJ115:AJ126" si="147">IF(AN115=0,L115,0)</f>
        <v>0</v>
      </c>
      <c r="AK115" s="31">
        <f t="shared" ref="AK115:AK126" si="148">IF(AN115=12,L115,0)</f>
        <v>0</v>
      </c>
      <c r="AL115" s="31">
        <f t="shared" ref="AL115:AL126" si="149">IF(AN115=21,L115,0)</f>
        <v>0</v>
      </c>
      <c r="AN115" s="31">
        <v>12</v>
      </c>
      <c r="AO115" s="31">
        <f>H115*0.869690285</f>
        <v>0</v>
      </c>
      <c r="AP115" s="31">
        <f>H115*(1-0.869690285)</f>
        <v>0</v>
      </c>
      <c r="AQ115" s="34" t="s">
        <v>70</v>
      </c>
      <c r="AV115" s="31">
        <f t="shared" ref="AV115:AV126" si="150">ROUND(AW115+AX115,2)</f>
        <v>0</v>
      </c>
      <c r="AW115" s="31">
        <f t="shared" ref="AW115:AW126" si="151">ROUND(G115*AO115,2)</f>
        <v>0</v>
      </c>
      <c r="AX115" s="31">
        <f t="shared" ref="AX115:AX126" si="152">ROUND(G115*AP115,2)</f>
        <v>0</v>
      </c>
      <c r="AY115" s="34" t="s">
        <v>343</v>
      </c>
      <c r="AZ115" s="34" t="s">
        <v>92</v>
      </c>
      <c r="BA115" s="12" t="s">
        <v>65</v>
      </c>
      <c r="BC115" s="31">
        <f t="shared" ref="BC115:BC126" si="153">AW115+AX115</f>
        <v>0</v>
      </c>
      <c r="BD115" s="31">
        <f t="shared" ref="BD115:BD126" si="154">H115/(100-BE115)*100</f>
        <v>0</v>
      </c>
      <c r="BE115" s="31">
        <v>0</v>
      </c>
      <c r="BF115" s="31">
        <f t="shared" ref="BF115:BF126" si="155">O115</f>
        <v>0.37170000000000003</v>
      </c>
      <c r="BH115" s="31">
        <f t="shared" ref="BH115:BH126" si="156">G115*AO115</f>
        <v>0</v>
      </c>
      <c r="BI115" s="31">
        <f t="shared" ref="BI115:BI126" si="157">G115*AP115</f>
        <v>0</v>
      </c>
      <c r="BJ115" s="31">
        <f t="shared" ref="BJ115:BJ126" si="158">G115*H115</f>
        <v>0</v>
      </c>
      <c r="BK115" s="34" t="s">
        <v>66</v>
      </c>
      <c r="BL115" s="31">
        <v>725</v>
      </c>
      <c r="BW115" s="31">
        <f t="shared" ref="BW115:BW126" si="159">I115</f>
        <v>0</v>
      </c>
      <c r="BX115" s="4" t="s">
        <v>342</v>
      </c>
    </row>
    <row r="116" spans="1:76" x14ac:dyDescent="0.25">
      <c r="A116" s="2" t="s">
        <v>344</v>
      </c>
      <c r="B116" s="3" t="s">
        <v>54</v>
      </c>
      <c r="C116" s="3" t="s">
        <v>345</v>
      </c>
      <c r="D116" s="83" t="s">
        <v>346</v>
      </c>
      <c r="E116" s="84"/>
      <c r="F116" s="3" t="s">
        <v>273</v>
      </c>
      <c r="G116" s="31">
        <v>21</v>
      </c>
      <c r="H116" s="31"/>
      <c r="I116" s="32"/>
      <c r="J116" s="31">
        <f t="shared" si="134"/>
        <v>0</v>
      </c>
      <c r="K116" s="31">
        <f t="shared" si="135"/>
        <v>0</v>
      </c>
      <c r="L116" s="31">
        <f t="shared" si="136"/>
        <v>0</v>
      </c>
      <c r="M116" s="31">
        <f t="shared" si="137"/>
        <v>0</v>
      </c>
      <c r="N116" s="31">
        <v>2.5999999999999999E-2</v>
      </c>
      <c r="O116" s="31">
        <f t="shared" si="138"/>
        <v>0.54599999999999993</v>
      </c>
      <c r="P116" s="33" t="s">
        <v>69</v>
      </c>
      <c r="Z116" s="31">
        <f t="shared" si="139"/>
        <v>0</v>
      </c>
      <c r="AB116" s="31">
        <f t="shared" si="140"/>
        <v>0</v>
      </c>
      <c r="AC116" s="31">
        <f t="shared" si="141"/>
        <v>0</v>
      </c>
      <c r="AD116" s="31">
        <f t="shared" si="142"/>
        <v>0</v>
      </c>
      <c r="AE116" s="31">
        <f t="shared" si="143"/>
        <v>0</v>
      </c>
      <c r="AF116" s="31">
        <f t="shared" si="144"/>
        <v>0</v>
      </c>
      <c r="AG116" s="31">
        <f t="shared" si="145"/>
        <v>0</v>
      </c>
      <c r="AH116" s="31">
        <f t="shared" si="146"/>
        <v>0</v>
      </c>
      <c r="AI116" s="12" t="s">
        <v>54</v>
      </c>
      <c r="AJ116" s="31">
        <f t="shared" si="147"/>
        <v>0</v>
      </c>
      <c r="AK116" s="31">
        <f t="shared" si="148"/>
        <v>0</v>
      </c>
      <c r="AL116" s="31">
        <f t="shared" si="149"/>
        <v>0</v>
      </c>
      <c r="AN116" s="31">
        <v>12</v>
      </c>
      <c r="AO116" s="31">
        <f>H116*0.845187961</f>
        <v>0</v>
      </c>
      <c r="AP116" s="31">
        <f>H116*(1-0.845187961)</f>
        <v>0</v>
      </c>
      <c r="AQ116" s="34" t="s">
        <v>70</v>
      </c>
      <c r="AV116" s="31">
        <f t="shared" si="150"/>
        <v>0</v>
      </c>
      <c r="AW116" s="31">
        <f t="shared" si="151"/>
        <v>0</v>
      </c>
      <c r="AX116" s="31">
        <f t="shared" si="152"/>
        <v>0</v>
      </c>
      <c r="AY116" s="34" t="s">
        <v>343</v>
      </c>
      <c r="AZ116" s="34" t="s">
        <v>92</v>
      </c>
      <c r="BA116" s="12" t="s">
        <v>65</v>
      </c>
      <c r="BC116" s="31">
        <f t="shared" si="153"/>
        <v>0</v>
      </c>
      <c r="BD116" s="31">
        <f t="shared" si="154"/>
        <v>0</v>
      </c>
      <c r="BE116" s="31">
        <v>0</v>
      </c>
      <c r="BF116" s="31">
        <f t="shared" si="155"/>
        <v>0.54599999999999993</v>
      </c>
      <c r="BH116" s="31">
        <f t="shared" si="156"/>
        <v>0</v>
      </c>
      <c r="BI116" s="31">
        <f t="shared" si="157"/>
        <v>0</v>
      </c>
      <c r="BJ116" s="31">
        <f t="shared" si="158"/>
        <v>0</v>
      </c>
      <c r="BK116" s="34" t="s">
        <v>66</v>
      </c>
      <c r="BL116" s="31">
        <v>725</v>
      </c>
      <c r="BW116" s="31">
        <f t="shared" si="159"/>
        <v>0</v>
      </c>
      <c r="BX116" s="4" t="s">
        <v>346</v>
      </c>
    </row>
    <row r="117" spans="1:76" x14ac:dyDescent="0.25">
      <c r="A117" s="2" t="s">
        <v>347</v>
      </c>
      <c r="B117" s="3" t="s">
        <v>54</v>
      </c>
      <c r="C117" s="3" t="s">
        <v>348</v>
      </c>
      <c r="D117" s="83" t="s">
        <v>349</v>
      </c>
      <c r="E117" s="84"/>
      <c r="F117" s="3" t="s">
        <v>114</v>
      </c>
      <c r="G117" s="31">
        <v>21</v>
      </c>
      <c r="H117" s="31"/>
      <c r="I117" s="32"/>
      <c r="J117" s="31">
        <f t="shared" si="134"/>
        <v>0</v>
      </c>
      <c r="K117" s="31">
        <f t="shared" si="135"/>
        <v>0</v>
      </c>
      <c r="L117" s="31">
        <f t="shared" si="136"/>
        <v>0</v>
      </c>
      <c r="M117" s="31">
        <f t="shared" si="137"/>
        <v>0</v>
      </c>
      <c r="N117" s="31">
        <v>1.1E-4</v>
      </c>
      <c r="O117" s="31">
        <f t="shared" si="138"/>
        <v>2.31E-3</v>
      </c>
      <c r="P117" s="33" t="s">
        <v>69</v>
      </c>
      <c r="Z117" s="31">
        <f t="shared" si="139"/>
        <v>0</v>
      </c>
      <c r="AB117" s="31">
        <f t="shared" si="140"/>
        <v>0</v>
      </c>
      <c r="AC117" s="31">
        <f t="shared" si="141"/>
        <v>0</v>
      </c>
      <c r="AD117" s="31">
        <f t="shared" si="142"/>
        <v>0</v>
      </c>
      <c r="AE117" s="31">
        <f t="shared" si="143"/>
        <v>0</v>
      </c>
      <c r="AF117" s="31">
        <f t="shared" si="144"/>
        <v>0</v>
      </c>
      <c r="AG117" s="31">
        <f t="shared" si="145"/>
        <v>0</v>
      </c>
      <c r="AH117" s="31">
        <f t="shared" si="146"/>
        <v>0</v>
      </c>
      <c r="AI117" s="12" t="s">
        <v>54</v>
      </c>
      <c r="AJ117" s="31">
        <f t="shared" si="147"/>
        <v>0</v>
      </c>
      <c r="AK117" s="31">
        <f t="shared" si="148"/>
        <v>0</v>
      </c>
      <c r="AL117" s="31">
        <f t="shared" si="149"/>
        <v>0</v>
      </c>
      <c r="AN117" s="31">
        <v>12</v>
      </c>
      <c r="AO117" s="31">
        <f>H117*1</f>
        <v>0</v>
      </c>
      <c r="AP117" s="31">
        <f>H117*(1-1)</f>
        <v>0</v>
      </c>
      <c r="AQ117" s="34" t="s">
        <v>70</v>
      </c>
      <c r="AV117" s="31">
        <f t="shared" si="150"/>
        <v>0</v>
      </c>
      <c r="AW117" s="31">
        <f t="shared" si="151"/>
        <v>0</v>
      </c>
      <c r="AX117" s="31">
        <f t="shared" si="152"/>
        <v>0</v>
      </c>
      <c r="AY117" s="34" t="s">
        <v>343</v>
      </c>
      <c r="AZ117" s="34" t="s">
        <v>92</v>
      </c>
      <c r="BA117" s="12" t="s">
        <v>65</v>
      </c>
      <c r="BC117" s="31">
        <f t="shared" si="153"/>
        <v>0</v>
      </c>
      <c r="BD117" s="31">
        <f t="shared" si="154"/>
        <v>0</v>
      </c>
      <c r="BE117" s="31">
        <v>0</v>
      </c>
      <c r="BF117" s="31">
        <f t="shared" si="155"/>
        <v>2.31E-3</v>
      </c>
      <c r="BH117" s="31">
        <f t="shared" si="156"/>
        <v>0</v>
      </c>
      <c r="BI117" s="31">
        <f t="shared" si="157"/>
        <v>0</v>
      </c>
      <c r="BJ117" s="31">
        <f t="shared" si="158"/>
        <v>0</v>
      </c>
      <c r="BK117" s="34" t="s">
        <v>71</v>
      </c>
      <c r="BL117" s="31">
        <v>725</v>
      </c>
      <c r="BW117" s="31">
        <f t="shared" si="159"/>
        <v>0</v>
      </c>
      <c r="BX117" s="4" t="s">
        <v>349</v>
      </c>
    </row>
    <row r="118" spans="1:76" x14ac:dyDescent="0.25">
      <c r="A118" s="2" t="s">
        <v>350</v>
      </c>
      <c r="B118" s="3" t="s">
        <v>54</v>
      </c>
      <c r="C118" s="3" t="s">
        <v>351</v>
      </c>
      <c r="D118" s="83" t="s">
        <v>352</v>
      </c>
      <c r="E118" s="84"/>
      <c r="F118" s="3" t="s">
        <v>273</v>
      </c>
      <c r="G118" s="31">
        <v>33</v>
      </c>
      <c r="H118" s="31"/>
      <c r="I118" s="32"/>
      <c r="J118" s="31">
        <f t="shared" si="134"/>
        <v>0</v>
      </c>
      <c r="K118" s="31">
        <f t="shared" si="135"/>
        <v>0</v>
      </c>
      <c r="L118" s="31">
        <f t="shared" si="136"/>
        <v>0</v>
      </c>
      <c r="M118" s="31">
        <f t="shared" si="137"/>
        <v>0</v>
      </c>
      <c r="N118" s="31">
        <v>1.721E-2</v>
      </c>
      <c r="O118" s="31">
        <f t="shared" si="138"/>
        <v>0.56792999999999993</v>
      </c>
      <c r="P118" s="33" t="s">
        <v>69</v>
      </c>
      <c r="Z118" s="31">
        <f t="shared" si="139"/>
        <v>0</v>
      </c>
      <c r="AB118" s="31">
        <f t="shared" si="140"/>
        <v>0</v>
      </c>
      <c r="AC118" s="31">
        <f t="shared" si="141"/>
        <v>0</v>
      </c>
      <c r="AD118" s="31">
        <f t="shared" si="142"/>
        <v>0</v>
      </c>
      <c r="AE118" s="31">
        <f t="shared" si="143"/>
        <v>0</v>
      </c>
      <c r="AF118" s="31">
        <f t="shared" si="144"/>
        <v>0</v>
      </c>
      <c r="AG118" s="31">
        <f t="shared" si="145"/>
        <v>0</v>
      </c>
      <c r="AH118" s="31">
        <f t="shared" si="146"/>
        <v>0</v>
      </c>
      <c r="AI118" s="12" t="s">
        <v>54</v>
      </c>
      <c r="AJ118" s="31">
        <f t="shared" si="147"/>
        <v>0</v>
      </c>
      <c r="AK118" s="31">
        <f t="shared" si="148"/>
        <v>0</v>
      </c>
      <c r="AL118" s="31">
        <f t="shared" si="149"/>
        <v>0</v>
      </c>
      <c r="AN118" s="31">
        <v>12</v>
      </c>
      <c r="AO118" s="31">
        <f>H118*0.702320696</f>
        <v>0</v>
      </c>
      <c r="AP118" s="31">
        <f>H118*(1-0.702320696)</f>
        <v>0</v>
      </c>
      <c r="AQ118" s="34" t="s">
        <v>70</v>
      </c>
      <c r="AV118" s="31">
        <f t="shared" si="150"/>
        <v>0</v>
      </c>
      <c r="AW118" s="31">
        <f t="shared" si="151"/>
        <v>0</v>
      </c>
      <c r="AX118" s="31">
        <f t="shared" si="152"/>
        <v>0</v>
      </c>
      <c r="AY118" s="34" t="s">
        <v>343</v>
      </c>
      <c r="AZ118" s="34" t="s">
        <v>92</v>
      </c>
      <c r="BA118" s="12" t="s">
        <v>65</v>
      </c>
      <c r="BC118" s="31">
        <f t="shared" si="153"/>
        <v>0</v>
      </c>
      <c r="BD118" s="31">
        <f t="shared" si="154"/>
        <v>0</v>
      </c>
      <c r="BE118" s="31">
        <v>0</v>
      </c>
      <c r="BF118" s="31">
        <f t="shared" si="155"/>
        <v>0.56792999999999993</v>
      </c>
      <c r="BH118" s="31">
        <f t="shared" si="156"/>
        <v>0</v>
      </c>
      <c r="BI118" s="31">
        <f t="shared" si="157"/>
        <v>0</v>
      </c>
      <c r="BJ118" s="31">
        <f t="shared" si="158"/>
        <v>0</v>
      </c>
      <c r="BK118" s="34" t="s">
        <v>66</v>
      </c>
      <c r="BL118" s="31">
        <v>725</v>
      </c>
      <c r="BW118" s="31">
        <f t="shared" si="159"/>
        <v>0</v>
      </c>
      <c r="BX118" s="4" t="s">
        <v>352</v>
      </c>
    </row>
    <row r="119" spans="1:76" x14ac:dyDescent="0.25">
      <c r="A119" s="2" t="s">
        <v>353</v>
      </c>
      <c r="B119" s="3" t="s">
        <v>54</v>
      </c>
      <c r="C119" s="3" t="s">
        <v>354</v>
      </c>
      <c r="D119" s="83" t="s">
        <v>355</v>
      </c>
      <c r="E119" s="84"/>
      <c r="F119" s="3" t="s">
        <v>114</v>
      </c>
      <c r="G119" s="31">
        <v>33</v>
      </c>
      <c r="H119" s="31"/>
      <c r="I119" s="32"/>
      <c r="J119" s="31">
        <f t="shared" si="134"/>
        <v>0</v>
      </c>
      <c r="K119" s="31">
        <f t="shared" si="135"/>
        <v>0</v>
      </c>
      <c r="L119" s="31">
        <f t="shared" si="136"/>
        <v>0</v>
      </c>
      <c r="M119" s="31">
        <f t="shared" si="137"/>
        <v>0</v>
      </c>
      <c r="N119" s="31">
        <v>8.4999999999999995E-4</v>
      </c>
      <c r="O119" s="31">
        <f t="shared" si="138"/>
        <v>2.8049999999999999E-2</v>
      </c>
      <c r="P119" s="33" t="s">
        <v>69</v>
      </c>
      <c r="Z119" s="31">
        <f t="shared" si="139"/>
        <v>0</v>
      </c>
      <c r="AB119" s="31">
        <f t="shared" si="140"/>
        <v>0</v>
      </c>
      <c r="AC119" s="31">
        <f t="shared" si="141"/>
        <v>0</v>
      </c>
      <c r="AD119" s="31">
        <f t="shared" si="142"/>
        <v>0</v>
      </c>
      <c r="AE119" s="31">
        <f t="shared" si="143"/>
        <v>0</v>
      </c>
      <c r="AF119" s="31">
        <f t="shared" si="144"/>
        <v>0</v>
      </c>
      <c r="AG119" s="31">
        <f t="shared" si="145"/>
        <v>0</v>
      </c>
      <c r="AH119" s="31">
        <f t="shared" si="146"/>
        <v>0</v>
      </c>
      <c r="AI119" s="12" t="s">
        <v>54</v>
      </c>
      <c r="AJ119" s="31">
        <f t="shared" si="147"/>
        <v>0</v>
      </c>
      <c r="AK119" s="31">
        <f t="shared" si="148"/>
        <v>0</v>
      </c>
      <c r="AL119" s="31">
        <f t="shared" si="149"/>
        <v>0</v>
      </c>
      <c r="AN119" s="31">
        <v>12</v>
      </c>
      <c r="AO119" s="31">
        <f>H119*0.873991935</f>
        <v>0</v>
      </c>
      <c r="AP119" s="31">
        <f>H119*(1-0.873991935)</f>
        <v>0</v>
      </c>
      <c r="AQ119" s="34" t="s">
        <v>70</v>
      </c>
      <c r="AV119" s="31">
        <f t="shared" si="150"/>
        <v>0</v>
      </c>
      <c r="AW119" s="31">
        <f t="shared" si="151"/>
        <v>0</v>
      </c>
      <c r="AX119" s="31">
        <f t="shared" si="152"/>
        <v>0</v>
      </c>
      <c r="AY119" s="34" t="s">
        <v>343</v>
      </c>
      <c r="AZ119" s="34" t="s">
        <v>92</v>
      </c>
      <c r="BA119" s="12" t="s">
        <v>65</v>
      </c>
      <c r="BC119" s="31">
        <f t="shared" si="153"/>
        <v>0</v>
      </c>
      <c r="BD119" s="31">
        <f t="shared" si="154"/>
        <v>0</v>
      </c>
      <c r="BE119" s="31">
        <v>0</v>
      </c>
      <c r="BF119" s="31">
        <f t="shared" si="155"/>
        <v>2.8049999999999999E-2</v>
      </c>
      <c r="BH119" s="31">
        <f t="shared" si="156"/>
        <v>0</v>
      </c>
      <c r="BI119" s="31">
        <f t="shared" si="157"/>
        <v>0</v>
      </c>
      <c r="BJ119" s="31">
        <f t="shared" si="158"/>
        <v>0</v>
      </c>
      <c r="BK119" s="34" t="s">
        <v>66</v>
      </c>
      <c r="BL119" s="31">
        <v>725</v>
      </c>
      <c r="BW119" s="31">
        <f t="shared" si="159"/>
        <v>0</v>
      </c>
      <c r="BX119" s="4" t="s">
        <v>355</v>
      </c>
    </row>
    <row r="120" spans="1:76" x14ac:dyDescent="0.25">
      <c r="A120" s="2" t="s">
        <v>356</v>
      </c>
      <c r="B120" s="3" t="s">
        <v>54</v>
      </c>
      <c r="C120" s="3" t="s">
        <v>357</v>
      </c>
      <c r="D120" s="83" t="s">
        <v>358</v>
      </c>
      <c r="E120" s="84"/>
      <c r="F120" s="3" t="s">
        <v>114</v>
      </c>
      <c r="G120" s="31">
        <v>33</v>
      </c>
      <c r="H120" s="31"/>
      <c r="I120" s="32"/>
      <c r="J120" s="31">
        <f t="shared" si="134"/>
        <v>0</v>
      </c>
      <c r="K120" s="31">
        <f t="shared" si="135"/>
        <v>0</v>
      </c>
      <c r="L120" s="31">
        <f t="shared" si="136"/>
        <v>0</v>
      </c>
      <c r="M120" s="31">
        <f t="shared" si="137"/>
        <v>0</v>
      </c>
      <c r="N120" s="31">
        <v>2.0000000000000001E-4</v>
      </c>
      <c r="O120" s="31">
        <f t="shared" si="138"/>
        <v>6.6E-3</v>
      </c>
      <c r="P120" s="33" t="s">
        <v>69</v>
      </c>
      <c r="Z120" s="31">
        <f t="shared" si="139"/>
        <v>0</v>
      </c>
      <c r="AB120" s="31">
        <f t="shared" si="140"/>
        <v>0</v>
      </c>
      <c r="AC120" s="31">
        <f t="shared" si="141"/>
        <v>0</v>
      </c>
      <c r="AD120" s="31">
        <f t="shared" si="142"/>
        <v>0</v>
      </c>
      <c r="AE120" s="31">
        <f t="shared" si="143"/>
        <v>0</v>
      </c>
      <c r="AF120" s="31">
        <f t="shared" si="144"/>
        <v>0</v>
      </c>
      <c r="AG120" s="31">
        <f t="shared" si="145"/>
        <v>0</v>
      </c>
      <c r="AH120" s="31">
        <f t="shared" si="146"/>
        <v>0</v>
      </c>
      <c r="AI120" s="12" t="s">
        <v>54</v>
      </c>
      <c r="AJ120" s="31">
        <f t="shared" si="147"/>
        <v>0</v>
      </c>
      <c r="AK120" s="31">
        <f t="shared" si="148"/>
        <v>0</v>
      </c>
      <c r="AL120" s="31">
        <f t="shared" si="149"/>
        <v>0</v>
      </c>
      <c r="AN120" s="31">
        <v>12</v>
      </c>
      <c r="AO120" s="31">
        <f>H120*0.63362904</f>
        <v>0</v>
      </c>
      <c r="AP120" s="31">
        <f>H120*(1-0.63362904)</f>
        <v>0</v>
      </c>
      <c r="AQ120" s="34" t="s">
        <v>70</v>
      </c>
      <c r="AV120" s="31">
        <f t="shared" si="150"/>
        <v>0</v>
      </c>
      <c r="AW120" s="31">
        <f t="shared" si="151"/>
        <v>0</v>
      </c>
      <c r="AX120" s="31">
        <f t="shared" si="152"/>
        <v>0</v>
      </c>
      <c r="AY120" s="34" t="s">
        <v>343</v>
      </c>
      <c r="AZ120" s="34" t="s">
        <v>92</v>
      </c>
      <c r="BA120" s="12" t="s">
        <v>65</v>
      </c>
      <c r="BC120" s="31">
        <f t="shared" si="153"/>
        <v>0</v>
      </c>
      <c r="BD120" s="31">
        <f t="shared" si="154"/>
        <v>0</v>
      </c>
      <c r="BE120" s="31">
        <v>0</v>
      </c>
      <c r="BF120" s="31">
        <f t="shared" si="155"/>
        <v>6.6E-3</v>
      </c>
      <c r="BH120" s="31">
        <f t="shared" si="156"/>
        <v>0</v>
      </c>
      <c r="BI120" s="31">
        <f t="shared" si="157"/>
        <v>0</v>
      </c>
      <c r="BJ120" s="31">
        <f t="shared" si="158"/>
        <v>0</v>
      </c>
      <c r="BK120" s="34" t="s">
        <v>66</v>
      </c>
      <c r="BL120" s="31">
        <v>725</v>
      </c>
      <c r="BW120" s="31">
        <f t="shared" si="159"/>
        <v>0</v>
      </c>
      <c r="BX120" s="4" t="s">
        <v>358</v>
      </c>
    </row>
    <row r="121" spans="1:76" x14ac:dyDescent="0.25">
      <c r="A121" s="2" t="s">
        <v>359</v>
      </c>
      <c r="B121" s="3" t="s">
        <v>54</v>
      </c>
      <c r="C121" s="3" t="s">
        <v>360</v>
      </c>
      <c r="D121" s="83" t="s">
        <v>361</v>
      </c>
      <c r="E121" s="84"/>
      <c r="F121" s="3" t="s">
        <v>273</v>
      </c>
      <c r="G121" s="31">
        <v>7</v>
      </c>
      <c r="H121" s="31"/>
      <c r="I121" s="32"/>
      <c r="J121" s="31">
        <f t="shared" si="134"/>
        <v>0</v>
      </c>
      <c r="K121" s="31">
        <f t="shared" si="135"/>
        <v>0</v>
      </c>
      <c r="L121" s="31">
        <f t="shared" si="136"/>
        <v>0</v>
      </c>
      <c r="M121" s="31">
        <f t="shared" si="137"/>
        <v>0</v>
      </c>
      <c r="N121" s="31">
        <v>6.2E-4</v>
      </c>
      <c r="O121" s="31">
        <f t="shared" si="138"/>
        <v>4.3400000000000001E-3</v>
      </c>
      <c r="P121" s="33" t="s">
        <v>69</v>
      </c>
      <c r="Z121" s="31">
        <f t="shared" si="139"/>
        <v>0</v>
      </c>
      <c r="AB121" s="31">
        <f t="shared" si="140"/>
        <v>0</v>
      </c>
      <c r="AC121" s="31">
        <f t="shared" si="141"/>
        <v>0</v>
      </c>
      <c r="AD121" s="31">
        <f t="shared" si="142"/>
        <v>0</v>
      </c>
      <c r="AE121" s="31">
        <f t="shared" si="143"/>
        <v>0</v>
      </c>
      <c r="AF121" s="31">
        <f t="shared" si="144"/>
        <v>0</v>
      </c>
      <c r="AG121" s="31">
        <f t="shared" si="145"/>
        <v>0</v>
      </c>
      <c r="AH121" s="31">
        <f t="shared" si="146"/>
        <v>0</v>
      </c>
      <c r="AI121" s="12" t="s">
        <v>54</v>
      </c>
      <c r="AJ121" s="31">
        <f t="shared" si="147"/>
        <v>0</v>
      </c>
      <c r="AK121" s="31">
        <f t="shared" si="148"/>
        <v>0</v>
      </c>
      <c r="AL121" s="31">
        <f t="shared" si="149"/>
        <v>0</v>
      </c>
      <c r="AN121" s="31">
        <v>12</v>
      </c>
      <c r="AO121" s="31">
        <f>H121*0.279499978</f>
        <v>0</v>
      </c>
      <c r="AP121" s="31">
        <f>H121*(1-0.279499978)</f>
        <v>0</v>
      </c>
      <c r="AQ121" s="34" t="s">
        <v>70</v>
      </c>
      <c r="AV121" s="31">
        <f t="shared" si="150"/>
        <v>0</v>
      </c>
      <c r="AW121" s="31">
        <f t="shared" si="151"/>
        <v>0</v>
      </c>
      <c r="AX121" s="31">
        <f t="shared" si="152"/>
        <v>0</v>
      </c>
      <c r="AY121" s="34" t="s">
        <v>343</v>
      </c>
      <c r="AZ121" s="34" t="s">
        <v>92</v>
      </c>
      <c r="BA121" s="12" t="s">
        <v>65</v>
      </c>
      <c r="BC121" s="31">
        <f t="shared" si="153"/>
        <v>0</v>
      </c>
      <c r="BD121" s="31">
        <f t="shared" si="154"/>
        <v>0</v>
      </c>
      <c r="BE121" s="31">
        <v>0</v>
      </c>
      <c r="BF121" s="31">
        <f t="shared" si="155"/>
        <v>4.3400000000000001E-3</v>
      </c>
      <c r="BH121" s="31">
        <f t="shared" si="156"/>
        <v>0</v>
      </c>
      <c r="BI121" s="31">
        <f t="shared" si="157"/>
        <v>0</v>
      </c>
      <c r="BJ121" s="31">
        <f t="shared" si="158"/>
        <v>0</v>
      </c>
      <c r="BK121" s="34" t="s">
        <v>66</v>
      </c>
      <c r="BL121" s="31">
        <v>725</v>
      </c>
      <c r="BW121" s="31">
        <f t="shared" si="159"/>
        <v>0</v>
      </c>
      <c r="BX121" s="4" t="s">
        <v>361</v>
      </c>
    </row>
    <row r="122" spans="1:76" x14ac:dyDescent="0.25">
      <c r="A122" s="2" t="s">
        <v>362</v>
      </c>
      <c r="B122" s="3" t="s">
        <v>54</v>
      </c>
      <c r="C122" s="3" t="s">
        <v>363</v>
      </c>
      <c r="D122" s="83" t="s">
        <v>364</v>
      </c>
      <c r="E122" s="84"/>
      <c r="F122" s="3" t="s">
        <v>114</v>
      </c>
      <c r="G122" s="31">
        <v>7</v>
      </c>
      <c r="H122" s="31"/>
      <c r="I122" s="32"/>
      <c r="J122" s="31">
        <f t="shared" si="134"/>
        <v>0</v>
      </c>
      <c r="K122" s="31">
        <f t="shared" si="135"/>
        <v>0</v>
      </c>
      <c r="L122" s="31">
        <f t="shared" si="136"/>
        <v>0</v>
      </c>
      <c r="M122" s="31">
        <f t="shared" si="137"/>
        <v>0</v>
      </c>
      <c r="N122" s="31">
        <v>3.5999999999999997E-2</v>
      </c>
      <c r="O122" s="31">
        <f t="shared" si="138"/>
        <v>0.252</v>
      </c>
      <c r="P122" s="33" t="s">
        <v>61</v>
      </c>
      <c r="Z122" s="31">
        <f t="shared" si="139"/>
        <v>0</v>
      </c>
      <c r="AB122" s="31">
        <f t="shared" si="140"/>
        <v>0</v>
      </c>
      <c r="AC122" s="31">
        <f t="shared" si="141"/>
        <v>0</v>
      </c>
      <c r="AD122" s="31">
        <f t="shared" si="142"/>
        <v>0</v>
      </c>
      <c r="AE122" s="31">
        <f t="shared" si="143"/>
        <v>0</v>
      </c>
      <c r="AF122" s="31">
        <f t="shared" si="144"/>
        <v>0</v>
      </c>
      <c r="AG122" s="31">
        <f t="shared" si="145"/>
        <v>0</v>
      </c>
      <c r="AH122" s="31">
        <f t="shared" si="146"/>
        <v>0</v>
      </c>
      <c r="AI122" s="12" t="s">
        <v>54</v>
      </c>
      <c r="AJ122" s="31">
        <f t="shared" si="147"/>
        <v>0</v>
      </c>
      <c r="AK122" s="31">
        <f t="shared" si="148"/>
        <v>0</v>
      </c>
      <c r="AL122" s="31">
        <f t="shared" si="149"/>
        <v>0</v>
      </c>
      <c r="AN122" s="31">
        <v>12</v>
      </c>
      <c r="AO122" s="31">
        <f>H122*1</f>
        <v>0</v>
      </c>
      <c r="AP122" s="31">
        <f>H122*(1-1)</f>
        <v>0</v>
      </c>
      <c r="AQ122" s="34" t="s">
        <v>70</v>
      </c>
      <c r="AV122" s="31">
        <f t="shared" si="150"/>
        <v>0</v>
      </c>
      <c r="AW122" s="31">
        <f t="shared" si="151"/>
        <v>0</v>
      </c>
      <c r="AX122" s="31">
        <f t="shared" si="152"/>
        <v>0</v>
      </c>
      <c r="AY122" s="34" t="s">
        <v>343</v>
      </c>
      <c r="AZ122" s="34" t="s">
        <v>92</v>
      </c>
      <c r="BA122" s="12" t="s">
        <v>65</v>
      </c>
      <c r="BC122" s="31">
        <f t="shared" si="153"/>
        <v>0</v>
      </c>
      <c r="BD122" s="31">
        <f t="shared" si="154"/>
        <v>0</v>
      </c>
      <c r="BE122" s="31">
        <v>0</v>
      </c>
      <c r="BF122" s="31">
        <f t="shared" si="155"/>
        <v>0.252</v>
      </c>
      <c r="BH122" s="31">
        <f t="shared" si="156"/>
        <v>0</v>
      </c>
      <c r="BI122" s="31">
        <f t="shared" si="157"/>
        <v>0</v>
      </c>
      <c r="BJ122" s="31">
        <f t="shared" si="158"/>
        <v>0</v>
      </c>
      <c r="BK122" s="34" t="s">
        <v>71</v>
      </c>
      <c r="BL122" s="31">
        <v>725</v>
      </c>
      <c r="BW122" s="31">
        <f t="shared" si="159"/>
        <v>0</v>
      </c>
      <c r="BX122" s="4" t="s">
        <v>364</v>
      </c>
    </row>
    <row r="123" spans="1:76" x14ac:dyDescent="0.25">
      <c r="A123" s="2" t="s">
        <v>365</v>
      </c>
      <c r="B123" s="3" t="s">
        <v>54</v>
      </c>
      <c r="C123" s="3" t="s">
        <v>366</v>
      </c>
      <c r="D123" s="83" t="s">
        <v>367</v>
      </c>
      <c r="E123" s="84"/>
      <c r="F123" s="3" t="s">
        <v>114</v>
      </c>
      <c r="G123" s="31">
        <v>7</v>
      </c>
      <c r="H123" s="31"/>
      <c r="I123" s="32"/>
      <c r="J123" s="31">
        <f t="shared" si="134"/>
        <v>0</v>
      </c>
      <c r="K123" s="31">
        <f t="shared" si="135"/>
        <v>0</v>
      </c>
      <c r="L123" s="31">
        <f t="shared" si="136"/>
        <v>0</v>
      </c>
      <c r="M123" s="31">
        <f t="shared" si="137"/>
        <v>0</v>
      </c>
      <c r="N123" s="31">
        <v>5.5000000000000003E-4</v>
      </c>
      <c r="O123" s="31">
        <f t="shared" si="138"/>
        <v>3.8500000000000001E-3</v>
      </c>
      <c r="P123" s="33" t="s">
        <v>169</v>
      </c>
      <c r="Z123" s="31">
        <f t="shared" si="139"/>
        <v>0</v>
      </c>
      <c r="AB123" s="31">
        <f t="shared" si="140"/>
        <v>0</v>
      </c>
      <c r="AC123" s="31">
        <f t="shared" si="141"/>
        <v>0</v>
      </c>
      <c r="AD123" s="31">
        <f t="shared" si="142"/>
        <v>0</v>
      </c>
      <c r="AE123" s="31">
        <f t="shared" si="143"/>
        <v>0</v>
      </c>
      <c r="AF123" s="31">
        <f t="shared" si="144"/>
        <v>0</v>
      </c>
      <c r="AG123" s="31">
        <f t="shared" si="145"/>
        <v>0</v>
      </c>
      <c r="AH123" s="31">
        <f t="shared" si="146"/>
        <v>0</v>
      </c>
      <c r="AI123" s="12" t="s">
        <v>54</v>
      </c>
      <c r="AJ123" s="31">
        <f t="shared" si="147"/>
        <v>0</v>
      </c>
      <c r="AK123" s="31">
        <f t="shared" si="148"/>
        <v>0</v>
      </c>
      <c r="AL123" s="31">
        <f t="shared" si="149"/>
        <v>0</v>
      </c>
      <c r="AN123" s="31">
        <v>12</v>
      </c>
      <c r="AO123" s="31">
        <f>H123*0.926235642</f>
        <v>0</v>
      </c>
      <c r="AP123" s="31">
        <f>H123*(1-0.926235642)</f>
        <v>0</v>
      </c>
      <c r="AQ123" s="34" t="s">
        <v>70</v>
      </c>
      <c r="AV123" s="31">
        <f t="shared" si="150"/>
        <v>0</v>
      </c>
      <c r="AW123" s="31">
        <f t="shared" si="151"/>
        <v>0</v>
      </c>
      <c r="AX123" s="31">
        <f t="shared" si="152"/>
        <v>0</v>
      </c>
      <c r="AY123" s="34" t="s">
        <v>343</v>
      </c>
      <c r="AZ123" s="34" t="s">
        <v>92</v>
      </c>
      <c r="BA123" s="12" t="s">
        <v>65</v>
      </c>
      <c r="BC123" s="31">
        <f t="shared" si="153"/>
        <v>0</v>
      </c>
      <c r="BD123" s="31">
        <f t="shared" si="154"/>
        <v>0</v>
      </c>
      <c r="BE123" s="31">
        <v>0</v>
      </c>
      <c r="BF123" s="31">
        <f t="shared" si="155"/>
        <v>3.8500000000000001E-3</v>
      </c>
      <c r="BH123" s="31">
        <f t="shared" si="156"/>
        <v>0</v>
      </c>
      <c r="BI123" s="31">
        <f t="shared" si="157"/>
        <v>0</v>
      </c>
      <c r="BJ123" s="31">
        <f t="shared" si="158"/>
        <v>0</v>
      </c>
      <c r="BK123" s="34" t="s">
        <v>66</v>
      </c>
      <c r="BL123" s="31">
        <v>725</v>
      </c>
      <c r="BW123" s="31">
        <f t="shared" si="159"/>
        <v>0</v>
      </c>
      <c r="BX123" s="4" t="s">
        <v>367</v>
      </c>
    </row>
    <row r="124" spans="1:76" x14ac:dyDescent="0.25">
      <c r="A124" s="2" t="s">
        <v>368</v>
      </c>
      <c r="B124" s="3" t="s">
        <v>54</v>
      </c>
      <c r="C124" s="3" t="s">
        <v>369</v>
      </c>
      <c r="D124" s="83" t="s">
        <v>370</v>
      </c>
      <c r="E124" s="84"/>
      <c r="F124" s="3" t="s">
        <v>273</v>
      </c>
      <c r="G124" s="31">
        <v>7</v>
      </c>
      <c r="H124" s="31"/>
      <c r="I124" s="32"/>
      <c r="J124" s="31">
        <f t="shared" si="134"/>
        <v>0</v>
      </c>
      <c r="K124" s="31">
        <f t="shared" si="135"/>
        <v>0</v>
      </c>
      <c r="L124" s="31">
        <f t="shared" si="136"/>
        <v>0</v>
      </c>
      <c r="M124" s="31">
        <f t="shared" si="137"/>
        <v>0</v>
      </c>
      <c r="N124" s="31">
        <v>1.7000000000000001E-4</v>
      </c>
      <c r="O124" s="31">
        <f t="shared" si="138"/>
        <v>1.1900000000000001E-3</v>
      </c>
      <c r="P124" s="33" t="s">
        <v>69</v>
      </c>
      <c r="Z124" s="31">
        <f t="shared" si="139"/>
        <v>0</v>
      </c>
      <c r="AB124" s="31">
        <f t="shared" si="140"/>
        <v>0</v>
      </c>
      <c r="AC124" s="31">
        <f t="shared" si="141"/>
        <v>0</v>
      </c>
      <c r="AD124" s="31">
        <f t="shared" si="142"/>
        <v>0</v>
      </c>
      <c r="AE124" s="31">
        <f t="shared" si="143"/>
        <v>0</v>
      </c>
      <c r="AF124" s="31">
        <f t="shared" si="144"/>
        <v>0</v>
      </c>
      <c r="AG124" s="31">
        <f t="shared" si="145"/>
        <v>0</v>
      </c>
      <c r="AH124" s="31">
        <f t="shared" si="146"/>
        <v>0</v>
      </c>
      <c r="AI124" s="12" t="s">
        <v>54</v>
      </c>
      <c r="AJ124" s="31">
        <f t="shared" si="147"/>
        <v>0</v>
      </c>
      <c r="AK124" s="31">
        <f t="shared" si="148"/>
        <v>0</v>
      </c>
      <c r="AL124" s="31">
        <f t="shared" si="149"/>
        <v>0</v>
      </c>
      <c r="AN124" s="31">
        <v>12</v>
      </c>
      <c r="AO124" s="31">
        <f>H124*0.049356413</f>
        <v>0</v>
      </c>
      <c r="AP124" s="31">
        <f>H124*(1-0.049356413)</f>
        <v>0</v>
      </c>
      <c r="AQ124" s="34" t="s">
        <v>70</v>
      </c>
      <c r="AV124" s="31">
        <f t="shared" si="150"/>
        <v>0</v>
      </c>
      <c r="AW124" s="31">
        <f t="shared" si="151"/>
        <v>0</v>
      </c>
      <c r="AX124" s="31">
        <f t="shared" si="152"/>
        <v>0</v>
      </c>
      <c r="AY124" s="34" t="s">
        <v>343</v>
      </c>
      <c r="AZ124" s="34" t="s">
        <v>92</v>
      </c>
      <c r="BA124" s="12" t="s">
        <v>65</v>
      </c>
      <c r="BC124" s="31">
        <f t="shared" si="153"/>
        <v>0</v>
      </c>
      <c r="BD124" s="31">
        <f t="shared" si="154"/>
        <v>0</v>
      </c>
      <c r="BE124" s="31">
        <v>0</v>
      </c>
      <c r="BF124" s="31">
        <f t="shared" si="155"/>
        <v>1.1900000000000001E-3</v>
      </c>
      <c r="BH124" s="31">
        <f t="shared" si="156"/>
        <v>0</v>
      </c>
      <c r="BI124" s="31">
        <f t="shared" si="157"/>
        <v>0</v>
      </c>
      <c r="BJ124" s="31">
        <f t="shared" si="158"/>
        <v>0</v>
      </c>
      <c r="BK124" s="34" t="s">
        <v>66</v>
      </c>
      <c r="BL124" s="31">
        <v>725</v>
      </c>
      <c r="BW124" s="31">
        <f t="shared" si="159"/>
        <v>0</v>
      </c>
      <c r="BX124" s="4" t="s">
        <v>370</v>
      </c>
    </row>
    <row r="125" spans="1:76" x14ac:dyDescent="0.25">
      <c r="A125" s="2" t="s">
        <v>371</v>
      </c>
      <c r="B125" s="3" t="s">
        <v>54</v>
      </c>
      <c r="C125" s="3" t="s">
        <v>372</v>
      </c>
      <c r="D125" s="83" t="s">
        <v>373</v>
      </c>
      <c r="E125" s="84"/>
      <c r="F125" s="3" t="s">
        <v>114</v>
      </c>
      <c r="G125" s="31">
        <v>7</v>
      </c>
      <c r="H125" s="31"/>
      <c r="I125" s="32"/>
      <c r="J125" s="31">
        <f t="shared" si="134"/>
        <v>0</v>
      </c>
      <c r="K125" s="31">
        <f t="shared" si="135"/>
        <v>0</v>
      </c>
      <c r="L125" s="31">
        <f t="shared" si="136"/>
        <v>0</v>
      </c>
      <c r="M125" s="31">
        <f t="shared" si="137"/>
        <v>0</v>
      </c>
      <c r="N125" s="31">
        <v>1.6E-2</v>
      </c>
      <c r="O125" s="31">
        <f t="shared" si="138"/>
        <v>0.112</v>
      </c>
      <c r="P125" s="33" t="s">
        <v>69</v>
      </c>
      <c r="Z125" s="31">
        <f t="shared" si="139"/>
        <v>0</v>
      </c>
      <c r="AB125" s="31">
        <f t="shared" si="140"/>
        <v>0</v>
      </c>
      <c r="AC125" s="31">
        <f t="shared" si="141"/>
        <v>0</v>
      </c>
      <c r="AD125" s="31">
        <f t="shared" si="142"/>
        <v>0</v>
      </c>
      <c r="AE125" s="31">
        <f t="shared" si="143"/>
        <v>0</v>
      </c>
      <c r="AF125" s="31">
        <f t="shared" si="144"/>
        <v>0</v>
      </c>
      <c r="AG125" s="31">
        <f t="shared" si="145"/>
        <v>0</v>
      </c>
      <c r="AH125" s="31">
        <f t="shared" si="146"/>
        <v>0</v>
      </c>
      <c r="AI125" s="12" t="s">
        <v>54</v>
      </c>
      <c r="AJ125" s="31">
        <f t="shared" si="147"/>
        <v>0</v>
      </c>
      <c r="AK125" s="31">
        <f t="shared" si="148"/>
        <v>0</v>
      </c>
      <c r="AL125" s="31">
        <f t="shared" si="149"/>
        <v>0</v>
      </c>
      <c r="AN125" s="31">
        <v>12</v>
      </c>
      <c r="AO125" s="31">
        <f>H125*1</f>
        <v>0</v>
      </c>
      <c r="AP125" s="31">
        <f>H125*(1-1)</f>
        <v>0</v>
      </c>
      <c r="AQ125" s="34" t="s">
        <v>70</v>
      </c>
      <c r="AV125" s="31">
        <f t="shared" si="150"/>
        <v>0</v>
      </c>
      <c r="AW125" s="31">
        <f t="shared" si="151"/>
        <v>0</v>
      </c>
      <c r="AX125" s="31">
        <f t="shared" si="152"/>
        <v>0</v>
      </c>
      <c r="AY125" s="34" t="s">
        <v>343</v>
      </c>
      <c r="AZ125" s="34" t="s">
        <v>92</v>
      </c>
      <c r="BA125" s="12" t="s">
        <v>65</v>
      </c>
      <c r="BC125" s="31">
        <f t="shared" si="153"/>
        <v>0</v>
      </c>
      <c r="BD125" s="31">
        <f t="shared" si="154"/>
        <v>0</v>
      </c>
      <c r="BE125" s="31">
        <v>0</v>
      </c>
      <c r="BF125" s="31">
        <f t="shared" si="155"/>
        <v>0.112</v>
      </c>
      <c r="BH125" s="31">
        <f t="shared" si="156"/>
        <v>0</v>
      </c>
      <c r="BI125" s="31">
        <f t="shared" si="157"/>
        <v>0</v>
      </c>
      <c r="BJ125" s="31">
        <f t="shared" si="158"/>
        <v>0</v>
      </c>
      <c r="BK125" s="34" t="s">
        <v>71</v>
      </c>
      <c r="BL125" s="31">
        <v>725</v>
      </c>
      <c r="BW125" s="31">
        <f t="shared" si="159"/>
        <v>0</v>
      </c>
      <c r="BX125" s="4" t="s">
        <v>373</v>
      </c>
    </row>
    <row r="126" spans="1:76" x14ac:dyDescent="0.25">
      <c r="A126" s="2" t="s">
        <v>374</v>
      </c>
      <c r="B126" s="3" t="s">
        <v>54</v>
      </c>
      <c r="C126" s="3" t="s">
        <v>375</v>
      </c>
      <c r="D126" s="83" t="s">
        <v>376</v>
      </c>
      <c r="E126" s="84"/>
      <c r="F126" s="3" t="s">
        <v>114</v>
      </c>
      <c r="G126" s="31">
        <v>7</v>
      </c>
      <c r="H126" s="31"/>
      <c r="I126" s="32"/>
      <c r="J126" s="31">
        <f t="shared" si="134"/>
        <v>0</v>
      </c>
      <c r="K126" s="31">
        <f t="shared" si="135"/>
        <v>0</v>
      </c>
      <c r="L126" s="31">
        <f t="shared" si="136"/>
        <v>0</v>
      </c>
      <c r="M126" s="31">
        <f t="shared" si="137"/>
        <v>0</v>
      </c>
      <c r="N126" s="31">
        <v>1.5200000000000001E-3</v>
      </c>
      <c r="O126" s="31">
        <f t="shared" si="138"/>
        <v>1.064E-2</v>
      </c>
      <c r="P126" s="33" t="s">
        <v>69</v>
      </c>
      <c r="Z126" s="31">
        <f t="shared" si="139"/>
        <v>0</v>
      </c>
      <c r="AB126" s="31">
        <f t="shared" si="140"/>
        <v>0</v>
      </c>
      <c r="AC126" s="31">
        <f t="shared" si="141"/>
        <v>0</v>
      </c>
      <c r="AD126" s="31">
        <f t="shared" si="142"/>
        <v>0</v>
      </c>
      <c r="AE126" s="31">
        <f t="shared" si="143"/>
        <v>0</v>
      </c>
      <c r="AF126" s="31">
        <f t="shared" si="144"/>
        <v>0</v>
      </c>
      <c r="AG126" s="31">
        <f t="shared" si="145"/>
        <v>0</v>
      </c>
      <c r="AH126" s="31">
        <f t="shared" si="146"/>
        <v>0</v>
      </c>
      <c r="AI126" s="12" t="s">
        <v>54</v>
      </c>
      <c r="AJ126" s="31">
        <f t="shared" si="147"/>
        <v>0</v>
      </c>
      <c r="AK126" s="31">
        <f t="shared" si="148"/>
        <v>0</v>
      </c>
      <c r="AL126" s="31">
        <f t="shared" si="149"/>
        <v>0</v>
      </c>
      <c r="AN126" s="31">
        <v>12</v>
      </c>
      <c r="AO126" s="31">
        <f>H126*0.826075718</f>
        <v>0</v>
      </c>
      <c r="AP126" s="31">
        <f>H126*(1-0.826075718)</f>
        <v>0</v>
      </c>
      <c r="AQ126" s="34" t="s">
        <v>70</v>
      </c>
      <c r="AV126" s="31">
        <f t="shared" si="150"/>
        <v>0</v>
      </c>
      <c r="AW126" s="31">
        <f t="shared" si="151"/>
        <v>0</v>
      </c>
      <c r="AX126" s="31">
        <f t="shared" si="152"/>
        <v>0</v>
      </c>
      <c r="AY126" s="34" t="s">
        <v>343</v>
      </c>
      <c r="AZ126" s="34" t="s">
        <v>92</v>
      </c>
      <c r="BA126" s="12" t="s">
        <v>65</v>
      </c>
      <c r="BC126" s="31">
        <f t="shared" si="153"/>
        <v>0</v>
      </c>
      <c r="BD126" s="31">
        <f t="shared" si="154"/>
        <v>0</v>
      </c>
      <c r="BE126" s="31">
        <v>0</v>
      </c>
      <c r="BF126" s="31">
        <f t="shared" si="155"/>
        <v>1.064E-2</v>
      </c>
      <c r="BH126" s="31">
        <f t="shared" si="156"/>
        <v>0</v>
      </c>
      <c r="BI126" s="31">
        <f t="shared" si="157"/>
        <v>0</v>
      </c>
      <c r="BJ126" s="31">
        <f t="shared" si="158"/>
        <v>0</v>
      </c>
      <c r="BK126" s="34" t="s">
        <v>66</v>
      </c>
      <c r="BL126" s="31">
        <v>725</v>
      </c>
      <c r="BW126" s="31">
        <f t="shared" si="159"/>
        <v>0</v>
      </c>
      <c r="BX126" s="4" t="s">
        <v>376</v>
      </c>
    </row>
    <row r="127" spans="1:76" ht="13.5" customHeight="1" x14ac:dyDescent="0.25">
      <c r="A127" s="39"/>
      <c r="C127" s="40" t="s">
        <v>142</v>
      </c>
      <c r="D127" s="90" t="s">
        <v>377</v>
      </c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2"/>
    </row>
    <row r="128" spans="1:76" x14ac:dyDescent="0.25">
      <c r="A128" s="2" t="s">
        <v>378</v>
      </c>
      <c r="B128" s="3" t="s">
        <v>54</v>
      </c>
      <c r="C128" s="3" t="s">
        <v>379</v>
      </c>
      <c r="D128" s="83" t="s">
        <v>380</v>
      </c>
      <c r="E128" s="84"/>
      <c r="F128" s="3" t="s">
        <v>114</v>
      </c>
      <c r="G128" s="31">
        <v>7</v>
      </c>
      <c r="H128" s="31"/>
      <c r="I128" s="32"/>
      <c r="J128" s="31">
        <f t="shared" ref="J128:J146" si="160">ROUND(G128*AO128,2)</f>
        <v>0</v>
      </c>
      <c r="K128" s="31">
        <f t="shared" ref="K128:K146" si="161">ROUND(G128*AP128,2)</f>
        <v>0</v>
      </c>
      <c r="L128" s="31">
        <f t="shared" ref="L128:L146" si="162">ROUND(G128*H128,2)</f>
        <v>0</v>
      </c>
      <c r="M128" s="31">
        <f t="shared" ref="M128:M146" si="163">L128*(1+BW128/100)</f>
        <v>0</v>
      </c>
      <c r="N128" s="31">
        <v>0</v>
      </c>
      <c r="O128" s="31">
        <f t="shared" ref="O128:O146" si="164">G128*N128</f>
        <v>0</v>
      </c>
      <c r="P128" s="33" t="s">
        <v>69</v>
      </c>
      <c r="Z128" s="31">
        <f t="shared" ref="Z128:Z146" si="165">ROUND(IF(AQ128="5",BJ128,0),2)</f>
        <v>0</v>
      </c>
      <c r="AB128" s="31">
        <f t="shared" ref="AB128:AB146" si="166">ROUND(IF(AQ128="1",BH128,0),2)</f>
        <v>0</v>
      </c>
      <c r="AC128" s="31">
        <f t="shared" ref="AC128:AC146" si="167">ROUND(IF(AQ128="1",BI128,0),2)</f>
        <v>0</v>
      </c>
      <c r="AD128" s="31">
        <f t="shared" ref="AD128:AD146" si="168">ROUND(IF(AQ128="7",BH128,0),2)</f>
        <v>0</v>
      </c>
      <c r="AE128" s="31">
        <f t="shared" ref="AE128:AE146" si="169">ROUND(IF(AQ128="7",BI128,0),2)</f>
        <v>0</v>
      </c>
      <c r="AF128" s="31">
        <f t="shared" ref="AF128:AF146" si="170">ROUND(IF(AQ128="2",BH128,0),2)</f>
        <v>0</v>
      </c>
      <c r="AG128" s="31">
        <f t="shared" ref="AG128:AG146" si="171">ROUND(IF(AQ128="2",BI128,0),2)</f>
        <v>0</v>
      </c>
      <c r="AH128" s="31">
        <f t="shared" ref="AH128:AH146" si="172">ROUND(IF(AQ128="0",BJ128,0),2)</f>
        <v>0</v>
      </c>
      <c r="AI128" s="12" t="s">
        <v>54</v>
      </c>
      <c r="AJ128" s="31">
        <f t="shared" ref="AJ128:AJ146" si="173">IF(AN128=0,L128,0)</f>
        <v>0</v>
      </c>
      <c r="AK128" s="31">
        <f t="shared" ref="AK128:AK146" si="174">IF(AN128=12,L128,0)</f>
        <v>0</v>
      </c>
      <c r="AL128" s="31">
        <f t="shared" ref="AL128:AL146" si="175">IF(AN128=21,L128,0)</f>
        <v>0</v>
      </c>
      <c r="AN128" s="31">
        <v>12</v>
      </c>
      <c r="AO128" s="31">
        <f>H128*1</f>
        <v>0</v>
      </c>
      <c r="AP128" s="31">
        <f>H128*(1-1)</f>
        <v>0</v>
      </c>
      <c r="AQ128" s="34" t="s">
        <v>70</v>
      </c>
      <c r="AV128" s="31">
        <f t="shared" ref="AV128:AV146" si="176">ROUND(AW128+AX128,2)</f>
        <v>0</v>
      </c>
      <c r="AW128" s="31">
        <f t="shared" ref="AW128:AW146" si="177">ROUND(G128*AO128,2)</f>
        <v>0</v>
      </c>
      <c r="AX128" s="31">
        <f t="shared" ref="AX128:AX146" si="178">ROUND(G128*AP128,2)</f>
        <v>0</v>
      </c>
      <c r="AY128" s="34" t="s">
        <v>343</v>
      </c>
      <c r="AZ128" s="34" t="s">
        <v>92</v>
      </c>
      <c r="BA128" s="12" t="s">
        <v>65</v>
      </c>
      <c r="BC128" s="31">
        <f t="shared" ref="BC128:BC146" si="179">AW128+AX128</f>
        <v>0</v>
      </c>
      <c r="BD128" s="31">
        <f t="shared" ref="BD128:BD146" si="180">H128/(100-BE128)*100</f>
        <v>0</v>
      </c>
      <c r="BE128" s="31">
        <v>0</v>
      </c>
      <c r="BF128" s="31">
        <f t="shared" ref="BF128:BF146" si="181">O128</f>
        <v>0</v>
      </c>
      <c r="BH128" s="31">
        <f t="shared" ref="BH128:BH146" si="182">G128*AO128</f>
        <v>0</v>
      </c>
      <c r="BI128" s="31">
        <f t="shared" ref="BI128:BI146" si="183">G128*AP128</f>
        <v>0</v>
      </c>
      <c r="BJ128" s="31">
        <f t="shared" ref="BJ128:BJ146" si="184">G128*H128</f>
        <v>0</v>
      </c>
      <c r="BK128" s="34" t="s">
        <v>71</v>
      </c>
      <c r="BL128" s="31">
        <v>725</v>
      </c>
      <c r="BW128" s="31">
        <f t="shared" ref="BW128:BW146" si="185">I128</f>
        <v>0</v>
      </c>
      <c r="BX128" s="4" t="s">
        <v>380</v>
      </c>
    </row>
    <row r="129" spans="1:76" x14ac:dyDescent="0.25">
      <c r="A129" s="2" t="s">
        <v>381</v>
      </c>
      <c r="B129" s="3" t="s">
        <v>54</v>
      </c>
      <c r="C129" s="3" t="s">
        <v>382</v>
      </c>
      <c r="D129" s="83" t="s">
        <v>383</v>
      </c>
      <c r="E129" s="84"/>
      <c r="F129" s="3" t="s">
        <v>273</v>
      </c>
      <c r="G129" s="31">
        <v>3</v>
      </c>
      <c r="H129" s="31"/>
      <c r="I129" s="32"/>
      <c r="J129" s="31">
        <f t="shared" si="160"/>
        <v>0</v>
      </c>
      <c r="K129" s="31">
        <f t="shared" si="161"/>
        <v>0</v>
      </c>
      <c r="L129" s="31">
        <f t="shared" si="162"/>
        <v>0</v>
      </c>
      <c r="M129" s="31">
        <f t="shared" si="163"/>
        <v>0</v>
      </c>
      <c r="N129" s="31">
        <v>1.444E-2</v>
      </c>
      <c r="O129" s="31">
        <f t="shared" si="164"/>
        <v>4.3319999999999997E-2</v>
      </c>
      <c r="P129" s="33" t="s">
        <v>69</v>
      </c>
      <c r="Z129" s="31">
        <f t="shared" si="165"/>
        <v>0</v>
      </c>
      <c r="AB129" s="31">
        <f t="shared" si="166"/>
        <v>0</v>
      </c>
      <c r="AC129" s="31">
        <f t="shared" si="167"/>
        <v>0</v>
      </c>
      <c r="AD129" s="31">
        <f t="shared" si="168"/>
        <v>0</v>
      </c>
      <c r="AE129" s="31">
        <f t="shared" si="169"/>
        <v>0</v>
      </c>
      <c r="AF129" s="31">
        <f t="shared" si="170"/>
        <v>0</v>
      </c>
      <c r="AG129" s="31">
        <f t="shared" si="171"/>
        <v>0</v>
      </c>
      <c r="AH129" s="31">
        <f t="shared" si="172"/>
        <v>0</v>
      </c>
      <c r="AI129" s="12" t="s">
        <v>54</v>
      </c>
      <c r="AJ129" s="31">
        <f t="shared" si="173"/>
        <v>0</v>
      </c>
      <c r="AK129" s="31">
        <f t="shared" si="174"/>
        <v>0</v>
      </c>
      <c r="AL129" s="31">
        <f t="shared" si="175"/>
        <v>0</v>
      </c>
      <c r="AN129" s="31">
        <v>12</v>
      </c>
      <c r="AO129" s="31">
        <f>H129*0.872155422</f>
        <v>0</v>
      </c>
      <c r="AP129" s="31">
        <f>H129*(1-0.872155422)</f>
        <v>0</v>
      </c>
      <c r="AQ129" s="34" t="s">
        <v>70</v>
      </c>
      <c r="AV129" s="31">
        <f t="shared" si="176"/>
        <v>0</v>
      </c>
      <c r="AW129" s="31">
        <f t="shared" si="177"/>
        <v>0</v>
      </c>
      <c r="AX129" s="31">
        <f t="shared" si="178"/>
        <v>0</v>
      </c>
      <c r="AY129" s="34" t="s">
        <v>343</v>
      </c>
      <c r="AZ129" s="34" t="s">
        <v>92</v>
      </c>
      <c r="BA129" s="12" t="s">
        <v>65</v>
      </c>
      <c r="BC129" s="31">
        <f t="shared" si="179"/>
        <v>0</v>
      </c>
      <c r="BD129" s="31">
        <f t="shared" si="180"/>
        <v>0</v>
      </c>
      <c r="BE129" s="31">
        <v>0</v>
      </c>
      <c r="BF129" s="31">
        <f t="shared" si="181"/>
        <v>4.3319999999999997E-2</v>
      </c>
      <c r="BH129" s="31">
        <f t="shared" si="182"/>
        <v>0</v>
      </c>
      <c r="BI129" s="31">
        <f t="shared" si="183"/>
        <v>0</v>
      </c>
      <c r="BJ129" s="31">
        <f t="shared" si="184"/>
        <v>0</v>
      </c>
      <c r="BK129" s="34" t="s">
        <v>66</v>
      </c>
      <c r="BL129" s="31">
        <v>725</v>
      </c>
      <c r="BW129" s="31">
        <f t="shared" si="185"/>
        <v>0</v>
      </c>
      <c r="BX129" s="4" t="s">
        <v>383</v>
      </c>
    </row>
    <row r="130" spans="1:76" x14ac:dyDescent="0.25">
      <c r="A130" s="2" t="s">
        <v>384</v>
      </c>
      <c r="B130" s="3" t="s">
        <v>54</v>
      </c>
      <c r="C130" s="3" t="s">
        <v>385</v>
      </c>
      <c r="D130" s="83" t="s">
        <v>386</v>
      </c>
      <c r="E130" s="84"/>
      <c r="F130" s="3" t="s">
        <v>114</v>
      </c>
      <c r="G130" s="31">
        <v>3</v>
      </c>
      <c r="H130" s="31"/>
      <c r="I130" s="32"/>
      <c r="J130" s="31">
        <f t="shared" si="160"/>
        <v>0</v>
      </c>
      <c r="K130" s="31">
        <f t="shared" si="161"/>
        <v>0</v>
      </c>
      <c r="L130" s="31">
        <f t="shared" si="162"/>
        <v>0</v>
      </c>
      <c r="M130" s="31">
        <f t="shared" si="163"/>
        <v>0</v>
      </c>
      <c r="N130" s="31">
        <v>8.8000000000000003E-4</v>
      </c>
      <c r="O130" s="31">
        <f t="shared" si="164"/>
        <v>2.64E-3</v>
      </c>
      <c r="P130" s="33" t="s">
        <v>69</v>
      </c>
      <c r="Z130" s="31">
        <f t="shared" si="165"/>
        <v>0</v>
      </c>
      <c r="AB130" s="31">
        <f t="shared" si="166"/>
        <v>0</v>
      </c>
      <c r="AC130" s="31">
        <f t="shared" si="167"/>
        <v>0</v>
      </c>
      <c r="AD130" s="31">
        <f t="shared" si="168"/>
        <v>0</v>
      </c>
      <c r="AE130" s="31">
        <f t="shared" si="169"/>
        <v>0</v>
      </c>
      <c r="AF130" s="31">
        <f t="shared" si="170"/>
        <v>0</v>
      </c>
      <c r="AG130" s="31">
        <f t="shared" si="171"/>
        <v>0</v>
      </c>
      <c r="AH130" s="31">
        <f t="shared" si="172"/>
        <v>0</v>
      </c>
      <c r="AI130" s="12" t="s">
        <v>54</v>
      </c>
      <c r="AJ130" s="31">
        <f t="shared" si="173"/>
        <v>0</v>
      </c>
      <c r="AK130" s="31">
        <f t="shared" si="174"/>
        <v>0</v>
      </c>
      <c r="AL130" s="31">
        <f t="shared" si="175"/>
        <v>0</v>
      </c>
      <c r="AN130" s="31">
        <v>12</v>
      </c>
      <c r="AO130" s="31">
        <f>H130*0.295870796</f>
        <v>0</v>
      </c>
      <c r="AP130" s="31">
        <f>H130*(1-0.295870796)</f>
        <v>0</v>
      </c>
      <c r="AQ130" s="34" t="s">
        <v>70</v>
      </c>
      <c r="AV130" s="31">
        <f t="shared" si="176"/>
        <v>0</v>
      </c>
      <c r="AW130" s="31">
        <f t="shared" si="177"/>
        <v>0</v>
      </c>
      <c r="AX130" s="31">
        <f t="shared" si="178"/>
        <v>0</v>
      </c>
      <c r="AY130" s="34" t="s">
        <v>343</v>
      </c>
      <c r="AZ130" s="34" t="s">
        <v>92</v>
      </c>
      <c r="BA130" s="12" t="s">
        <v>65</v>
      </c>
      <c r="BC130" s="31">
        <f t="shared" si="179"/>
        <v>0</v>
      </c>
      <c r="BD130" s="31">
        <f t="shared" si="180"/>
        <v>0</v>
      </c>
      <c r="BE130" s="31">
        <v>0</v>
      </c>
      <c r="BF130" s="31">
        <f t="shared" si="181"/>
        <v>2.64E-3</v>
      </c>
      <c r="BH130" s="31">
        <f t="shared" si="182"/>
        <v>0</v>
      </c>
      <c r="BI130" s="31">
        <f t="shared" si="183"/>
        <v>0</v>
      </c>
      <c r="BJ130" s="31">
        <f t="shared" si="184"/>
        <v>0</v>
      </c>
      <c r="BK130" s="34" t="s">
        <v>66</v>
      </c>
      <c r="BL130" s="31">
        <v>725</v>
      </c>
      <c r="BW130" s="31">
        <f t="shared" si="185"/>
        <v>0</v>
      </c>
      <c r="BX130" s="4" t="s">
        <v>386</v>
      </c>
    </row>
    <row r="131" spans="1:76" x14ac:dyDescent="0.25">
      <c r="A131" s="2" t="s">
        <v>387</v>
      </c>
      <c r="B131" s="3" t="s">
        <v>54</v>
      </c>
      <c r="C131" s="3" t="s">
        <v>388</v>
      </c>
      <c r="D131" s="83" t="s">
        <v>389</v>
      </c>
      <c r="E131" s="84"/>
      <c r="F131" s="3" t="s">
        <v>114</v>
      </c>
      <c r="G131" s="31">
        <v>3</v>
      </c>
      <c r="H131" s="31"/>
      <c r="I131" s="32"/>
      <c r="J131" s="31">
        <f t="shared" si="160"/>
        <v>0</v>
      </c>
      <c r="K131" s="31">
        <f t="shared" si="161"/>
        <v>0</v>
      </c>
      <c r="L131" s="31">
        <f t="shared" si="162"/>
        <v>0</v>
      </c>
      <c r="M131" s="31">
        <f t="shared" si="163"/>
        <v>0</v>
      </c>
      <c r="N131" s="31">
        <v>1.2E-4</v>
      </c>
      <c r="O131" s="31">
        <f t="shared" si="164"/>
        <v>3.6000000000000002E-4</v>
      </c>
      <c r="P131" s="33" t="s">
        <v>69</v>
      </c>
      <c r="Z131" s="31">
        <f t="shared" si="165"/>
        <v>0</v>
      </c>
      <c r="AB131" s="31">
        <f t="shared" si="166"/>
        <v>0</v>
      </c>
      <c r="AC131" s="31">
        <f t="shared" si="167"/>
        <v>0</v>
      </c>
      <c r="AD131" s="31">
        <f t="shared" si="168"/>
        <v>0</v>
      </c>
      <c r="AE131" s="31">
        <f t="shared" si="169"/>
        <v>0</v>
      </c>
      <c r="AF131" s="31">
        <f t="shared" si="170"/>
        <v>0</v>
      </c>
      <c r="AG131" s="31">
        <f t="shared" si="171"/>
        <v>0</v>
      </c>
      <c r="AH131" s="31">
        <f t="shared" si="172"/>
        <v>0</v>
      </c>
      <c r="AI131" s="12" t="s">
        <v>54</v>
      </c>
      <c r="AJ131" s="31">
        <f t="shared" si="173"/>
        <v>0</v>
      </c>
      <c r="AK131" s="31">
        <f t="shared" si="174"/>
        <v>0</v>
      </c>
      <c r="AL131" s="31">
        <f t="shared" si="175"/>
        <v>0</v>
      </c>
      <c r="AN131" s="31">
        <v>12</v>
      </c>
      <c r="AO131" s="31">
        <f>H131*0.205009326</f>
        <v>0</v>
      </c>
      <c r="AP131" s="31">
        <f>H131*(1-0.205009326)</f>
        <v>0</v>
      </c>
      <c r="AQ131" s="34" t="s">
        <v>70</v>
      </c>
      <c r="AV131" s="31">
        <f t="shared" si="176"/>
        <v>0</v>
      </c>
      <c r="AW131" s="31">
        <f t="shared" si="177"/>
        <v>0</v>
      </c>
      <c r="AX131" s="31">
        <f t="shared" si="178"/>
        <v>0</v>
      </c>
      <c r="AY131" s="34" t="s">
        <v>343</v>
      </c>
      <c r="AZ131" s="34" t="s">
        <v>92</v>
      </c>
      <c r="BA131" s="12" t="s">
        <v>65</v>
      </c>
      <c r="BC131" s="31">
        <f t="shared" si="179"/>
        <v>0</v>
      </c>
      <c r="BD131" s="31">
        <f t="shared" si="180"/>
        <v>0</v>
      </c>
      <c r="BE131" s="31">
        <v>0</v>
      </c>
      <c r="BF131" s="31">
        <f t="shared" si="181"/>
        <v>3.6000000000000002E-4</v>
      </c>
      <c r="BH131" s="31">
        <f t="shared" si="182"/>
        <v>0</v>
      </c>
      <c r="BI131" s="31">
        <f t="shared" si="183"/>
        <v>0</v>
      </c>
      <c r="BJ131" s="31">
        <f t="shared" si="184"/>
        <v>0</v>
      </c>
      <c r="BK131" s="34" t="s">
        <v>66</v>
      </c>
      <c r="BL131" s="31">
        <v>725</v>
      </c>
      <c r="BW131" s="31">
        <f t="shared" si="185"/>
        <v>0</v>
      </c>
      <c r="BX131" s="4" t="s">
        <v>389</v>
      </c>
    </row>
    <row r="132" spans="1:76" x14ac:dyDescent="0.25">
      <c r="A132" s="2" t="s">
        <v>390</v>
      </c>
      <c r="B132" s="3" t="s">
        <v>54</v>
      </c>
      <c r="C132" s="3" t="s">
        <v>391</v>
      </c>
      <c r="D132" s="83" t="s">
        <v>392</v>
      </c>
      <c r="E132" s="84"/>
      <c r="F132" s="3" t="s">
        <v>114</v>
      </c>
      <c r="G132" s="31">
        <v>3</v>
      </c>
      <c r="H132" s="31"/>
      <c r="I132" s="32"/>
      <c r="J132" s="31">
        <f t="shared" si="160"/>
        <v>0</v>
      </c>
      <c r="K132" s="31">
        <f t="shared" si="161"/>
        <v>0</v>
      </c>
      <c r="L132" s="31">
        <f t="shared" si="162"/>
        <v>0</v>
      </c>
      <c r="M132" s="31">
        <f t="shared" si="163"/>
        <v>0</v>
      </c>
      <c r="N132" s="31">
        <v>0</v>
      </c>
      <c r="O132" s="31">
        <f t="shared" si="164"/>
        <v>0</v>
      </c>
      <c r="P132" s="33" t="s">
        <v>69</v>
      </c>
      <c r="Z132" s="31">
        <f t="shared" si="165"/>
        <v>0</v>
      </c>
      <c r="AB132" s="31">
        <f t="shared" si="166"/>
        <v>0</v>
      </c>
      <c r="AC132" s="31">
        <f t="shared" si="167"/>
        <v>0</v>
      </c>
      <c r="AD132" s="31">
        <f t="shared" si="168"/>
        <v>0</v>
      </c>
      <c r="AE132" s="31">
        <f t="shared" si="169"/>
        <v>0</v>
      </c>
      <c r="AF132" s="31">
        <f t="shared" si="170"/>
        <v>0</v>
      </c>
      <c r="AG132" s="31">
        <f t="shared" si="171"/>
        <v>0</v>
      </c>
      <c r="AH132" s="31">
        <f t="shared" si="172"/>
        <v>0</v>
      </c>
      <c r="AI132" s="12" t="s">
        <v>54</v>
      </c>
      <c r="AJ132" s="31">
        <f t="shared" si="173"/>
        <v>0</v>
      </c>
      <c r="AK132" s="31">
        <f t="shared" si="174"/>
        <v>0</v>
      </c>
      <c r="AL132" s="31">
        <f t="shared" si="175"/>
        <v>0</v>
      </c>
      <c r="AN132" s="31">
        <v>12</v>
      </c>
      <c r="AO132" s="31">
        <f>H132*1</f>
        <v>0</v>
      </c>
      <c r="AP132" s="31">
        <f>H132*(1-1)</f>
        <v>0</v>
      </c>
      <c r="AQ132" s="34" t="s">
        <v>70</v>
      </c>
      <c r="AV132" s="31">
        <f t="shared" si="176"/>
        <v>0</v>
      </c>
      <c r="AW132" s="31">
        <f t="shared" si="177"/>
        <v>0</v>
      </c>
      <c r="AX132" s="31">
        <f t="shared" si="178"/>
        <v>0</v>
      </c>
      <c r="AY132" s="34" t="s">
        <v>343</v>
      </c>
      <c r="AZ132" s="34" t="s">
        <v>92</v>
      </c>
      <c r="BA132" s="12" t="s">
        <v>65</v>
      </c>
      <c r="BC132" s="31">
        <f t="shared" si="179"/>
        <v>0</v>
      </c>
      <c r="BD132" s="31">
        <f t="shared" si="180"/>
        <v>0</v>
      </c>
      <c r="BE132" s="31">
        <v>0</v>
      </c>
      <c r="BF132" s="31">
        <f t="shared" si="181"/>
        <v>0</v>
      </c>
      <c r="BH132" s="31">
        <f t="shared" si="182"/>
        <v>0</v>
      </c>
      <c r="BI132" s="31">
        <f t="shared" si="183"/>
        <v>0</v>
      </c>
      <c r="BJ132" s="31">
        <f t="shared" si="184"/>
        <v>0</v>
      </c>
      <c r="BK132" s="34" t="s">
        <v>71</v>
      </c>
      <c r="BL132" s="31">
        <v>725</v>
      </c>
      <c r="BW132" s="31">
        <f t="shared" si="185"/>
        <v>0</v>
      </c>
      <c r="BX132" s="4" t="s">
        <v>392</v>
      </c>
    </row>
    <row r="133" spans="1:76" x14ac:dyDescent="0.25">
      <c r="A133" s="2" t="s">
        <v>393</v>
      </c>
      <c r="B133" s="3" t="s">
        <v>54</v>
      </c>
      <c r="C133" s="3" t="s">
        <v>394</v>
      </c>
      <c r="D133" s="83" t="s">
        <v>395</v>
      </c>
      <c r="E133" s="84"/>
      <c r="F133" s="3" t="s">
        <v>114</v>
      </c>
      <c r="G133" s="31">
        <v>10</v>
      </c>
      <c r="H133" s="31"/>
      <c r="I133" s="32"/>
      <c r="J133" s="31">
        <f t="shared" si="160"/>
        <v>0</v>
      </c>
      <c r="K133" s="31">
        <f t="shared" si="161"/>
        <v>0</v>
      </c>
      <c r="L133" s="31">
        <f t="shared" si="162"/>
        <v>0</v>
      </c>
      <c r="M133" s="31">
        <f t="shared" si="163"/>
        <v>0</v>
      </c>
      <c r="N133" s="31">
        <v>1.3999999999999999E-4</v>
      </c>
      <c r="O133" s="31">
        <f t="shared" si="164"/>
        <v>1.3999999999999998E-3</v>
      </c>
      <c r="P133" s="33" t="s">
        <v>169</v>
      </c>
      <c r="Z133" s="31">
        <f t="shared" si="165"/>
        <v>0</v>
      </c>
      <c r="AB133" s="31">
        <f t="shared" si="166"/>
        <v>0</v>
      </c>
      <c r="AC133" s="31">
        <f t="shared" si="167"/>
        <v>0</v>
      </c>
      <c r="AD133" s="31">
        <f t="shared" si="168"/>
        <v>0</v>
      </c>
      <c r="AE133" s="31">
        <f t="shared" si="169"/>
        <v>0</v>
      </c>
      <c r="AF133" s="31">
        <f t="shared" si="170"/>
        <v>0</v>
      </c>
      <c r="AG133" s="31">
        <f t="shared" si="171"/>
        <v>0</v>
      </c>
      <c r="AH133" s="31">
        <f t="shared" si="172"/>
        <v>0</v>
      </c>
      <c r="AI133" s="12" t="s">
        <v>54</v>
      </c>
      <c r="AJ133" s="31">
        <f t="shared" si="173"/>
        <v>0</v>
      </c>
      <c r="AK133" s="31">
        <f t="shared" si="174"/>
        <v>0</v>
      </c>
      <c r="AL133" s="31">
        <f t="shared" si="175"/>
        <v>0</v>
      </c>
      <c r="AN133" s="31">
        <v>12</v>
      </c>
      <c r="AO133" s="31">
        <f>H133*0.82756145</f>
        <v>0</v>
      </c>
      <c r="AP133" s="31">
        <f>H133*(1-0.82756145)</f>
        <v>0</v>
      </c>
      <c r="AQ133" s="34" t="s">
        <v>70</v>
      </c>
      <c r="AV133" s="31">
        <f t="shared" si="176"/>
        <v>0</v>
      </c>
      <c r="AW133" s="31">
        <f t="shared" si="177"/>
        <v>0</v>
      </c>
      <c r="AX133" s="31">
        <f t="shared" si="178"/>
        <v>0</v>
      </c>
      <c r="AY133" s="34" t="s">
        <v>343</v>
      </c>
      <c r="AZ133" s="34" t="s">
        <v>92</v>
      </c>
      <c r="BA133" s="12" t="s">
        <v>65</v>
      </c>
      <c r="BC133" s="31">
        <f t="shared" si="179"/>
        <v>0</v>
      </c>
      <c r="BD133" s="31">
        <f t="shared" si="180"/>
        <v>0</v>
      </c>
      <c r="BE133" s="31">
        <v>0</v>
      </c>
      <c r="BF133" s="31">
        <f t="shared" si="181"/>
        <v>1.3999999999999998E-3</v>
      </c>
      <c r="BH133" s="31">
        <f t="shared" si="182"/>
        <v>0</v>
      </c>
      <c r="BI133" s="31">
        <f t="shared" si="183"/>
        <v>0</v>
      </c>
      <c r="BJ133" s="31">
        <f t="shared" si="184"/>
        <v>0</v>
      </c>
      <c r="BK133" s="34" t="s">
        <v>66</v>
      </c>
      <c r="BL133" s="31">
        <v>725</v>
      </c>
      <c r="BW133" s="31">
        <f t="shared" si="185"/>
        <v>0</v>
      </c>
      <c r="BX133" s="4" t="s">
        <v>395</v>
      </c>
    </row>
    <row r="134" spans="1:76" x14ac:dyDescent="0.25">
      <c r="A134" s="2" t="s">
        <v>396</v>
      </c>
      <c r="B134" s="3" t="s">
        <v>54</v>
      </c>
      <c r="C134" s="3" t="s">
        <v>397</v>
      </c>
      <c r="D134" s="83" t="s">
        <v>398</v>
      </c>
      <c r="E134" s="84"/>
      <c r="F134" s="3" t="s">
        <v>273</v>
      </c>
      <c r="G134" s="31">
        <v>76</v>
      </c>
      <c r="H134" s="31"/>
      <c r="I134" s="32"/>
      <c r="J134" s="31">
        <f t="shared" si="160"/>
        <v>0</v>
      </c>
      <c r="K134" s="31">
        <f t="shared" si="161"/>
        <v>0</v>
      </c>
      <c r="L134" s="31">
        <f t="shared" si="162"/>
        <v>0</v>
      </c>
      <c r="M134" s="31">
        <f t="shared" si="163"/>
        <v>0</v>
      </c>
      <c r="N134" s="31">
        <v>2.4000000000000001E-4</v>
      </c>
      <c r="O134" s="31">
        <f t="shared" si="164"/>
        <v>1.8239999999999999E-2</v>
      </c>
      <c r="P134" s="33" t="s">
        <v>69</v>
      </c>
      <c r="Z134" s="31">
        <f t="shared" si="165"/>
        <v>0</v>
      </c>
      <c r="AB134" s="31">
        <f t="shared" si="166"/>
        <v>0</v>
      </c>
      <c r="AC134" s="31">
        <f t="shared" si="167"/>
        <v>0</v>
      </c>
      <c r="AD134" s="31">
        <f t="shared" si="168"/>
        <v>0</v>
      </c>
      <c r="AE134" s="31">
        <f t="shared" si="169"/>
        <v>0</v>
      </c>
      <c r="AF134" s="31">
        <f t="shared" si="170"/>
        <v>0</v>
      </c>
      <c r="AG134" s="31">
        <f t="shared" si="171"/>
        <v>0</v>
      </c>
      <c r="AH134" s="31">
        <f t="shared" si="172"/>
        <v>0</v>
      </c>
      <c r="AI134" s="12" t="s">
        <v>54</v>
      </c>
      <c r="AJ134" s="31">
        <f t="shared" si="173"/>
        <v>0</v>
      </c>
      <c r="AK134" s="31">
        <f t="shared" si="174"/>
        <v>0</v>
      </c>
      <c r="AL134" s="31">
        <f t="shared" si="175"/>
        <v>0</v>
      </c>
      <c r="AN134" s="31">
        <v>12</v>
      </c>
      <c r="AO134" s="31">
        <f>H134*0.762732157</f>
        <v>0</v>
      </c>
      <c r="AP134" s="31">
        <f>H134*(1-0.762732157)</f>
        <v>0</v>
      </c>
      <c r="AQ134" s="34" t="s">
        <v>70</v>
      </c>
      <c r="AV134" s="31">
        <f t="shared" si="176"/>
        <v>0</v>
      </c>
      <c r="AW134" s="31">
        <f t="shared" si="177"/>
        <v>0</v>
      </c>
      <c r="AX134" s="31">
        <f t="shared" si="178"/>
        <v>0</v>
      </c>
      <c r="AY134" s="34" t="s">
        <v>343</v>
      </c>
      <c r="AZ134" s="34" t="s">
        <v>92</v>
      </c>
      <c r="BA134" s="12" t="s">
        <v>65</v>
      </c>
      <c r="BC134" s="31">
        <f t="shared" si="179"/>
        <v>0</v>
      </c>
      <c r="BD134" s="31">
        <f t="shared" si="180"/>
        <v>0</v>
      </c>
      <c r="BE134" s="31">
        <v>0</v>
      </c>
      <c r="BF134" s="31">
        <f t="shared" si="181"/>
        <v>1.8239999999999999E-2</v>
      </c>
      <c r="BH134" s="31">
        <f t="shared" si="182"/>
        <v>0</v>
      </c>
      <c r="BI134" s="31">
        <f t="shared" si="183"/>
        <v>0</v>
      </c>
      <c r="BJ134" s="31">
        <f t="shared" si="184"/>
        <v>0</v>
      </c>
      <c r="BK134" s="34" t="s">
        <v>66</v>
      </c>
      <c r="BL134" s="31">
        <v>725</v>
      </c>
      <c r="BW134" s="31">
        <f t="shared" si="185"/>
        <v>0</v>
      </c>
      <c r="BX134" s="4" t="s">
        <v>398</v>
      </c>
    </row>
    <row r="135" spans="1:76" x14ac:dyDescent="0.25">
      <c r="A135" s="2" t="s">
        <v>399</v>
      </c>
      <c r="B135" s="3" t="s">
        <v>54</v>
      </c>
      <c r="C135" s="3" t="s">
        <v>400</v>
      </c>
      <c r="D135" s="83" t="s">
        <v>401</v>
      </c>
      <c r="E135" s="84"/>
      <c r="F135" s="3" t="s">
        <v>114</v>
      </c>
      <c r="G135" s="31">
        <v>12</v>
      </c>
      <c r="H135" s="31"/>
      <c r="I135" s="32"/>
      <c r="J135" s="31">
        <f t="shared" si="160"/>
        <v>0</v>
      </c>
      <c r="K135" s="31">
        <f t="shared" si="161"/>
        <v>0</v>
      </c>
      <c r="L135" s="31">
        <f t="shared" si="162"/>
        <v>0</v>
      </c>
      <c r="M135" s="31">
        <f t="shared" si="163"/>
        <v>0</v>
      </c>
      <c r="N135" s="31">
        <v>2.3000000000000001E-4</v>
      </c>
      <c r="O135" s="31">
        <f t="shared" si="164"/>
        <v>2.7600000000000003E-3</v>
      </c>
      <c r="P135" s="33" t="s">
        <v>69</v>
      </c>
      <c r="Z135" s="31">
        <f t="shared" si="165"/>
        <v>0</v>
      </c>
      <c r="AB135" s="31">
        <f t="shared" si="166"/>
        <v>0</v>
      </c>
      <c r="AC135" s="31">
        <f t="shared" si="167"/>
        <v>0</v>
      </c>
      <c r="AD135" s="31">
        <f t="shared" si="168"/>
        <v>0</v>
      </c>
      <c r="AE135" s="31">
        <f t="shared" si="169"/>
        <v>0</v>
      </c>
      <c r="AF135" s="31">
        <f t="shared" si="170"/>
        <v>0</v>
      </c>
      <c r="AG135" s="31">
        <f t="shared" si="171"/>
        <v>0</v>
      </c>
      <c r="AH135" s="31">
        <f t="shared" si="172"/>
        <v>0</v>
      </c>
      <c r="AI135" s="12" t="s">
        <v>54</v>
      </c>
      <c r="AJ135" s="31">
        <f t="shared" si="173"/>
        <v>0</v>
      </c>
      <c r="AK135" s="31">
        <f t="shared" si="174"/>
        <v>0</v>
      </c>
      <c r="AL135" s="31">
        <f t="shared" si="175"/>
        <v>0</v>
      </c>
      <c r="AN135" s="31">
        <v>12</v>
      </c>
      <c r="AO135" s="31">
        <f>H135*0.874864445</f>
        <v>0</v>
      </c>
      <c r="AP135" s="31">
        <f>H135*(1-0.874864445)</f>
        <v>0</v>
      </c>
      <c r="AQ135" s="34" t="s">
        <v>70</v>
      </c>
      <c r="AV135" s="31">
        <f t="shared" si="176"/>
        <v>0</v>
      </c>
      <c r="AW135" s="31">
        <f t="shared" si="177"/>
        <v>0</v>
      </c>
      <c r="AX135" s="31">
        <f t="shared" si="178"/>
        <v>0</v>
      </c>
      <c r="AY135" s="34" t="s">
        <v>343</v>
      </c>
      <c r="AZ135" s="34" t="s">
        <v>92</v>
      </c>
      <c r="BA135" s="12" t="s">
        <v>65</v>
      </c>
      <c r="BC135" s="31">
        <f t="shared" si="179"/>
        <v>0</v>
      </c>
      <c r="BD135" s="31">
        <f t="shared" si="180"/>
        <v>0</v>
      </c>
      <c r="BE135" s="31">
        <v>0</v>
      </c>
      <c r="BF135" s="31">
        <f t="shared" si="181"/>
        <v>2.7600000000000003E-3</v>
      </c>
      <c r="BH135" s="31">
        <f t="shared" si="182"/>
        <v>0</v>
      </c>
      <c r="BI135" s="31">
        <f t="shared" si="183"/>
        <v>0</v>
      </c>
      <c r="BJ135" s="31">
        <f t="shared" si="184"/>
        <v>0</v>
      </c>
      <c r="BK135" s="34" t="s">
        <v>66</v>
      </c>
      <c r="BL135" s="31">
        <v>725</v>
      </c>
      <c r="BW135" s="31">
        <f t="shared" si="185"/>
        <v>0</v>
      </c>
      <c r="BX135" s="4" t="s">
        <v>401</v>
      </c>
    </row>
    <row r="136" spans="1:76" x14ac:dyDescent="0.25">
      <c r="A136" s="2" t="s">
        <v>402</v>
      </c>
      <c r="B136" s="3" t="s">
        <v>54</v>
      </c>
      <c r="C136" s="3" t="s">
        <v>403</v>
      </c>
      <c r="D136" s="83" t="s">
        <v>404</v>
      </c>
      <c r="E136" s="84"/>
      <c r="F136" s="3" t="s">
        <v>273</v>
      </c>
      <c r="G136" s="31">
        <v>7</v>
      </c>
      <c r="H136" s="31"/>
      <c r="I136" s="32"/>
      <c r="J136" s="31">
        <f t="shared" si="160"/>
        <v>0</v>
      </c>
      <c r="K136" s="31">
        <f t="shared" si="161"/>
        <v>0</v>
      </c>
      <c r="L136" s="31">
        <f t="shared" si="162"/>
        <v>0</v>
      </c>
      <c r="M136" s="31">
        <f t="shared" si="163"/>
        <v>0</v>
      </c>
      <c r="N136" s="31">
        <v>2.0320000000000001E-2</v>
      </c>
      <c r="O136" s="31">
        <f t="shared" si="164"/>
        <v>0.14224000000000001</v>
      </c>
      <c r="P136" s="33" t="s">
        <v>69</v>
      </c>
      <c r="Z136" s="31">
        <f t="shared" si="165"/>
        <v>0</v>
      </c>
      <c r="AB136" s="31">
        <f t="shared" si="166"/>
        <v>0</v>
      </c>
      <c r="AC136" s="31">
        <f t="shared" si="167"/>
        <v>0</v>
      </c>
      <c r="AD136" s="31">
        <f t="shared" si="168"/>
        <v>0</v>
      </c>
      <c r="AE136" s="31">
        <f t="shared" si="169"/>
        <v>0</v>
      </c>
      <c r="AF136" s="31">
        <f t="shared" si="170"/>
        <v>0</v>
      </c>
      <c r="AG136" s="31">
        <f t="shared" si="171"/>
        <v>0</v>
      </c>
      <c r="AH136" s="31">
        <f t="shared" si="172"/>
        <v>0</v>
      </c>
      <c r="AI136" s="12" t="s">
        <v>54</v>
      </c>
      <c r="AJ136" s="31">
        <f t="shared" si="173"/>
        <v>0</v>
      </c>
      <c r="AK136" s="31">
        <f t="shared" si="174"/>
        <v>0</v>
      </c>
      <c r="AL136" s="31">
        <f t="shared" si="175"/>
        <v>0</v>
      </c>
      <c r="AN136" s="31">
        <v>12</v>
      </c>
      <c r="AO136" s="31">
        <f>H136*0.924204432</f>
        <v>0</v>
      </c>
      <c r="AP136" s="31">
        <f>H136*(1-0.924204432)</f>
        <v>0</v>
      </c>
      <c r="AQ136" s="34" t="s">
        <v>70</v>
      </c>
      <c r="AV136" s="31">
        <f t="shared" si="176"/>
        <v>0</v>
      </c>
      <c r="AW136" s="31">
        <f t="shared" si="177"/>
        <v>0</v>
      </c>
      <c r="AX136" s="31">
        <f t="shared" si="178"/>
        <v>0</v>
      </c>
      <c r="AY136" s="34" t="s">
        <v>343</v>
      </c>
      <c r="AZ136" s="34" t="s">
        <v>92</v>
      </c>
      <c r="BA136" s="12" t="s">
        <v>65</v>
      </c>
      <c r="BC136" s="31">
        <f t="shared" si="179"/>
        <v>0</v>
      </c>
      <c r="BD136" s="31">
        <f t="shared" si="180"/>
        <v>0</v>
      </c>
      <c r="BE136" s="31">
        <v>0</v>
      </c>
      <c r="BF136" s="31">
        <f t="shared" si="181"/>
        <v>0.14224000000000001</v>
      </c>
      <c r="BH136" s="31">
        <f t="shared" si="182"/>
        <v>0</v>
      </c>
      <c r="BI136" s="31">
        <f t="shared" si="183"/>
        <v>0</v>
      </c>
      <c r="BJ136" s="31">
        <f t="shared" si="184"/>
        <v>0</v>
      </c>
      <c r="BK136" s="34" t="s">
        <v>66</v>
      </c>
      <c r="BL136" s="31">
        <v>725</v>
      </c>
      <c r="BW136" s="31">
        <f t="shared" si="185"/>
        <v>0</v>
      </c>
      <c r="BX136" s="4" t="s">
        <v>404</v>
      </c>
    </row>
    <row r="137" spans="1:76" x14ac:dyDescent="0.25">
      <c r="A137" s="2" t="s">
        <v>405</v>
      </c>
      <c r="B137" s="3" t="s">
        <v>54</v>
      </c>
      <c r="C137" s="3" t="s">
        <v>406</v>
      </c>
      <c r="D137" s="83" t="s">
        <v>407</v>
      </c>
      <c r="E137" s="84"/>
      <c r="F137" s="3" t="s">
        <v>114</v>
      </c>
      <c r="G137" s="31">
        <v>7</v>
      </c>
      <c r="H137" s="31"/>
      <c r="I137" s="32"/>
      <c r="J137" s="31">
        <f t="shared" si="160"/>
        <v>0</v>
      </c>
      <c r="K137" s="31">
        <f t="shared" si="161"/>
        <v>0</v>
      </c>
      <c r="L137" s="31">
        <f t="shared" si="162"/>
        <v>0</v>
      </c>
      <c r="M137" s="31">
        <f t="shared" si="163"/>
        <v>0</v>
      </c>
      <c r="N137" s="31">
        <v>1E-3</v>
      </c>
      <c r="O137" s="31">
        <f t="shared" si="164"/>
        <v>7.0000000000000001E-3</v>
      </c>
      <c r="P137" s="33" t="s">
        <v>54</v>
      </c>
      <c r="Z137" s="31">
        <f t="shared" si="165"/>
        <v>0</v>
      </c>
      <c r="AB137" s="31">
        <f t="shared" si="166"/>
        <v>0</v>
      </c>
      <c r="AC137" s="31">
        <f t="shared" si="167"/>
        <v>0</v>
      </c>
      <c r="AD137" s="31">
        <f t="shared" si="168"/>
        <v>0</v>
      </c>
      <c r="AE137" s="31">
        <f t="shared" si="169"/>
        <v>0</v>
      </c>
      <c r="AF137" s="31">
        <f t="shared" si="170"/>
        <v>0</v>
      </c>
      <c r="AG137" s="31">
        <f t="shared" si="171"/>
        <v>0</v>
      </c>
      <c r="AH137" s="31">
        <f t="shared" si="172"/>
        <v>0</v>
      </c>
      <c r="AI137" s="12" t="s">
        <v>54</v>
      </c>
      <c r="AJ137" s="31">
        <f t="shared" si="173"/>
        <v>0</v>
      </c>
      <c r="AK137" s="31">
        <f t="shared" si="174"/>
        <v>0</v>
      </c>
      <c r="AL137" s="31">
        <f t="shared" si="175"/>
        <v>0</v>
      </c>
      <c r="AN137" s="31">
        <v>12</v>
      </c>
      <c r="AO137" s="31">
        <f>H137*0.9312749</f>
        <v>0</v>
      </c>
      <c r="AP137" s="31">
        <f>H137*(1-0.9312749)</f>
        <v>0</v>
      </c>
      <c r="AQ137" s="34" t="s">
        <v>70</v>
      </c>
      <c r="AV137" s="31">
        <f t="shared" si="176"/>
        <v>0</v>
      </c>
      <c r="AW137" s="31">
        <f t="shared" si="177"/>
        <v>0</v>
      </c>
      <c r="AX137" s="31">
        <f t="shared" si="178"/>
        <v>0</v>
      </c>
      <c r="AY137" s="34" t="s">
        <v>343</v>
      </c>
      <c r="AZ137" s="34" t="s">
        <v>92</v>
      </c>
      <c r="BA137" s="12" t="s">
        <v>65</v>
      </c>
      <c r="BC137" s="31">
        <f t="shared" si="179"/>
        <v>0</v>
      </c>
      <c r="BD137" s="31">
        <f t="shared" si="180"/>
        <v>0</v>
      </c>
      <c r="BE137" s="31">
        <v>0</v>
      </c>
      <c r="BF137" s="31">
        <f t="shared" si="181"/>
        <v>7.0000000000000001E-3</v>
      </c>
      <c r="BH137" s="31">
        <f t="shared" si="182"/>
        <v>0</v>
      </c>
      <c r="BI137" s="31">
        <f t="shared" si="183"/>
        <v>0</v>
      </c>
      <c r="BJ137" s="31">
        <f t="shared" si="184"/>
        <v>0</v>
      </c>
      <c r="BK137" s="34" t="s">
        <v>66</v>
      </c>
      <c r="BL137" s="31">
        <v>725</v>
      </c>
      <c r="BW137" s="31">
        <f t="shared" si="185"/>
        <v>0</v>
      </c>
      <c r="BX137" s="4" t="s">
        <v>407</v>
      </c>
    </row>
    <row r="138" spans="1:76" x14ac:dyDescent="0.25">
      <c r="A138" s="2" t="s">
        <v>408</v>
      </c>
      <c r="B138" s="3" t="s">
        <v>54</v>
      </c>
      <c r="C138" s="3" t="s">
        <v>409</v>
      </c>
      <c r="D138" s="83" t="s">
        <v>410</v>
      </c>
      <c r="E138" s="84"/>
      <c r="F138" s="3" t="s">
        <v>114</v>
      </c>
      <c r="G138" s="31">
        <v>7</v>
      </c>
      <c r="H138" s="31"/>
      <c r="I138" s="32"/>
      <c r="J138" s="31">
        <f t="shared" si="160"/>
        <v>0</v>
      </c>
      <c r="K138" s="31">
        <f t="shared" si="161"/>
        <v>0</v>
      </c>
      <c r="L138" s="31">
        <f t="shared" si="162"/>
        <v>0</v>
      </c>
      <c r="M138" s="31">
        <f t="shared" si="163"/>
        <v>0</v>
      </c>
      <c r="N138" s="31">
        <v>1.3999999999999999E-4</v>
      </c>
      <c r="O138" s="31">
        <f t="shared" si="164"/>
        <v>9.7999999999999997E-4</v>
      </c>
      <c r="P138" s="33" t="s">
        <v>69</v>
      </c>
      <c r="Z138" s="31">
        <f t="shared" si="165"/>
        <v>0</v>
      </c>
      <c r="AB138" s="31">
        <f t="shared" si="166"/>
        <v>0</v>
      </c>
      <c r="AC138" s="31">
        <f t="shared" si="167"/>
        <v>0</v>
      </c>
      <c r="AD138" s="31">
        <f t="shared" si="168"/>
        <v>0</v>
      </c>
      <c r="AE138" s="31">
        <f t="shared" si="169"/>
        <v>0</v>
      </c>
      <c r="AF138" s="31">
        <f t="shared" si="170"/>
        <v>0</v>
      </c>
      <c r="AG138" s="31">
        <f t="shared" si="171"/>
        <v>0</v>
      </c>
      <c r="AH138" s="31">
        <f t="shared" si="172"/>
        <v>0</v>
      </c>
      <c r="AI138" s="12" t="s">
        <v>54</v>
      </c>
      <c r="AJ138" s="31">
        <f t="shared" si="173"/>
        <v>0</v>
      </c>
      <c r="AK138" s="31">
        <f t="shared" si="174"/>
        <v>0</v>
      </c>
      <c r="AL138" s="31">
        <f t="shared" si="175"/>
        <v>0</v>
      </c>
      <c r="AN138" s="31">
        <v>12</v>
      </c>
      <c r="AO138" s="31">
        <f>H138*0.186439024</f>
        <v>0</v>
      </c>
      <c r="AP138" s="31">
        <f>H138*(1-0.186439024)</f>
        <v>0</v>
      </c>
      <c r="AQ138" s="34" t="s">
        <v>70</v>
      </c>
      <c r="AV138" s="31">
        <f t="shared" si="176"/>
        <v>0</v>
      </c>
      <c r="AW138" s="31">
        <f t="shared" si="177"/>
        <v>0</v>
      </c>
      <c r="AX138" s="31">
        <f t="shared" si="178"/>
        <v>0</v>
      </c>
      <c r="AY138" s="34" t="s">
        <v>343</v>
      </c>
      <c r="AZ138" s="34" t="s">
        <v>92</v>
      </c>
      <c r="BA138" s="12" t="s">
        <v>65</v>
      </c>
      <c r="BC138" s="31">
        <f t="shared" si="179"/>
        <v>0</v>
      </c>
      <c r="BD138" s="31">
        <f t="shared" si="180"/>
        <v>0</v>
      </c>
      <c r="BE138" s="31">
        <v>0</v>
      </c>
      <c r="BF138" s="31">
        <f t="shared" si="181"/>
        <v>9.7999999999999997E-4</v>
      </c>
      <c r="BH138" s="31">
        <f t="shared" si="182"/>
        <v>0</v>
      </c>
      <c r="BI138" s="31">
        <f t="shared" si="183"/>
        <v>0</v>
      </c>
      <c r="BJ138" s="31">
        <f t="shared" si="184"/>
        <v>0</v>
      </c>
      <c r="BK138" s="34" t="s">
        <v>66</v>
      </c>
      <c r="BL138" s="31">
        <v>725</v>
      </c>
      <c r="BW138" s="31">
        <f t="shared" si="185"/>
        <v>0</v>
      </c>
      <c r="BX138" s="4" t="s">
        <v>410</v>
      </c>
    </row>
    <row r="139" spans="1:76" x14ac:dyDescent="0.25">
      <c r="A139" s="2" t="s">
        <v>411</v>
      </c>
      <c r="B139" s="3" t="s">
        <v>54</v>
      </c>
      <c r="C139" s="3" t="s">
        <v>412</v>
      </c>
      <c r="D139" s="83" t="s">
        <v>413</v>
      </c>
      <c r="E139" s="84"/>
      <c r="F139" s="3" t="s">
        <v>114</v>
      </c>
      <c r="G139" s="31">
        <v>7</v>
      </c>
      <c r="H139" s="31"/>
      <c r="I139" s="32"/>
      <c r="J139" s="31">
        <f t="shared" si="160"/>
        <v>0</v>
      </c>
      <c r="K139" s="31">
        <f t="shared" si="161"/>
        <v>0</v>
      </c>
      <c r="L139" s="31">
        <f t="shared" si="162"/>
        <v>0</v>
      </c>
      <c r="M139" s="31">
        <f t="shared" si="163"/>
        <v>0</v>
      </c>
      <c r="N139" s="31">
        <v>2.2000000000000001E-4</v>
      </c>
      <c r="O139" s="31">
        <f t="shared" si="164"/>
        <v>1.5400000000000001E-3</v>
      </c>
      <c r="P139" s="33" t="s">
        <v>69</v>
      </c>
      <c r="Z139" s="31">
        <f t="shared" si="165"/>
        <v>0</v>
      </c>
      <c r="AB139" s="31">
        <f t="shared" si="166"/>
        <v>0</v>
      </c>
      <c r="AC139" s="31">
        <f t="shared" si="167"/>
        <v>0</v>
      </c>
      <c r="AD139" s="31">
        <f t="shared" si="168"/>
        <v>0</v>
      </c>
      <c r="AE139" s="31">
        <f t="shared" si="169"/>
        <v>0</v>
      </c>
      <c r="AF139" s="31">
        <f t="shared" si="170"/>
        <v>0</v>
      </c>
      <c r="AG139" s="31">
        <f t="shared" si="171"/>
        <v>0</v>
      </c>
      <c r="AH139" s="31">
        <f t="shared" si="172"/>
        <v>0</v>
      </c>
      <c r="AI139" s="12" t="s">
        <v>54</v>
      </c>
      <c r="AJ139" s="31">
        <f t="shared" si="173"/>
        <v>0</v>
      </c>
      <c r="AK139" s="31">
        <f t="shared" si="174"/>
        <v>0</v>
      </c>
      <c r="AL139" s="31">
        <f t="shared" si="175"/>
        <v>0</v>
      </c>
      <c r="AN139" s="31">
        <v>12</v>
      </c>
      <c r="AO139" s="31">
        <f>H139*1</f>
        <v>0</v>
      </c>
      <c r="AP139" s="31">
        <f>H139*(1-1)</f>
        <v>0</v>
      </c>
      <c r="AQ139" s="34" t="s">
        <v>70</v>
      </c>
      <c r="AV139" s="31">
        <f t="shared" si="176"/>
        <v>0</v>
      </c>
      <c r="AW139" s="31">
        <f t="shared" si="177"/>
        <v>0</v>
      </c>
      <c r="AX139" s="31">
        <f t="shared" si="178"/>
        <v>0</v>
      </c>
      <c r="AY139" s="34" t="s">
        <v>343</v>
      </c>
      <c r="AZ139" s="34" t="s">
        <v>92</v>
      </c>
      <c r="BA139" s="12" t="s">
        <v>65</v>
      </c>
      <c r="BC139" s="31">
        <f t="shared" si="179"/>
        <v>0</v>
      </c>
      <c r="BD139" s="31">
        <f t="shared" si="180"/>
        <v>0</v>
      </c>
      <c r="BE139" s="31">
        <v>0</v>
      </c>
      <c r="BF139" s="31">
        <f t="shared" si="181"/>
        <v>1.5400000000000001E-3</v>
      </c>
      <c r="BH139" s="31">
        <f t="shared" si="182"/>
        <v>0</v>
      </c>
      <c r="BI139" s="31">
        <f t="shared" si="183"/>
        <v>0</v>
      </c>
      <c r="BJ139" s="31">
        <f t="shared" si="184"/>
        <v>0</v>
      </c>
      <c r="BK139" s="34" t="s">
        <v>71</v>
      </c>
      <c r="BL139" s="31">
        <v>725</v>
      </c>
      <c r="BW139" s="31">
        <f t="shared" si="185"/>
        <v>0</v>
      </c>
      <c r="BX139" s="4" t="s">
        <v>413</v>
      </c>
    </row>
    <row r="140" spans="1:76" x14ac:dyDescent="0.25">
      <c r="A140" s="2" t="s">
        <v>414</v>
      </c>
      <c r="B140" s="3" t="s">
        <v>54</v>
      </c>
      <c r="C140" s="3" t="s">
        <v>415</v>
      </c>
      <c r="D140" s="83" t="s">
        <v>416</v>
      </c>
      <c r="E140" s="84"/>
      <c r="F140" s="3" t="s">
        <v>273</v>
      </c>
      <c r="G140" s="31">
        <v>5</v>
      </c>
      <c r="H140" s="31"/>
      <c r="I140" s="32"/>
      <c r="J140" s="31">
        <f t="shared" si="160"/>
        <v>0</v>
      </c>
      <c r="K140" s="31">
        <f t="shared" si="161"/>
        <v>0</v>
      </c>
      <c r="L140" s="31">
        <f t="shared" si="162"/>
        <v>0</v>
      </c>
      <c r="M140" s="31">
        <f t="shared" si="163"/>
        <v>0</v>
      </c>
      <c r="N140" s="31">
        <v>7.2000000000000005E-4</v>
      </c>
      <c r="O140" s="31">
        <f t="shared" si="164"/>
        <v>3.6000000000000003E-3</v>
      </c>
      <c r="P140" s="33" t="s">
        <v>69</v>
      </c>
      <c r="Z140" s="31">
        <f t="shared" si="165"/>
        <v>0</v>
      </c>
      <c r="AB140" s="31">
        <f t="shared" si="166"/>
        <v>0</v>
      </c>
      <c r="AC140" s="31">
        <f t="shared" si="167"/>
        <v>0</v>
      </c>
      <c r="AD140" s="31">
        <f t="shared" si="168"/>
        <v>0</v>
      </c>
      <c r="AE140" s="31">
        <f t="shared" si="169"/>
        <v>0</v>
      </c>
      <c r="AF140" s="31">
        <f t="shared" si="170"/>
        <v>0</v>
      </c>
      <c r="AG140" s="31">
        <f t="shared" si="171"/>
        <v>0</v>
      </c>
      <c r="AH140" s="31">
        <f t="shared" si="172"/>
        <v>0</v>
      </c>
      <c r="AI140" s="12" t="s">
        <v>54</v>
      </c>
      <c r="AJ140" s="31">
        <f t="shared" si="173"/>
        <v>0</v>
      </c>
      <c r="AK140" s="31">
        <f t="shared" si="174"/>
        <v>0</v>
      </c>
      <c r="AL140" s="31">
        <f t="shared" si="175"/>
        <v>0</v>
      </c>
      <c r="AN140" s="31">
        <v>12</v>
      </c>
      <c r="AO140" s="31">
        <f>H140*0.6580077</f>
        <v>0</v>
      </c>
      <c r="AP140" s="31">
        <f>H140*(1-0.6580077)</f>
        <v>0</v>
      </c>
      <c r="AQ140" s="34" t="s">
        <v>70</v>
      </c>
      <c r="AV140" s="31">
        <f t="shared" si="176"/>
        <v>0</v>
      </c>
      <c r="AW140" s="31">
        <f t="shared" si="177"/>
        <v>0</v>
      </c>
      <c r="AX140" s="31">
        <f t="shared" si="178"/>
        <v>0</v>
      </c>
      <c r="AY140" s="34" t="s">
        <v>343</v>
      </c>
      <c r="AZ140" s="34" t="s">
        <v>92</v>
      </c>
      <c r="BA140" s="12" t="s">
        <v>65</v>
      </c>
      <c r="BC140" s="31">
        <f t="shared" si="179"/>
        <v>0</v>
      </c>
      <c r="BD140" s="31">
        <f t="shared" si="180"/>
        <v>0</v>
      </c>
      <c r="BE140" s="31">
        <v>0</v>
      </c>
      <c r="BF140" s="31">
        <f t="shared" si="181"/>
        <v>3.6000000000000003E-3</v>
      </c>
      <c r="BH140" s="31">
        <f t="shared" si="182"/>
        <v>0</v>
      </c>
      <c r="BI140" s="31">
        <f t="shared" si="183"/>
        <v>0</v>
      </c>
      <c r="BJ140" s="31">
        <f t="shared" si="184"/>
        <v>0</v>
      </c>
      <c r="BK140" s="34" t="s">
        <v>66</v>
      </c>
      <c r="BL140" s="31">
        <v>725</v>
      </c>
      <c r="BW140" s="31">
        <f t="shared" si="185"/>
        <v>0</v>
      </c>
      <c r="BX140" s="4" t="s">
        <v>416</v>
      </c>
    </row>
    <row r="141" spans="1:76" x14ac:dyDescent="0.25">
      <c r="A141" s="2" t="s">
        <v>417</v>
      </c>
      <c r="B141" s="3" t="s">
        <v>54</v>
      </c>
      <c r="C141" s="3" t="s">
        <v>418</v>
      </c>
      <c r="D141" s="83" t="s">
        <v>419</v>
      </c>
      <c r="E141" s="84"/>
      <c r="F141" s="3" t="s">
        <v>114</v>
      </c>
      <c r="G141" s="31">
        <v>5</v>
      </c>
      <c r="H141" s="31"/>
      <c r="I141" s="32"/>
      <c r="J141" s="31">
        <f t="shared" si="160"/>
        <v>0</v>
      </c>
      <c r="K141" s="31">
        <f t="shared" si="161"/>
        <v>0</v>
      </c>
      <c r="L141" s="31">
        <f t="shared" si="162"/>
        <v>0</v>
      </c>
      <c r="M141" s="31">
        <f t="shared" si="163"/>
        <v>0</v>
      </c>
      <c r="N141" s="31">
        <v>1.64E-3</v>
      </c>
      <c r="O141" s="31">
        <f t="shared" si="164"/>
        <v>8.199999999999999E-3</v>
      </c>
      <c r="P141" s="33" t="s">
        <v>69</v>
      </c>
      <c r="Z141" s="31">
        <f t="shared" si="165"/>
        <v>0</v>
      </c>
      <c r="AB141" s="31">
        <f t="shared" si="166"/>
        <v>0</v>
      </c>
      <c r="AC141" s="31">
        <f t="shared" si="167"/>
        <v>0</v>
      </c>
      <c r="AD141" s="31">
        <f t="shared" si="168"/>
        <v>0</v>
      </c>
      <c r="AE141" s="31">
        <f t="shared" si="169"/>
        <v>0</v>
      </c>
      <c r="AF141" s="31">
        <f t="shared" si="170"/>
        <v>0</v>
      </c>
      <c r="AG141" s="31">
        <f t="shared" si="171"/>
        <v>0</v>
      </c>
      <c r="AH141" s="31">
        <f t="shared" si="172"/>
        <v>0</v>
      </c>
      <c r="AI141" s="12" t="s">
        <v>54</v>
      </c>
      <c r="AJ141" s="31">
        <f t="shared" si="173"/>
        <v>0</v>
      </c>
      <c r="AK141" s="31">
        <f t="shared" si="174"/>
        <v>0</v>
      </c>
      <c r="AL141" s="31">
        <f t="shared" si="175"/>
        <v>0</v>
      </c>
      <c r="AN141" s="31">
        <v>12</v>
      </c>
      <c r="AO141" s="31">
        <f>H141*0.864425163</f>
        <v>0</v>
      </c>
      <c r="AP141" s="31">
        <f>H141*(1-0.864425163)</f>
        <v>0</v>
      </c>
      <c r="AQ141" s="34" t="s">
        <v>70</v>
      </c>
      <c r="AV141" s="31">
        <f t="shared" si="176"/>
        <v>0</v>
      </c>
      <c r="AW141" s="31">
        <f t="shared" si="177"/>
        <v>0</v>
      </c>
      <c r="AX141" s="31">
        <f t="shared" si="178"/>
        <v>0</v>
      </c>
      <c r="AY141" s="34" t="s">
        <v>343</v>
      </c>
      <c r="AZ141" s="34" t="s">
        <v>92</v>
      </c>
      <c r="BA141" s="12" t="s">
        <v>65</v>
      </c>
      <c r="BC141" s="31">
        <f t="shared" si="179"/>
        <v>0</v>
      </c>
      <c r="BD141" s="31">
        <f t="shared" si="180"/>
        <v>0</v>
      </c>
      <c r="BE141" s="31">
        <v>0</v>
      </c>
      <c r="BF141" s="31">
        <f t="shared" si="181"/>
        <v>8.199999999999999E-3</v>
      </c>
      <c r="BH141" s="31">
        <f t="shared" si="182"/>
        <v>0</v>
      </c>
      <c r="BI141" s="31">
        <f t="shared" si="183"/>
        <v>0</v>
      </c>
      <c r="BJ141" s="31">
        <f t="shared" si="184"/>
        <v>0</v>
      </c>
      <c r="BK141" s="34" t="s">
        <v>66</v>
      </c>
      <c r="BL141" s="31">
        <v>725</v>
      </c>
      <c r="BW141" s="31">
        <f t="shared" si="185"/>
        <v>0</v>
      </c>
      <c r="BX141" s="4" t="s">
        <v>419</v>
      </c>
    </row>
    <row r="142" spans="1:76" x14ac:dyDescent="0.25">
      <c r="A142" s="2" t="s">
        <v>420</v>
      </c>
      <c r="B142" s="3" t="s">
        <v>54</v>
      </c>
      <c r="C142" s="3" t="s">
        <v>421</v>
      </c>
      <c r="D142" s="83" t="s">
        <v>422</v>
      </c>
      <c r="E142" s="84"/>
      <c r="F142" s="3" t="s">
        <v>114</v>
      </c>
      <c r="G142" s="31">
        <v>5</v>
      </c>
      <c r="H142" s="31"/>
      <c r="I142" s="32"/>
      <c r="J142" s="31">
        <f t="shared" si="160"/>
        <v>0</v>
      </c>
      <c r="K142" s="31">
        <f t="shared" si="161"/>
        <v>0</v>
      </c>
      <c r="L142" s="31">
        <f t="shared" si="162"/>
        <v>0</v>
      </c>
      <c r="M142" s="31">
        <f t="shared" si="163"/>
        <v>0</v>
      </c>
      <c r="N142" s="31">
        <v>2.2000000000000001E-4</v>
      </c>
      <c r="O142" s="31">
        <f t="shared" si="164"/>
        <v>1.1000000000000001E-3</v>
      </c>
      <c r="P142" s="33" t="s">
        <v>69</v>
      </c>
      <c r="Z142" s="31">
        <f t="shared" si="165"/>
        <v>0</v>
      </c>
      <c r="AB142" s="31">
        <f t="shared" si="166"/>
        <v>0</v>
      </c>
      <c r="AC142" s="31">
        <f t="shared" si="167"/>
        <v>0</v>
      </c>
      <c r="AD142" s="31">
        <f t="shared" si="168"/>
        <v>0</v>
      </c>
      <c r="AE142" s="31">
        <f t="shared" si="169"/>
        <v>0</v>
      </c>
      <c r="AF142" s="31">
        <f t="shared" si="170"/>
        <v>0</v>
      </c>
      <c r="AG142" s="31">
        <f t="shared" si="171"/>
        <v>0</v>
      </c>
      <c r="AH142" s="31">
        <f t="shared" si="172"/>
        <v>0</v>
      </c>
      <c r="AI142" s="12" t="s">
        <v>54</v>
      </c>
      <c r="AJ142" s="31">
        <f t="shared" si="173"/>
        <v>0</v>
      </c>
      <c r="AK142" s="31">
        <f t="shared" si="174"/>
        <v>0</v>
      </c>
      <c r="AL142" s="31">
        <f t="shared" si="175"/>
        <v>0</v>
      </c>
      <c r="AN142" s="31">
        <v>12</v>
      </c>
      <c r="AO142" s="31">
        <f>H142*0.67711546</f>
        <v>0</v>
      </c>
      <c r="AP142" s="31">
        <f>H142*(1-0.67711546)</f>
        <v>0</v>
      </c>
      <c r="AQ142" s="34" t="s">
        <v>70</v>
      </c>
      <c r="AV142" s="31">
        <f t="shared" si="176"/>
        <v>0</v>
      </c>
      <c r="AW142" s="31">
        <f t="shared" si="177"/>
        <v>0</v>
      </c>
      <c r="AX142" s="31">
        <f t="shared" si="178"/>
        <v>0</v>
      </c>
      <c r="AY142" s="34" t="s">
        <v>343</v>
      </c>
      <c r="AZ142" s="34" t="s">
        <v>92</v>
      </c>
      <c r="BA142" s="12" t="s">
        <v>65</v>
      </c>
      <c r="BC142" s="31">
        <f t="shared" si="179"/>
        <v>0</v>
      </c>
      <c r="BD142" s="31">
        <f t="shared" si="180"/>
        <v>0</v>
      </c>
      <c r="BE142" s="31">
        <v>0</v>
      </c>
      <c r="BF142" s="31">
        <f t="shared" si="181"/>
        <v>1.1000000000000001E-3</v>
      </c>
      <c r="BH142" s="31">
        <f t="shared" si="182"/>
        <v>0</v>
      </c>
      <c r="BI142" s="31">
        <f t="shared" si="183"/>
        <v>0</v>
      </c>
      <c r="BJ142" s="31">
        <f t="shared" si="184"/>
        <v>0</v>
      </c>
      <c r="BK142" s="34" t="s">
        <v>66</v>
      </c>
      <c r="BL142" s="31">
        <v>725</v>
      </c>
      <c r="BW142" s="31">
        <f t="shared" si="185"/>
        <v>0</v>
      </c>
      <c r="BX142" s="4" t="s">
        <v>422</v>
      </c>
    </row>
    <row r="143" spans="1:76" x14ac:dyDescent="0.25">
      <c r="A143" s="2" t="s">
        <v>423</v>
      </c>
      <c r="B143" s="3" t="s">
        <v>54</v>
      </c>
      <c r="C143" s="3" t="s">
        <v>424</v>
      </c>
      <c r="D143" s="83" t="s">
        <v>425</v>
      </c>
      <c r="E143" s="84"/>
      <c r="F143" s="3" t="s">
        <v>114</v>
      </c>
      <c r="G143" s="31">
        <v>5</v>
      </c>
      <c r="H143" s="31"/>
      <c r="I143" s="32"/>
      <c r="J143" s="31">
        <f t="shared" si="160"/>
        <v>0</v>
      </c>
      <c r="K143" s="31">
        <f t="shared" si="161"/>
        <v>0</v>
      </c>
      <c r="L143" s="31">
        <f t="shared" si="162"/>
        <v>0</v>
      </c>
      <c r="M143" s="31">
        <f t="shared" si="163"/>
        <v>0</v>
      </c>
      <c r="N143" s="31">
        <v>4.4999999999999997E-3</v>
      </c>
      <c r="O143" s="31">
        <f t="shared" si="164"/>
        <v>2.2499999999999999E-2</v>
      </c>
      <c r="P143" s="33" t="s">
        <v>61</v>
      </c>
      <c r="Z143" s="31">
        <f t="shared" si="165"/>
        <v>0</v>
      </c>
      <c r="AB143" s="31">
        <f t="shared" si="166"/>
        <v>0</v>
      </c>
      <c r="AC143" s="31">
        <f t="shared" si="167"/>
        <v>0</v>
      </c>
      <c r="AD143" s="31">
        <f t="shared" si="168"/>
        <v>0</v>
      </c>
      <c r="AE143" s="31">
        <f t="shared" si="169"/>
        <v>0</v>
      </c>
      <c r="AF143" s="31">
        <f t="shared" si="170"/>
        <v>0</v>
      </c>
      <c r="AG143" s="31">
        <f t="shared" si="171"/>
        <v>0</v>
      </c>
      <c r="AH143" s="31">
        <f t="shared" si="172"/>
        <v>0</v>
      </c>
      <c r="AI143" s="12" t="s">
        <v>54</v>
      </c>
      <c r="AJ143" s="31">
        <f t="shared" si="173"/>
        <v>0</v>
      </c>
      <c r="AK143" s="31">
        <f t="shared" si="174"/>
        <v>0</v>
      </c>
      <c r="AL143" s="31">
        <f t="shared" si="175"/>
        <v>0</v>
      </c>
      <c r="AN143" s="31">
        <v>12</v>
      </c>
      <c r="AO143" s="31">
        <f>H143*1</f>
        <v>0</v>
      </c>
      <c r="AP143" s="31">
        <f>H143*(1-1)</f>
        <v>0</v>
      </c>
      <c r="AQ143" s="34" t="s">
        <v>70</v>
      </c>
      <c r="AV143" s="31">
        <f t="shared" si="176"/>
        <v>0</v>
      </c>
      <c r="AW143" s="31">
        <f t="shared" si="177"/>
        <v>0</v>
      </c>
      <c r="AX143" s="31">
        <f t="shared" si="178"/>
        <v>0</v>
      </c>
      <c r="AY143" s="34" t="s">
        <v>343</v>
      </c>
      <c r="AZ143" s="34" t="s">
        <v>92</v>
      </c>
      <c r="BA143" s="12" t="s">
        <v>65</v>
      </c>
      <c r="BC143" s="31">
        <f t="shared" si="179"/>
        <v>0</v>
      </c>
      <c r="BD143" s="31">
        <f t="shared" si="180"/>
        <v>0</v>
      </c>
      <c r="BE143" s="31">
        <v>0</v>
      </c>
      <c r="BF143" s="31">
        <f t="shared" si="181"/>
        <v>2.2499999999999999E-2</v>
      </c>
      <c r="BH143" s="31">
        <f t="shared" si="182"/>
        <v>0</v>
      </c>
      <c r="BI143" s="31">
        <f t="shared" si="183"/>
        <v>0</v>
      </c>
      <c r="BJ143" s="31">
        <f t="shared" si="184"/>
        <v>0</v>
      </c>
      <c r="BK143" s="34" t="s">
        <v>71</v>
      </c>
      <c r="BL143" s="31">
        <v>725</v>
      </c>
      <c r="BW143" s="31">
        <f t="shared" si="185"/>
        <v>0</v>
      </c>
      <c r="BX143" s="4" t="s">
        <v>425</v>
      </c>
    </row>
    <row r="144" spans="1:76" x14ac:dyDescent="0.25">
      <c r="A144" s="2" t="s">
        <v>426</v>
      </c>
      <c r="B144" s="3" t="s">
        <v>54</v>
      </c>
      <c r="C144" s="3" t="s">
        <v>427</v>
      </c>
      <c r="D144" s="83" t="s">
        <v>428</v>
      </c>
      <c r="E144" s="84"/>
      <c r="F144" s="3" t="s">
        <v>114</v>
      </c>
      <c r="G144" s="31">
        <v>40</v>
      </c>
      <c r="H144" s="31"/>
      <c r="I144" s="32"/>
      <c r="J144" s="31">
        <f t="shared" si="160"/>
        <v>0</v>
      </c>
      <c r="K144" s="31">
        <f t="shared" si="161"/>
        <v>0</v>
      </c>
      <c r="L144" s="31">
        <f t="shared" si="162"/>
        <v>0</v>
      </c>
      <c r="M144" s="31">
        <f t="shared" si="163"/>
        <v>0</v>
      </c>
      <c r="N144" s="31">
        <v>6.9999999999999999E-4</v>
      </c>
      <c r="O144" s="31">
        <f t="shared" si="164"/>
        <v>2.8000000000000001E-2</v>
      </c>
      <c r="P144" s="33" t="s">
        <v>69</v>
      </c>
      <c r="Z144" s="31">
        <f t="shared" si="165"/>
        <v>0</v>
      </c>
      <c r="AB144" s="31">
        <f t="shared" si="166"/>
        <v>0</v>
      </c>
      <c r="AC144" s="31">
        <f t="shared" si="167"/>
        <v>0</v>
      </c>
      <c r="AD144" s="31">
        <f t="shared" si="168"/>
        <v>0</v>
      </c>
      <c r="AE144" s="31">
        <f t="shared" si="169"/>
        <v>0</v>
      </c>
      <c r="AF144" s="31">
        <f t="shared" si="170"/>
        <v>0</v>
      </c>
      <c r="AG144" s="31">
        <f t="shared" si="171"/>
        <v>0</v>
      </c>
      <c r="AH144" s="31">
        <f t="shared" si="172"/>
        <v>0</v>
      </c>
      <c r="AI144" s="12" t="s">
        <v>54</v>
      </c>
      <c r="AJ144" s="31">
        <f t="shared" si="173"/>
        <v>0</v>
      </c>
      <c r="AK144" s="31">
        <f t="shared" si="174"/>
        <v>0</v>
      </c>
      <c r="AL144" s="31">
        <f t="shared" si="175"/>
        <v>0</v>
      </c>
      <c r="AN144" s="31">
        <v>12</v>
      </c>
      <c r="AO144" s="31">
        <f>H144*0.271680672</f>
        <v>0</v>
      </c>
      <c r="AP144" s="31">
        <f>H144*(1-0.271680672)</f>
        <v>0</v>
      </c>
      <c r="AQ144" s="34" t="s">
        <v>70</v>
      </c>
      <c r="AV144" s="31">
        <f t="shared" si="176"/>
        <v>0</v>
      </c>
      <c r="AW144" s="31">
        <f t="shared" si="177"/>
        <v>0</v>
      </c>
      <c r="AX144" s="31">
        <f t="shared" si="178"/>
        <v>0</v>
      </c>
      <c r="AY144" s="34" t="s">
        <v>343</v>
      </c>
      <c r="AZ144" s="34" t="s">
        <v>92</v>
      </c>
      <c r="BA144" s="12" t="s">
        <v>65</v>
      </c>
      <c r="BC144" s="31">
        <f t="shared" si="179"/>
        <v>0</v>
      </c>
      <c r="BD144" s="31">
        <f t="shared" si="180"/>
        <v>0</v>
      </c>
      <c r="BE144" s="31">
        <v>0</v>
      </c>
      <c r="BF144" s="31">
        <f t="shared" si="181"/>
        <v>2.8000000000000001E-2</v>
      </c>
      <c r="BH144" s="31">
        <f t="shared" si="182"/>
        <v>0</v>
      </c>
      <c r="BI144" s="31">
        <f t="shared" si="183"/>
        <v>0</v>
      </c>
      <c r="BJ144" s="31">
        <f t="shared" si="184"/>
        <v>0</v>
      </c>
      <c r="BK144" s="34" t="s">
        <v>66</v>
      </c>
      <c r="BL144" s="31">
        <v>725</v>
      </c>
      <c r="BW144" s="31">
        <f t="shared" si="185"/>
        <v>0</v>
      </c>
      <c r="BX144" s="4" t="s">
        <v>428</v>
      </c>
    </row>
    <row r="145" spans="1:76" x14ac:dyDescent="0.25">
      <c r="A145" s="2" t="s">
        <v>429</v>
      </c>
      <c r="B145" s="3" t="s">
        <v>54</v>
      </c>
      <c r="C145" s="3" t="s">
        <v>430</v>
      </c>
      <c r="D145" s="83" t="s">
        <v>431</v>
      </c>
      <c r="E145" s="84"/>
      <c r="F145" s="3" t="s">
        <v>179</v>
      </c>
      <c r="G145" s="31">
        <v>2.4544999999999999</v>
      </c>
      <c r="H145" s="31"/>
      <c r="I145" s="32"/>
      <c r="J145" s="31">
        <f t="shared" si="160"/>
        <v>0</v>
      </c>
      <c r="K145" s="31">
        <f t="shared" si="161"/>
        <v>0</v>
      </c>
      <c r="L145" s="31">
        <f t="shared" si="162"/>
        <v>0</v>
      </c>
      <c r="M145" s="31">
        <f t="shared" si="163"/>
        <v>0</v>
      </c>
      <c r="N145" s="31">
        <v>0</v>
      </c>
      <c r="O145" s="31">
        <f t="shared" si="164"/>
        <v>0</v>
      </c>
      <c r="P145" s="33" t="s">
        <v>69</v>
      </c>
      <c r="Z145" s="31">
        <f t="shared" si="165"/>
        <v>0</v>
      </c>
      <c r="AB145" s="31">
        <f t="shared" si="166"/>
        <v>0</v>
      </c>
      <c r="AC145" s="31">
        <f t="shared" si="167"/>
        <v>0</v>
      </c>
      <c r="AD145" s="31">
        <f t="shared" si="168"/>
        <v>0</v>
      </c>
      <c r="AE145" s="31">
        <f t="shared" si="169"/>
        <v>0</v>
      </c>
      <c r="AF145" s="31">
        <f t="shared" si="170"/>
        <v>0</v>
      </c>
      <c r="AG145" s="31">
        <f t="shared" si="171"/>
        <v>0</v>
      </c>
      <c r="AH145" s="31">
        <f t="shared" si="172"/>
        <v>0</v>
      </c>
      <c r="AI145" s="12" t="s">
        <v>54</v>
      </c>
      <c r="AJ145" s="31">
        <f t="shared" si="173"/>
        <v>0</v>
      </c>
      <c r="AK145" s="31">
        <f t="shared" si="174"/>
        <v>0</v>
      </c>
      <c r="AL145" s="31">
        <f t="shared" si="175"/>
        <v>0</v>
      </c>
      <c r="AN145" s="31">
        <v>12</v>
      </c>
      <c r="AO145" s="31">
        <f>H145*0</f>
        <v>0</v>
      </c>
      <c r="AP145" s="31">
        <f>H145*(1-0)</f>
        <v>0</v>
      </c>
      <c r="AQ145" s="34" t="s">
        <v>70</v>
      </c>
      <c r="AV145" s="31">
        <f t="shared" si="176"/>
        <v>0</v>
      </c>
      <c r="AW145" s="31">
        <f t="shared" si="177"/>
        <v>0</v>
      </c>
      <c r="AX145" s="31">
        <f t="shared" si="178"/>
        <v>0</v>
      </c>
      <c r="AY145" s="34" t="s">
        <v>343</v>
      </c>
      <c r="AZ145" s="34" t="s">
        <v>92</v>
      </c>
      <c r="BA145" s="12" t="s">
        <v>65</v>
      </c>
      <c r="BC145" s="31">
        <f t="shared" si="179"/>
        <v>0</v>
      </c>
      <c r="BD145" s="31">
        <f t="shared" si="180"/>
        <v>0</v>
      </c>
      <c r="BE145" s="31">
        <v>0</v>
      </c>
      <c r="BF145" s="31">
        <f t="shared" si="181"/>
        <v>0</v>
      </c>
      <c r="BH145" s="31">
        <f t="shared" si="182"/>
        <v>0</v>
      </c>
      <c r="BI145" s="31">
        <f t="shared" si="183"/>
        <v>0</v>
      </c>
      <c r="BJ145" s="31">
        <f t="shared" si="184"/>
        <v>0</v>
      </c>
      <c r="BK145" s="34" t="s">
        <v>66</v>
      </c>
      <c r="BL145" s="31">
        <v>725</v>
      </c>
      <c r="BW145" s="31">
        <f t="shared" si="185"/>
        <v>0</v>
      </c>
      <c r="BX145" s="4" t="s">
        <v>431</v>
      </c>
    </row>
    <row r="146" spans="1:76" x14ac:dyDescent="0.25">
      <c r="A146" s="2" t="s">
        <v>432</v>
      </c>
      <c r="B146" s="3" t="s">
        <v>54</v>
      </c>
      <c r="C146" s="3" t="s">
        <v>433</v>
      </c>
      <c r="D146" s="83" t="s">
        <v>434</v>
      </c>
      <c r="E146" s="84"/>
      <c r="F146" s="3" t="s">
        <v>114</v>
      </c>
      <c r="G146" s="31">
        <v>3</v>
      </c>
      <c r="H146" s="31"/>
      <c r="I146" s="32"/>
      <c r="J146" s="31">
        <f t="shared" si="160"/>
        <v>0</v>
      </c>
      <c r="K146" s="31">
        <f t="shared" si="161"/>
        <v>0</v>
      </c>
      <c r="L146" s="31">
        <f t="shared" si="162"/>
        <v>0</v>
      </c>
      <c r="M146" s="31">
        <f t="shared" si="163"/>
        <v>0</v>
      </c>
      <c r="N146" s="31">
        <v>2.7999999999999998E-4</v>
      </c>
      <c r="O146" s="31">
        <f t="shared" si="164"/>
        <v>8.3999999999999993E-4</v>
      </c>
      <c r="P146" s="33" t="s">
        <v>69</v>
      </c>
      <c r="Z146" s="31">
        <f t="shared" si="165"/>
        <v>0</v>
      </c>
      <c r="AB146" s="31">
        <f t="shared" si="166"/>
        <v>0</v>
      </c>
      <c r="AC146" s="31">
        <f t="shared" si="167"/>
        <v>0</v>
      </c>
      <c r="AD146" s="31">
        <f t="shared" si="168"/>
        <v>0</v>
      </c>
      <c r="AE146" s="31">
        <f t="shared" si="169"/>
        <v>0</v>
      </c>
      <c r="AF146" s="31">
        <f t="shared" si="170"/>
        <v>0</v>
      </c>
      <c r="AG146" s="31">
        <f t="shared" si="171"/>
        <v>0</v>
      </c>
      <c r="AH146" s="31">
        <f t="shared" si="172"/>
        <v>0</v>
      </c>
      <c r="AI146" s="12" t="s">
        <v>54</v>
      </c>
      <c r="AJ146" s="31">
        <f t="shared" si="173"/>
        <v>0</v>
      </c>
      <c r="AK146" s="31">
        <f t="shared" si="174"/>
        <v>0</v>
      </c>
      <c r="AL146" s="31">
        <f t="shared" si="175"/>
        <v>0</v>
      </c>
      <c r="AN146" s="31">
        <v>12</v>
      </c>
      <c r="AO146" s="31">
        <f>H146*0.843814139</f>
        <v>0</v>
      </c>
      <c r="AP146" s="31">
        <f>H146*(1-0.843814139)</f>
        <v>0</v>
      </c>
      <c r="AQ146" s="34" t="s">
        <v>70</v>
      </c>
      <c r="AV146" s="31">
        <f t="shared" si="176"/>
        <v>0</v>
      </c>
      <c r="AW146" s="31">
        <f t="shared" si="177"/>
        <v>0</v>
      </c>
      <c r="AX146" s="31">
        <f t="shared" si="178"/>
        <v>0</v>
      </c>
      <c r="AY146" s="34" t="s">
        <v>343</v>
      </c>
      <c r="AZ146" s="34" t="s">
        <v>92</v>
      </c>
      <c r="BA146" s="12" t="s">
        <v>65</v>
      </c>
      <c r="BC146" s="31">
        <f t="shared" si="179"/>
        <v>0</v>
      </c>
      <c r="BD146" s="31">
        <f t="shared" si="180"/>
        <v>0</v>
      </c>
      <c r="BE146" s="31">
        <v>0</v>
      </c>
      <c r="BF146" s="31">
        <f t="shared" si="181"/>
        <v>8.3999999999999993E-4</v>
      </c>
      <c r="BH146" s="31">
        <f t="shared" si="182"/>
        <v>0</v>
      </c>
      <c r="BI146" s="31">
        <f t="shared" si="183"/>
        <v>0</v>
      </c>
      <c r="BJ146" s="31">
        <f t="shared" si="184"/>
        <v>0</v>
      </c>
      <c r="BK146" s="34" t="s">
        <v>66</v>
      </c>
      <c r="BL146" s="31">
        <v>725</v>
      </c>
      <c r="BW146" s="31">
        <f t="shared" si="185"/>
        <v>0</v>
      </c>
      <c r="BX146" s="4" t="s">
        <v>434</v>
      </c>
    </row>
    <row r="147" spans="1:76" ht="13.5" customHeight="1" x14ac:dyDescent="0.25">
      <c r="A147" s="39"/>
      <c r="C147" s="40" t="s">
        <v>142</v>
      </c>
      <c r="D147" s="90" t="s">
        <v>435</v>
      </c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2"/>
    </row>
    <row r="148" spans="1:76" x14ac:dyDescent="0.25">
      <c r="A148" s="2" t="s">
        <v>436</v>
      </c>
      <c r="B148" s="3" t="s">
        <v>54</v>
      </c>
      <c r="C148" s="3" t="s">
        <v>437</v>
      </c>
      <c r="D148" s="83" t="s">
        <v>438</v>
      </c>
      <c r="E148" s="84"/>
      <c r="F148" s="3" t="s">
        <v>273</v>
      </c>
      <c r="G148" s="31">
        <v>2</v>
      </c>
      <c r="H148" s="31"/>
      <c r="I148" s="32"/>
      <c r="J148" s="31">
        <f>ROUND(G148*AO148,2)</f>
        <v>0</v>
      </c>
      <c r="K148" s="31">
        <f>ROUND(G148*AP148,2)</f>
        <v>0</v>
      </c>
      <c r="L148" s="31">
        <f>ROUND(G148*H148,2)</f>
        <v>0</v>
      </c>
      <c r="M148" s="31">
        <f>L148*(1+BW148/100)</f>
        <v>0</v>
      </c>
      <c r="N148" s="31">
        <v>2E-3</v>
      </c>
      <c r="O148" s="31">
        <f>G148*N148</f>
        <v>4.0000000000000001E-3</v>
      </c>
      <c r="P148" s="33" t="s">
        <v>69</v>
      </c>
      <c r="Z148" s="31">
        <f>ROUND(IF(AQ148="5",BJ148,0),2)</f>
        <v>0</v>
      </c>
      <c r="AB148" s="31">
        <f>ROUND(IF(AQ148="1",BH148,0),2)</f>
        <v>0</v>
      </c>
      <c r="AC148" s="31">
        <f>ROUND(IF(AQ148="1",BI148,0),2)</f>
        <v>0</v>
      </c>
      <c r="AD148" s="31">
        <f>ROUND(IF(AQ148="7",BH148,0),2)</f>
        <v>0</v>
      </c>
      <c r="AE148" s="31">
        <f>ROUND(IF(AQ148="7",BI148,0),2)</f>
        <v>0</v>
      </c>
      <c r="AF148" s="31">
        <f>ROUND(IF(AQ148="2",BH148,0),2)</f>
        <v>0</v>
      </c>
      <c r="AG148" s="31">
        <f>ROUND(IF(AQ148="2",BI148,0),2)</f>
        <v>0</v>
      </c>
      <c r="AH148" s="31">
        <f>ROUND(IF(AQ148="0",BJ148,0),2)</f>
        <v>0</v>
      </c>
      <c r="AI148" s="12" t="s">
        <v>54</v>
      </c>
      <c r="AJ148" s="31">
        <f>IF(AN148=0,L148,0)</f>
        <v>0</v>
      </c>
      <c r="AK148" s="31">
        <f>IF(AN148=12,L148,0)</f>
        <v>0</v>
      </c>
      <c r="AL148" s="31">
        <f>IF(AN148=21,L148,0)</f>
        <v>0</v>
      </c>
      <c r="AN148" s="31">
        <v>12</v>
      </c>
      <c r="AO148" s="31">
        <f>H148*0.900986646</f>
        <v>0</v>
      </c>
      <c r="AP148" s="31">
        <f>H148*(1-0.900986646)</f>
        <v>0</v>
      </c>
      <c r="AQ148" s="34" t="s">
        <v>70</v>
      </c>
      <c r="AV148" s="31">
        <f>ROUND(AW148+AX148,2)</f>
        <v>0</v>
      </c>
      <c r="AW148" s="31">
        <f>ROUND(G148*AO148,2)</f>
        <v>0</v>
      </c>
      <c r="AX148" s="31">
        <f>ROUND(G148*AP148,2)</f>
        <v>0</v>
      </c>
      <c r="AY148" s="34" t="s">
        <v>343</v>
      </c>
      <c r="AZ148" s="34" t="s">
        <v>92</v>
      </c>
      <c r="BA148" s="12" t="s">
        <v>65</v>
      </c>
      <c r="BC148" s="31">
        <f>AW148+AX148</f>
        <v>0</v>
      </c>
      <c r="BD148" s="31">
        <f>H148/(100-BE148)*100</f>
        <v>0</v>
      </c>
      <c r="BE148" s="31">
        <v>0</v>
      </c>
      <c r="BF148" s="31">
        <f>O148</f>
        <v>4.0000000000000001E-3</v>
      </c>
      <c r="BH148" s="31">
        <f>G148*AO148</f>
        <v>0</v>
      </c>
      <c r="BI148" s="31">
        <f>G148*AP148</f>
        <v>0</v>
      </c>
      <c r="BJ148" s="31">
        <f>G148*H148</f>
        <v>0</v>
      </c>
      <c r="BK148" s="34" t="s">
        <v>66</v>
      </c>
      <c r="BL148" s="31">
        <v>725</v>
      </c>
      <c r="BW148" s="31">
        <f>I148</f>
        <v>0</v>
      </c>
      <c r="BX148" s="4" t="s">
        <v>438</v>
      </c>
    </row>
    <row r="149" spans="1:76" x14ac:dyDescent="0.25">
      <c r="A149" s="2" t="s">
        <v>439</v>
      </c>
      <c r="B149" s="3" t="s">
        <v>54</v>
      </c>
      <c r="C149" s="3" t="s">
        <v>440</v>
      </c>
      <c r="D149" s="83" t="s">
        <v>441</v>
      </c>
      <c r="E149" s="84"/>
      <c r="F149" s="3" t="s">
        <v>273</v>
      </c>
      <c r="G149" s="31">
        <v>2</v>
      </c>
      <c r="H149" s="31"/>
      <c r="I149" s="32"/>
      <c r="J149" s="31">
        <f>ROUND(G149*AO149,2)</f>
        <v>0</v>
      </c>
      <c r="K149" s="31">
        <f>ROUND(G149*AP149,2)</f>
        <v>0</v>
      </c>
      <c r="L149" s="31">
        <f>ROUND(G149*H149,2)</f>
        <v>0</v>
      </c>
      <c r="M149" s="31">
        <f>L149*(1+BW149/100)</f>
        <v>0</v>
      </c>
      <c r="N149" s="31">
        <v>2.2000000000000001E-3</v>
      </c>
      <c r="O149" s="31">
        <f>G149*N149</f>
        <v>4.4000000000000003E-3</v>
      </c>
      <c r="P149" s="33" t="s">
        <v>69</v>
      </c>
      <c r="Z149" s="31">
        <f>ROUND(IF(AQ149="5",BJ149,0),2)</f>
        <v>0</v>
      </c>
      <c r="AB149" s="31">
        <f>ROUND(IF(AQ149="1",BH149,0),2)</f>
        <v>0</v>
      </c>
      <c r="AC149" s="31">
        <f>ROUND(IF(AQ149="1",BI149,0),2)</f>
        <v>0</v>
      </c>
      <c r="AD149" s="31">
        <f>ROUND(IF(AQ149="7",BH149,0),2)</f>
        <v>0</v>
      </c>
      <c r="AE149" s="31">
        <f>ROUND(IF(AQ149="7",BI149,0),2)</f>
        <v>0</v>
      </c>
      <c r="AF149" s="31">
        <f>ROUND(IF(AQ149="2",BH149,0),2)</f>
        <v>0</v>
      </c>
      <c r="AG149" s="31">
        <f>ROUND(IF(AQ149="2",BI149,0),2)</f>
        <v>0</v>
      </c>
      <c r="AH149" s="31">
        <f>ROUND(IF(AQ149="0",BJ149,0),2)</f>
        <v>0</v>
      </c>
      <c r="AI149" s="12" t="s">
        <v>54</v>
      </c>
      <c r="AJ149" s="31">
        <f>IF(AN149=0,L149,0)</f>
        <v>0</v>
      </c>
      <c r="AK149" s="31">
        <f>IF(AN149=12,L149,0)</f>
        <v>0</v>
      </c>
      <c r="AL149" s="31">
        <f>IF(AN149=21,L149,0)</f>
        <v>0</v>
      </c>
      <c r="AN149" s="31">
        <v>12</v>
      </c>
      <c r="AO149" s="31">
        <f>H149*0.916612239</f>
        <v>0</v>
      </c>
      <c r="AP149" s="31">
        <f>H149*(1-0.916612239)</f>
        <v>0</v>
      </c>
      <c r="AQ149" s="34" t="s">
        <v>70</v>
      </c>
      <c r="AV149" s="31">
        <f>ROUND(AW149+AX149,2)</f>
        <v>0</v>
      </c>
      <c r="AW149" s="31">
        <f>ROUND(G149*AO149,2)</f>
        <v>0</v>
      </c>
      <c r="AX149" s="31">
        <f>ROUND(G149*AP149,2)</f>
        <v>0</v>
      </c>
      <c r="AY149" s="34" t="s">
        <v>343</v>
      </c>
      <c r="AZ149" s="34" t="s">
        <v>92</v>
      </c>
      <c r="BA149" s="12" t="s">
        <v>65</v>
      </c>
      <c r="BC149" s="31">
        <f>AW149+AX149</f>
        <v>0</v>
      </c>
      <c r="BD149" s="31">
        <f>H149/(100-BE149)*100</f>
        <v>0</v>
      </c>
      <c r="BE149" s="31">
        <v>0</v>
      </c>
      <c r="BF149" s="31">
        <f>O149</f>
        <v>4.4000000000000003E-3</v>
      </c>
      <c r="BH149" s="31">
        <f>G149*AO149</f>
        <v>0</v>
      </c>
      <c r="BI149" s="31">
        <f>G149*AP149</f>
        <v>0</v>
      </c>
      <c r="BJ149" s="31">
        <f>G149*H149</f>
        <v>0</v>
      </c>
      <c r="BK149" s="34" t="s">
        <v>66</v>
      </c>
      <c r="BL149" s="31">
        <v>725</v>
      </c>
      <c r="BW149" s="31">
        <f>I149</f>
        <v>0</v>
      </c>
      <c r="BX149" s="4" t="s">
        <v>441</v>
      </c>
    </row>
    <row r="150" spans="1:76" x14ac:dyDescent="0.25">
      <c r="A150" s="35" t="s">
        <v>54</v>
      </c>
      <c r="B150" s="36" t="s">
        <v>54</v>
      </c>
      <c r="C150" s="36" t="s">
        <v>442</v>
      </c>
      <c r="D150" s="85" t="s">
        <v>443</v>
      </c>
      <c r="E150" s="86"/>
      <c r="F150" s="37" t="s">
        <v>4</v>
      </c>
      <c r="G150" s="37" t="s">
        <v>4</v>
      </c>
      <c r="H150" s="37" t="s">
        <v>4</v>
      </c>
      <c r="I150" s="37" t="s">
        <v>4</v>
      </c>
      <c r="J150" s="1">
        <f>SUM(J151:J152)</f>
        <v>0</v>
      </c>
      <c r="K150" s="1">
        <f>SUM(K151:K152)</f>
        <v>0</v>
      </c>
      <c r="L150" s="1">
        <f>SUM(L151:L152)</f>
        <v>0</v>
      </c>
      <c r="M150" s="1">
        <f>SUM(M151:M152)</f>
        <v>0</v>
      </c>
      <c r="N150" s="12" t="s">
        <v>54</v>
      </c>
      <c r="O150" s="1">
        <f>SUM(O151:O152)</f>
        <v>0</v>
      </c>
      <c r="P150" s="38" t="s">
        <v>54</v>
      </c>
      <c r="AI150" s="12" t="s">
        <v>54</v>
      </c>
      <c r="AS150" s="1">
        <f>SUM(AJ151:AJ152)</f>
        <v>0</v>
      </c>
      <c r="AT150" s="1">
        <f>SUM(AK151:AK152)</f>
        <v>0</v>
      </c>
      <c r="AU150" s="1">
        <f>SUM(AL151:AL152)</f>
        <v>0</v>
      </c>
    </row>
    <row r="151" spans="1:76" x14ac:dyDescent="0.25">
      <c r="A151" s="2" t="s">
        <v>444</v>
      </c>
      <c r="B151" s="3" t="s">
        <v>54</v>
      </c>
      <c r="C151" s="3" t="s">
        <v>445</v>
      </c>
      <c r="D151" s="83" t="s">
        <v>516</v>
      </c>
      <c r="E151" s="84"/>
      <c r="F151" s="3" t="s">
        <v>157</v>
      </c>
      <c r="G151" s="31">
        <v>1</v>
      </c>
      <c r="H151" s="31"/>
      <c r="I151" s="32"/>
      <c r="J151" s="31">
        <f>ROUND(G151*AO151,2)</f>
        <v>0</v>
      </c>
      <c r="K151" s="31">
        <f>ROUND(G151*AP151,2)</f>
        <v>0</v>
      </c>
      <c r="L151" s="31">
        <f>ROUND(G151*H151,2)</f>
        <v>0</v>
      </c>
      <c r="M151" s="31">
        <f>L151*(1+BW151/100)</f>
        <v>0</v>
      </c>
      <c r="N151" s="31">
        <v>0</v>
      </c>
      <c r="O151" s="31">
        <f>G151*N151</f>
        <v>0</v>
      </c>
      <c r="P151" s="33" t="s">
        <v>54</v>
      </c>
      <c r="Z151" s="31">
        <f>ROUND(IF(AQ151="5",BJ151,0),2)</f>
        <v>0</v>
      </c>
      <c r="AB151" s="31">
        <f>ROUND(IF(AQ151="1",BH151,0),2)</f>
        <v>0</v>
      </c>
      <c r="AC151" s="31">
        <f>ROUND(IF(AQ151="1",BI151,0),2)</f>
        <v>0</v>
      </c>
      <c r="AD151" s="31">
        <f>ROUND(IF(AQ151="7",BH151,0),2)</f>
        <v>0</v>
      </c>
      <c r="AE151" s="31">
        <f>ROUND(IF(AQ151="7",BI151,0),2)</f>
        <v>0</v>
      </c>
      <c r="AF151" s="31">
        <f>ROUND(IF(AQ151="2",BH151,0),2)</f>
        <v>0</v>
      </c>
      <c r="AG151" s="31">
        <f>ROUND(IF(AQ151="2",BI151,0),2)</f>
        <v>0</v>
      </c>
      <c r="AH151" s="31">
        <f>ROUND(IF(AQ151="0",BJ151,0),2)</f>
        <v>0</v>
      </c>
      <c r="AI151" s="12" t="s">
        <v>54</v>
      </c>
      <c r="AJ151" s="31">
        <f>IF(AN151=0,L151,0)</f>
        <v>0</v>
      </c>
      <c r="AK151" s="31">
        <f>IF(AN151=12,L151,0)</f>
        <v>0</v>
      </c>
      <c r="AL151" s="31">
        <f>IF(AN151=21,L151,0)</f>
        <v>0</v>
      </c>
      <c r="AN151" s="31">
        <v>12</v>
      </c>
      <c r="AO151" s="31">
        <f>H151*0</f>
        <v>0</v>
      </c>
      <c r="AP151" s="31">
        <f>H151*(1-0)</f>
        <v>0</v>
      </c>
      <c r="AQ151" s="34" t="s">
        <v>57</v>
      </c>
      <c r="AV151" s="31">
        <f>ROUND(AW151+AX151,2)</f>
        <v>0</v>
      </c>
      <c r="AW151" s="31">
        <f>ROUND(G151*AO151,2)</f>
        <v>0</v>
      </c>
      <c r="AX151" s="31">
        <f>ROUND(G151*AP151,2)</f>
        <v>0</v>
      </c>
      <c r="AY151" s="34" t="s">
        <v>447</v>
      </c>
      <c r="AZ151" s="34" t="s">
        <v>448</v>
      </c>
      <c r="BA151" s="12" t="s">
        <v>65</v>
      </c>
      <c r="BC151" s="31">
        <f>AW151+AX151</f>
        <v>0</v>
      </c>
      <c r="BD151" s="31">
        <f>H151/(100-BE151)*100</f>
        <v>0</v>
      </c>
      <c r="BE151" s="31">
        <v>0</v>
      </c>
      <c r="BF151" s="31">
        <f>O151</f>
        <v>0</v>
      </c>
      <c r="BH151" s="31">
        <f>G151*AO151</f>
        <v>0</v>
      </c>
      <c r="BI151" s="31">
        <f>G151*AP151</f>
        <v>0</v>
      </c>
      <c r="BJ151" s="31">
        <f>G151*H151</f>
        <v>0</v>
      </c>
      <c r="BK151" s="34" t="s">
        <v>66</v>
      </c>
      <c r="BL151" s="31">
        <v>900</v>
      </c>
      <c r="BW151" s="31">
        <f>I151</f>
        <v>0</v>
      </c>
      <c r="BX151" s="4" t="s">
        <v>446</v>
      </c>
    </row>
    <row r="152" spans="1:76" x14ac:dyDescent="0.25">
      <c r="A152" s="41" t="s">
        <v>449</v>
      </c>
      <c r="B152" s="42" t="s">
        <v>54</v>
      </c>
      <c r="C152" s="42" t="s">
        <v>445</v>
      </c>
      <c r="D152" s="87" t="s">
        <v>450</v>
      </c>
      <c r="E152" s="88"/>
      <c r="F152" s="42" t="s">
        <v>157</v>
      </c>
      <c r="G152" s="43">
        <v>1</v>
      </c>
      <c r="H152" s="43"/>
      <c r="I152" s="44"/>
      <c r="J152" s="43">
        <f>ROUND(G152*AO152,2)</f>
        <v>0</v>
      </c>
      <c r="K152" s="43">
        <f>ROUND(G152*AP152,2)</f>
        <v>0</v>
      </c>
      <c r="L152" s="43">
        <f>ROUND(G152*H152,2)</f>
        <v>0</v>
      </c>
      <c r="M152" s="43">
        <f>L152*(1+BW152/100)</f>
        <v>0</v>
      </c>
      <c r="N152" s="43">
        <v>0</v>
      </c>
      <c r="O152" s="43">
        <f>G152*N152</f>
        <v>0</v>
      </c>
      <c r="P152" s="45" t="s">
        <v>54</v>
      </c>
      <c r="Z152" s="31">
        <f>ROUND(IF(AQ152="5",BJ152,0),2)</f>
        <v>0</v>
      </c>
      <c r="AB152" s="31">
        <f>ROUND(IF(AQ152="1",BH152,0),2)</f>
        <v>0</v>
      </c>
      <c r="AC152" s="31">
        <f>ROUND(IF(AQ152="1",BI152,0),2)</f>
        <v>0</v>
      </c>
      <c r="AD152" s="31">
        <f>ROUND(IF(AQ152="7",BH152,0),2)</f>
        <v>0</v>
      </c>
      <c r="AE152" s="31">
        <f>ROUND(IF(AQ152="7",BI152,0),2)</f>
        <v>0</v>
      </c>
      <c r="AF152" s="31">
        <f>ROUND(IF(AQ152="2",BH152,0),2)</f>
        <v>0</v>
      </c>
      <c r="AG152" s="31">
        <f>ROUND(IF(AQ152="2",BI152,0),2)</f>
        <v>0</v>
      </c>
      <c r="AH152" s="31">
        <f>ROUND(IF(AQ152="0",BJ152,0),2)</f>
        <v>0</v>
      </c>
      <c r="AI152" s="12" t="s">
        <v>54</v>
      </c>
      <c r="AJ152" s="31">
        <f>IF(AN152=0,L152,0)</f>
        <v>0</v>
      </c>
      <c r="AK152" s="31">
        <f>IF(AN152=12,L152,0)</f>
        <v>0</v>
      </c>
      <c r="AL152" s="31">
        <f>IF(AN152=21,L152,0)</f>
        <v>0</v>
      </c>
      <c r="AN152" s="31">
        <v>12</v>
      </c>
      <c r="AO152" s="31">
        <f>H152*0</f>
        <v>0</v>
      </c>
      <c r="AP152" s="31">
        <f>H152*(1-0)</f>
        <v>0</v>
      </c>
      <c r="AQ152" s="34" t="s">
        <v>57</v>
      </c>
      <c r="AV152" s="31">
        <f>ROUND(AW152+AX152,2)</f>
        <v>0</v>
      </c>
      <c r="AW152" s="31">
        <f>ROUND(G152*AO152,2)</f>
        <v>0</v>
      </c>
      <c r="AX152" s="31">
        <f>ROUND(G152*AP152,2)</f>
        <v>0</v>
      </c>
      <c r="AY152" s="34" t="s">
        <v>447</v>
      </c>
      <c r="AZ152" s="34" t="s">
        <v>448</v>
      </c>
      <c r="BA152" s="12" t="s">
        <v>65</v>
      </c>
      <c r="BC152" s="31">
        <f>AW152+AX152</f>
        <v>0</v>
      </c>
      <c r="BD152" s="31">
        <f>H152/(100-BE152)*100</f>
        <v>0</v>
      </c>
      <c r="BE152" s="31">
        <v>0</v>
      </c>
      <c r="BF152" s="31">
        <f>O152</f>
        <v>0</v>
      </c>
      <c r="BH152" s="31">
        <f>G152*AO152</f>
        <v>0</v>
      </c>
      <c r="BI152" s="31">
        <f>G152*AP152</f>
        <v>0</v>
      </c>
      <c r="BJ152" s="31">
        <f>G152*H152</f>
        <v>0</v>
      </c>
      <c r="BK152" s="34" t="s">
        <v>66</v>
      </c>
      <c r="BL152" s="31">
        <v>900</v>
      </c>
      <c r="BW152" s="31">
        <f>I152</f>
        <v>0</v>
      </c>
      <c r="BX152" s="4" t="s">
        <v>450</v>
      </c>
    </row>
    <row r="153" spans="1:76" x14ac:dyDescent="0.25">
      <c r="J153" s="89" t="s">
        <v>451</v>
      </c>
      <c r="K153" s="89"/>
      <c r="L153" s="47">
        <f>ROUND(L12+L20+L52+L114+L150,2)</f>
        <v>0</v>
      </c>
      <c r="M153" s="47">
        <f>ROUND(M12+M20+M52+M114+M150,2)</f>
        <v>0</v>
      </c>
    </row>
    <row r="154" spans="1:76" x14ac:dyDescent="0.25">
      <c r="A154" s="48" t="s">
        <v>452</v>
      </c>
    </row>
    <row r="155" spans="1:76" ht="12.75" customHeight="1" x14ac:dyDescent="0.25">
      <c r="A155" s="83" t="s">
        <v>54</v>
      </c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</row>
  </sheetData>
  <mergeCells count="172">
    <mergeCell ref="A1:P1"/>
    <mergeCell ref="A2:C3"/>
    <mergeCell ref="A4:C5"/>
    <mergeCell ref="A6:C7"/>
    <mergeCell ref="A8:C9"/>
    <mergeCell ref="F2:G3"/>
    <mergeCell ref="F4:G5"/>
    <mergeCell ref="F6:G7"/>
    <mergeCell ref="F8:G9"/>
    <mergeCell ref="I2:J3"/>
    <mergeCell ref="I4:J5"/>
    <mergeCell ref="I6:J7"/>
    <mergeCell ref="I8:J9"/>
    <mergeCell ref="D2:E3"/>
    <mergeCell ref="D4:E5"/>
    <mergeCell ref="D6:E7"/>
    <mergeCell ref="D11:E11"/>
    <mergeCell ref="J10:L10"/>
    <mergeCell ref="N10:O10"/>
    <mergeCell ref="D12:E12"/>
    <mergeCell ref="D13:E13"/>
    <mergeCell ref="K2:P3"/>
    <mergeCell ref="K4:P5"/>
    <mergeCell ref="K6:P7"/>
    <mergeCell ref="K8:P9"/>
    <mergeCell ref="D10:E10"/>
    <mergeCell ref="D8:E9"/>
    <mergeCell ref="H2:H3"/>
    <mergeCell ref="H4:H5"/>
    <mergeCell ref="H6:H7"/>
    <mergeCell ref="H8:H9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39:E39"/>
    <mergeCell ref="D40:P40"/>
    <mergeCell ref="D41:E41"/>
    <mergeCell ref="D42:E42"/>
    <mergeCell ref="D43:E43"/>
    <mergeCell ref="D34:E34"/>
    <mergeCell ref="D35:E35"/>
    <mergeCell ref="D36:E36"/>
    <mergeCell ref="D37:E37"/>
    <mergeCell ref="D38:P38"/>
    <mergeCell ref="D49:E49"/>
    <mergeCell ref="D50:E50"/>
    <mergeCell ref="D51:E51"/>
    <mergeCell ref="D52:E52"/>
    <mergeCell ref="D53:E53"/>
    <mergeCell ref="D44:P44"/>
    <mergeCell ref="D45:E45"/>
    <mergeCell ref="D46:P46"/>
    <mergeCell ref="D47:E47"/>
    <mergeCell ref="D48:E48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69:E69"/>
    <mergeCell ref="D70:E70"/>
    <mergeCell ref="D71:E71"/>
    <mergeCell ref="D72:E72"/>
    <mergeCell ref="D73:E73"/>
    <mergeCell ref="D64:E64"/>
    <mergeCell ref="D65:E65"/>
    <mergeCell ref="D66:E66"/>
    <mergeCell ref="D67:E67"/>
    <mergeCell ref="D68:E68"/>
    <mergeCell ref="D79:E79"/>
    <mergeCell ref="D80:P80"/>
    <mergeCell ref="D81:E81"/>
    <mergeCell ref="D82:P82"/>
    <mergeCell ref="D83:E83"/>
    <mergeCell ref="D74:P74"/>
    <mergeCell ref="D75:E75"/>
    <mergeCell ref="D76:P76"/>
    <mergeCell ref="D77:E77"/>
    <mergeCell ref="D78:P78"/>
    <mergeCell ref="D89:E89"/>
    <mergeCell ref="D90:P90"/>
    <mergeCell ref="D91:E91"/>
    <mergeCell ref="D92:E92"/>
    <mergeCell ref="D93:E93"/>
    <mergeCell ref="D84:P84"/>
    <mergeCell ref="D85:E85"/>
    <mergeCell ref="D86:P86"/>
    <mergeCell ref="D87:E87"/>
    <mergeCell ref="D88:P88"/>
    <mergeCell ref="D99:E99"/>
    <mergeCell ref="D100:E100"/>
    <mergeCell ref="D101:E101"/>
    <mergeCell ref="D102:E102"/>
    <mergeCell ref="D103:E103"/>
    <mergeCell ref="D94:E94"/>
    <mergeCell ref="D95:E95"/>
    <mergeCell ref="D96:E96"/>
    <mergeCell ref="D97:E97"/>
    <mergeCell ref="D98:E98"/>
    <mergeCell ref="D109:E109"/>
    <mergeCell ref="D110:E110"/>
    <mergeCell ref="D111:E111"/>
    <mergeCell ref="D112:E112"/>
    <mergeCell ref="D113:E113"/>
    <mergeCell ref="D104:E104"/>
    <mergeCell ref="D105:E105"/>
    <mergeCell ref="D106:E106"/>
    <mergeCell ref="D107:P107"/>
    <mergeCell ref="D108:E108"/>
    <mergeCell ref="D119:E119"/>
    <mergeCell ref="D120:E120"/>
    <mergeCell ref="D121:E121"/>
    <mergeCell ref="D122:E122"/>
    <mergeCell ref="D123:E123"/>
    <mergeCell ref="D114:E114"/>
    <mergeCell ref="D115:E115"/>
    <mergeCell ref="D116:E116"/>
    <mergeCell ref="D117:E117"/>
    <mergeCell ref="D118:E118"/>
    <mergeCell ref="D129:E129"/>
    <mergeCell ref="D130:E130"/>
    <mergeCell ref="D131:E131"/>
    <mergeCell ref="D132:E132"/>
    <mergeCell ref="D133:E133"/>
    <mergeCell ref="D124:E124"/>
    <mergeCell ref="D125:E125"/>
    <mergeCell ref="D126:E126"/>
    <mergeCell ref="D127:P127"/>
    <mergeCell ref="D128:E128"/>
    <mergeCell ref="D139:E139"/>
    <mergeCell ref="D140:E140"/>
    <mergeCell ref="D141:E141"/>
    <mergeCell ref="D142:E142"/>
    <mergeCell ref="D143:E143"/>
    <mergeCell ref="D134:E134"/>
    <mergeCell ref="D135:E135"/>
    <mergeCell ref="D136:E136"/>
    <mergeCell ref="D137:E137"/>
    <mergeCell ref="D138:E138"/>
    <mergeCell ref="A155:P155"/>
    <mergeCell ref="D149:E149"/>
    <mergeCell ref="D150:E150"/>
    <mergeCell ref="D151:E151"/>
    <mergeCell ref="D152:E152"/>
    <mergeCell ref="J153:K153"/>
    <mergeCell ref="D144:E144"/>
    <mergeCell ref="D145:E145"/>
    <mergeCell ref="D146:E146"/>
    <mergeCell ref="D147:P147"/>
    <mergeCell ref="D148:E148"/>
  </mergeCells>
  <pageMargins left="0.393999993801117" right="0.393999993801117" top="0.59100002050399802" bottom="0.59100002050399802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6"/>
  <sheetViews>
    <sheetView workbookViewId="0">
      <pane ySplit="11" topLeftCell="A12" activePane="bottomLeft" state="frozen"/>
      <selection pane="bottomLeft" activeCell="G8" sqref="G8:G9"/>
    </sheetView>
  </sheetViews>
  <sheetFormatPr defaultColWidth="12.140625" defaultRowHeight="15" customHeight="1" x14ac:dyDescent="0.25"/>
  <cols>
    <col min="1" max="2" width="8.5703125" customWidth="1"/>
    <col min="3" max="3" width="71.42578125" customWidth="1"/>
    <col min="4" max="6" width="27.85546875" customWidth="1"/>
    <col min="7" max="7" width="37.140625" customWidth="1"/>
    <col min="8" max="9" width="0" hidden="1" customWidth="1"/>
  </cols>
  <sheetData>
    <row r="1" spans="1:9" ht="54.75" customHeight="1" x14ac:dyDescent="0.25">
      <c r="A1" s="109" t="s">
        <v>453</v>
      </c>
      <c r="B1" s="109"/>
      <c r="C1" s="109"/>
      <c r="D1" s="109"/>
      <c r="E1" s="109"/>
      <c r="F1" s="109"/>
      <c r="G1" s="109"/>
    </row>
    <row r="2" spans="1:9" x14ac:dyDescent="0.25">
      <c r="A2" s="110" t="s">
        <v>1</v>
      </c>
      <c r="B2" s="102"/>
      <c r="C2" s="115" t="str">
        <f>'Stavební rozpočet'!D2</f>
        <v>Areál společnosti FORESTINA s.r.o. – Horažďovice, Blatenská 587</v>
      </c>
      <c r="D2" s="102" t="s">
        <v>3</v>
      </c>
      <c r="E2" s="102" t="s">
        <v>4</v>
      </c>
      <c r="F2" s="114" t="s">
        <v>5</v>
      </c>
      <c r="G2" s="118" t="str">
        <f>'Stavební rozpočet'!K2</f>
        <v> </v>
      </c>
    </row>
    <row r="3" spans="1:9" ht="15" customHeight="1" x14ac:dyDescent="0.25">
      <c r="A3" s="111"/>
      <c r="B3" s="84"/>
      <c r="C3" s="117"/>
      <c r="D3" s="84"/>
      <c r="E3" s="84"/>
      <c r="F3" s="84"/>
      <c r="G3" s="104"/>
    </row>
    <row r="4" spans="1:9" x14ac:dyDescent="0.25">
      <c r="A4" s="112" t="s">
        <v>7</v>
      </c>
      <c r="B4" s="84"/>
      <c r="C4" s="83" t="str">
        <f>'Stavební rozpočet'!D4</f>
        <v>Zdravotně technické instalace</v>
      </c>
      <c r="D4" s="84" t="s">
        <v>9</v>
      </c>
      <c r="E4" s="84" t="s">
        <v>4</v>
      </c>
      <c r="F4" s="83" t="s">
        <v>10</v>
      </c>
      <c r="G4" s="119" t="str">
        <f>'Stavební rozpočet'!K4</f>
        <v>Ing. Michal Albrecht</v>
      </c>
    </row>
    <row r="5" spans="1:9" ht="15" customHeight="1" x14ac:dyDescent="0.25">
      <c r="A5" s="111"/>
      <c r="B5" s="84"/>
      <c r="C5" s="84"/>
      <c r="D5" s="84"/>
      <c r="E5" s="84"/>
      <c r="F5" s="84"/>
      <c r="G5" s="104"/>
    </row>
    <row r="6" spans="1:9" x14ac:dyDescent="0.25">
      <c r="A6" s="112" t="s">
        <v>12</v>
      </c>
      <c r="B6" s="84"/>
      <c r="C6" s="83" t="str">
        <f>'Stavební rozpočet'!D6</f>
        <v>!!!! Pracovní verze !!!!</v>
      </c>
      <c r="D6" s="84" t="s">
        <v>14</v>
      </c>
      <c r="E6" s="84" t="s">
        <v>4</v>
      </c>
      <c r="F6" s="83" t="s">
        <v>15</v>
      </c>
      <c r="G6" s="119" t="str">
        <f>'Stavební rozpočet'!K6</f>
        <v> </v>
      </c>
    </row>
    <row r="7" spans="1:9" ht="15" customHeight="1" x14ac:dyDescent="0.25">
      <c r="A7" s="111"/>
      <c r="B7" s="84"/>
      <c r="C7" s="84"/>
      <c r="D7" s="84"/>
      <c r="E7" s="84"/>
      <c r="F7" s="84"/>
      <c r="G7" s="104"/>
    </row>
    <row r="8" spans="1:9" x14ac:dyDescent="0.25">
      <c r="A8" s="112" t="s">
        <v>19</v>
      </c>
      <c r="B8" s="84"/>
      <c r="C8" s="83" t="str">
        <f>'Stavební rozpočet'!K8</f>
        <v>Ing. Michal Albrecht</v>
      </c>
      <c r="D8" s="84" t="s">
        <v>17</v>
      </c>
      <c r="E8" s="84" t="s">
        <v>18</v>
      </c>
      <c r="F8" s="84" t="s">
        <v>17</v>
      </c>
      <c r="G8" s="119" t="str">
        <f>'Stavební rozpočet'!H8</f>
        <v>11.06.2025</v>
      </c>
    </row>
    <row r="9" spans="1:9" x14ac:dyDescent="0.25">
      <c r="A9" s="113"/>
      <c r="B9" s="105"/>
      <c r="C9" s="105"/>
      <c r="D9" s="105"/>
      <c r="E9" s="105"/>
      <c r="F9" s="105"/>
      <c r="G9" s="106"/>
    </row>
    <row r="10" spans="1:9" x14ac:dyDescent="0.25">
      <c r="A10" s="49" t="s">
        <v>21</v>
      </c>
      <c r="B10" s="50" t="s">
        <v>22</v>
      </c>
      <c r="C10" s="51" t="s">
        <v>454</v>
      </c>
      <c r="D10" s="52" t="s">
        <v>455</v>
      </c>
      <c r="E10" s="52" t="s">
        <v>456</v>
      </c>
      <c r="F10" s="52" t="s">
        <v>457</v>
      </c>
      <c r="G10" s="53" t="s">
        <v>458</v>
      </c>
    </row>
    <row r="11" spans="1:9" x14ac:dyDescent="0.25">
      <c r="A11" s="54" t="s">
        <v>54</v>
      </c>
      <c r="B11" s="55" t="s">
        <v>55</v>
      </c>
      <c r="C11" s="55" t="s">
        <v>56</v>
      </c>
      <c r="D11" s="56">
        <f>ROUND('Stavební rozpočet'!J12,2)</f>
        <v>0</v>
      </c>
      <c r="E11" s="56">
        <f>ROUND('Stavební rozpočet'!K12,2)</f>
        <v>0</v>
      </c>
      <c r="F11" s="56">
        <f>ROUND('Stavební rozpočet'!L12,2)</f>
        <v>0</v>
      </c>
      <c r="G11" s="57">
        <f>'Stavební rozpočet'!O12</f>
        <v>0.11909999999999998</v>
      </c>
      <c r="H11" s="58" t="s">
        <v>459</v>
      </c>
      <c r="I11" s="31">
        <f>IF(H11="F",0,F11)</f>
        <v>0</v>
      </c>
    </row>
    <row r="12" spans="1:9" x14ac:dyDescent="0.25">
      <c r="A12" s="2" t="s">
        <v>54</v>
      </c>
      <c r="B12" s="3" t="s">
        <v>86</v>
      </c>
      <c r="C12" s="3" t="s">
        <v>87</v>
      </c>
      <c r="D12" s="31">
        <f>ROUND('Stavební rozpočet'!J20,2)</f>
        <v>0</v>
      </c>
      <c r="E12" s="31">
        <f>ROUND('Stavební rozpočet'!K20,2)</f>
        <v>0</v>
      </c>
      <c r="F12" s="31">
        <f>ROUND('Stavební rozpočet'!L20,2)</f>
        <v>0</v>
      </c>
      <c r="G12" s="59">
        <f>'Stavební rozpočet'!O20</f>
        <v>4.584620000000001</v>
      </c>
      <c r="H12" s="58" t="s">
        <v>459</v>
      </c>
      <c r="I12" s="31">
        <f>IF(H12="F",0,F12)</f>
        <v>0</v>
      </c>
    </row>
    <row r="13" spans="1:9" x14ac:dyDescent="0.25">
      <c r="A13" s="2" t="s">
        <v>54</v>
      </c>
      <c r="B13" s="3" t="s">
        <v>180</v>
      </c>
      <c r="C13" s="3" t="s">
        <v>181</v>
      </c>
      <c r="D13" s="31">
        <f>ROUND('Stavební rozpočet'!J52,2)</f>
        <v>0</v>
      </c>
      <c r="E13" s="31">
        <f>ROUND('Stavební rozpočet'!K52,2)</f>
        <v>0</v>
      </c>
      <c r="F13" s="31">
        <f>ROUND('Stavební rozpočet'!L52,2)</f>
        <v>0</v>
      </c>
      <c r="G13" s="59">
        <f>'Stavební rozpočet'!O52</f>
        <v>1.6615799999999998</v>
      </c>
      <c r="H13" s="58" t="s">
        <v>459</v>
      </c>
      <c r="I13" s="31">
        <f>IF(H13="F",0,F13)</f>
        <v>0</v>
      </c>
    </row>
    <row r="14" spans="1:9" x14ac:dyDescent="0.25">
      <c r="A14" s="2" t="s">
        <v>54</v>
      </c>
      <c r="B14" s="3" t="s">
        <v>338</v>
      </c>
      <c r="C14" s="3" t="s">
        <v>339</v>
      </c>
      <c r="D14" s="31">
        <f>ROUND('Stavební rozpočet'!J114,2)</f>
        <v>0</v>
      </c>
      <c r="E14" s="31">
        <f>ROUND('Stavební rozpočet'!K114,2)</f>
        <v>0</v>
      </c>
      <c r="F14" s="31">
        <f>ROUND('Stavební rozpočet'!L114,2)</f>
        <v>0</v>
      </c>
      <c r="G14" s="59">
        <f>'Stavební rozpočet'!O114</f>
        <v>2.1997300000000006</v>
      </c>
      <c r="H14" s="58" t="s">
        <v>459</v>
      </c>
      <c r="I14" s="31">
        <f>IF(H14="F",0,F14)</f>
        <v>0</v>
      </c>
    </row>
    <row r="15" spans="1:9" x14ac:dyDescent="0.25">
      <c r="A15" s="41" t="s">
        <v>54</v>
      </c>
      <c r="B15" s="42" t="s">
        <v>442</v>
      </c>
      <c r="C15" s="42" t="s">
        <v>443</v>
      </c>
      <c r="D15" s="43">
        <f>ROUND('Stavební rozpočet'!J150,2)</f>
        <v>0</v>
      </c>
      <c r="E15" s="43">
        <f>ROUND('Stavební rozpočet'!K150,2)</f>
        <v>0</v>
      </c>
      <c r="F15" s="43">
        <f>ROUND('Stavební rozpočet'!L150,2)</f>
        <v>0</v>
      </c>
      <c r="G15" s="60">
        <f>'Stavební rozpočet'!O150</f>
        <v>0</v>
      </c>
      <c r="H15" s="58" t="s">
        <v>459</v>
      </c>
      <c r="I15" s="31">
        <f>IF(H15="F",0,F15)</f>
        <v>0</v>
      </c>
    </row>
    <row r="16" spans="1:9" x14ac:dyDescent="0.25">
      <c r="E16" s="46" t="s">
        <v>451</v>
      </c>
      <c r="F16" s="47">
        <f>ROUND(SUM(I11:I15),2)</f>
        <v>0</v>
      </c>
    </row>
  </sheetData>
  <mergeCells count="25">
    <mergeCell ref="A1:G1"/>
    <mergeCell ref="A2:B3"/>
    <mergeCell ref="A4:B5"/>
    <mergeCell ref="A6:B7"/>
    <mergeCell ref="A8:B9"/>
    <mergeCell ref="D2:D3"/>
    <mergeCell ref="D4:D5"/>
    <mergeCell ref="D6:D7"/>
    <mergeCell ref="D8:D9"/>
    <mergeCell ref="F2:F3"/>
    <mergeCell ref="F4:F5"/>
    <mergeCell ref="F6:F7"/>
    <mergeCell ref="F8:F9"/>
    <mergeCell ref="C2:C3"/>
    <mergeCell ref="C4:C5"/>
    <mergeCell ref="C6:C7"/>
    <mergeCell ref="G2:G3"/>
    <mergeCell ref="G4:G5"/>
    <mergeCell ref="G6:G7"/>
    <mergeCell ref="G8:G9"/>
    <mergeCell ref="C8:C9"/>
    <mergeCell ref="E2:E3"/>
    <mergeCell ref="E4:E5"/>
    <mergeCell ref="E6:E7"/>
    <mergeCell ref="E8:E9"/>
  </mergeCells>
  <pageMargins left="0.393999993801117" right="0.393999993801117" top="0.59100002050399802" bottom="0.59100002050399802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7"/>
  <sheetViews>
    <sheetView tabSelected="1" topLeftCell="A7" workbookViewId="0">
      <selection activeCell="I19" sqref="I19"/>
    </sheetView>
  </sheetViews>
  <sheetFormatPr defaultColWidth="12.140625" defaultRowHeight="15" customHeight="1" x14ac:dyDescent="0.25"/>
  <cols>
    <col min="1" max="1" width="9.140625" customWidth="1"/>
    <col min="2" max="2" width="12.85546875" customWidth="1"/>
    <col min="3" max="3" width="27.140625" customWidth="1"/>
    <col min="4" max="4" width="10" customWidth="1"/>
    <col min="5" max="5" width="14" customWidth="1"/>
    <col min="6" max="6" width="27.140625" customWidth="1"/>
    <col min="7" max="7" width="9.140625" customWidth="1"/>
    <col min="8" max="8" width="12.85546875" customWidth="1"/>
    <col min="9" max="9" width="27.140625" customWidth="1"/>
  </cols>
  <sheetData>
    <row r="1" spans="1:9" ht="54.75" customHeight="1" x14ac:dyDescent="0.25">
      <c r="A1" s="155" t="s">
        <v>460</v>
      </c>
      <c r="B1" s="109"/>
      <c r="C1" s="109"/>
      <c r="D1" s="109"/>
      <c r="E1" s="109"/>
      <c r="F1" s="109"/>
      <c r="G1" s="109"/>
      <c r="H1" s="109"/>
      <c r="I1" s="109"/>
    </row>
    <row r="2" spans="1:9" x14ac:dyDescent="0.25">
      <c r="A2" s="110" t="s">
        <v>1</v>
      </c>
      <c r="B2" s="102"/>
      <c r="C2" s="115" t="str">
        <f>'Stavební rozpočet'!D2</f>
        <v>Areál společnosti FORESTINA s.r.o. – Horažďovice, Blatenská 587</v>
      </c>
      <c r="D2" s="116"/>
      <c r="E2" s="114" t="s">
        <v>5</v>
      </c>
      <c r="F2" s="114" t="str">
        <f>'Stavební rozpočet'!K2</f>
        <v> </v>
      </c>
      <c r="G2" s="102"/>
      <c r="H2" s="114" t="s">
        <v>461</v>
      </c>
      <c r="I2" s="103" t="s">
        <v>54</v>
      </c>
    </row>
    <row r="3" spans="1:9" ht="39" customHeight="1" x14ac:dyDescent="0.25">
      <c r="A3" s="111"/>
      <c r="B3" s="84"/>
      <c r="C3" s="117"/>
      <c r="D3" s="117"/>
      <c r="E3" s="84"/>
      <c r="F3" s="84"/>
      <c r="G3" s="84"/>
      <c r="H3" s="84"/>
      <c r="I3" s="104"/>
    </row>
    <row r="4" spans="1:9" x14ac:dyDescent="0.25">
      <c r="A4" s="112" t="s">
        <v>7</v>
      </c>
      <c r="B4" s="84"/>
      <c r="C4" s="83" t="str">
        <f>'Stavební rozpočet'!D4</f>
        <v>Zdravotně technické instalace</v>
      </c>
      <c r="D4" s="84"/>
      <c r="E4" s="83" t="s">
        <v>10</v>
      </c>
      <c r="F4" s="83" t="str">
        <f>'Stavební rozpočet'!K4</f>
        <v>Ing. Michal Albrecht</v>
      </c>
      <c r="G4" s="84"/>
      <c r="H4" s="83" t="s">
        <v>461</v>
      </c>
      <c r="I4" s="104" t="s">
        <v>54</v>
      </c>
    </row>
    <row r="5" spans="1:9" ht="15" customHeight="1" x14ac:dyDescent="0.25">
      <c r="A5" s="111"/>
      <c r="B5" s="84"/>
      <c r="C5" s="84"/>
      <c r="D5" s="84"/>
      <c r="E5" s="84"/>
      <c r="F5" s="84"/>
      <c r="G5" s="84"/>
      <c r="H5" s="84"/>
      <c r="I5" s="104"/>
    </row>
    <row r="6" spans="1:9" x14ac:dyDescent="0.25">
      <c r="A6" s="112" t="s">
        <v>12</v>
      </c>
      <c r="B6" s="84"/>
      <c r="C6" s="83" t="str">
        <f>'Stavební rozpočet'!D6</f>
        <v>!!!! Pracovní verze !!!!</v>
      </c>
      <c r="D6" s="84"/>
      <c r="E6" s="83" t="s">
        <v>15</v>
      </c>
      <c r="F6" s="83" t="str">
        <f>'Stavební rozpočet'!K6</f>
        <v> </v>
      </c>
      <c r="G6" s="84"/>
      <c r="H6" s="83" t="s">
        <v>461</v>
      </c>
      <c r="I6" s="104" t="s">
        <v>54</v>
      </c>
    </row>
    <row r="7" spans="1:9" ht="15" customHeight="1" x14ac:dyDescent="0.25">
      <c r="A7" s="111"/>
      <c r="B7" s="84"/>
      <c r="C7" s="84"/>
      <c r="D7" s="84"/>
      <c r="E7" s="84"/>
      <c r="F7" s="84"/>
      <c r="G7" s="84"/>
      <c r="H7" s="84"/>
      <c r="I7" s="104"/>
    </row>
    <row r="8" spans="1:9" x14ac:dyDescent="0.25">
      <c r="A8" s="112" t="s">
        <v>9</v>
      </c>
      <c r="B8" s="84"/>
      <c r="C8" s="83" t="str">
        <f>'Stavební rozpočet'!H4</f>
        <v xml:space="preserve"> </v>
      </c>
      <c r="D8" s="84"/>
      <c r="E8" s="83" t="s">
        <v>14</v>
      </c>
      <c r="F8" s="83" t="str">
        <f>'Stavební rozpočet'!H6</f>
        <v xml:space="preserve"> </v>
      </c>
      <c r="G8" s="84"/>
      <c r="H8" s="84" t="s">
        <v>462</v>
      </c>
      <c r="I8" s="156">
        <v>120</v>
      </c>
    </row>
    <row r="9" spans="1:9" x14ac:dyDescent="0.25">
      <c r="A9" s="111"/>
      <c r="B9" s="84"/>
      <c r="C9" s="84"/>
      <c r="D9" s="84"/>
      <c r="E9" s="84"/>
      <c r="F9" s="84"/>
      <c r="G9" s="84"/>
      <c r="H9" s="84"/>
      <c r="I9" s="104"/>
    </row>
    <row r="10" spans="1:9" x14ac:dyDescent="0.25">
      <c r="A10" s="112" t="s">
        <v>16</v>
      </c>
      <c r="B10" s="84"/>
      <c r="C10" s="83" t="str">
        <f>'Stavební rozpočet'!D8</f>
        <v xml:space="preserve"> </v>
      </c>
      <c r="D10" s="84"/>
      <c r="E10" s="83" t="s">
        <v>19</v>
      </c>
      <c r="F10" s="83" t="str">
        <f>'Stavební rozpočet'!K8</f>
        <v>Ing. Michal Albrecht</v>
      </c>
      <c r="G10" s="84"/>
      <c r="H10" s="84" t="s">
        <v>463</v>
      </c>
      <c r="I10" s="119" t="str">
        <f>'Stavební rozpočet'!H8</f>
        <v>11.06.2025</v>
      </c>
    </row>
    <row r="11" spans="1:9" x14ac:dyDescent="0.25">
      <c r="A11" s="154"/>
      <c r="B11" s="88"/>
      <c r="C11" s="88"/>
      <c r="D11" s="88"/>
      <c r="E11" s="88"/>
      <c r="F11" s="88"/>
      <c r="G11" s="88"/>
      <c r="H11" s="88"/>
      <c r="I11" s="150"/>
    </row>
    <row r="12" spans="1:9" ht="23.25" x14ac:dyDescent="0.25">
      <c r="A12" s="151" t="s">
        <v>464</v>
      </c>
      <c r="B12" s="151"/>
      <c r="C12" s="151"/>
      <c r="D12" s="151"/>
      <c r="E12" s="151"/>
      <c r="F12" s="151"/>
      <c r="G12" s="151"/>
      <c r="H12" s="151"/>
      <c r="I12" s="151"/>
    </row>
    <row r="13" spans="1:9" ht="26.25" customHeight="1" x14ac:dyDescent="0.25">
      <c r="A13" s="61" t="s">
        <v>465</v>
      </c>
      <c r="B13" s="152" t="s">
        <v>466</v>
      </c>
      <c r="C13" s="153"/>
      <c r="D13" s="62" t="s">
        <v>467</v>
      </c>
      <c r="E13" s="152" t="s">
        <v>468</v>
      </c>
      <c r="F13" s="153"/>
      <c r="G13" s="62" t="s">
        <v>469</v>
      </c>
      <c r="H13" s="152" t="s">
        <v>470</v>
      </c>
      <c r="I13" s="153"/>
    </row>
    <row r="14" spans="1:9" ht="15.75" x14ac:dyDescent="0.25">
      <c r="A14" s="63" t="s">
        <v>471</v>
      </c>
      <c r="B14" s="64" t="s">
        <v>472</v>
      </c>
      <c r="C14" s="65">
        <f>SUM('Stavební rozpočet'!AB12:AB304)</f>
        <v>0</v>
      </c>
      <c r="D14" s="140" t="s">
        <v>473</v>
      </c>
      <c r="E14" s="141"/>
      <c r="F14" s="65">
        <f>VORN!I15</f>
        <v>0</v>
      </c>
      <c r="G14" s="140" t="s">
        <v>474</v>
      </c>
      <c r="H14" s="141"/>
      <c r="I14" s="65">
        <v>0</v>
      </c>
    </row>
    <row r="15" spans="1:9" ht="15.75" x14ac:dyDescent="0.25">
      <c r="A15" s="66" t="s">
        <v>54</v>
      </c>
      <c r="B15" s="64" t="s">
        <v>37</v>
      </c>
      <c r="C15" s="65">
        <f>SUM('Stavební rozpočet'!AC12:AC304)</f>
        <v>0</v>
      </c>
      <c r="D15" s="140" t="s">
        <v>475</v>
      </c>
      <c r="E15" s="141"/>
      <c r="F15" s="65">
        <f>VORN!I16</f>
        <v>0</v>
      </c>
      <c r="G15" s="140" t="s">
        <v>476</v>
      </c>
      <c r="H15" s="141"/>
      <c r="I15" s="65">
        <f>VORN!I23</f>
        <v>0</v>
      </c>
    </row>
    <row r="16" spans="1:9" ht="15.75" x14ac:dyDescent="0.25">
      <c r="A16" s="63" t="s">
        <v>477</v>
      </c>
      <c r="B16" s="64" t="s">
        <v>472</v>
      </c>
      <c r="C16" s="65">
        <f>SUM('Stavební rozpočet'!AD12:AD304)</f>
        <v>0</v>
      </c>
      <c r="D16" s="140" t="s">
        <v>478</v>
      </c>
      <c r="E16" s="141"/>
      <c r="F16" s="65">
        <f>VORN!I17</f>
        <v>0</v>
      </c>
      <c r="G16" s="140" t="s">
        <v>479</v>
      </c>
      <c r="H16" s="141"/>
      <c r="I16" s="65">
        <f>VORN!I24</f>
        <v>0</v>
      </c>
    </row>
    <row r="17" spans="1:9" ht="15.75" x14ac:dyDescent="0.25">
      <c r="A17" s="66" t="s">
        <v>54</v>
      </c>
      <c r="B17" s="64" t="s">
        <v>37</v>
      </c>
      <c r="C17" s="65">
        <f>SUM('Stavební rozpočet'!AE12:AE304)</f>
        <v>0</v>
      </c>
      <c r="D17" s="140" t="s">
        <v>480</v>
      </c>
      <c r="E17" s="141"/>
      <c r="F17" s="67">
        <f>VORN!I18</f>
        <v>0</v>
      </c>
      <c r="G17" s="140" t="s">
        <v>481</v>
      </c>
      <c r="H17" s="141"/>
      <c r="I17" s="65">
        <f>VORN!I25</f>
        <v>0</v>
      </c>
    </row>
    <row r="18" spans="1:9" ht="15.75" x14ac:dyDescent="0.25">
      <c r="A18" s="63" t="s">
        <v>482</v>
      </c>
      <c r="B18" s="64" t="s">
        <v>472</v>
      </c>
      <c r="C18" s="65">
        <f>SUM('Stavební rozpočet'!AF12:AF304)</f>
        <v>0</v>
      </c>
      <c r="D18" s="140" t="s">
        <v>54</v>
      </c>
      <c r="E18" s="141"/>
      <c r="F18" s="67" t="s">
        <v>54</v>
      </c>
      <c r="G18" s="140" t="s">
        <v>443</v>
      </c>
      <c r="H18" s="141"/>
      <c r="I18" s="65">
        <f>VORN!I26</f>
        <v>0</v>
      </c>
    </row>
    <row r="19" spans="1:9" ht="15.75" x14ac:dyDescent="0.25">
      <c r="A19" s="66" t="s">
        <v>54</v>
      </c>
      <c r="B19" s="64" t="s">
        <v>37</v>
      </c>
      <c r="C19" s="65">
        <f>SUM('Stavební rozpočet'!AG12:AG304)</f>
        <v>0</v>
      </c>
      <c r="D19" s="140" t="s">
        <v>54</v>
      </c>
      <c r="E19" s="141"/>
      <c r="F19" s="67" t="s">
        <v>54</v>
      </c>
      <c r="G19" s="140" t="s">
        <v>483</v>
      </c>
      <c r="H19" s="141"/>
      <c r="I19" s="65">
        <f>VORN!I27</f>
        <v>0</v>
      </c>
    </row>
    <row r="20" spans="1:9" ht="15.75" x14ac:dyDescent="0.25">
      <c r="A20" s="132" t="s">
        <v>484</v>
      </c>
      <c r="B20" s="133"/>
      <c r="C20" s="65">
        <f>SUM('Stavební rozpočet'!AH12:AH304)</f>
        <v>0</v>
      </c>
      <c r="D20" s="140" t="s">
        <v>54</v>
      </c>
      <c r="E20" s="141"/>
      <c r="F20" s="67" t="s">
        <v>54</v>
      </c>
      <c r="G20" s="140" t="s">
        <v>54</v>
      </c>
      <c r="H20" s="141"/>
      <c r="I20" s="67" t="s">
        <v>54</v>
      </c>
    </row>
    <row r="21" spans="1:9" ht="15.75" x14ac:dyDescent="0.25">
      <c r="A21" s="147" t="s">
        <v>485</v>
      </c>
      <c r="B21" s="148"/>
      <c r="C21" s="68">
        <f>SUM('Stavební rozpočet'!Z12:Z304)</f>
        <v>0</v>
      </c>
      <c r="D21" s="142" t="s">
        <v>54</v>
      </c>
      <c r="E21" s="143"/>
      <c r="F21" s="69" t="s">
        <v>54</v>
      </c>
      <c r="G21" s="142" t="s">
        <v>54</v>
      </c>
      <c r="H21" s="143"/>
      <c r="I21" s="69" t="s">
        <v>54</v>
      </c>
    </row>
    <row r="22" spans="1:9" ht="16.5" customHeight="1" x14ac:dyDescent="0.25">
      <c r="A22" s="149" t="s">
        <v>486</v>
      </c>
      <c r="B22" s="145"/>
      <c r="C22" s="70">
        <f>ROUND(SUM(C14:C21),2)</f>
        <v>0</v>
      </c>
      <c r="D22" s="144" t="s">
        <v>487</v>
      </c>
      <c r="E22" s="145"/>
      <c r="F22" s="70">
        <f>SUM(F14:F21)</f>
        <v>0</v>
      </c>
      <c r="G22" s="144" t="s">
        <v>488</v>
      </c>
      <c r="H22" s="145"/>
      <c r="I22" s="70">
        <f>SUM(I14:I21)</f>
        <v>0</v>
      </c>
    </row>
    <row r="23" spans="1:9" ht="15.75" x14ac:dyDescent="0.25">
      <c r="D23" s="132" t="s">
        <v>489</v>
      </c>
      <c r="E23" s="133"/>
      <c r="F23" s="71">
        <v>0</v>
      </c>
      <c r="G23" s="146" t="s">
        <v>490</v>
      </c>
      <c r="H23" s="133"/>
      <c r="I23" s="65">
        <v>0</v>
      </c>
    </row>
    <row r="24" spans="1:9" ht="15.75" x14ac:dyDescent="0.25">
      <c r="G24" s="132" t="s">
        <v>491</v>
      </c>
      <c r="H24" s="133"/>
      <c r="I24" s="65">
        <f>vorn_sum</f>
        <v>0</v>
      </c>
    </row>
    <row r="25" spans="1:9" ht="15.75" x14ac:dyDescent="0.25">
      <c r="G25" s="132" t="s">
        <v>492</v>
      </c>
      <c r="H25" s="133"/>
      <c r="I25" s="65">
        <v>0</v>
      </c>
    </row>
    <row r="27" spans="1:9" ht="15.75" x14ac:dyDescent="0.25">
      <c r="A27" s="134" t="s">
        <v>493</v>
      </c>
      <c r="B27" s="135"/>
      <c r="C27" s="72">
        <f>ROUND(SUM('Stavební rozpočet'!AJ12:AJ304),2)</f>
        <v>0</v>
      </c>
    </row>
    <row r="28" spans="1:9" ht="15.75" x14ac:dyDescent="0.25">
      <c r="A28" s="136" t="s">
        <v>494</v>
      </c>
      <c r="B28" s="137"/>
      <c r="C28" s="73">
        <f>ROUND(SUM('Stavební rozpočet'!AK12:AK304)+(F22+I22+F23+I23+I24+I25),2)</f>
        <v>0</v>
      </c>
      <c r="D28" s="138" t="s">
        <v>495</v>
      </c>
      <c r="E28" s="135"/>
      <c r="F28" s="72">
        <f>ROUND(C28*(12/100),2)</f>
        <v>0</v>
      </c>
      <c r="G28" s="138" t="s">
        <v>496</v>
      </c>
      <c r="H28" s="135"/>
      <c r="I28" s="72">
        <f>ROUND(SUM(C27:C29),2)</f>
        <v>0</v>
      </c>
    </row>
    <row r="29" spans="1:9" ht="15.75" x14ac:dyDescent="0.25">
      <c r="A29" s="136" t="s">
        <v>497</v>
      </c>
      <c r="B29" s="137"/>
      <c r="C29" s="73">
        <f>ROUND(SUM('Stavební rozpočet'!AL12:AL304),2)</f>
        <v>0</v>
      </c>
      <c r="D29" s="139" t="s">
        <v>498</v>
      </c>
      <c r="E29" s="137"/>
      <c r="F29" s="73">
        <f>ROUND(C29*(21/100),2)</f>
        <v>0</v>
      </c>
      <c r="G29" s="139" t="s">
        <v>499</v>
      </c>
      <c r="H29" s="137"/>
      <c r="I29" s="73">
        <f>ROUND(SUM(F28:F29)+I28,2)</f>
        <v>0</v>
      </c>
    </row>
    <row r="31" spans="1:9" x14ac:dyDescent="0.25">
      <c r="A31" s="129" t="s">
        <v>500</v>
      </c>
      <c r="B31" s="121"/>
      <c r="C31" s="122"/>
      <c r="D31" s="120" t="s">
        <v>501</v>
      </c>
      <c r="E31" s="121"/>
      <c r="F31" s="122"/>
      <c r="G31" s="120" t="s">
        <v>502</v>
      </c>
      <c r="H31" s="121"/>
      <c r="I31" s="122"/>
    </row>
    <row r="32" spans="1:9" x14ac:dyDescent="0.25">
      <c r="A32" s="130" t="s">
        <v>54</v>
      </c>
      <c r="B32" s="124"/>
      <c r="C32" s="125"/>
      <c r="D32" s="123" t="s">
        <v>54</v>
      </c>
      <c r="E32" s="124"/>
      <c r="F32" s="125"/>
      <c r="G32" s="123" t="s">
        <v>54</v>
      </c>
      <c r="H32" s="124"/>
      <c r="I32" s="125"/>
    </row>
    <row r="33" spans="1:9" x14ac:dyDescent="0.25">
      <c r="A33" s="130" t="s">
        <v>54</v>
      </c>
      <c r="B33" s="124"/>
      <c r="C33" s="125"/>
      <c r="D33" s="123" t="s">
        <v>54</v>
      </c>
      <c r="E33" s="124"/>
      <c r="F33" s="125"/>
      <c r="G33" s="123" t="s">
        <v>54</v>
      </c>
      <c r="H33" s="124"/>
      <c r="I33" s="125"/>
    </row>
    <row r="34" spans="1:9" x14ac:dyDescent="0.25">
      <c r="A34" s="130" t="s">
        <v>54</v>
      </c>
      <c r="B34" s="124"/>
      <c r="C34" s="125"/>
      <c r="D34" s="123" t="s">
        <v>54</v>
      </c>
      <c r="E34" s="124"/>
      <c r="F34" s="125"/>
      <c r="G34" s="123" t="s">
        <v>54</v>
      </c>
      <c r="H34" s="124"/>
      <c r="I34" s="125"/>
    </row>
    <row r="35" spans="1:9" x14ac:dyDescent="0.25">
      <c r="A35" s="131" t="s">
        <v>503</v>
      </c>
      <c r="B35" s="127"/>
      <c r="C35" s="128"/>
      <c r="D35" s="126" t="s">
        <v>503</v>
      </c>
      <c r="E35" s="127"/>
      <c r="F35" s="128"/>
      <c r="G35" s="126" t="s">
        <v>503</v>
      </c>
      <c r="H35" s="127"/>
      <c r="I35" s="128"/>
    </row>
    <row r="36" spans="1:9" x14ac:dyDescent="0.25">
      <c r="A36" s="74" t="s">
        <v>452</v>
      </c>
    </row>
    <row r="37" spans="1:9" ht="12.75" customHeight="1" x14ac:dyDescent="0.25">
      <c r="A37" s="83" t="s">
        <v>54</v>
      </c>
      <c r="B37" s="84"/>
      <c r="C37" s="84"/>
      <c r="D37" s="84"/>
      <c r="E37" s="84"/>
      <c r="F37" s="84"/>
      <c r="G37" s="84"/>
      <c r="H37" s="84"/>
      <c r="I37" s="84"/>
    </row>
  </sheetData>
  <mergeCells count="83">
    <mergeCell ref="A1:I1"/>
    <mergeCell ref="A2:B3"/>
    <mergeCell ref="A4:B5"/>
    <mergeCell ref="A6:B7"/>
    <mergeCell ref="A8:B9"/>
    <mergeCell ref="F2:G3"/>
    <mergeCell ref="F4:G5"/>
    <mergeCell ref="F6:G7"/>
    <mergeCell ref="F8:G9"/>
    <mergeCell ref="I2:I3"/>
    <mergeCell ref="I4:I5"/>
    <mergeCell ref="I6:I7"/>
    <mergeCell ref="I8:I9"/>
    <mergeCell ref="C2:D3"/>
    <mergeCell ref="C4:D5"/>
    <mergeCell ref="C6:D7"/>
    <mergeCell ref="C8:D9"/>
    <mergeCell ref="C10:D11"/>
    <mergeCell ref="E2:E3"/>
    <mergeCell ref="E4:E5"/>
    <mergeCell ref="E6:E7"/>
    <mergeCell ref="E8:E9"/>
    <mergeCell ref="E10:E11"/>
    <mergeCell ref="H2:H3"/>
    <mergeCell ref="H4:H5"/>
    <mergeCell ref="H6:H7"/>
    <mergeCell ref="H8:H9"/>
    <mergeCell ref="H10:H11"/>
    <mergeCell ref="I10:I11"/>
    <mergeCell ref="A12:I12"/>
    <mergeCell ref="B13:C13"/>
    <mergeCell ref="E13:F13"/>
    <mergeCell ref="H13:I13"/>
    <mergeCell ref="F10:G11"/>
    <mergeCell ref="A10:B11"/>
    <mergeCell ref="A20:B20"/>
    <mergeCell ref="A21:B21"/>
    <mergeCell ref="A22:B2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27:B27"/>
    <mergeCell ref="A28:B28"/>
    <mergeCell ref="A29:B29"/>
    <mergeCell ref="D28:E28"/>
    <mergeCell ref="D29:E29"/>
    <mergeCell ref="G28:H28"/>
    <mergeCell ref="G29:H29"/>
    <mergeCell ref="A37:I37"/>
    <mergeCell ref="G31:I31"/>
    <mergeCell ref="G32:I32"/>
    <mergeCell ref="G33:I33"/>
    <mergeCell ref="G34:I34"/>
    <mergeCell ref="G35:I35"/>
    <mergeCell ref="D31:F31"/>
    <mergeCell ref="D32:F32"/>
    <mergeCell ref="D33:F33"/>
    <mergeCell ref="D34:F34"/>
    <mergeCell ref="D35:F35"/>
    <mergeCell ref="A31:C31"/>
    <mergeCell ref="A32:C32"/>
    <mergeCell ref="A33:C33"/>
    <mergeCell ref="A34:C34"/>
    <mergeCell ref="A35:C35"/>
  </mergeCells>
  <pageMargins left="0.393999993801117" right="0.393999993801117" top="0.59100002050399802" bottom="0.59100002050399802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7"/>
  <sheetViews>
    <sheetView workbookViewId="0">
      <selection activeCell="A37" sqref="A37:E37"/>
    </sheetView>
  </sheetViews>
  <sheetFormatPr defaultColWidth="12.140625" defaultRowHeight="15" customHeight="1" x14ac:dyDescent="0.25"/>
  <cols>
    <col min="1" max="1" width="9.140625" customWidth="1"/>
    <col min="2" max="2" width="12.85546875" customWidth="1"/>
    <col min="3" max="3" width="22.85546875" customWidth="1"/>
    <col min="4" max="4" width="10" customWidth="1"/>
    <col min="5" max="5" width="14" customWidth="1"/>
    <col min="6" max="6" width="22.85546875" customWidth="1"/>
    <col min="7" max="7" width="9.140625" customWidth="1"/>
    <col min="8" max="8" width="17.140625" customWidth="1"/>
    <col min="9" max="9" width="22.85546875" customWidth="1"/>
  </cols>
  <sheetData>
    <row r="1" spans="1:9" ht="54.75" customHeight="1" x14ac:dyDescent="0.25">
      <c r="A1" s="155" t="s">
        <v>504</v>
      </c>
      <c r="B1" s="109"/>
      <c r="C1" s="109"/>
      <c r="D1" s="109"/>
      <c r="E1" s="109"/>
      <c r="F1" s="109"/>
      <c r="G1" s="109"/>
      <c r="H1" s="109"/>
      <c r="I1" s="109"/>
    </row>
    <row r="2" spans="1:9" x14ac:dyDescent="0.25">
      <c r="A2" s="110" t="s">
        <v>1</v>
      </c>
      <c r="B2" s="102"/>
      <c r="C2" s="115" t="str">
        <f>'Stavební rozpočet'!D2</f>
        <v>Areál společnosti FORESTINA s.r.o. – Horažďovice, Blatenská 587</v>
      </c>
      <c r="D2" s="116"/>
      <c r="E2" s="114" t="s">
        <v>5</v>
      </c>
      <c r="F2" s="114" t="str">
        <f>'Stavební rozpočet'!K2</f>
        <v> </v>
      </c>
      <c r="G2" s="102"/>
      <c r="H2" s="114" t="s">
        <v>461</v>
      </c>
      <c r="I2" s="103" t="s">
        <v>54</v>
      </c>
    </row>
    <row r="3" spans="1:9" ht="39" customHeight="1" x14ac:dyDescent="0.25">
      <c r="A3" s="111"/>
      <c r="B3" s="84"/>
      <c r="C3" s="117"/>
      <c r="D3" s="117"/>
      <c r="E3" s="84"/>
      <c r="F3" s="84"/>
      <c r="G3" s="84"/>
      <c r="H3" s="84"/>
      <c r="I3" s="104"/>
    </row>
    <row r="4" spans="1:9" x14ac:dyDescent="0.25">
      <c r="A4" s="112" t="s">
        <v>7</v>
      </c>
      <c r="B4" s="84"/>
      <c r="C4" s="83" t="str">
        <f>'Stavební rozpočet'!D4</f>
        <v>Zdravotně technické instalace</v>
      </c>
      <c r="D4" s="84"/>
      <c r="E4" s="83" t="s">
        <v>10</v>
      </c>
      <c r="F4" s="83" t="str">
        <f>'Stavební rozpočet'!K4</f>
        <v>Ing. Michal Albrecht</v>
      </c>
      <c r="G4" s="84"/>
      <c r="H4" s="83" t="s">
        <v>461</v>
      </c>
      <c r="I4" s="104" t="s">
        <v>54</v>
      </c>
    </row>
    <row r="5" spans="1:9" ht="15" customHeight="1" x14ac:dyDescent="0.25">
      <c r="A5" s="111"/>
      <c r="B5" s="84"/>
      <c r="C5" s="84"/>
      <c r="D5" s="84"/>
      <c r="E5" s="84"/>
      <c r="F5" s="84"/>
      <c r="G5" s="84"/>
      <c r="H5" s="84"/>
      <c r="I5" s="104"/>
    </row>
    <row r="6" spans="1:9" x14ac:dyDescent="0.25">
      <c r="A6" s="112" t="s">
        <v>12</v>
      </c>
      <c r="B6" s="84"/>
      <c r="C6" s="83" t="str">
        <f>'Stavební rozpočet'!D6</f>
        <v>!!!! Pracovní verze !!!!</v>
      </c>
      <c r="D6" s="84"/>
      <c r="E6" s="83" t="s">
        <v>15</v>
      </c>
      <c r="F6" s="83" t="str">
        <f>'Stavební rozpočet'!K6</f>
        <v> </v>
      </c>
      <c r="G6" s="84"/>
      <c r="H6" s="83" t="s">
        <v>461</v>
      </c>
      <c r="I6" s="104" t="s">
        <v>54</v>
      </c>
    </row>
    <row r="7" spans="1:9" ht="15" customHeight="1" x14ac:dyDescent="0.25">
      <c r="A7" s="111"/>
      <c r="B7" s="84"/>
      <c r="C7" s="84"/>
      <c r="D7" s="84"/>
      <c r="E7" s="84"/>
      <c r="F7" s="84"/>
      <c r="G7" s="84"/>
      <c r="H7" s="84"/>
      <c r="I7" s="104"/>
    </row>
    <row r="8" spans="1:9" x14ac:dyDescent="0.25">
      <c r="A8" s="112" t="s">
        <v>9</v>
      </c>
      <c r="B8" s="84"/>
      <c r="C8" s="83" t="str">
        <f>'Stavební rozpočet'!H4</f>
        <v xml:space="preserve"> </v>
      </c>
      <c r="D8" s="84"/>
      <c r="E8" s="83" t="s">
        <v>14</v>
      </c>
      <c r="F8" s="83" t="str">
        <f>'Stavební rozpočet'!H6</f>
        <v xml:space="preserve"> </v>
      </c>
      <c r="G8" s="84"/>
      <c r="H8" s="84" t="s">
        <v>462</v>
      </c>
      <c r="I8" s="156">
        <v>120</v>
      </c>
    </row>
    <row r="9" spans="1:9" x14ac:dyDescent="0.25">
      <c r="A9" s="111"/>
      <c r="B9" s="84"/>
      <c r="C9" s="84"/>
      <c r="D9" s="84"/>
      <c r="E9" s="84"/>
      <c r="F9" s="84"/>
      <c r="G9" s="84"/>
      <c r="H9" s="84"/>
      <c r="I9" s="104"/>
    </row>
    <row r="10" spans="1:9" x14ac:dyDescent="0.25">
      <c r="A10" s="112" t="s">
        <v>16</v>
      </c>
      <c r="B10" s="84"/>
      <c r="C10" s="83" t="str">
        <f>'Stavební rozpočet'!D8</f>
        <v xml:space="preserve"> </v>
      </c>
      <c r="D10" s="84"/>
      <c r="E10" s="83" t="s">
        <v>19</v>
      </c>
      <c r="F10" s="83" t="str">
        <f>'Stavební rozpočet'!K8</f>
        <v>Ing. Michal Albrecht</v>
      </c>
      <c r="G10" s="84"/>
      <c r="H10" s="84" t="s">
        <v>463</v>
      </c>
      <c r="I10" s="119" t="str">
        <f>'Stavební rozpočet'!H8</f>
        <v>11.06.2025</v>
      </c>
    </row>
    <row r="11" spans="1:9" x14ac:dyDescent="0.25">
      <c r="A11" s="154"/>
      <c r="B11" s="88"/>
      <c r="C11" s="88"/>
      <c r="D11" s="88"/>
      <c r="E11" s="88"/>
      <c r="F11" s="88"/>
      <c r="G11" s="88"/>
      <c r="H11" s="88"/>
      <c r="I11" s="150"/>
    </row>
    <row r="13" spans="1:9" ht="15.75" x14ac:dyDescent="0.25">
      <c r="A13" s="169" t="s">
        <v>505</v>
      </c>
      <c r="B13" s="169"/>
      <c r="C13" s="169"/>
      <c r="D13" s="169"/>
      <c r="E13" s="169"/>
    </row>
    <row r="14" spans="1:9" x14ac:dyDescent="0.25">
      <c r="A14" s="170" t="s">
        <v>506</v>
      </c>
      <c r="B14" s="171"/>
      <c r="C14" s="171"/>
      <c r="D14" s="171"/>
      <c r="E14" s="172"/>
      <c r="F14" s="75" t="s">
        <v>507</v>
      </c>
      <c r="G14" s="75" t="s">
        <v>508</v>
      </c>
      <c r="H14" s="75" t="s">
        <v>509</v>
      </c>
      <c r="I14" s="75" t="s">
        <v>507</v>
      </c>
    </row>
    <row r="15" spans="1:9" x14ac:dyDescent="0.25">
      <c r="A15" s="173" t="s">
        <v>473</v>
      </c>
      <c r="B15" s="174"/>
      <c r="C15" s="174"/>
      <c r="D15" s="174"/>
      <c r="E15" s="175"/>
      <c r="F15" s="76">
        <v>0</v>
      </c>
      <c r="G15" s="77" t="s">
        <v>54</v>
      </c>
      <c r="H15" s="77" t="s">
        <v>54</v>
      </c>
      <c r="I15" s="76">
        <f>F15</f>
        <v>0</v>
      </c>
    </row>
    <row r="16" spans="1:9" x14ac:dyDescent="0.25">
      <c r="A16" s="173" t="s">
        <v>475</v>
      </c>
      <c r="B16" s="174"/>
      <c r="C16" s="174"/>
      <c r="D16" s="174"/>
      <c r="E16" s="175"/>
      <c r="F16" s="76">
        <v>0</v>
      </c>
      <c r="G16" s="77" t="s">
        <v>54</v>
      </c>
      <c r="H16" s="77" t="s">
        <v>54</v>
      </c>
      <c r="I16" s="76">
        <f>F16</f>
        <v>0</v>
      </c>
    </row>
    <row r="17" spans="1:9" x14ac:dyDescent="0.25">
      <c r="A17" s="173" t="s">
        <v>478</v>
      </c>
      <c r="B17" s="174"/>
      <c r="C17" s="174"/>
      <c r="D17" s="174"/>
      <c r="E17" s="175"/>
      <c r="F17" s="76">
        <v>0</v>
      </c>
      <c r="G17" s="77" t="s">
        <v>54</v>
      </c>
      <c r="H17" s="77" t="s">
        <v>54</v>
      </c>
      <c r="I17" s="76">
        <f>F17</f>
        <v>0</v>
      </c>
    </row>
    <row r="18" spans="1:9" x14ac:dyDescent="0.25">
      <c r="A18" s="157" t="s">
        <v>480</v>
      </c>
      <c r="B18" s="158"/>
      <c r="C18" s="158"/>
      <c r="D18" s="158"/>
      <c r="E18" s="159"/>
      <c r="F18" s="78">
        <v>0</v>
      </c>
      <c r="G18" s="79" t="s">
        <v>54</v>
      </c>
      <c r="H18" s="79" t="s">
        <v>54</v>
      </c>
      <c r="I18" s="78">
        <f>F18</f>
        <v>0</v>
      </c>
    </row>
    <row r="19" spans="1:9" x14ac:dyDescent="0.25">
      <c r="A19" s="160" t="s">
        <v>510</v>
      </c>
      <c r="B19" s="161"/>
      <c r="C19" s="161"/>
      <c r="D19" s="161"/>
      <c r="E19" s="162"/>
      <c r="F19" s="80" t="s">
        <v>54</v>
      </c>
      <c r="G19" s="81" t="s">
        <v>54</v>
      </c>
      <c r="H19" s="81" t="s">
        <v>54</v>
      </c>
      <c r="I19" s="82">
        <f>SUM(I15:I18)</f>
        <v>0</v>
      </c>
    </row>
    <row r="21" spans="1:9" x14ac:dyDescent="0.25">
      <c r="A21" s="170" t="s">
        <v>470</v>
      </c>
      <c r="B21" s="171"/>
      <c r="C21" s="171"/>
      <c r="D21" s="171"/>
      <c r="E21" s="172"/>
      <c r="F21" s="75" t="s">
        <v>507</v>
      </c>
      <c r="G21" s="75" t="s">
        <v>508</v>
      </c>
      <c r="H21" s="75" t="s">
        <v>509</v>
      </c>
      <c r="I21" s="75" t="s">
        <v>507</v>
      </c>
    </row>
    <row r="22" spans="1:9" x14ac:dyDescent="0.25">
      <c r="A22" s="173" t="s">
        <v>474</v>
      </c>
      <c r="B22" s="174"/>
      <c r="C22" s="174"/>
      <c r="D22" s="174"/>
      <c r="E22" s="175"/>
      <c r="F22" s="76">
        <v>20000</v>
      </c>
      <c r="G22" s="77" t="s">
        <v>54</v>
      </c>
      <c r="H22" s="77" t="s">
        <v>54</v>
      </c>
      <c r="I22" s="76">
        <f t="shared" ref="I22:I27" si="0">F22</f>
        <v>20000</v>
      </c>
    </row>
    <row r="23" spans="1:9" x14ac:dyDescent="0.25">
      <c r="A23" s="173" t="s">
        <v>476</v>
      </c>
      <c r="B23" s="174"/>
      <c r="C23" s="174"/>
      <c r="D23" s="174"/>
      <c r="E23" s="175"/>
      <c r="F23" s="76">
        <v>0</v>
      </c>
      <c r="G23" s="77" t="s">
        <v>54</v>
      </c>
      <c r="H23" s="77" t="s">
        <v>54</v>
      </c>
      <c r="I23" s="76">
        <f t="shared" si="0"/>
        <v>0</v>
      </c>
    </row>
    <row r="24" spans="1:9" x14ac:dyDescent="0.25">
      <c r="A24" s="173" t="s">
        <v>479</v>
      </c>
      <c r="B24" s="174"/>
      <c r="C24" s="174"/>
      <c r="D24" s="174"/>
      <c r="E24" s="175"/>
      <c r="F24" s="76">
        <v>0</v>
      </c>
      <c r="G24" s="77" t="s">
        <v>54</v>
      </c>
      <c r="H24" s="77" t="s">
        <v>54</v>
      </c>
      <c r="I24" s="76">
        <f t="shared" si="0"/>
        <v>0</v>
      </c>
    </row>
    <row r="25" spans="1:9" x14ac:dyDescent="0.25">
      <c r="A25" s="173" t="s">
        <v>481</v>
      </c>
      <c r="B25" s="174"/>
      <c r="C25" s="174"/>
      <c r="D25" s="174"/>
      <c r="E25" s="175"/>
      <c r="F25" s="76">
        <v>0</v>
      </c>
      <c r="G25" s="77" t="s">
        <v>54</v>
      </c>
      <c r="H25" s="77" t="s">
        <v>54</v>
      </c>
      <c r="I25" s="76">
        <f t="shared" si="0"/>
        <v>0</v>
      </c>
    </row>
    <row r="26" spans="1:9" x14ac:dyDescent="0.25">
      <c r="A26" s="173" t="s">
        <v>443</v>
      </c>
      <c r="B26" s="174"/>
      <c r="C26" s="174"/>
      <c r="D26" s="174"/>
      <c r="E26" s="175"/>
      <c r="F26" s="76">
        <v>0</v>
      </c>
      <c r="G26" s="77" t="s">
        <v>54</v>
      </c>
      <c r="H26" s="77" t="s">
        <v>54</v>
      </c>
      <c r="I26" s="76">
        <f t="shared" si="0"/>
        <v>0</v>
      </c>
    </row>
    <row r="27" spans="1:9" x14ac:dyDescent="0.25">
      <c r="A27" s="157" t="s">
        <v>483</v>
      </c>
      <c r="B27" s="158"/>
      <c r="C27" s="158"/>
      <c r="D27" s="158"/>
      <c r="E27" s="159"/>
      <c r="F27" s="78">
        <v>0</v>
      </c>
      <c r="G27" s="79" t="s">
        <v>54</v>
      </c>
      <c r="H27" s="79" t="s">
        <v>54</v>
      </c>
      <c r="I27" s="78">
        <f t="shared" si="0"/>
        <v>0</v>
      </c>
    </row>
    <row r="28" spans="1:9" x14ac:dyDescent="0.25">
      <c r="A28" s="160" t="s">
        <v>511</v>
      </c>
      <c r="B28" s="161"/>
      <c r="C28" s="161"/>
      <c r="D28" s="161"/>
      <c r="E28" s="162"/>
      <c r="F28" s="80" t="s">
        <v>54</v>
      </c>
      <c r="G28" s="81" t="s">
        <v>54</v>
      </c>
      <c r="H28" s="81" t="s">
        <v>54</v>
      </c>
      <c r="I28" s="82">
        <f>SUM(I22:I27)</f>
        <v>20000</v>
      </c>
    </row>
    <row r="30" spans="1:9" ht="15.75" x14ac:dyDescent="0.25">
      <c r="A30" s="163" t="s">
        <v>512</v>
      </c>
      <c r="B30" s="164"/>
      <c r="C30" s="164"/>
      <c r="D30" s="164"/>
      <c r="E30" s="165"/>
      <c r="F30" s="166">
        <f>I19+I28</f>
        <v>20000</v>
      </c>
      <c r="G30" s="167"/>
      <c r="H30" s="167"/>
      <c r="I30" s="168"/>
    </row>
    <row r="34" spans="1:9" ht="15.75" x14ac:dyDescent="0.25">
      <c r="A34" s="169" t="s">
        <v>513</v>
      </c>
      <c r="B34" s="169"/>
      <c r="C34" s="169"/>
      <c r="D34" s="169"/>
      <c r="E34" s="169"/>
    </row>
    <row r="35" spans="1:9" x14ac:dyDescent="0.25">
      <c r="A35" s="170" t="s">
        <v>514</v>
      </c>
      <c r="B35" s="171"/>
      <c r="C35" s="171"/>
      <c r="D35" s="171"/>
      <c r="E35" s="172"/>
      <c r="F35" s="75" t="s">
        <v>507</v>
      </c>
      <c r="G35" s="75" t="s">
        <v>508</v>
      </c>
      <c r="H35" s="75" t="s">
        <v>509</v>
      </c>
      <c r="I35" s="75" t="s">
        <v>507</v>
      </c>
    </row>
    <row r="36" spans="1:9" x14ac:dyDescent="0.25">
      <c r="A36" s="157" t="s">
        <v>54</v>
      </c>
      <c r="B36" s="158"/>
      <c r="C36" s="158"/>
      <c r="D36" s="158"/>
      <c r="E36" s="159"/>
      <c r="F36" s="78">
        <v>0</v>
      </c>
      <c r="G36" s="79" t="s">
        <v>54</v>
      </c>
      <c r="H36" s="79" t="s">
        <v>54</v>
      </c>
      <c r="I36" s="78">
        <f>F36</f>
        <v>0</v>
      </c>
    </row>
    <row r="37" spans="1:9" x14ac:dyDescent="0.25">
      <c r="A37" s="160" t="s">
        <v>515</v>
      </c>
      <c r="B37" s="161"/>
      <c r="C37" s="161"/>
      <c r="D37" s="161"/>
      <c r="E37" s="162"/>
      <c r="F37" s="80" t="s">
        <v>54</v>
      </c>
      <c r="G37" s="81" t="s">
        <v>54</v>
      </c>
      <c r="H37" s="81" t="s">
        <v>54</v>
      </c>
      <c r="I37" s="82">
        <f>SUM(I36:I36)</f>
        <v>0</v>
      </c>
    </row>
  </sheetData>
  <mergeCells count="52">
    <mergeCell ref="A1:I1"/>
    <mergeCell ref="A2:B3"/>
    <mergeCell ref="A4:B5"/>
    <mergeCell ref="A6:B7"/>
    <mergeCell ref="A8:B9"/>
    <mergeCell ref="H2:H3"/>
    <mergeCell ref="H4:H5"/>
    <mergeCell ref="H6:H7"/>
    <mergeCell ref="H8:H9"/>
    <mergeCell ref="I2:I3"/>
    <mergeCell ref="I4:I5"/>
    <mergeCell ref="I6:I7"/>
    <mergeCell ref="I8:I9"/>
    <mergeCell ref="E2:E3"/>
    <mergeCell ref="E4:E5"/>
    <mergeCell ref="E6:E7"/>
    <mergeCell ref="E8:E9"/>
    <mergeCell ref="E10:E11"/>
    <mergeCell ref="F2:G3"/>
    <mergeCell ref="F4:G5"/>
    <mergeCell ref="F6:G7"/>
    <mergeCell ref="F8:G9"/>
    <mergeCell ref="F10:G11"/>
    <mergeCell ref="C2:D3"/>
    <mergeCell ref="C4:D5"/>
    <mergeCell ref="C6:D7"/>
    <mergeCell ref="C8:D9"/>
    <mergeCell ref="C10:D11"/>
    <mergeCell ref="I10:I11"/>
    <mergeCell ref="A13:E13"/>
    <mergeCell ref="A14:E14"/>
    <mergeCell ref="A15:E15"/>
    <mergeCell ref="A16:E16"/>
    <mergeCell ref="H10:H11"/>
    <mergeCell ref="A10:B11"/>
    <mergeCell ref="A17:E17"/>
    <mergeCell ref="A18:E18"/>
    <mergeCell ref="A19:E19"/>
    <mergeCell ref="A21:E21"/>
    <mergeCell ref="A22:E22"/>
    <mergeCell ref="A23:E23"/>
    <mergeCell ref="A24:E24"/>
    <mergeCell ref="A25:E25"/>
    <mergeCell ref="A26:E26"/>
    <mergeCell ref="A27:E27"/>
    <mergeCell ref="A36:E36"/>
    <mergeCell ref="A37:E37"/>
    <mergeCell ref="A28:E28"/>
    <mergeCell ref="A30:E30"/>
    <mergeCell ref="F30:I30"/>
    <mergeCell ref="A34:E34"/>
    <mergeCell ref="A35:E35"/>
  </mergeCells>
  <pageMargins left="0.393999993801117" right="0.393999993801117" top="0.59100002050399802" bottom="0.59100002050399802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1</vt:i4>
      </vt:variant>
    </vt:vector>
  </HeadingPairs>
  <TitlesOfParts>
    <vt:vector size="5" baseType="lpstr">
      <vt:lpstr>Stavební rozpočet</vt:lpstr>
      <vt:lpstr>Stavební rozpočet - součet</vt:lpstr>
      <vt:lpstr>Krycí list rozpočtu</vt:lpstr>
      <vt:lpstr>VORN</vt:lpstr>
      <vt:lpstr>vorn_sum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Pavel Hrba</cp:lastModifiedBy>
  <dcterms:created xsi:type="dcterms:W3CDTF">2021-06-10T20:06:38Z</dcterms:created>
  <dcterms:modified xsi:type="dcterms:W3CDTF">2025-12-15T15:30:27Z</dcterms:modified>
</cp:coreProperties>
</file>
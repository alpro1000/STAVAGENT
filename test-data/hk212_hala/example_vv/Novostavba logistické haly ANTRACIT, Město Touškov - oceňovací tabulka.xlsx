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les/Desktop/Novostavba logistické haly ANTRACIT ve Městě Touškov/"/>
    </mc:Choice>
  </mc:AlternateContent>
  <xr:revisionPtr revIDLastSave="0" documentId="13_ncr:1_{6DDB1A51-E15C-B347-A3DF-0C111E634D02}" xr6:coauthVersionLast="47" xr6:coauthVersionMax="47" xr10:uidLastSave="{00000000-0000-0000-0000-000000000000}"/>
  <bookViews>
    <workbookView xWindow="29400" yWindow="-120" windowWidth="29040" windowHeight="15720" xr2:uid="{00000000-000D-0000-FFFF-FFFF00000000}"/>
  </bookViews>
  <sheets>
    <sheet name="Krycí list CZK" sheetId="3" r:id="rId1"/>
    <sheet name="Položkový rozpočet CZK" sheetId="2" r:id="rId2"/>
  </sheets>
  <definedNames>
    <definedName name="_xlnm.Print_Area" localSheetId="1">'Položkový rozpočet CZK'!$A$1:$G$116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49" i="3"/>
  <c r="B48" i="3"/>
  <c r="B47" i="3"/>
  <c r="B46" i="3"/>
  <c r="B45" i="3"/>
  <c r="A49" i="3"/>
  <c r="A48" i="3"/>
  <c r="A47" i="3"/>
  <c r="A46" i="3"/>
  <c r="A45" i="3"/>
  <c r="B44" i="3"/>
  <c r="A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B27" i="3"/>
  <c r="A27" i="3"/>
  <c r="B26" i="3"/>
  <c r="A26" i="3"/>
  <c r="B25" i="3"/>
  <c r="A25" i="3"/>
  <c r="B24" i="3"/>
  <c r="A24" i="3"/>
  <c r="B23" i="3"/>
  <c r="A23" i="3"/>
  <c r="A22" i="3"/>
  <c r="F107" i="2"/>
  <c r="F104" i="2"/>
  <c r="F103" i="2"/>
  <c r="F102" i="2"/>
  <c r="F95" i="2"/>
  <c r="F32" i="2"/>
  <c r="F17" i="2"/>
  <c r="F16" i="2"/>
  <c r="F15" i="2"/>
  <c r="F113" i="2"/>
  <c r="F105" i="2"/>
  <c r="F108" i="2"/>
  <c r="G14" i="2" l="1"/>
  <c r="D25" i="3" s="1"/>
  <c r="F72" i="2"/>
  <c r="F71" i="2"/>
  <c r="F70" i="2"/>
  <c r="F78" i="2"/>
  <c r="F77" i="2"/>
  <c r="F21" i="2"/>
  <c r="F20" i="2"/>
  <c r="F23" i="2"/>
  <c r="F22" i="2"/>
  <c r="F19" i="2"/>
  <c r="E12" i="3"/>
  <c r="F76" i="2"/>
  <c r="F27" i="2"/>
  <c r="G18" i="2" l="1"/>
  <c r="G13" i="2" l="1"/>
  <c r="D26" i="3"/>
  <c r="E24" i="3" s="1"/>
  <c r="F99" i="2" l="1"/>
  <c r="F100" i="2"/>
  <c r="F112" i="2"/>
  <c r="G111" i="2" s="1"/>
  <c r="D48" i="3" s="1"/>
  <c r="F115" i="2"/>
  <c r="G114" i="2" s="1"/>
  <c r="F109" i="2"/>
  <c r="F110" i="2"/>
  <c r="F106" i="2"/>
  <c r="F98" i="2"/>
  <c r="G97" i="2" s="1"/>
  <c r="D46" i="3" s="1"/>
  <c r="G101" i="2" l="1"/>
  <c r="D47" i="3" s="1"/>
  <c r="F73" i="2" l="1"/>
  <c r="F65" i="2" l="1"/>
  <c r="F66" i="2" l="1"/>
  <c r="F28" i="2" l="1"/>
  <c r="F12" i="2"/>
  <c r="F50" i="2" l="1"/>
  <c r="F31" i="2" l="1"/>
  <c r="F36" i="2" l="1"/>
  <c r="F38" i="2"/>
  <c r="F35" i="2"/>
  <c r="F34" i="2" l="1"/>
  <c r="F37" i="2"/>
  <c r="B22" i="3"/>
  <c r="F96" i="2" l="1"/>
  <c r="D49" i="3" l="1"/>
  <c r="F88" i="2" l="1"/>
  <c r="G87" i="2" s="1"/>
  <c r="D42" i="3" s="1"/>
  <c r="F59" i="2"/>
  <c r="F26" i="2"/>
  <c r="G25" i="2" s="1"/>
  <c r="D28" i="3" s="1"/>
  <c r="F42" i="2" l="1"/>
  <c r="F52" i="2" l="1"/>
  <c r="F75" i="2"/>
  <c r="F53" i="2"/>
  <c r="F79" i="2"/>
  <c r="F69" i="2"/>
  <c r="F94" i="2" l="1"/>
  <c r="F84" i="2"/>
  <c r="F83" i="2"/>
  <c r="F82" i="2"/>
  <c r="F93" i="2" l="1"/>
  <c r="G92" i="2" l="1"/>
  <c r="G91" i="2" l="1"/>
  <c r="D45" i="3"/>
  <c r="E44" i="3" s="1"/>
  <c r="F44" i="2"/>
  <c r="F56" i="2" l="1"/>
  <c r="F67" i="2" l="1"/>
  <c r="F90" i="2"/>
  <c r="G89" i="2" l="1"/>
  <c r="D43" i="3" s="1"/>
  <c r="F49" i="2" l="1"/>
  <c r="F30" i="2"/>
  <c r="F86" i="2"/>
  <c r="G85" i="2" s="1"/>
  <c r="D41" i="3" s="1"/>
  <c r="G29" i="2" l="1"/>
  <c r="D29" i="3" s="1"/>
  <c r="F58" i="2"/>
  <c r="F48" i="2" l="1"/>
  <c r="F51" i="2"/>
  <c r="G47" i="2" l="1"/>
  <c r="D33" i="3" s="1"/>
  <c r="F46" i="2" l="1"/>
  <c r="F63" i="2" l="1"/>
  <c r="G62" i="2" s="1"/>
  <c r="D36" i="3" s="1"/>
  <c r="F57" i="2"/>
  <c r="F55" i="2"/>
  <c r="F39" i="2" l="1"/>
  <c r="G33" i="2" s="1"/>
  <c r="D30" i="3" s="1"/>
  <c r="F80" i="2"/>
  <c r="G74" i="2" s="1"/>
  <c r="D39" i="3" s="1"/>
  <c r="F41" i="2"/>
  <c r="G40" i="2" s="1"/>
  <c r="D31" i="3" s="1"/>
  <c r="F61" i="2"/>
  <c r="G60" i="2" s="1"/>
  <c r="D35" i="3" s="1"/>
  <c r="F45" i="2"/>
  <c r="G43" i="2" s="1"/>
  <c r="D32" i="3" s="1"/>
  <c r="G81" i="2"/>
  <c r="D40" i="3" s="1"/>
  <c r="G64" i="2"/>
  <c r="D37" i="3" s="1"/>
  <c r="G54" i="2"/>
  <c r="D34" i="3" s="1"/>
  <c r="A3" i="2" l="1"/>
  <c r="A2" i="2"/>
  <c r="G68" i="2" l="1"/>
  <c r="G24" i="2" l="1"/>
  <c r="D38" i="3"/>
  <c r="E27" i="3" s="1"/>
  <c r="F8" i="2"/>
  <c r="F10" i="2" l="1"/>
  <c r="F9" i="2"/>
  <c r="F11" i="2"/>
  <c r="G7" i="2" l="1"/>
  <c r="G6" i="2" l="1"/>
  <c r="G5" i="2" s="1"/>
  <c r="D23" i="3"/>
  <c r="E22" i="3" s="1"/>
  <c r="G116" i="2"/>
  <c r="E50" i="3" l="1"/>
</calcChain>
</file>

<file path=xl/sharedStrings.xml><?xml version="1.0" encoding="utf-8"?>
<sst xmlns="http://schemas.openxmlformats.org/spreadsheetml/2006/main" count="342" uniqueCount="173">
  <si>
    <t>Záchytný systém</t>
  </si>
  <si>
    <t>MaR</t>
  </si>
  <si>
    <t>ZTI</t>
  </si>
  <si>
    <t xml:space="preserve"> </t>
  </si>
  <si>
    <t>C.</t>
  </si>
  <si>
    <t>Popis</t>
  </si>
  <si>
    <t>MN</t>
  </si>
  <si>
    <t>J</t>
  </si>
  <si>
    <t>JC</t>
  </si>
  <si>
    <t>CELKEM</t>
  </si>
  <si>
    <t>TOTAL SUM</t>
  </si>
  <si>
    <t>SUMA KONTROL</t>
  </si>
  <si>
    <t>sum</t>
  </si>
  <si>
    <t>Zámečnické konstrukce</t>
  </si>
  <si>
    <t>Podtlakové odvodnění</t>
  </si>
  <si>
    <t>Zemní práce</t>
  </si>
  <si>
    <t>1.</t>
  </si>
  <si>
    <t>2.</t>
  </si>
  <si>
    <t>Zařízení staveniště</t>
  </si>
  <si>
    <t>3.</t>
  </si>
  <si>
    <t>4.</t>
  </si>
  <si>
    <t>5.</t>
  </si>
  <si>
    <t>6.</t>
  </si>
  <si>
    <t>m3</t>
  </si>
  <si>
    <t>ks</t>
  </si>
  <si>
    <t>m2</t>
  </si>
  <si>
    <t>VRN a projekční práce</t>
  </si>
  <si>
    <t>Základy</t>
  </si>
  <si>
    <t>Nosné konstrukce</t>
  </si>
  <si>
    <t>Podlahové desky</t>
  </si>
  <si>
    <t>Fasády objektu vč.OK a lemování</t>
  </si>
  <si>
    <t>Pomocná ocelová konstrukce</t>
  </si>
  <si>
    <t>Lemovací konstrukce</t>
  </si>
  <si>
    <t>Detaily</t>
  </si>
  <si>
    <t>PO žebřík</t>
  </si>
  <si>
    <t>Odvodnění</t>
  </si>
  <si>
    <t>Výplně otvorů - okna,dveře,vrata</t>
  </si>
  <si>
    <t>OK výměny ve střeše</t>
  </si>
  <si>
    <t>Pilotové založení, vč. kalichů</t>
  </si>
  <si>
    <t>CENOVÁ NABÍDKA</t>
  </si>
  <si>
    <t>Zadavatel:</t>
  </si>
  <si>
    <t>Zhotovitel:</t>
  </si>
  <si>
    <t>Vyřizuje:
Tel.:
e-mail:</t>
  </si>
  <si>
    <t>Zpracoval:
Tel.:
e-mail:</t>
  </si>
  <si>
    <t>Tel.:</t>
  </si>
  <si>
    <t>e-mail:</t>
  </si>
  <si>
    <t>Číslo nabídky:</t>
  </si>
  <si>
    <t>Datum:</t>
  </si>
  <si>
    <t>NÁZEV AKCE :</t>
  </si>
  <si>
    <t>REKAPITULACE NÁKLADŮ :</t>
  </si>
  <si>
    <t>CELKEM ZA OBJEKT:</t>
  </si>
  <si>
    <t>PŘÍLOHY:</t>
  </si>
  <si>
    <t>Vnitřní vestavby - ASR</t>
  </si>
  <si>
    <t>TZB</t>
  </si>
  <si>
    <t>Silnoproud vč.osvětlení</t>
  </si>
  <si>
    <t>Stabilizace</t>
  </si>
  <si>
    <t>7.</t>
  </si>
  <si>
    <t>V.01</t>
  </si>
  <si>
    <t>Markýza nad vstupem</t>
  </si>
  <si>
    <t>Lihovarská 689/40A</t>
  </si>
  <si>
    <t>718 00 Ostrava - Kunčičky</t>
  </si>
  <si>
    <t>Položkový rozpočet</t>
  </si>
  <si>
    <t>Chodníky</t>
  </si>
  <si>
    <t>Vstup Al</t>
  </si>
  <si>
    <t>ÚT + plynoinstalace</t>
  </si>
  <si>
    <t>DRIVE IN sekční vrata 4,0x4,5m</t>
  </si>
  <si>
    <t>Výkopy pro můstky, základy apod.</t>
  </si>
  <si>
    <t>Střešní plášť vč.OK</t>
  </si>
  <si>
    <t>B</t>
  </si>
  <si>
    <t>B.01</t>
  </si>
  <si>
    <t>B.02</t>
  </si>
  <si>
    <t>B.03</t>
  </si>
  <si>
    <t>8.</t>
  </si>
  <si>
    <t>Světlíky + RWA + kouřové zástěny</t>
  </si>
  <si>
    <t>Monolizické základy</t>
  </si>
  <si>
    <t>DSPS</t>
  </si>
  <si>
    <t>9.</t>
  </si>
  <si>
    <t>Únikové dveře na fasádě</t>
  </si>
  <si>
    <t>Parozábrana + MW TI 230mm + PVC 1,8mm</t>
  </si>
  <si>
    <t>Elektroinstalace</t>
  </si>
  <si>
    <t>Hala</t>
  </si>
  <si>
    <t>Hala - Drátkobetonová deska  tl. 170mm</t>
  </si>
  <si>
    <t>Okna PVC dvojsklo</t>
  </si>
  <si>
    <t>Docky, vč. můstků a příslušenství dle Bílé knihy</t>
  </si>
  <si>
    <t>VZT</t>
  </si>
  <si>
    <t>VAN docky, vč. příslušenství dle Bílé knihy</t>
  </si>
  <si>
    <t xml:space="preserve">ZOKT okno do pásového světlíku, jednočinný systém s manuálním zavřením; rozměry 2000x2000mm </t>
  </si>
  <si>
    <t>BREEAM good</t>
  </si>
  <si>
    <t>Demolice</t>
  </si>
  <si>
    <t>EPS</t>
  </si>
  <si>
    <t>HTÚ</t>
  </si>
  <si>
    <t>B.04</t>
  </si>
  <si>
    <t>Vodovodní přípojka</t>
  </si>
  <si>
    <t>Venkovní rozvod NN</t>
  </si>
  <si>
    <t>ČOV</t>
  </si>
  <si>
    <t>Však ČOV</t>
  </si>
  <si>
    <t>m</t>
  </si>
  <si>
    <t>DPS</t>
  </si>
  <si>
    <t>ŽB prefa překládací můstky</t>
  </si>
  <si>
    <t xml:space="preserve">ŽB prefa sokly </t>
  </si>
  <si>
    <t>ŽB prefa zateplené stěny u můstků</t>
  </si>
  <si>
    <t>Střešní ŽB prefa konstrukce</t>
  </si>
  <si>
    <t>ŽB prefa sloupy</t>
  </si>
  <si>
    <t>Přepady v atice</t>
  </si>
  <si>
    <t>Střešní trapézový plech</t>
  </si>
  <si>
    <t>Vrstvy štěrkodrtě pod halou</t>
  </si>
  <si>
    <t>Násypy, zásypy</t>
  </si>
  <si>
    <t>kg</t>
  </si>
  <si>
    <t>Sendvič. p. MW tl.200 vodorovný</t>
  </si>
  <si>
    <t>Obloukové světlíky pásové</t>
  </si>
  <si>
    <t>Zastřešení nakládacích prostor</t>
  </si>
  <si>
    <t>Admin 1NP - Betonová mazanina tl. 100 mm</t>
  </si>
  <si>
    <t>Ing. Aleš Kytnar</t>
  </si>
  <si>
    <t>ales.kytnar@antracitproperty.eu</t>
  </si>
  <si>
    <t>Odstranění stávajících komunikací</t>
  </si>
  <si>
    <t xml:space="preserve">Odstranění inženýrských sítí </t>
  </si>
  <si>
    <t>Demolice objektů</t>
  </si>
  <si>
    <t>Nadrcení využitelného materiálu na frakci 0-63 a uložení v rámci staveniště</t>
  </si>
  <si>
    <t>Ocelové ochrany vrat a rozvaděčů</t>
  </si>
  <si>
    <t>Ocelové navaděče k nákladovým můstkům</t>
  </si>
  <si>
    <t>Stavební část</t>
  </si>
  <si>
    <t>ÚT</t>
  </si>
  <si>
    <t>Venkovní objekty a inženýrské sítě</t>
  </si>
  <si>
    <t>Komunikace</t>
  </si>
  <si>
    <t>Vodovod</t>
  </si>
  <si>
    <t>Areálový rozvod vody</t>
  </si>
  <si>
    <t>Vodoměrná šachta</t>
  </si>
  <si>
    <t>Kanalizace</t>
  </si>
  <si>
    <t>Dešťová kanalizace</t>
  </si>
  <si>
    <t>Splašková kanalizace</t>
  </si>
  <si>
    <t>Vsakovací objekt</t>
  </si>
  <si>
    <t>Šachty - dešťová kanalizace</t>
  </si>
  <si>
    <t>Šachty - splašková kanalizace</t>
  </si>
  <si>
    <t>Vpusti</t>
  </si>
  <si>
    <t>Štěrbinové žlaby</t>
  </si>
  <si>
    <t>Příprava území</t>
  </si>
  <si>
    <t>Venkovní elektroinstalace</t>
  </si>
  <si>
    <t>Rozvody plynu</t>
  </si>
  <si>
    <t>Areálový rozvod plynu</t>
  </si>
  <si>
    <t>Areálové osvětlení</t>
  </si>
  <si>
    <t>Zpevněné plochy, sadové úpravy</t>
  </si>
  <si>
    <t>Sadové úpravy - zatravnění</t>
  </si>
  <si>
    <t>Výsadba stromů</t>
  </si>
  <si>
    <t>A.</t>
  </si>
  <si>
    <t>A.01</t>
  </si>
  <si>
    <t>A.02</t>
  </si>
  <si>
    <t>A.03</t>
  </si>
  <si>
    <t>A.04</t>
  </si>
  <si>
    <t>A.05</t>
  </si>
  <si>
    <t>A.07</t>
  </si>
  <si>
    <t>A.08</t>
  </si>
  <si>
    <t>A.09</t>
  </si>
  <si>
    <t>A.10</t>
  </si>
  <si>
    <t>A.11</t>
  </si>
  <si>
    <t>A.12</t>
  </si>
  <si>
    <t>A.13</t>
  </si>
  <si>
    <t>A.14</t>
  </si>
  <si>
    <t>A.15</t>
  </si>
  <si>
    <t>A.16</t>
  </si>
  <si>
    <t>A.06</t>
  </si>
  <si>
    <t>B.05</t>
  </si>
  <si>
    <t xml:space="preserve">V. </t>
  </si>
  <si>
    <t>P.</t>
  </si>
  <si>
    <t>P.01</t>
  </si>
  <si>
    <t>P.02</t>
  </si>
  <si>
    <t>Vedlejší rozpočtové náklady</t>
  </si>
  <si>
    <t>Odvoz a likvidace odpadu</t>
  </si>
  <si>
    <t>Monolitické dobetonávky</t>
  </si>
  <si>
    <t>Venkovní ocelové schodiště</t>
  </si>
  <si>
    <t>ANTRACIT KOP s.r.o.</t>
  </si>
  <si>
    <t>ANTRACIT KOP s.r.o., Lihovarská 689/40A, 718 00 Ostrava - Kunčičky</t>
  </si>
  <si>
    <t>IČ: 17733961, DIČ: CZ17733961, zapsaná v obchodním rejstříku vedeném Krajským soudem v Ostravě, oddíl C, vložka 90976</t>
  </si>
  <si>
    <t>Novostavba logistické haly ANTRACIT, Město Touškov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</si>
</sst>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Kč&quot;_-;\-* #,##0.00\ &quot;Kč&quot;_-;_-* &quot;-&quot;??\ &quot;Kč&quot;_-;_-@_-"/>
    <numFmt numFmtId="43" formatCode="_-* #,##0.00_-;\-* #,##0.00_-;_-* &quot;-&quot;??_-;_-@_-"/>
    <numFmt numFmtId="164" formatCode="#,##0\ &quot;Kč&quot;"/>
    <numFmt numFmtId="165" formatCode="#,##0.00\ &quot;Kč&quot;"/>
    <numFmt numFmtId="166" formatCode="0.0"/>
    <numFmt numFmtId="167" formatCode="#,##0.00\ [$€-1]"/>
    <numFmt numFmtId="168" formatCode="_-* #,##0.00\ _€_-;\-* #,##0.00\ _€_-;_-* &quot;-&quot;??\ _€_-;_-@_-"/>
    <numFmt numFmtId="169" formatCode="_-* #,##0_-;\-* #,##0_-;_-* &quot;-&quot;??_-;_-@_-"/>
  </numFmts>
  <fonts count="29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name val="Arial"/>
      <family val="2"/>
    </font>
    <font>
      <b/>
      <sz val="10"/>
      <color theme="1" tint="0.34998626667073579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theme="4" tint="-0.249977111117893"/>
      <name val="Arial"/>
      <family val="2"/>
      <charset val="238"/>
    </font>
    <font>
      <sz val="10"/>
      <name val="Arial CE"/>
      <family val="2"/>
      <charset val="238"/>
    </font>
    <font>
      <sz val="9"/>
      <name val="Arial"/>
      <family val="2"/>
      <charset val="238"/>
    </font>
    <font>
      <i/>
      <sz val="8"/>
      <name val="Arial"/>
      <family val="2"/>
      <charset val="238"/>
    </font>
    <font>
      <b/>
      <sz val="9"/>
      <name val="Arial"/>
      <family val="2"/>
      <charset val="238"/>
    </font>
    <font>
      <sz val="11"/>
      <color rgb="FFFFFF00"/>
      <name val="Arial"/>
      <family val="2"/>
      <charset val="238"/>
    </font>
    <font>
      <b/>
      <sz val="11"/>
      <color rgb="FFFFFF00"/>
      <name val="Arial"/>
      <family val="2"/>
      <charset val="238"/>
    </font>
    <font>
      <i/>
      <sz val="7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b/>
      <sz val="28"/>
      <color indexed="55"/>
      <name val="Tahoma"/>
      <family val="2"/>
    </font>
    <font>
      <b/>
      <sz val="10"/>
      <name val="Arial CE"/>
      <family val="2"/>
      <charset val="238"/>
    </font>
    <font>
      <sz val="10"/>
      <name val="Arial"/>
      <family val="2"/>
    </font>
    <font>
      <b/>
      <sz val="12"/>
      <name val="Arial CE"/>
      <family val="2"/>
      <charset val="238"/>
    </font>
    <font>
      <b/>
      <sz val="11"/>
      <name val="Arial CE"/>
      <family val="2"/>
      <charset val="238"/>
    </font>
    <font>
      <sz val="7"/>
      <color theme="1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name val="Arial CE"/>
      <charset val="238"/>
    </font>
    <font>
      <u/>
      <sz val="10"/>
      <color theme="1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 tint="0.34998626667073579"/>
      <name val="Arial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8">
    <xf numFmtId="0" fontId="0" fillId="0" borderId="0"/>
    <xf numFmtId="0" fontId="1" fillId="0" borderId="0"/>
    <xf numFmtId="0" fontId="8" fillId="0" borderId="0"/>
    <xf numFmtId="0" fontId="15" fillId="0" borderId="0" applyNumberFormat="0" applyFill="0" applyBorder="0" applyAlignment="0" applyProtection="0"/>
    <xf numFmtId="168" fontId="22" fillId="0" borderId="0" applyFont="0" applyFill="0" applyBorder="0" applyAlignment="0" applyProtection="0"/>
    <xf numFmtId="0" fontId="27" fillId="0" borderId="0"/>
    <xf numFmtId="44" fontId="27" fillId="0" borderId="0" applyFont="0" applyFill="0" applyBorder="0" applyAlignment="0" applyProtection="0"/>
    <xf numFmtId="43" fontId="22" fillId="0" borderId="0" applyFont="0" applyFill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5" fillId="4" borderId="7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3" fontId="6" fillId="5" borderId="9" xfId="0" applyNumberFormat="1" applyFont="1" applyFill="1" applyBorder="1" applyAlignment="1">
      <alignment vertical="center"/>
    </xf>
    <xf numFmtId="0" fontId="6" fillId="5" borderId="9" xfId="0" applyFont="1" applyFill="1" applyBorder="1" applyAlignment="1">
      <alignment vertical="center"/>
    </xf>
    <xf numFmtId="166" fontId="9" fillId="0" borderId="14" xfId="2" applyNumberFormat="1" applyFont="1" applyBorder="1" applyAlignment="1">
      <alignment horizontal="center" vertical="center"/>
    </xf>
    <xf numFmtId="0" fontId="9" fillId="0" borderId="15" xfId="2" applyFont="1" applyBorder="1" applyAlignment="1">
      <alignment horizontal="left" vertical="center"/>
    </xf>
    <xf numFmtId="3" fontId="9" fillId="0" borderId="15" xfId="2" applyNumberFormat="1" applyFont="1" applyBorder="1" applyAlignment="1">
      <alignment vertical="center"/>
    </xf>
    <xf numFmtId="0" fontId="9" fillId="0" borderId="15" xfId="0" applyFont="1" applyBorder="1" applyAlignment="1">
      <alignment horizontal="center" vertical="center"/>
    </xf>
    <xf numFmtId="1" fontId="9" fillId="0" borderId="11" xfId="2" applyNumberFormat="1" applyFont="1" applyBorder="1" applyAlignment="1">
      <alignment horizontal="center"/>
    </xf>
    <xf numFmtId="16" fontId="9" fillId="0" borderId="12" xfId="2" applyNumberFormat="1" applyFont="1" applyBorder="1"/>
    <xf numFmtId="3" fontId="9" fillId="0" borderId="12" xfId="2" applyNumberFormat="1" applyFont="1" applyBorder="1"/>
    <xf numFmtId="0" fontId="11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1" fontId="9" fillId="0" borderId="14" xfId="2" applyNumberFormat="1" applyFont="1" applyBorder="1" applyAlignment="1">
      <alignment horizontal="center"/>
    </xf>
    <xf numFmtId="16" fontId="9" fillId="0" borderId="15" xfId="2" applyNumberFormat="1" applyFont="1" applyBorder="1"/>
    <xf numFmtId="3" fontId="9" fillId="0" borderId="15" xfId="2" applyNumberFormat="1" applyFont="1" applyBorder="1"/>
    <xf numFmtId="0" fontId="9" fillId="0" borderId="15" xfId="0" applyFont="1" applyBorder="1" applyAlignment="1">
      <alignment horizontal="center"/>
    </xf>
    <xf numFmtId="1" fontId="9" fillId="8" borderId="11" xfId="2" applyNumberFormat="1" applyFont="1" applyFill="1" applyBorder="1" applyAlignment="1">
      <alignment horizontal="center"/>
    </xf>
    <xf numFmtId="16" fontId="9" fillId="8" borderId="12" xfId="2" applyNumberFormat="1" applyFont="1" applyFill="1" applyBorder="1"/>
    <xf numFmtId="3" fontId="9" fillId="8" borderId="12" xfId="2" applyNumberFormat="1" applyFont="1" applyFill="1" applyBorder="1"/>
    <xf numFmtId="0" fontId="9" fillId="8" borderId="12" xfId="0" applyFont="1" applyFill="1" applyBorder="1" applyAlignment="1">
      <alignment horizontal="center"/>
    </xf>
    <xf numFmtId="164" fontId="12" fillId="4" borderId="3" xfId="0" applyNumberFormat="1" applyFont="1" applyFill="1" applyBorder="1"/>
    <xf numFmtId="164" fontId="13" fillId="4" borderId="4" xfId="0" applyNumberFormat="1" applyFont="1" applyFill="1" applyBorder="1" applyAlignment="1">
      <alignment vertical="center"/>
    </xf>
    <xf numFmtId="164" fontId="12" fillId="4" borderId="4" xfId="0" applyNumberFormat="1" applyFont="1" applyFill="1" applyBorder="1"/>
    <xf numFmtId="167" fontId="5" fillId="4" borderId="7" xfId="0" applyNumberFormat="1" applyFont="1" applyFill="1" applyBorder="1" applyAlignment="1">
      <alignment horizontal="center" vertical="center" wrapText="1"/>
    </xf>
    <xf numFmtId="167" fontId="6" fillId="5" borderId="9" xfId="0" applyNumberFormat="1" applyFont="1" applyFill="1" applyBorder="1" applyAlignment="1">
      <alignment vertical="center"/>
    </xf>
    <xf numFmtId="167" fontId="9" fillId="0" borderId="15" xfId="0" applyNumberFormat="1" applyFont="1" applyBorder="1" applyAlignment="1">
      <alignment horizontal="right" vertical="center"/>
    </xf>
    <xf numFmtId="167" fontId="9" fillId="0" borderId="12" xfId="0" applyNumberFormat="1" applyFont="1" applyBorder="1"/>
    <xf numFmtId="167" fontId="9" fillId="0" borderId="15" xfId="0" applyNumberFormat="1" applyFont="1" applyBorder="1"/>
    <xf numFmtId="167" fontId="12" fillId="4" borderId="4" xfId="0" applyNumberFormat="1" applyFont="1" applyFill="1" applyBorder="1"/>
    <xf numFmtId="1" fontId="2" fillId="2" borderId="11" xfId="2" applyNumberFormat="1" applyFont="1" applyFill="1" applyBorder="1" applyAlignment="1">
      <alignment horizontal="center" vertical="center"/>
    </xf>
    <xf numFmtId="16" fontId="2" fillId="2" borderId="12" xfId="2" applyNumberFormat="1" applyFont="1" applyFill="1" applyBorder="1" applyAlignment="1">
      <alignment vertical="center"/>
    </xf>
    <xf numFmtId="3" fontId="1" fillId="2" borderId="12" xfId="2" applyNumberFormat="1" applyFont="1" applyFill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67" fontId="1" fillId="2" borderId="12" xfId="0" applyNumberFormat="1" applyFont="1" applyFill="1" applyBorder="1" applyAlignment="1">
      <alignment vertical="center"/>
    </xf>
    <xf numFmtId="167" fontId="2" fillId="2" borderId="12" xfId="0" applyNumberFormat="1" applyFont="1" applyFill="1" applyBorder="1" applyAlignment="1">
      <alignment horizontal="center" vertical="center"/>
    </xf>
    <xf numFmtId="167" fontId="11" fillId="0" borderId="12" xfId="0" applyNumberFormat="1" applyFont="1" applyBorder="1" applyAlignment="1">
      <alignment horizontal="center"/>
    </xf>
    <xf numFmtId="167" fontId="9" fillId="0" borderId="15" xfId="0" applyNumberFormat="1" applyFont="1" applyBorder="1" applyAlignment="1">
      <alignment horizontal="right"/>
    </xf>
    <xf numFmtId="0" fontId="10" fillId="3" borderId="15" xfId="2" applyFont="1" applyFill="1" applyBorder="1" applyAlignment="1">
      <alignment horizontal="left" indent="1"/>
    </xf>
    <xf numFmtId="3" fontId="10" fillId="3" borderId="15" xfId="2" applyNumberFormat="1" applyFont="1" applyFill="1" applyBorder="1"/>
    <xf numFmtId="0" fontId="10" fillId="3" borderId="15" xfId="0" applyFont="1" applyFill="1" applyBorder="1" applyAlignment="1">
      <alignment horizontal="center"/>
    </xf>
    <xf numFmtId="3" fontId="14" fillId="3" borderId="12" xfId="2" applyNumberFormat="1" applyFont="1" applyFill="1" applyBorder="1" applyAlignment="1">
      <alignment vertical="center"/>
    </xf>
    <xf numFmtId="0" fontId="14" fillId="3" borderId="12" xfId="0" applyFont="1" applyFill="1" applyBorder="1" applyAlignment="1">
      <alignment horizontal="center" vertical="center"/>
    </xf>
    <xf numFmtId="166" fontId="10" fillId="3" borderId="14" xfId="2" applyNumberFormat="1" applyFont="1" applyFill="1" applyBorder="1" applyAlignment="1">
      <alignment horizontal="center"/>
    </xf>
    <xf numFmtId="166" fontId="10" fillId="3" borderId="11" xfId="2" applyNumberFormat="1" applyFont="1" applyFill="1" applyBorder="1" applyAlignment="1">
      <alignment horizontal="center"/>
    </xf>
    <xf numFmtId="0" fontId="10" fillId="3" borderId="12" xfId="2" applyFont="1" applyFill="1" applyBorder="1" applyAlignment="1">
      <alignment horizontal="left" indent="1"/>
    </xf>
    <xf numFmtId="165" fontId="9" fillId="0" borderId="15" xfId="0" applyNumberFormat="1" applyFont="1" applyBorder="1"/>
    <xf numFmtId="165" fontId="9" fillId="0" borderId="15" xfId="0" applyNumberFormat="1" applyFont="1" applyBorder="1" applyAlignment="1">
      <alignment horizontal="right"/>
    </xf>
    <xf numFmtId="165" fontId="9" fillId="7" borderId="16" xfId="0" applyNumberFormat="1" applyFont="1" applyFill="1" applyBorder="1" applyAlignment="1">
      <alignment horizontal="right"/>
    </xf>
    <xf numFmtId="165" fontId="9" fillId="0" borderId="16" xfId="0" applyNumberFormat="1" applyFont="1" applyBorder="1"/>
    <xf numFmtId="165" fontId="9" fillId="8" borderId="12" xfId="0" applyNumberFormat="1" applyFont="1" applyFill="1" applyBorder="1"/>
    <xf numFmtId="165" fontId="9" fillId="8" borderId="12" xfId="0" applyNumberFormat="1" applyFont="1" applyFill="1" applyBorder="1" applyAlignment="1">
      <alignment horizontal="center"/>
    </xf>
    <xf numFmtId="165" fontId="9" fillId="7" borderId="13" xfId="0" applyNumberFormat="1" applyFont="1" applyFill="1" applyBorder="1" applyAlignment="1">
      <alignment horizontal="right"/>
    </xf>
    <xf numFmtId="165" fontId="10" fillId="0" borderId="16" xfId="0" applyNumberFormat="1" applyFont="1" applyBorder="1"/>
    <xf numFmtId="165" fontId="9" fillId="0" borderId="12" xfId="0" applyNumberFormat="1" applyFont="1" applyBorder="1"/>
    <xf numFmtId="165" fontId="9" fillId="0" borderId="12" xfId="0" applyNumberFormat="1" applyFont="1" applyBorder="1" applyAlignment="1">
      <alignment horizontal="center"/>
    </xf>
    <xf numFmtId="165" fontId="2" fillId="2" borderId="13" xfId="0" applyNumberFormat="1" applyFont="1" applyFill="1" applyBorder="1" applyAlignment="1">
      <alignment horizontal="right" vertical="center"/>
    </xf>
    <xf numFmtId="165" fontId="13" fillId="4" borderId="5" xfId="0" applyNumberFormat="1" applyFont="1" applyFill="1" applyBorder="1" applyAlignment="1">
      <alignment vertical="center"/>
    </xf>
    <xf numFmtId="165" fontId="14" fillId="3" borderId="15" xfId="0" applyNumberFormat="1" applyFont="1" applyFill="1" applyBorder="1" applyAlignment="1">
      <alignment horizontal="right" vertical="center"/>
    </xf>
    <xf numFmtId="165" fontId="10" fillId="3" borderId="15" xfId="0" applyNumberFormat="1" applyFont="1" applyFill="1" applyBorder="1" applyAlignment="1">
      <alignment horizontal="right"/>
    </xf>
    <xf numFmtId="3" fontId="18" fillId="6" borderId="20" xfId="2" applyNumberFormat="1" applyFont="1" applyFill="1" applyBorder="1" applyAlignment="1">
      <alignment horizontal="left" vertical="center" wrapText="1" indent="1"/>
    </xf>
    <xf numFmtId="0" fontId="18" fillId="6" borderId="20" xfId="2" applyFont="1" applyFill="1" applyBorder="1" applyAlignment="1">
      <alignment horizontal="left" vertical="center" wrapText="1" indent="1"/>
    </xf>
    <xf numFmtId="0" fontId="0" fillId="6" borderId="21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3" fillId="0" borderId="1" xfId="2" applyFont="1" applyBorder="1" applyAlignment="1">
      <alignment horizontal="left" vertical="center" wrapText="1"/>
    </xf>
    <xf numFmtId="0" fontId="15" fillId="6" borderId="2" xfId="3" applyFill="1" applyBorder="1" applyAlignment="1">
      <alignment horizontal="left" vertical="center" wrapText="1" indent="1"/>
    </xf>
    <xf numFmtId="0" fontId="17" fillId="8" borderId="1" xfId="3" applyFont="1" applyFill="1" applyBorder="1" applyAlignment="1">
      <alignment horizontal="left" vertical="center" wrapText="1" indent="1"/>
    </xf>
    <xf numFmtId="0" fontId="0" fillId="0" borderId="21" xfId="0" applyBorder="1" applyAlignment="1">
      <alignment vertical="top"/>
    </xf>
    <xf numFmtId="0" fontId="0" fillId="0" borderId="22" xfId="0" applyBorder="1" applyAlignment="1">
      <alignment vertical="top"/>
    </xf>
    <xf numFmtId="3" fontId="18" fillId="6" borderId="2" xfId="2" applyNumberFormat="1" applyFont="1" applyFill="1" applyBorder="1" applyAlignment="1">
      <alignment horizontal="left" vertical="center" wrapText="1" indent="1"/>
    </xf>
    <xf numFmtId="14" fontId="25" fillId="8" borderId="1" xfId="3" applyNumberFormat="1" applyFont="1" applyFill="1" applyBorder="1" applyAlignment="1" applyProtection="1">
      <alignment horizontal="left" vertical="center" wrapText="1" indent="1"/>
    </xf>
    <xf numFmtId="0" fontId="2" fillId="3" borderId="26" xfId="0" applyFont="1" applyFill="1" applyBorder="1" applyAlignment="1">
      <alignment horizontal="left" wrapText="1"/>
    </xf>
    <xf numFmtId="0" fontId="2" fillId="3" borderId="26" xfId="0" applyFont="1" applyFill="1" applyBorder="1" applyAlignment="1">
      <alignment wrapText="1"/>
    </xf>
    <xf numFmtId="0" fontId="1" fillId="3" borderId="27" xfId="0" applyFont="1" applyFill="1" applyBorder="1"/>
    <xf numFmtId="0" fontId="1" fillId="3" borderId="0" xfId="0" applyFont="1" applyFill="1" applyAlignment="1">
      <alignment horizontal="left" wrapText="1"/>
    </xf>
    <xf numFmtId="0" fontId="1" fillId="3" borderId="24" xfId="0" applyFont="1" applyFill="1" applyBorder="1" applyAlignment="1">
      <alignment horizontal="left" wrapText="1"/>
    </xf>
    <xf numFmtId="0" fontId="1" fillId="3" borderId="0" xfId="0" applyFont="1" applyFill="1"/>
    <xf numFmtId="0" fontId="5" fillId="4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 wrapText="1"/>
    </xf>
    <xf numFmtId="0" fontId="6" fillId="5" borderId="30" xfId="0" applyFont="1" applyFill="1" applyBorder="1" applyAlignment="1">
      <alignment horizontal="center" vertical="center"/>
    </xf>
    <xf numFmtId="165" fontId="6" fillId="5" borderId="31" xfId="0" applyNumberFormat="1" applyFont="1" applyFill="1" applyBorder="1" applyAlignment="1">
      <alignment horizontal="right" vertical="center"/>
    </xf>
    <xf numFmtId="0" fontId="26" fillId="6" borderId="21" xfId="3" applyFont="1" applyFill="1" applyBorder="1" applyAlignment="1">
      <alignment horizontal="left" indent="1"/>
    </xf>
    <xf numFmtId="0" fontId="26" fillId="6" borderId="2" xfId="3" applyFont="1" applyFill="1" applyBorder="1" applyAlignment="1">
      <alignment horizontal="left" vertical="center" wrapText="1" indent="1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wrapText="1"/>
    </xf>
    <xf numFmtId="0" fontId="1" fillId="3" borderId="24" xfId="0" applyFont="1" applyFill="1" applyBorder="1"/>
    <xf numFmtId="0" fontId="10" fillId="3" borderId="15" xfId="2" applyFont="1" applyFill="1" applyBorder="1" applyAlignment="1">
      <alignment horizontal="left" wrapText="1" indent="1"/>
    </xf>
    <xf numFmtId="166" fontId="10" fillId="3" borderId="14" xfId="2" applyNumberFormat="1" applyFont="1" applyFill="1" applyBorder="1" applyAlignment="1">
      <alignment horizontal="center" vertical="center"/>
    </xf>
    <xf numFmtId="3" fontId="26" fillId="6" borderId="20" xfId="3" applyNumberFormat="1" applyFont="1" applyFill="1" applyBorder="1" applyAlignment="1">
      <alignment horizontal="left" vertical="center" wrapText="1" indent="1"/>
    </xf>
    <xf numFmtId="0" fontId="17" fillId="0" borderId="22" xfId="2" applyFont="1" applyBorder="1" applyAlignment="1">
      <alignment horizontal="left"/>
    </xf>
    <xf numFmtId="164" fontId="8" fillId="0" borderId="1" xfId="2" applyNumberFormat="1" applyBorder="1" applyAlignment="1">
      <alignment horizontal="right" vertical="top" wrapText="1" indent="1"/>
    </xf>
    <xf numFmtId="164" fontId="20" fillId="9" borderId="1" xfId="2" applyNumberFormat="1" applyFont="1" applyFill="1" applyBorder="1" applyAlignment="1">
      <alignment horizontal="right" vertical="center" indent="1"/>
    </xf>
    <xf numFmtId="0" fontId="0" fillId="0" borderId="0" xfId="0" applyAlignment="1">
      <alignment vertical="top"/>
    </xf>
    <xf numFmtId="169" fontId="8" fillId="0" borderId="1" xfId="7" applyNumberFormat="1" applyFont="1" applyBorder="1" applyAlignment="1">
      <alignment horizontal="right" vertical="top" wrapText="1" indent="1"/>
    </xf>
    <xf numFmtId="0" fontId="8" fillId="0" borderId="1" xfId="2" applyBorder="1" applyAlignment="1">
      <alignment horizontal="left" vertical="top" wrapText="1" indent="1"/>
    </xf>
    <xf numFmtId="1" fontId="8" fillId="0" borderId="1" xfId="2" applyNumberFormat="1" applyBorder="1" applyAlignment="1">
      <alignment horizontal="left" vertical="top" wrapText="1" indent="1"/>
    </xf>
    <xf numFmtId="1" fontId="17" fillId="0" borderId="2" xfId="2" applyNumberFormat="1" applyFont="1" applyBorder="1" applyAlignment="1">
      <alignment horizontal="left" vertical="top" wrapText="1" indent="2"/>
    </xf>
    <xf numFmtId="169" fontId="17" fillId="0" borderId="2" xfId="7" applyNumberFormat="1" applyFont="1" applyBorder="1" applyAlignment="1">
      <alignment horizontal="right" vertical="top" wrapText="1" indent="1"/>
    </xf>
    <xf numFmtId="164" fontId="17" fillId="0" borderId="2" xfId="2" applyNumberFormat="1" applyFont="1" applyBorder="1" applyAlignment="1">
      <alignment horizontal="right" vertical="top" wrapText="1" indent="1"/>
    </xf>
    <xf numFmtId="0" fontId="24" fillId="0" borderId="0" xfId="0" applyFont="1"/>
    <xf numFmtId="1" fontId="17" fillId="0" borderId="1" xfId="2" applyNumberFormat="1" applyFont="1" applyBorder="1" applyAlignment="1">
      <alignment horizontal="left" vertical="top" wrapText="1" indent="2"/>
    </xf>
    <xf numFmtId="169" fontId="17" fillId="0" borderId="1" xfId="7" applyNumberFormat="1" applyFont="1" applyBorder="1" applyAlignment="1">
      <alignment horizontal="right" vertical="top" wrapText="1" indent="1"/>
    </xf>
    <xf numFmtId="164" fontId="17" fillId="0" borderId="1" xfId="2" applyNumberFormat="1" applyFont="1" applyBorder="1" applyAlignment="1">
      <alignment horizontal="right" vertical="top" wrapText="1" indent="1"/>
    </xf>
    <xf numFmtId="0" fontId="2" fillId="6" borderId="6" xfId="2" applyFont="1" applyFill="1" applyBorder="1" applyAlignment="1">
      <alignment horizontal="left" vertical="center" wrapText="1" indent="1"/>
    </xf>
    <xf numFmtId="0" fontId="20" fillId="9" borderId="1" xfId="2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21" fillId="0" borderId="1" xfId="0" applyFont="1" applyBorder="1" applyAlignment="1">
      <alignment horizontal="center"/>
    </xf>
    <xf numFmtId="16" fontId="8" fillId="0" borderId="1" xfId="2" applyNumberFormat="1" applyBorder="1" applyAlignment="1">
      <alignment horizontal="left" vertical="top" wrapText="1" indent="3"/>
    </xf>
    <xf numFmtId="0" fontId="8" fillId="0" borderId="1" xfId="2" applyBorder="1" applyAlignment="1">
      <alignment horizontal="left" vertical="top" wrapText="1" indent="3"/>
    </xf>
    <xf numFmtId="0" fontId="3" fillId="0" borderId="1" xfId="2" applyFont="1" applyBorder="1" applyAlignment="1">
      <alignment horizontal="left" vertical="center" wrapText="1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19" fillId="9" borderId="22" xfId="0" applyFont="1" applyFill="1" applyBorder="1" applyAlignment="1">
      <alignment horizontal="left"/>
    </xf>
    <xf numFmtId="0" fontId="19" fillId="9" borderId="0" xfId="0" applyFont="1" applyFill="1" applyAlignment="1">
      <alignment horizontal="left"/>
    </xf>
    <xf numFmtId="0" fontId="19" fillId="9" borderId="21" xfId="0" applyFont="1" applyFill="1" applyBorder="1" applyAlignment="1">
      <alignment horizontal="left"/>
    </xf>
    <xf numFmtId="0" fontId="0" fillId="10" borderId="22" xfId="0" applyFill="1" applyBorder="1" applyAlignment="1">
      <alignment horizontal="left"/>
    </xf>
    <xf numFmtId="0" fontId="0" fillId="10" borderId="0" xfId="0" applyFill="1" applyAlignment="1">
      <alignment horizontal="left"/>
    </xf>
    <xf numFmtId="0" fontId="0" fillId="10" borderId="21" xfId="0" applyFill="1" applyBorder="1" applyAlignment="1">
      <alignment horizontal="left"/>
    </xf>
    <xf numFmtId="16" fontId="17" fillId="0" borderId="1" xfId="2" applyNumberFormat="1" applyFont="1" applyBorder="1" applyAlignment="1">
      <alignment horizontal="left" vertical="top" wrapText="1" indent="2"/>
    </xf>
    <xf numFmtId="0" fontId="17" fillId="0" borderId="1" xfId="2" applyFont="1" applyBorder="1" applyAlignment="1">
      <alignment horizontal="left" vertical="top" wrapText="1" indent="2"/>
    </xf>
    <xf numFmtId="0" fontId="16" fillId="0" borderId="18" xfId="2" applyFont="1" applyBorder="1" applyAlignment="1">
      <alignment horizontal="left"/>
    </xf>
    <xf numFmtId="0" fontId="16" fillId="0" borderId="19" xfId="2" applyFont="1" applyBorder="1" applyAlignment="1">
      <alignment horizontal="left"/>
    </xf>
    <xf numFmtId="0" fontId="16" fillId="0" borderId="17" xfId="2" applyFont="1" applyBorder="1" applyAlignment="1">
      <alignment horizontal="left"/>
    </xf>
    <xf numFmtId="0" fontId="16" fillId="0" borderId="22" xfId="2" applyFont="1" applyBorder="1" applyAlignment="1">
      <alignment horizontal="left"/>
    </xf>
    <xf numFmtId="0" fontId="16" fillId="0" borderId="0" xfId="2" applyFont="1" applyAlignment="1">
      <alignment horizontal="left"/>
    </xf>
    <xf numFmtId="0" fontId="16" fillId="0" borderId="21" xfId="2" applyFont="1" applyBorder="1" applyAlignment="1">
      <alignment horizontal="left"/>
    </xf>
    <xf numFmtId="0" fontId="17" fillId="0" borderId="1" xfId="2" applyFont="1" applyBorder="1" applyAlignment="1">
      <alignment horizontal="left" vertical="top"/>
    </xf>
    <xf numFmtId="0" fontId="3" fillId="0" borderId="1" xfId="2" applyFont="1" applyBorder="1" applyAlignment="1">
      <alignment horizontal="left" vertical="top" wrapText="1"/>
    </xf>
    <xf numFmtId="0" fontId="8" fillId="0" borderId="0" xfId="2" applyAlignment="1">
      <alignment horizontal="left"/>
    </xf>
    <xf numFmtId="0" fontId="8" fillId="0" borderId="21" xfId="2" applyBorder="1" applyAlignment="1">
      <alignment horizontal="left"/>
    </xf>
    <xf numFmtId="0" fontId="19" fillId="8" borderId="22" xfId="2" applyFont="1" applyFill="1" applyBorder="1" applyAlignment="1">
      <alignment horizontal="left" wrapText="1"/>
    </xf>
    <xf numFmtId="0" fontId="19" fillId="8" borderId="0" xfId="2" applyFont="1" applyFill="1" applyAlignment="1">
      <alignment horizontal="left" wrapText="1"/>
    </xf>
    <xf numFmtId="0" fontId="19" fillId="8" borderId="21" xfId="2" applyFont="1" applyFill="1" applyBorder="1" applyAlignment="1">
      <alignment horizontal="left" wrapText="1"/>
    </xf>
    <xf numFmtId="0" fontId="19" fillId="6" borderId="34" xfId="2" applyFont="1" applyFill="1" applyBorder="1" applyAlignment="1">
      <alignment horizontal="left" wrapText="1"/>
    </xf>
    <xf numFmtId="0" fontId="19" fillId="6" borderId="33" xfId="2" applyFont="1" applyFill="1" applyBorder="1" applyAlignment="1">
      <alignment horizontal="left" wrapText="1"/>
    </xf>
    <xf numFmtId="0" fontId="19" fillId="6" borderId="32" xfId="2" applyFont="1" applyFill="1" applyBorder="1" applyAlignment="1">
      <alignment horizontal="left" wrapText="1"/>
    </xf>
    <xf numFmtId="0" fontId="25" fillId="0" borderId="7" xfId="2" applyFont="1" applyBorder="1" applyAlignment="1">
      <alignment horizontal="left" vertical="top"/>
    </xf>
    <xf numFmtId="0" fontId="25" fillId="0" borderId="19" xfId="2" applyFont="1" applyBorder="1" applyAlignment="1">
      <alignment horizontal="left" vertical="top"/>
    </xf>
    <xf numFmtId="0" fontId="3" fillId="0" borderId="6" xfId="2" applyFont="1" applyBorder="1" applyAlignment="1">
      <alignment horizontal="left" vertical="top" wrapText="1"/>
    </xf>
    <xf numFmtId="0" fontId="3" fillId="0" borderId="20" xfId="2" applyFont="1" applyBorder="1" applyAlignment="1">
      <alignment horizontal="left" vertical="top" wrapText="1"/>
    </xf>
    <xf numFmtId="0" fontId="3" fillId="0" borderId="2" xfId="2" applyFont="1" applyBorder="1" applyAlignment="1">
      <alignment horizontal="left" vertical="top" wrapText="1"/>
    </xf>
    <xf numFmtId="16" fontId="17" fillId="0" borderId="8" xfId="2" applyNumberFormat="1" applyFont="1" applyBorder="1" applyAlignment="1">
      <alignment horizontal="left" wrapText="1" indent="2"/>
    </xf>
    <xf numFmtId="16" fontId="17" fillId="0" borderId="10" xfId="2" applyNumberFormat="1" applyFont="1" applyBorder="1" applyAlignment="1">
      <alignment horizontal="left" wrapText="1" indent="2"/>
    </xf>
    <xf numFmtId="0" fontId="28" fillId="3" borderId="25" xfId="0" applyFont="1" applyFill="1" applyBorder="1" applyAlignment="1">
      <alignment horizontal="left" vertical="center"/>
    </xf>
    <xf numFmtId="0" fontId="28" fillId="3" borderId="26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4" fontId="4" fillId="3" borderId="23" xfId="0" applyNumberFormat="1" applyFont="1" applyFill="1" applyBorder="1" applyAlignment="1">
      <alignment horizontal="left" vertical="center"/>
    </xf>
    <xf numFmtId="14" fontId="4" fillId="3" borderId="0" xfId="0" applyNumberFormat="1" applyFont="1" applyFill="1" applyAlignment="1">
      <alignment horizontal="left" vertical="center"/>
    </xf>
  </cellXfs>
  <cellStyles count="8">
    <cellStyle name="Čárka" xfId="7" builtinId="3"/>
    <cellStyle name="Čárka 2" xfId="4" xr:uid="{B37440CA-8251-4AED-8879-041638156D64}"/>
    <cellStyle name="Hypertextový odkaz" xfId="3" builtinId="8"/>
    <cellStyle name="Měna 2" xfId="6" xr:uid="{B9B9E4AA-0770-4089-BD69-396D5DD8A4A0}"/>
    <cellStyle name="normálne_Schweitzer Scot_Kalkulation" xfId="1" xr:uid="{00000000-0005-0000-0000-000002000000}"/>
    <cellStyle name="Normální" xfId="0" builtinId="0"/>
    <cellStyle name="Normální 2" xfId="2" xr:uid="{8BFF5723-E570-4968-90F6-9F9737CD17FC}"/>
    <cellStyle name="Normální 5" xfId="5" xr:uid="{D038F3D3-4A29-4B47-AC3B-74E8A0D4DB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638175</xdr:colOff>
      <xdr:row>0</xdr:row>
      <xdr:rowOff>47625</xdr:rowOff>
    </xdr:from>
    <xdr:to>
      <xdr:col>4</xdr:col>
      <xdr:colOff>1876425</xdr:colOff>
      <xdr:row>0</xdr:row>
      <xdr:rowOff>666750</xdr:rowOff>
    </xdr:to>
    <xdr:pic>
      <xdr:nvPicPr>
        <xdr:cNvPr id="2" name="Obrázek 1" descr="signature_1799657136">
          <a:extLst>
            <a:ext uri="{FF2B5EF4-FFF2-40B4-BE49-F238E27FC236}">
              <a16:creationId xmlns:a16="http://schemas.microsoft.com/office/drawing/2014/main" id="{104D9845-39D0-E28D-1A42-DE3B7FD86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47625"/>
          <a:ext cx="12382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0</xdr:row>
      <xdr:rowOff>19050</xdr:rowOff>
    </xdr:from>
    <xdr:to>
      <xdr:col>6</xdr:col>
      <xdr:colOff>1333500</xdr:colOff>
      <xdr:row>2</xdr:row>
      <xdr:rowOff>152400</xdr:rowOff>
    </xdr:to>
    <xdr:pic>
      <xdr:nvPicPr>
        <xdr:cNvPr id="2" name="Obrázek 1" descr="signature_1799657136">
          <a:extLst>
            <a:ext uri="{FF2B5EF4-FFF2-40B4-BE49-F238E27FC236}">
              <a16:creationId xmlns:a16="http://schemas.microsoft.com/office/drawing/2014/main" id="{5AD6A107-642E-4FC3-A982-BEEFBB934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19050"/>
          <a:ext cx="12382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es.kytnar@antracitproperty.eu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269A-B513-416A-836A-E988432DA329}">
  <sheetPr>
    <pageSetUpPr fitToPage="1"/>
  </sheetPr>
  <dimension ref="A1:E57"/>
  <sheetViews>
    <sheetView tabSelected="1" zoomScale="130" zoomScaleNormal="130" workbookViewId="0">
      <selection activeCell="A18" sqref="A18:E20"/>
    </sheetView>
  </sheetViews>
  <sheetFormatPr baseColWidth="10" defaultColWidth="16.83203125" defaultRowHeight="15"/>
  <cols>
    <col min="1" max="1" width="6.83203125" customWidth="1"/>
    <col min="2" max="2" width="16.6640625" customWidth="1"/>
    <col min="3" max="3" width="29.6640625" customWidth="1"/>
    <col min="4" max="4" width="16.6640625" customWidth="1"/>
    <col min="5" max="5" width="29.6640625" customWidth="1"/>
  </cols>
  <sheetData>
    <row r="1" spans="1:5" ht="54" customHeight="1">
      <c r="A1" s="125" t="s">
        <v>39</v>
      </c>
      <c r="B1" s="126"/>
      <c r="C1" s="126"/>
      <c r="D1" s="126"/>
      <c r="E1" s="127"/>
    </row>
    <row r="2" spans="1:5" ht="7.5" customHeight="1">
      <c r="A2" s="128"/>
      <c r="B2" s="129"/>
      <c r="C2" s="129"/>
      <c r="D2" s="129"/>
      <c r="E2" s="130"/>
    </row>
    <row r="3" spans="1:5" ht="15" customHeight="1">
      <c r="A3" s="131" t="s">
        <v>40</v>
      </c>
      <c r="B3" s="131"/>
      <c r="C3" s="107" t="s">
        <v>169</v>
      </c>
      <c r="D3" s="141" t="s">
        <v>41</v>
      </c>
      <c r="E3" s="107"/>
    </row>
    <row r="4" spans="1:5" ht="15" customHeight="1">
      <c r="A4" s="131"/>
      <c r="B4" s="131"/>
      <c r="C4" s="64" t="s">
        <v>59</v>
      </c>
      <c r="D4" s="141"/>
      <c r="E4" s="64"/>
    </row>
    <row r="5" spans="1:5" ht="15" customHeight="1">
      <c r="A5" s="131"/>
      <c r="B5" s="131"/>
      <c r="C5" s="73" t="s">
        <v>60</v>
      </c>
      <c r="D5" s="142"/>
      <c r="E5" s="73"/>
    </row>
    <row r="6" spans="1:5" ht="15" customHeight="1">
      <c r="A6" s="132" t="s">
        <v>42</v>
      </c>
      <c r="B6" s="132"/>
      <c r="C6" s="65" t="s">
        <v>112</v>
      </c>
      <c r="D6" s="143" t="s">
        <v>42</v>
      </c>
      <c r="E6" s="65"/>
    </row>
    <row r="7" spans="1:5" ht="15" customHeight="1">
      <c r="A7" s="132"/>
      <c r="B7" s="132"/>
      <c r="C7" s="64">
        <v>775615054</v>
      </c>
      <c r="D7" s="144"/>
      <c r="E7" s="64"/>
    </row>
    <row r="8" spans="1:5" ht="15" customHeight="1">
      <c r="A8" s="132"/>
      <c r="B8" s="132"/>
      <c r="C8" s="92" t="s">
        <v>113</v>
      </c>
      <c r="D8" s="145"/>
      <c r="E8" s="69"/>
    </row>
    <row r="9" spans="1:5" ht="15" customHeight="1">
      <c r="A9" s="132"/>
      <c r="B9" s="132"/>
      <c r="C9" s="85"/>
      <c r="D9" s="143" t="s">
        <v>43</v>
      </c>
      <c r="E9" s="65"/>
    </row>
    <row r="10" spans="1:5" ht="15" customHeight="1">
      <c r="A10" s="132"/>
      <c r="B10" s="132"/>
      <c r="C10" s="66"/>
      <c r="D10" s="144" t="s">
        <v>44</v>
      </c>
      <c r="E10" s="64"/>
    </row>
    <row r="11" spans="1:5" ht="15" customHeight="1">
      <c r="A11" s="132"/>
      <c r="B11" s="132"/>
      <c r="C11" s="67"/>
      <c r="D11" s="145" t="s">
        <v>45</v>
      </c>
      <c r="E11" s="86"/>
    </row>
    <row r="12" spans="1:5" ht="15" customHeight="1">
      <c r="A12" s="113" t="s">
        <v>46</v>
      </c>
      <c r="B12" s="113"/>
      <c r="C12" s="70"/>
      <c r="D12" s="68" t="s">
        <v>47</v>
      </c>
      <c r="E12" s="74">
        <f ca="1">TODAY()</f>
        <v>45219</v>
      </c>
    </row>
    <row r="13" spans="1:5" ht="15" customHeight="1">
      <c r="A13" s="114"/>
      <c r="B13" s="115"/>
      <c r="C13" s="115"/>
      <c r="D13" s="115"/>
      <c r="E13" s="116"/>
    </row>
    <row r="14" spans="1:5" ht="15" customHeight="1">
      <c r="A14" s="114"/>
      <c r="B14" s="115"/>
      <c r="C14" s="115"/>
      <c r="D14" s="115"/>
      <c r="E14" s="116"/>
    </row>
    <row r="15" spans="1:5" ht="16">
      <c r="A15" s="117" t="s">
        <v>48</v>
      </c>
      <c r="B15" s="118"/>
      <c r="C15" s="118"/>
      <c r="D15" s="118"/>
      <c r="E15" s="119"/>
    </row>
    <row r="16" spans="1:5" ht="5.25" customHeight="1">
      <c r="A16" s="120"/>
      <c r="B16" s="121"/>
      <c r="C16" s="121"/>
      <c r="D16" s="121"/>
      <c r="E16" s="122"/>
    </row>
    <row r="17" spans="1:5" ht="15" customHeight="1">
      <c r="A17" s="117" t="s">
        <v>172</v>
      </c>
      <c r="B17" s="118"/>
      <c r="C17" s="118"/>
      <c r="D17" s="118"/>
      <c r="E17" s="119"/>
    </row>
    <row r="18" spans="1:5" ht="15" customHeight="1">
      <c r="A18" s="135" t="s">
        <v>3</v>
      </c>
      <c r="B18" s="136"/>
      <c r="C18" s="136"/>
      <c r="D18" s="136"/>
      <c r="E18" s="137"/>
    </row>
    <row r="19" spans="1:5" ht="15" customHeight="1">
      <c r="A19" s="135"/>
      <c r="B19" s="136"/>
      <c r="C19" s="136"/>
      <c r="D19" s="136"/>
      <c r="E19" s="137"/>
    </row>
    <row r="20" spans="1:5" ht="15" customHeight="1">
      <c r="A20" s="135"/>
      <c r="B20" s="136"/>
      <c r="C20" s="136"/>
      <c r="D20" s="136"/>
      <c r="E20" s="137"/>
    </row>
    <row r="21" spans="1:5" ht="24.75" customHeight="1" thickBot="1">
      <c r="A21" s="138" t="s">
        <v>49</v>
      </c>
      <c r="B21" s="139"/>
      <c r="C21" s="139"/>
      <c r="D21" s="139"/>
      <c r="E21" s="140"/>
    </row>
    <row r="22" spans="1:5" s="103" customFormat="1" ht="15" customHeight="1" thickTop="1">
      <c r="A22" s="100" t="str">
        <f>'Položkový rozpočet CZK'!A6</f>
        <v xml:space="preserve">V. </v>
      </c>
      <c r="B22" s="146" t="str">
        <f>'Položkový rozpočet CZK'!B6</f>
        <v>VRN a projekční práce</v>
      </c>
      <c r="C22" s="147"/>
      <c r="D22" s="101"/>
      <c r="E22" s="102">
        <f>D23</f>
        <v>0</v>
      </c>
    </row>
    <row r="23" spans="1:5" ht="15" customHeight="1">
      <c r="A23" s="98" t="str">
        <f>'Položkový rozpočet CZK'!A7</f>
        <v>V.01</v>
      </c>
      <c r="B23" s="111" t="str">
        <f>'Položkový rozpočet CZK'!B7</f>
        <v>VRN a projekční práce</v>
      </c>
      <c r="C23" s="112"/>
      <c r="D23" s="97">
        <f>'Položkový rozpočet CZK'!G7</f>
        <v>0</v>
      </c>
      <c r="E23" s="94"/>
    </row>
    <row r="24" spans="1:5" s="103" customFormat="1" ht="15" customHeight="1">
      <c r="A24" s="104" t="str">
        <f>'Položkový rozpočet CZK'!A13</f>
        <v>P.</v>
      </c>
      <c r="B24" s="123" t="str">
        <f>'Položkový rozpočet CZK'!B13</f>
        <v>Příprava území</v>
      </c>
      <c r="C24" s="124"/>
      <c r="D24" s="105"/>
      <c r="E24" s="106">
        <f>SUM(D25:D26)</f>
        <v>0</v>
      </c>
    </row>
    <row r="25" spans="1:5" ht="15" customHeight="1">
      <c r="A25" s="99" t="str">
        <f>'Položkový rozpočet CZK'!A14</f>
        <v>P.01</v>
      </c>
      <c r="B25" s="111" t="str">
        <f>'Položkový rozpočet CZK'!B14</f>
        <v>HTÚ</v>
      </c>
      <c r="C25" s="112"/>
      <c r="D25" s="97">
        <f>'Položkový rozpočet CZK'!G14</f>
        <v>0</v>
      </c>
      <c r="E25" s="94"/>
    </row>
    <row r="26" spans="1:5" ht="15" customHeight="1">
      <c r="A26" s="99" t="str">
        <f>'Položkový rozpočet CZK'!A18</f>
        <v>P.02</v>
      </c>
      <c r="B26" s="111" t="str">
        <f>'Položkový rozpočet CZK'!B18</f>
        <v>Demolice</v>
      </c>
      <c r="C26" s="112"/>
      <c r="D26" s="97">
        <f>'Položkový rozpočet CZK'!G18</f>
        <v>0</v>
      </c>
      <c r="E26" s="94"/>
    </row>
    <row r="27" spans="1:5" s="103" customFormat="1" ht="15" customHeight="1">
      <c r="A27" s="104" t="str">
        <f>'Položkový rozpočet CZK'!A24</f>
        <v>A.</v>
      </c>
      <c r="B27" s="123" t="str">
        <f>'Položkový rozpočet CZK'!B24</f>
        <v>Hala</v>
      </c>
      <c r="C27" s="124"/>
      <c r="D27" s="105"/>
      <c r="E27" s="106">
        <f>SUM(D28:D43)</f>
        <v>0</v>
      </c>
    </row>
    <row r="28" spans="1:5" ht="15" customHeight="1">
      <c r="A28" s="99" t="str">
        <f>'Položkový rozpočet CZK'!A25</f>
        <v>A.01</v>
      </c>
      <c r="B28" s="111" t="str">
        <f>'Položkový rozpočet CZK'!B25</f>
        <v>Zemní práce</v>
      </c>
      <c r="C28" s="112">
        <f>'Položkový rozpočet CZK'!C25</f>
        <v>0</v>
      </c>
      <c r="D28" s="97">
        <f>'Položkový rozpočet CZK'!G25</f>
        <v>0</v>
      </c>
      <c r="E28" s="94"/>
    </row>
    <row r="29" spans="1:5" ht="15" customHeight="1">
      <c r="A29" s="99" t="str">
        <f>'Položkový rozpočet CZK'!A29</f>
        <v>A.02</v>
      </c>
      <c r="B29" s="111" t="str">
        <f>'Položkový rozpočet CZK'!B29</f>
        <v>Základy</v>
      </c>
      <c r="C29" s="112">
        <f>'Položkový rozpočet CZK'!C29</f>
        <v>0</v>
      </c>
      <c r="D29" s="97">
        <f>'Položkový rozpočet CZK'!G29</f>
        <v>0</v>
      </c>
      <c r="E29" s="94"/>
    </row>
    <row r="30" spans="1:5" ht="15" customHeight="1">
      <c r="A30" s="99" t="str">
        <f>'Položkový rozpočet CZK'!A33</f>
        <v>A.03</v>
      </c>
      <c r="B30" s="111" t="str">
        <f>'Položkový rozpočet CZK'!B33</f>
        <v>Nosné konstrukce</v>
      </c>
      <c r="C30" s="112">
        <f>'Položkový rozpočet CZK'!C33</f>
        <v>0</v>
      </c>
      <c r="D30" s="97">
        <f>'Položkový rozpočet CZK'!G33</f>
        <v>0</v>
      </c>
      <c r="E30" s="94"/>
    </row>
    <row r="31" spans="1:5" ht="15" customHeight="1">
      <c r="A31" s="99" t="str">
        <f>'Položkový rozpočet CZK'!A40</f>
        <v>A.04</v>
      </c>
      <c r="B31" s="111" t="str">
        <f>'Položkový rozpočet CZK'!B40</f>
        <v>Podlahové desky</v>
      </c>
      <c r="C31" s="112">
        <f>'Položkový rozpočet CZK'!C40</f>
        <v>0</v>
      </c>
      <c r="D31" s="97">
        <f>'Položkový rozpočet CZK'!G40</f>
        <v>0</v>
      </c>
      <c r="E31" s="94"/>
    </row>
    <row r="32" spans="1:5" ht="15" customHeight="1">
      <c r="A32" s="99" t="str">
        <f>'Položkový rozpočet CZK'!A43</f>
        <v>A.05</v>
      </c>
      <c r="B32" s="111" t="str">
        <f>'Položkový rozpočet CZK'!B43</f>
        <v>Fasády objektu vč.OK a lemování</v>
      </c>
      <c r="C32" s="112">
        <f>'Položkový rozpočet CZK'!C43</f>
        <v>0</v>
      </c>
      <c r="D32" s="97">
        <f>'Položkový rozpočet CZK'!G43</f>
        <v>0</v>
      </c>
      <c r="E32" s="94"/>
    </row>
    <row r="33" spans="1:5" ht="15" customHeight="1">
      <c r="A33" s="99" t="str">
        <f>'Položkový rozpočet CZK'!A47</f>
        <v>A.06</v>
      </c>
      <c r="B33" s="111" t="str">
        <f>'Položkový rozpočet CZK'!B47</f>
        <v>Výplně otvorů - okna,dveře,vrata</v>
      </c>
      <c r="C33" s="112">
        <f>'Položkový rozpočet CZK'!C47</f>
        <v>0</v>
      </c>
      <c r="D33" s="97">
        <f>'Položkový rozpočet CZK'!G47</f>
        <v>0</v>
      </c>
      <c r="E33" s="94"/>
    </row>
    <row r="34" spans="1:5" ht="15" customHeight="1">
      <c r="A34" s="99" t="str">
        <f>'Položkový rozpočet CZK'!A54</f>
        <v>A.07</v>
      </c>
      <c r="B34" s="111" t="str">
        <f>'Položkový rozpočet CZK'!B54</f>
        <v>Střešní plášť vč.OK</v>
      </c>
      <c r="C34" s="112">
        <f>'Položkový rozpočet CZK'!C54</f>
        <v>0</v>
      </c>
      <c r="D34" s="97">
        <f>'Položkový rozpočet CZK'!G54</f>
        <v>0</v>
      </c>
      <c r="E34" s="94"/>
    </row>
    <row r="35" spans="1:5" ht="15" customHeight="1">
      <c r="A35" s="99" t="str">
        <f>'Položkový rozpočet CZK'!A60</f>
        <v>A.08</v>
      </c>
      <c r="B35" s="111" t="str">
        <f>'Položkový rozpočet CZK'!B60</f>
        <v>Záchytný systém</v>
      </c>
      <c r="C35" s="112">
        <f>'Položkový rozpočet CZK'!C60</f>
        <v>0</v>
      </c>
      <c r="D35" s="97">
        <f>'Položkový rozpočet CZK'!G60</f>
        <v>0</v>
      </c>
      <c r="E35" s="94"/>
    </row>
    <row r="36" spans="1:5" ht="15" customHeight="1">
      <c r="A36" s="99" t="str">
        <f>'Položkový rozpočet CZK'!A62</f>
        <v>A.09</v>
      </c>
      <c r="B36" s="111" t="str">
        <f>'Položkový rozpočet CZK'!B62</f>
        <v>Podtlakové odvodnění</v>
      </c>
      <c r="C36" s="112">
        <f>'Položkový rozpočet CZK'!C62</f>
        <v>0</v>
      </c>
      <c r="D36" s="97">
        <f>'Položkový rozpočet CZK'!G62</f>
        <v>0</v>
      </c>
      <c r="E36" s="94"/>
    </row>
    <row r="37" spans="1:5" ht="15" customHeight="1">
      <c r="A37" s="99" t="str">
        <f>'Položkový rozpočet CZK'!A64</f>
        <v>A.10</v>
      </c>
      <c r="B37" s="111" t="str">
        <f>'Položkový rozpočet CZK'!B64</f>
        <v>Světlíky + RWA + kouřové zástěny</v>
      </c>
      <c r="C37" s="112">
        <f>'Položkový rozpočet CZK'!C64</f>
        <v>0</v>
      </c>
      <c r="D37" s="97">
        <f>'Položkový rozpočet CZK'!G64</f>
        <v>0</v>
      </c>
      <c r="E37" s="94"/>
    </row>
    <row r="38" spans="1:5" ht="15" customHeight="1">
      <c r="A38" s="99" t="str">
        <f>'Položkový rozpočet CZK'!A68</f>
        <v>A.11</v>
      </c>
      <c r="B38" s="111" t="str">
        <f>'Položkový rozpočet CZK'!B68</f>
        <v>Vnitřní vestavby - ASR</v>
      </c>
      <c r="C38" s="112">
        <f>'Položkový rozpočet CZK'!C68</f>
        <v>0</v>
      </c>
      <c r="D38" s="97">
        <f>'Položkový rozpočet CZK'!G68</f>
        <v>0</v>
      </c>
      <c r="E38" s="94"/>
    </row>
    <row r="39" spans="1:5" ht="15" customHeight="1">
      <c r="A39" s="99" t="str">
        <f>'Položkový rozpočet CZK'!A74</f>
        <v>A.12</v>
      </c>
      <c r="B39" s="111" t="str">
        <f>'Položkový rozpočet CZK'!B74</f>
        <v>Zámečnické konstrukce</v>
      </c>
      <c r="C39" s="112">
        <f>'Položkový rozpočet CZK'!C74</f>
        <v>0</v>
      </c>
      <c r="D39" s="97">
        <f>'Položkový rozpočet CZK'!G74</f>
        <v>0</v>
      </c>
      <c r="E39" s="94"/>
    </row>
    <row r="40" spans="1:5" ht="15" customHeight="1">
      <c r="A40" s="99" t="str">
        <f>'Položkový rozpočet CZK'!A81</f>
        <v>A.13</v>
      </c>
      <c r="B40" s="111" t="str">
        <f>'Položkový rozpočet CZK'!B81</f>
        <v>TZB</v>
      </c>
      <c r="C40" s="112">
        <f>'Položkový rozpočet CZK'!C81</f>
        <v>0</v>
      </c>
      <c r="D40" s="97">
        <f>'Položkový rozpočet CZK'!G81</f>
        <v>0</v>
      </c>
      <c r="E40" s="94"/>
    </row>
    <row r="41" spans="1:5" ht="15" customHeight="1">
      <c r="A41" s="99" t="str">
        <f>'Položkový rozpočet CZK'!A85</f>
        <v>A.14</v>
      </c>
      <c r="B41" s="111" t="str">
        <f>'Položkový rozpočet CZK'!B85</f>
        <v>Elektroinstalace</v>
      </c>
      <c r="C41" s="112">
        <f>'Položkový rozpočet CZK'!C85</f>
        <v>0</v>
      </c>
      <c r="D41" s="97">
        <f>'Položkový rozpočet CZK'!G85</f>
        <v>0</v>
      </c>
      <c r="E41" s="94"/>
    </row>
    <row r="42" spans="1:5" ht="15" customHeight="1">
      <c r="A42" s="99" t="str">
        <f>'Položkový rozpočet CZK'!A87</f>
        <v>A.15</v>
      </c>
      <c r="B42" s="111" t="str">
        <f>'Položkový rozpočet CZK'!B87</f>
        <v>EPS</v>
      </c>
      <c r="C42" s="112">
        <f>'Položkový rozpočet CZK'!C87</f>
        <v>0</v>
      </c>
      <c r="D42" s="97">
        <f>'Položkový rozpočet CZK'!G87</f>
        <v>0</v>
      </c>
      <c r="E42" s="94"/>
    </row>
    <row r="43" spans="1:5" ht="15" customHeight="1">
      <c r="A43" s="99" t="str">
        <f>'Položkový rozpočet CZK'!A89</f>
        <v>A.16</v>
      </c>
      <c r="B43" s="111" t="str">
        <f>'Položkový rozpočet CZK'!B89</f>
        <v>MaR</v>
      </c>
      <c r="C43" s="112">
        <f>'Položkový rozpočet CZK'!C89</f>
        <v>0</v>
      </c>
      <c r="D43" s="97">
        <f>'Položkový rozpočet CZK'!G89</f>
        <v>0</v>
      </c>
      <c r="E43" s="94"/>
    </row>
    <row r="44" spans="1:5" s="103" customFormat="1" ht="15" customHeight="1">
      <c r="A44" s="104" t="str">
        <f>'Položkový rozpočet CZK'!A91</f>
        <v>B</v>
      </c>
      <c r="B44" s="123" t="str">
        <f>'Položkový rozpočet CZK'!B91</f>
        <v>Venkovní objekty a inženýrské sítě</v>
      </c>
      <c r="C44" s="124"/>
      <c r="D44" s="105"/>
      <c r="E44" s="106">
        <f>SUM(D45:D49)</f>
        <v>0</v>
      </c>
    </row>
    <row r="45" spans="1:5" ht="15" customHeight="1">
      <c r="A45" s="99" t="str">
        <f>'Položkový rozpočet CZK'!A92</f>
        <v>B.01</v>
      </c>
      <c r="B45" s="111" t="str">
        <f>'Položkový rozpočet CZK'!B92</f>
        <v>Zpevněné plochy, sadové úpravy</v>
      </c>
      <c r="C45" s="112"/>
      <c r="D45" s="97">
        <f>'Položkový rozpočet CZK'!G92</f>
        <v>0</v>
      </c>
      <c r="E45" s="94"/>
    </row>
    <row r="46" spans="1:5" ht="15" customHeight="1">
      <c r="A46" s="99" t="str">
        <f>'Položkový rozpočet CZK'!A97</f>
        <v>B.02</v>
      </c>
      <c r="B46" s="111" t="str">
        <f>'Položkový rozpočet CZK'!B97</f>
        <v>Vodovod</v>
      </c>
      <c r="C46" s="112"/>
      <c r="D46" s="97">
        <f>'Položkový rozpočet CZK'!G97</f>
        <v>0</v>
      </c>
      <c r="E46" s="94"/>
    </row>
    <row r="47" spans="1:5" ht="15" customHeight="1">
      <c r="A47" s="99" t="str">
        <f>'Položkový rozpočet CZK'!A101</f>
        <v>B.03</v>
      </c>
      <c r="B47" s="111" t="str">
        <f>'Položkový rozpočet CZK'!B101</f>
        <v>Kanalizace</v>
      </c>
      <c r="C47" s="112"/>
      <c r="D47" s="97">
        <f>'Položkový rozpočet CZK'!G101</f>
        <v>0</v>
      </c>
      <c r="E47" s="94"/>
    </row>
    <row r="48" spans="1:5" ht="15" customHeight="1">
      <c r="A48" s="99" t="str">
        <f>'Položkový rozpočet CZK'!A111</f>
        <v>B.04</v>
      </c>
      <c r="B48" s="111" t="str">
        <f>'Položkový rozpočet CZK'!B111</f>
        <v>Venkovní elektroinstalace</v>
      </c>
      <c r="C48" s="112"/>
      <c r="D48" s="97">
        <f>'Položkový rozpočet CZK'!G111</f>
        <v>0</v>
      </c>
      <c r="E48" s="94"/>
    </row>
    <row r="49" spans="1:5" ht="15" customHeight="1">
      <c r="A49" s="99" t="str">
        <f>'Položkový rozpočet CZK'!A114</f>
        <v>B.05</v>
      </c>
      <c r="B49" s="111" t="str">
        <f>'Položkový rozpočet CZK'!B114</f>
        <v>Rozvody plynu</v>
      </c>
      <c r="C49" s="112"/>
      <c r="D49" s="97">
        <f>'Položkový rozpočet CZK'!G114</f>
        <v>0</v>
      </c>
      <c r="E49" s="94"/>
    </row>
    <row r="50" spans="1:5">
      <c r="A50" s="108" t="s">
        <v>50</v>
      </c>
      <c r="B50" s="108"/>
      <c r="C50" s="108"/>
      <c r="D50" s="108"/>
      <c r="E50" s="95">
        <f>SUM(E22:E49)</f>
        <v>0</v>
      </c>
    </row>
    <row r="51" spans="1:5">
      <c r="A51" s="72"/>
      <c r="C51" s="96"/>
      <c r="D51" s="96"/>
      <c r="E51" s="71"/>
    </row>
    <row r="52" spans="1:5">
      <c r="A52" s="72"/>
      <c r="C52" s="96"/>
      <c r="D52" s="96"/>
      <c r="E52" s="71"/>
    </row>
    <row r="53" spans="1:5">
      <c r="A53" s="72"/>
      <c r="C53" s="96"/>
      <c r="D53" s="96"/>
      <c r="E53" s="71"/>
    </row>
    <row r="54" spans="1:5" ht="15" customHeight="1">
      <c r="A54" s="93" t="s">
        <v>51</v>
      </c>
      <c r="C54" s="133" t="s">
        <v>61</v>
      </c>
      <c r="D54" s="133"/>
      <c r="E54" s="134"/>
    </row>
    <row r="55" spans="1:5" ht="7.5" customHeight="1">
      <c r="A55" s="109"/>
      <c r="B55" s="109"/>
      <c r="C55" s="109"/>
      <c r="D55" s="109"/>
      <c r="E55" s="109"/>
    </row>
    <row r="56" spans="1:5">
      <c r="A56" s="110" t="s">
        <v>170</v>
      </c>
      <c r="B56" s="110"/>
      <c r="C56" s="110"/>
      <c r="D56" s="110"/>
      <c r="E56" s="110"/>
    </row>
    <row r="57" spans="1:5">
      <c r="A57" s="110" t="s">
        <v>171</v>
      </c>
      <c r="B57" s="110"/>
      <c r="C57" s="110"/>
      <c r="D57" s="110"/>
      <c r="E57" s="110"/>
    </row>
  </sheetData>
  <mergeCells count="47">
    <mergeCell ref="A1:E2"/>
    <mergeCell ref="A3:B5"/>
    <mergeCell ref="A6:B11"/>
    <mergeCell ref="C54:E54"/>
    <mergeCell ref="A17:E17"/>
    <mergeCell ref="A18:E20"/>
    <mergeCell ref="A21:E21"/>
    <mergeCell ref="D3:D5"/>
    <mergeCell ref="D6:D8"/>
    <mergeCell ref="D9:D11"/>
    <mergeCell ref="B27:C27"/>
    <mergeCell ref="B47:C47"/>
    <mergeCell ref="B49:C49"/>
    <mergeCell ref="B22:C22"/>
    <mergeCell ref="B23:C23"/>
    <mergeCell ref="B24:C24"/>
    <mergeCell ref="B25:C25"/>
    <mergeCell ref="B26:C26"/>
    <mergeCell ref="B48:C48"/>
    <mergeCell ref="B28:C28"/>
    <mergeCell ref="B41:C41"/>
    <mergeCell ref="B42:C42"/>
    <mergeCell ref="B43:C43"/>
    <mergeCell ref="B44:C44"/>
    <mergeCell ref="B45:C45"/>
    <mergeCell ref="B46:C46"/>
    <mergeCell ref="A12:B12"/>
    <mergeCell ref="A13:E13"/>
    <mergeCell ref="A14:E14"/>
    <mergeCell ref="A15:E15"/>
    <mergeCell ref="A16:E16"/>
    <mergeCell ref="A50:D50"/>
    <mergeCell ref="A55:E55"/>
    <mergeCell ref="A56:E56"/>
    <mergeCell ref="A57:E57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</mergeCells>
  <phoneticPr fontId="23" type="noConversion"/>
  <hyperlinks>
    <hyperlink ref="C8" r:id="rId1" xr:uid="{8D68689F-3AB7-4B6B-9E0B-10ECA9F0BDA3}"/>
  </hyperlinks>
  <pageMargins left="0.7" right="0.7" top="0.78740157499999996" bottom="0.78740157499999996" header="0.3" footer="0.3"/>
  <pageSetup paperSize="9" scale="94"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97BDE-27DD-413D-8174-5B10D9B95DFE}">
  <sheetPr>
    <pageSetUpPr fitToPage="1"/>
  </sheetPr>
  <dimension ref="A1:G116"/>
  <sheetViews>
    <sheetView zoomScaleNormal="100" workbookViewId="0">
      <selection sqref="A1:D1"/>
    </sheetView>
  </sheetViews>
  <sheetFormatPr baseColWidth="10" defaultColWidth="8.83203125" defaultRowHeight="13"/>
  <cols>
    <col min="1" max="1" width="7" style="1" customWidth="1"/>
    <col min="2" max="2" width="38.6640625" style="1" customWidth="1"/>
    <col min="3" max="3" width="10.1640625" style="1" customWidth="1"/>
    <col min="4" max="4" width="5.6640625" style="1" customWidth="1"/>
    <col min="5" max="5" width="15.5" style="1" customWidth="1"/>
    <col min="6" max="6" width="18.1640625" style="1" customWidth="1"/>
    <col min="7" max="7" width="21.5" style="1" bestFit="1" customWidth="1"/>
    <col min="8" max="8" width="9" style="1" bestFit="1" customWidth="1"/>
    <col min="9" max="9" width="8" style="1" bestFit="1" customWidth="1"/>
    <col min="10" max="10" width="5.83203125" style="1" bestFit="1" customWidth="1"/>
    <col min="11" max="16384" width="8.83203125" style="1"/>
  </cols>
  <sheetData>
    <row r="1" spans="1:7" ht="23.25" customHeight="1">
      <c r="A1" s="148" t="str">
        <f>'Krycí list CZK'!A17</f>
        <v>Novostavba logistické haly ANTRACIT, Město Touškov</v>
      </c>
      <c r="B1" s="149"/>
      <c r="C1" s="149"/>
      <c r="D1" s="149"/>
      <c r="E1" s="75" t="s">
        <v>3</v>
      </c>
      <c r="F1" s="76" t="s">
        <v>3</v>
      </c>
      <c r="G1" s="77"/>
    </row>
    <row r="2" spans="1:7" ht="15" customHeight="1">
      <c r="A2" s="150">
        <f>'Krycí list CZK'!C12</f>
        <v>0</v>
      </c>
      <c r="B2" s="151"/>
      <c r="C2" s="151"/>
      <c r="D2" s="151"/>
      <c r="E2" s="87"/>
      <c r="F2" s="88"/>
      <c r="G2" s="89"/>
    </row>
    <row r="3" spans="1:7" ht="15" customHeight="1">
      <c r="A3" s="152">
        <f ca="1">'Krycí list CZK'!E12</f>
        <v>45219</v>
      </c>
      <c r="B3" s="153"/>
      <c r="C3" s="153"/>
      <c r="D3" s="153"/>
      <c r="E3" s="80"/>
      <c r="F3" s="78"/>
      <c r="G3" s="79"/>
    </row>
    <row r="4" spans="1:7" ht="34.5" customHeight="1">
      <c r="A4" s="81" t="s">
        <v>4</v>
      </c>
      <c r="B4" s="2" t="s">
        <v>5</v>
      </c>
      <c r="C4" s="3" t="s">
        <v>6</v>
      </c>
      <c r="D4" s="4" t="s">
        <v>7</v>
      </c>
      <c r="E4" s="28" t="s">
        <v>8</v>
      </c>
      <c r="F4" s="3" t="s">
        <v>9</v>
      </c>
      <c r="G4" s="82" t="s">
        <v>10</v>
      </c>
    </row>
    <row r="5" spans="1:7" ht="20" customHeight="1">
      <c r="A5" s="83" t="s">
        <v>3</v>
      </c>
      <c r="B5" s="5" t="s">
        <v>11</v>
      </c>
      <c r="C5" s="6"/>
      <c r="D5" s="7"/>
      <c r="E5" s="29"/>
      <c r="F5" s="29"/>
      <c r="G5" s="84">
        <f>G6+G13+G24+G91</f>
        <v>0</v>
      </c>
    </row>
    <row r="6" spans="1:7" ht="18" customHeight="1">
      <c r="A6" s="34" t="s">
        <v>161</v>
      </c>
      <c r="B6" s="35" t="s">
        <v>26</v>
      </c>
      <c r="C6" s="36"/>
      <c r="D6" s="37"/>
      <c r="E6" s="38"/>
      <c r="F6" s="39"/>
      <c r="G6" s="60">
        <f>SUM(G7:G12)</f>
        <v>0</v>
      </c>
    </row>
    <row r="7" spans="1:7">
      <c r="A7" s="8" t="s">
        <v>57</v>
      </c>
      <c r="B7" s="9" t="s">
        <v>26</v>
      </c>
      <c r="C7" s="10" t="s">
        <v>3</v>
      </c>
      <c r="D7" s="11" t="s">
        <v>3</v>
      </c>
      <c r="E7" s="30" t="s">
        <v>3</v>
      </c>
      <c r="F7" s="30" t="s">
        <v>3</v>
      </c>
      <c r="G7" s="52">
        <f>SUM(F8:F12)</f>
        <v>0</v>
      </c>
    </row>
    <row r="8" spans="1:7">
      <c r="A8" s="47" t="s">
        <v>16</v>
      </c>
      <c r="B8" s="42" t="s">
        <v>97</v>
      </c>
      <c r="C8" s="45"/>
      <c r="D8" s="46" t="s">
        <v>12</v>
      </c>
      <c r="E8" s="62"/>
      <c r="F8" s="63">
        <f>C8*E8</f>
        <v>0</v>
      </c>
      <c r="G8" s="53"/>
    </row>
    <row r="9" spans="1:7">
      <c r="A9" s="47" t="s">
        <v>17</v>
      </c>
      <c r="B9" s="42" t="s">
        <v>75</v>
      </c>
      <c r="C9" s="45"/>
      <c r="D9" s="46" t="s">
        <v>12</v>
      </c>
      <c r="E9" s="62"/>
      <c r="F9" s="63">
        <f t="shared" ref="F9" si="0">C9*E9</f>
        <v>0</v>
      </c>
      <c r="G9" s="53"/>
    </row>
    <row r="10" spans="1:7">
      <c r="A10" s="47" t="s">
        <v>19</v>
      </c>
      <c r="B10" s="42" t="s">
        <v>18</v>
      </c>
      <c r="C10" s="45"/>
      <c r="D10" s="46" t="s">
        <v>12</v>
      </c>
      <c r="E10" s="62"/>
      <c r="F10" s="63">
        <f>C10*E10</f>
        <v>0</v>
      </c>
      <c r="G10" s="53"/>
    </row>
    <row r="11" spans="1:7">
      <c r="A11" s="47" t="s">
        <v>20</v>
      </c>
      <c r="B11" s="42" t="s">
        <v>165</v>
      </c>
      <c r="C11" s="45"/>
      <c r="D11" s="46" t="s">
        <v>12</v>
      </c>
      <c r="E11" s="62"/>
      <c r="F11" s="63">
        <f>C11*E11</f>
        <v>0</v>
      </c>
      <c r="G11" s="53"/>
    </row>
    <row r="12" spans="1:7">
      <c r="A12" s="47" t="s">
        <v>21</v>
      </c>
      <c r="B12" s="42" t="s">
        <v>87</v>
      </c>
      <c r="C12" s="45"/>
      <c r="D12" s="46" t="s">
        <v>12</v>
      </c>
      <c r="E12" s="62"/>
      <c r="F12" s="63">
        <f>C12*E12</f>
        <v>0</v>
      </c>
      <c r="G12" s="53"/>
    </row>
    <row r="13" spans="1:7">
      <c r="A13" s="34" t="s">
        <v>162</v>
      </c>
      <c r="B13" s="35" t="s">
        <v>135</v>
      </c>
      <c r="C13" s="36"/>
      <c r="D13" s="37"/>
      <c r="E13" s="38"/>
      <c r="F13" s="39"/>
      <c r="G13" s="60">
        <f>SUM(G14:G23)</f>
        <v>0</v>
      </c>
    </row>
    <row r="14" spans="1:7">
      <c r="A14" s="12" t="s">
        <v>163</v>
      </c>
      <c r="B14" s="13" t="s">
        <v>90</v>
      </c>
      <c r="C14" s="14"/>
      <c r="D14" s="15"/>
      <c r="E14" s="31"/>
      <c r="F14" s="40"/>
      <c r="G14" s="56">
        <f>SUM(F15:F17)</f>
        <v>0</v>
      </c>
    </row>
    <row r="15" spans="1:7">
      <c r="A15" s="47" t="s">
        <v>16</v>
      </c>
      <c r="B15" s="42" t="s">
        <v>66</v>
      </c>
      <c r="C15" s="45"/>
      <c r="D15" s="46" t="s">
        <v>23</v>
      </c>
      <c r="E15" s="62"/>
      <c r="F15" s="63">
        <f>C15*E15</f>
        <v>0</v>
      </c>
      <c r="G15" s="53"/>
    </row>
    <row r="16" spans="1:7">
      <c r="A16" s="47" t="s">
        <v>17</v>
      </c>
      <c r="B16" s="42" t="s">
        <v>106</v>
      </c>
      <c r="C16" s="45"/>
      <c r="D16" s="46" t="s">
        <v>23</v>
      </c>
      <c r="E16" s="62"/>
      <c r="F16" s="63">
        <f>C16*E16</f>
        <v>0</v>
      </c>
      <c r="G16" s="53"/>
    </row>
    <row r="17" spans="1:7">
      <c r="A17" s="47" t="s">
        <v>19</v>
      </c>
      <c r="B17" s="42" t="s">
        <v>55</v>
      </c>
      <c r="C17" s="45"/>
      <c r="D17" s="46" t="s">
        <v>25</v>
      </c>
      <c r="E17" s="62"/>
      <c r="F17" s="63">
        <f>C17*E17</f>
        <v>0</v>
      </c>
      <c r="G17" s="53"/>
    </row>
    <row r="18" spans="1:7">
      <c r="A18" s="12" t="s">
        <v>164</v>
      </c>
      <c r="B18" s="13" t="s">
        <v>88</v>
      </c>
      <c r="C18" s="14"/>
      <c r="D18" s="15"/>
      <c r="E18" s="31"/>
      <c r="F18" s="40"/>
      <c r="G18" s="56">
        <f>SUM(F19:F23)</f>
        <v>0</v>
      </c>
    </row>
    <row r="19" spans="1:7">
      <c r="A19" s="47" t="s">
        <v>16</v>
      </c>
      <c r="B19" s="42" t="s">
        <v>114</v>
      </c>
      <c r="C19" s="45"/>
      <c r="D19" s="46" t="s">
        <v>25</v>
      </c>
      <c r="E19" s="62"/>
      <c r="F19" s="63">
        <f>C19*E19</f>
        <v>0</v>
      </c>
      <c r="G19" s="53"/>
    </row>
    <row r="20" spans="1:7">
      <c r="A20" s="47" t="s">
        <v>17</v>
      </c>
      <c r="B20" s="42" t="s">
        <v>115</v>
      </c>
      <c r="C20" s="45"/>
      <c r="D20" s="46" t="s">
        <v>12</v>
      </c>
      <c r="E20" s="62"/>
      <c r="F20" s="63">
        <f t="shared" ref="F20:F21" si="1">C20*E20</f>
        <v>0</v>
      </c>
      <c r="G20" s="53"/>
    </row>
    <row r="21" spans="1:7">
      <c r="A21" s="47" t="s">
        <v>19</v>
      </c>
      <c r="B21" s="42" t="s">
        <v>116</v>
      </c>
      <c r="C21" s="45"/>
      <c r="D21" s="46" t="s">
        <v>23</v>
      </c>
      <c r="E21" s="62"/>
      <c r="F21" s="63">
        <f t="shared" si="1"/>
        <v>0</v>
      </c>
      <c r="G21" s="53"/>
    </row>
    <row r="22" spans="1:7" ht="24">
      <c r="A22" s="47" t="s">
        <v>20</v>
      </c>
      <c r="B22" s="90" t="s">
        <v>117</v>
      </c>
      <c r="C22" s="45"/>
      <c r="D22" s="46" t="s">
        <v>23</v>
      </c>
      <c r="E22" s="62"/>
      <c r="F22" s="63">
        <f>C22*E22</f>
        <v>0</v>
      </c>
      <c r="G22" s="53"/>
    </row>
    <row r="23" spans="1:7">
      <c r="A23" s="47" t="s">
        <v>21</v>
      </c>
      <c r="B23" s="42" t="s">
        <v>166</v>
      </c>
      <c r="C23" s="45"/>
      <c r="D23" s="46" t="s">
        <v>23</v>
      </c>
      <c r="E23" s="62"/>
      <c r="F23" s="63">
        <f>C23*E23</f>
        <v>0</v>
      </c>
      <c r="G23" s="53"/>
    </row>
    <row r="24" spans="1:7">
      <c r="A24" s="34" t="s">
        <v>143</v>
      </c>
      <c r="B24" s="35" t="s">
        <v>80</v>
      </c>
      <c r="C24" s="36"/>
      <c r="D24" s="37"/>
      <c r="E24" s="38"/>
      <c r="F24" s="39"/>
      <c r="G24" s="60">
        <f>SUM(G25:G90)</f>
        <v>0</v>
      </c>
    </row>
    <row r="25" spans="1:7">
      <c r="A25" s="12" t="s">
        <v>144</v>
      </c>
      <c r="B25" s="13" t="s">
        <v>15</v>
      </c>
      <c r="C25" s="14"/>
      <c r="D25" s="15"/>
      <c r="E25" s="31"/>
      <c r="F25" s="40"/>
      <c r="G25" s="56">
        <f>SUM(F26:F28)</f>
        <v>0</v>
      </c>
    </row>
    <row r="26" spans="1:7">
      <c r="A26" s="47" t="s">
        <v>16</v>
      </c>
      <c r="B26" s="42" t="s">
        <v>66</v>
      </c>
      <c r="C26" s="45"/>
      <c r="D26" s="46" t="s">
        <v>23</v>
      </c>
      <c r="E26" s="62"/>
      <c r="F26" s="63">
        <f>C26*E26</f>
        <v>0</v>
      </c>
      <c r="G26" s="53"/>
    </row>
    <row r="27" spans="1:7">
      <c r="A27" s="47" t="s">
        <v>17</v>
      </c>
      <c r="B27" s="42" t="s">
        <v>106</v>
      </c>
      <c r="C27" s="45"/>
      <c r="D27" s="46" t="s">
        <v>23</v>
      </c>
      <c r="E27" s="62"/>
      <c r="F27" s="63">
        <f>C27*E27</f>
        <v>0</v>
      </c>
      <c r="G27" s="53"/>
    </row>
    <row r="28" spans="1:7">
      <c r="A28" s="47" t="s">
        <v>19</v>
      </c>
      <c r="B28" s="42" t="s">
        <v>55</v>
      </c>
      <c r="C28" s="45"/>
      <c r="D28" s="46" t="s">
        <v>25</v>
      </c>
      <c r="E28" s="62"/>
      <c r="F28" s="63">
        <f>C28*E28</f>
        <v>0</v>
      </c>
      <c r="G28" s="53"/>
    </row>
    <row r="29" spans="1:7">
      <c r="A29" s="17" t="s">
        <v>145</v>
      </c>
      <c r="B29" s="18" t="s">
        <v>27</v>
      </c>
      <c r="C29" s="19"/>
      <c r="D29" s="20"/>
      <c r="E29" s="32"/>
      <c r="F29" s="41"/>
      <c r="G29" s="52">
        <f>SUM(F30:F32)</f>
        <v>0</v>
      </c>
    </row>
    <row r="30" spans="1:7">
      <c r="A30" s="47" t="s">
        <v>16</v>
      </c>
      <c r="B30" s="42" t="s">
        <v>38</v>
      </c>
      <c r="C30" s="43"/>
      <c r="D30" s="44" t="s">
        <v>24</v>
      </c>
      <c r="E30" s="62"/>
      <c r="F30" s="63">
        <f>C30*E30</f>
        <v>0</v>
      </c>
      <c r="G30" s="53"/>
    </row>
    <row r="31" spans="1:7">
      <c r="A31" s="47" t="s">
        <v>17</v>
      </c>
      <c r="B31" s="42" t="s">
        <v>74</v>
      </c>
      <c r="C31" s="43"/>
      <c r="D31" s="44" t="s">
        <v>23</v>
      </c>
      <c r="E31" s="62"/>
      <c r="F31" s="63">
        <f>C31*E31</f>
        <v>0</v>
      </c>
      <c r="G31" s="53"/>
    </row>
    <row r="32" spans="1:7">
      <c r="A32" s="47" t="s">
        <v>19</v>
      </c>
      <c r="B32" s="42" t="s">
        <v>105</v>
      </c>
      <c r="C32" s="45"/>
      <c r="D32" s="46" t="s">
        <v>25</v>
      </c>
      <c r="E32" s="62"/>
      <c r="F32" s="63">
        <f>C32*E32</f>
        <v>0</v>
      </c>
      <c r="G32" s="53"/>
    </row>
    <row r="33" spans="1:7">
      <c r="A33" s="17" t="s">
        <v>146</v>
      </c>
      <c r="B33" s="18" t="s">
        <v>28</v>
      </c>
      <c r="C33" s="19"/>
      <c r="D33" s="20"/>
      <c r="E33" s="50"/>
      <c r="F33" s="51"/>
      <c r="G33" s="52">
        <f>SUM(F34:F39)</f>
        <v>0</v>
      </c>
    </row>
    <row r="34" spans="1:7">
      <c r="A34" s="47" t="s">
        <v>16</v>
      </c>
      <c r="B34" s="42" t="s">
        <v>98</v>
      </c>
      <c r="C34" s="43"/>
      <c r="D34" s="44" t="s">
        <v>12</v>
      </c>
      <c r="E34" s="62"/>
      <c r="F34" s="63">
        <f t="shared" ref="F34:F38" si="2">C34*E34</f>
        <v>0</v>
      </c>
      <c r="G34" s="57"/>
    </row>
    <row r="35" spans="1:7">
      <c r="A35" s="47" t="s">
        <v>17</v>
      </c>
      <c r="B35" s="42" t="s">
        <v>99</v>
      </c>
      <c r="C35" s="43"/>
      <c r="D35" s="44" t="s">
        <v>12</v>
      </c>
      <c r="E35" s="62"/>
      <c r="F35" s="63">
        <f t="shared" si="2"/>
        <v>0</v>
      </c>
      <c r="G35" s="57"/>
    </row>
    <row r="36" spans="1:7">
      <c r="A36" s="47" t="s">
        <v>19</v>
      </c>
      <c r="B36" s="42" t="s">
        <v>100</v>
      </c>
      <c r="C36" s="43"/>
      <c r="D36" s="44" t="s">
        <v>12</v>
      </c>
      <c r="E36" s="62"/>
      <c r="F36" s="63">
        <f t="shared" si="2"/>
        <v>0</v>
      </c>
      <c r="G36" s="57"/>
    </row>
    <row r="37" spans="1:7">
      <c r="A37" s="47" t="s">
        <v>20</v>
      </c>
      <c r="B37" s="42" t="s">
        <v>102</v>
      </c>
      <c r="C37" s="43"/>
      <c r="D37" s="44" t="s">
        <v>12</v>
      </c>
      <c r="E37" s="62"/>
      <c r="F37" s="63">
        <f t="shared" si="2"/>
        <v>0</v>
      </c>
      <c r="G37" s="57"/>
    </row>
    <row r="38" spans="1:7">
      <c r="A38" s="47" t="s">
        <v>21</v>
      </c>
      <c r="B38" s="42" t="s">
        <v>101</v>
      </c>
      <c r="C38" s="43"/>
      <c r="D38" s="44" t="s">
        <v>12</v>
      </c>
      <c r="E38" s="62"/>
      <c r="F38" s="63">
        <f t="shared" si="2"/>
        <v>0</v>
      </c>
      <c r="G38" s="57"/>
    </row>
    <row r="39" spans="1:7">
      <c r="A39" s="47" t="s">
        <v>22</v>
      </c>
      <c r="B39" s="42" t="s">
        <v>167</v>
      </c>
      <c r="C39" s="43"/>
      <c r="D39" s="44" t="s">
        <v>23</v>
      </c>
      <c r="E39" s="62"/>
      <c r="F39" s="63">
        <f>C39*E39</f>
        <v>0</v>
      </c>
      <c r="G39" s="53"/>
    </row>
    <row r="40" spans="1:7">
      <c r="A40" s="17" t="s">
        <v>147</v>
      </c>
      <c r="B40" s="18" t="s">
        <v>29</v>
      </c>
      <c r="C40" s="19"/>
      <c r="D40" s="20"/>
      <c r="E40" s="50"/>
      <c r="F40" s="51"/>
      <c r="G40" s="52">
        <f>SUM(F41:F42)</f>
        <v>0</v>
      </c>
    </row>
    <row r="41" spans="1:7">
      <c r="A41" s="47" t="s">
        <v>16</v>
      </c>
      <c r="B41" s="42" t="s">
        <v>81</v>
      </c>
      <c r="C41" s="43"/>
      <c r="D41" s="44" t="s">
        <v>25</v>
      </c>
      <c r="E41" s="62"/>
      <c r="F41" s="63">
        <f>C41*E41</f>
        <v>0</v>
      </c>
      <c r="G41" s="57"/>
    </row>
    <row r="42" spans="1:7">
      <c r="A42" s="47" t="s">
        <v>17</v>
      </c>
      <c r="B42" s="49" t="s">
        <v>111</v>
      </c>
      <c r="C42" s="43"/>
      <c r="D42" s="44" t="s">
        <v>25</v>
      </c>
      <c r="E42" s="62"/>
      <c r="F42" s="63">
        <f>C42*E42</f>
        <v>0</v>
      </c>
      <c r="G42" s="57"/>
    </row>
    <row r="43" spans="1:7">
      <c r="A43" s="21" t="s">
        <v>148</v>
      </c>
      <c r="B43" s="22" t="s">
        <v>30</v>
      </c>
      <c r="C43" s="23"/>
      <c r="D43" s="24"/>
      <c r="E43" s="54"/>
      <c r="F43" s="55"/>
      <c r="G43" s="56">
        <f>SUM(F44:F46)</f>
        <v>0</v>
      </c>
    </row>
    <row r="44" spans="1:7">
      <c r="A44" s="47" t="s">
        <v>16</v>
      </c>
      <c r="B44" s="42" t="s">
        <v>108</v>
      </c>
      <c r="C44" s="43"/>
      <c r="D44" s="44" t="s">
        <v>25</v>
      </c>
      <c r="E44" s="62"/>
      <c r="F44" s="63">
        <f>C44*E44</f>
        <v>0</v>
      </c>
      <c r="G44" s="57"/>
    </row>
    <row r="45" spans="1:7">
      <c r="A45" s="47" t="s">
        <v>17</v>
      </c>
      <c r="B45" s="42" t="s">
        <v>31</v>
      </c>
      <c r="C45" s="43"/>
      <c r="D45" s="44" t="s">
        <v>107</v>
      </c>
      <c r="E45" s="62"/>
      <c r="F45" s="63">
        <f>C45*E45</f>
        <v>0</v>
      </c>
      <c r="G45" s="57"/>
    </row>
    <row r="46" spans="1:7">
      <c r="A46" s="47" t="s">
        <v>19</v>
      </c>
      <c r="B46" s="42" t="s">
        <v>32</v>
      </c>
      <c r="C46" s="43"/>
      <c r="D46" s="44" t="s">
        <v>12</v>
      </c>
      <c r="E46" s="62"/>
      <c r="F46" s="63">
        <f>C46*E46</f>
        <v>0</v>
      </c>
      <c r="G46" s="57"/>
    </row>
    <row r="47" spans="1:7">
      <c r="A47" s="21" t="s">
        <v>159</v>
      </c>
      <c r="B47" s="22" t="s">
        <v>36</v>
      </c>
      <c r="C47" s="23"/>
      <c r="D47" s="24"/>
      <c r="E47" s="54"/>
      <c r="F47" s="55"/>
      <c r="G47" s="56">
        <f>SUM(F48:F53)</f>
        <v>0</v>
      </c>
    </row>
    <row r="48" spans="1:7">
      <c r="A48" s="47" t="s">
        <v>16</v>
      </c>
      <c r="B48" s="42" t="s">
        <v>65</v>
      </c>
      <c r="C48" s="43"/>
      <c r="D48" s="44" t="s">
        <v>24</v>
      </c>
      <c r="E48" s="62"/>
      <c r="F48" s="63">
        <f t="shared" ref="F48:F53" si="3">C48*E48</f>
        <v>0</v>
      </c>
      <c r="G48" s="57"/>
    </row>
    <row r="49" spans="1:7">
      <c r="A49" s="47" t="s">
        <v>17</v>
      </c>
      <c r="B49" s="90" t="s">
        <v>85</v>
      </c>
      <c r="C49" s="43"/>
      <c r="D49" s="44" t="s">
        <v>24</v>
      </c>
      <c r="E49" s="62"/>
      <c r="F49" s="63">
        <f>C49*E49</f>
        <v>0</v>
      </c>
      <c r="G49" s="57"/>
    </row>
    <row r="50" spans="1:7">
      <c r="A50" s="47" t="s">
        <v>19</v>
      </c>
      <c r="B50" s="90" t="s">
        <v>83</v>
      </c>
      <c r="C50" s="43"/>
      <c r="D50" s="44" t="s">
        <v>24</v>
      </c>
      <c r="E50" s="62"/>
      <c r="F50" s="63">
        <f>C50*E50</f>
        <v>0</v>
      </c>
      <c r="G50" s="57"/>
    </row>
    <row r="51" spans="1:7">
      <c r="A51" s="47" t="s">
        <v>20</v>
      </c>
      <c r="B51" s="42" t="s">
        <v>77</v>
      </c>
      <c r="C51" s="43"/>
      <c r="D51" s="44" t="s">
        <v>24</v>
      </c>
      <c r="E51" s="62"/>
      <c r="F51" s="63">
        <f t="shared" si="3"/>
        <v>0</v>
      </c>
      <c r="G51" s="57"/>
    </row>
    <row r="52" spans="1:7">
      <c r="A52" s="47" t="s">
        <v>21</v>
      </c>
      <c r="B52" s="42" t="s">
        <v>63</v>
      </c>
      <c r="C52" s="43"/>
      <c r="D52" s="44" t="s">
        <v>24</v>
      </c>
      <c r="E52" s="62"/>
      <c r="F52" s="63">
        <f t="shared" si="3"/>
        <v>0</v>
      </c>
      <c r="G52" s="57"/>
    </row>
    <row r="53" spans="1:7">
      <c r="A53" s="47" t="s">
        <v>22</v>
      </c>
      <c r="B53" s="42" t="s">
        <v>82</v>
      </c>
      <c r="C53" s="43"/>
      <c r="D53" s="44" t="s">
        <v>25</v>
      </c>
      <c r="E53" s="62"/>
      <c r="F53" s="63">
        <f t="shared" si="3"/>
        <v>0</v>
      </c>
      <c r="G53" s="57"/>
    </row>
    <row r="54" spans="1:7">
      <c r="A54" s="12" t="s">
        <v>149</v>
      </c>
      <c r="B54" s="13" t="s">
        <v>67</v>
      </c>
      <c r="C54" s="14"/>
      <c r="D54" s="16"/>
      <c r="E54" s="58"/>
      <c r="F54" s="59"/>
      <c r="G54" s="56">
        <f>SUM(F55:F59)</f>
        <v>0</v>
      </c>
    </row>
    <row r="55" spans="1:7">
      <c r="A55" s="47" t="s">
        <v>16</v>
      </c>
      <c r="B55" s="42" t="s">
        <v>104</v>
      </c>
      <c r="C55" s="43"/>
      <c r="D55" s="44" t="s">
        <v>25</v>
      </c>
      <c r="E55" s="62"/>
      <c r="F55" s="63">
        <f t="shared" ref="F55:F59" si="4">C55*E55</f>
        <v>0</v>
      </c>
      <c r="G55" s="57"/>
    </row>
    <row r="56" spans="1:7">
      <c r="A56" s="47" t="s">
        <v>17</v>
      </c>
      <c r="B56" s="42" t="s">
        <v>78</v>
      </c>
      <c r="C56" s="43"/>
      <c r="D56" s="44" t="s">
        <v>25</v>
      </c>
      <c r="E56" s="62"/>
      <c r="F56" s="63">
        <f t="shared" si="4"/>
        <v>0</v>
      </c>
      <c r="G56" s="57"/>
    </row>
    <row r="57" spans="1:7">
      <c r="A57" s="47" t="s">
        <v>19</v>
      </c>
      <c r="B57" s="42" t="s">
        <v>33</v>
      </c>
      <c r="C57" s="43"/>
      <c r="D57" s="44" t="s">
        <v>12</v>
      </c>
      <c r="E57" s="62"/>
      <c r="F57" s="63">
        <f t="shared" si="4"/>
        <v>0</v>
      </c>
      <c r="G57" s="57"/>
    </row>
    <row r="58" spans="1:7">
      <c r="A58" s="47" t="s">
        <v>20</v>
      </c>
      <c r="B58" s="42" t="s">
        <v>103</v>
      </c>
      <c r="C58" s="43"/>
      <c r="D58" s="44" t="s">
        <v>24</v>
      </c>
      <c r="E58" s="62"/>
      <c r="F58" s="63">
        <f t="shared" si="4"/>
        <v>0</v>
      </c>
      <c r="G58" s="57"/>
    </row>
    <row r="59" spans="1:7">
      <c r="A59" s="47" t="s">
        <v>21</v>
      </c>
      <c r="B59" s="42" t="s">
        <v>31</v>
      </c>
      <c r="C59" s="43"/>
      <c r="D59" s="44" t="s">
        <v>107</v>
      </c>
      <c r="E59" s="62"/>
      <c r="F59" s="63">
        <f t="shared" si="4"/>
        <v>0</v>
      </c>
      <c r="G59" s="57"/>
    </row>
    <row r="60" spans="1:7">
      <c r="A60" s="21" t="s">
        <v>150</v>
      </c>
      <c r="B60" s="22" t="s">
        <v>0</v>
      </c>
      <c r="C60" s="23"/>
      <c r="D60" s="24"/>
      <c r="E60" s="54"/>
      <c r="F60" s="55"/>
      <c r="G60" s="56">
        <f>SUM(F61:F61)</f>
        <v>0</v>
      </c>
    </row>
    <row r="61" spans="1:7">
      <c r="A61" s="47" t="s">
        <v>16</v>
      </c>
      <c r="B61" s="42" t="s">
        <v>0</v>
      </c>
      <c r="C61" s="43"/>
      <c r="D61" s="44" t="s">
        <v>12</v>
      </c>
      <c r="E61" s="62"/>
      <c r="F61" s="63">
        <f>C61*E61</f>
        <v>0</v>
      </c>
      <c r="G61" s="57"/>
    </row>
    <row r="62" spans="1:7">
      <c r="A62" s="12" t="s">
        <v>151</v>
      </c>
      <c r="B62" s="13" t="s">
        <v>14</v>
      </c>
      <c r="C62" s="14"/>
      <c r="D62" s="16"/>
      <c r="E62" s="58"/>
      <c r="F62" s="59"/>
      <c r="G62" s="56">
        <f>SUM(F63:F63)</f>
        <v>0</v>
      </c>
    </row>
    <row r="63" spans="1:7">
      <c r="A63" s="47" t="s">
        <v>16</v>
      </c>
      <c r="B63" s="42" t="s">
        <v>35</v>
      </c>
      <c r="C63" s="43"/>
      <c r="D63" s="44" t="s">
        <v>12</v>
      </c>
      <c r="E63" s="62"/>
      <c r="F63" s="63">
        <f>C63*E63</f>
        <v>0</v>
      </c>
      <c r="G63" s="57"/>
    </row>
    <row r="64" spans="1:7">
      <c r="A64" s="12" t="s">
        <v>152</v>
      </c>
      <c r="B64" s="13" t="s">
        <v>73</v>
      </c>
      <c r="C64" s="14"/>
      <c r="D64" s="16"/>
      <c r="E64" s="58"/>
      <c r="F64" s="59"/>
      <c r="G64" s="56">
        <f>SUM(F65:F67)</f>
        <v>0</v>
      </c>
    </row>
    <row r="65" spans="1:7">
      <c r="A65" s="47" t="s">
        <v>16</v>
      </c>
      <c r="B65" s="42" t="s">
        <v>109</v>
      </c>
      <c r="C65" s="43"/>
      <c r="D65" s="44" t="s">
        <v>24</v>
      </c>
      <c r="E65" s="62"/>
      <c r="F65" s="63">
        <f t="shared" ref="F65" si="5">C65*E65</f>
        <v>0</v>
      </c>
      <c r="G65" s="57"/>
    </row>
    <row r="66" spans="1:7" ht="24">
      <c r="A66" s="91" t="s">
        <v>17</v>
      </c>
      <c r="B66" s="90" t="s">
        <v>86</v>
      </c>
      <c r="C66" s="43"/>
      <c r="D66" s="44" t="s">
        <v>24</v>
      </c>
      <c r="E66" s="62"/>
      <c r="F66" s="63">
        <f t="shared" ref="F66" si="6">C66*E66</f>
        <v>0</v>
      </c>
      <c r="G66" s="57"/>
    </row>
    <row r="67" spans="1:7">
      <c r="A67" s="47" t="s">
        <v>19</v>
      </c>
      <c r="B67" s="42" t="s">
        <v>37</v>
      </c>
      <c r="C67" s="43"/>
      <c r="D67" s="44" t="s">
        <v>107</v>
      </c>
      <c r="E67" s="62"/>
      <c r="F67" s="63">
        <f t="shared" ref="F67" si="7">C67*E67</f>
        <v>0</v>
      </c>
      <c r="G67" s="57"/>
    </row>
    <row r="68" spans="1:7">
      <c r="A68" s="12" t="s">
        <v>153</v>
      </c>
      <c r="B68" s="13" t="s">
        <v>52</v>
      </c>
      <c r="C68" s="14"/>
      <c r="D68" s="16"/>
      <c r="E68" s="58"/>
      <c r="F68" s="59"/>
      <c r="G68" s="56">
        <f>SUM(F69:F73)</f>
        <v>0</v>
      </c>
    </row>
    <row r="69" spans="1:7">
      <c r="A69" s="47" t="s">
        <v>16</v>
      </c>
      <c r="B69" s="42" t="s">
        <v>120</v>
      </c>
      <c r="C69" s="43"/>
      <c r="D69" s="44" t="s">
        <v>25</v>
      </c>
      <c r="E69" s="62"/>
      <c r="F69" s="63">
        <f t="shared" ref="F69" si="8">C69*E69</f>
        <v>0</v>
      </c>
      <c r="G69" s="57"/>
    </row>
    <row r="70" spans="1:7">
      <c r="A70" s="47" t="s">
        <v>17</v>
      </c>
      <c r="B70" s="42" t="s">
        <v>2</v>
      </c>
      <c r="C70" s="43"/>
      <c r="D70" s="44" t="s">
        <v>12</v>
      </c>
      <c r="E70" s="62"/>
      <c r="F70" s="63">
        <f>C70*E70</f>
        <v>0</v>
      </c>
      <c r="G70" s="57"/>
    </row>
    <row r="71" spans="1:7">
      <c r="A71" s="47" t="s">
        <v>19</v>
      </c>
      <c r="B71" s="42" t="s">
        <v>121</v>
      </c>
      <c r="C71" s="43"/>
      <c r="D71" s="44" t="s">
        <v>12</v>
      </c>
      <c r="E71" s="62"/>
      <c r="F71" s="63">
        <f>C71*E71</f>
        <v>0</v>
      </c>
      <c r="G71" s="57"/>
    </row>
    <row r="72" spans="1:7">
      <c r="A72" s="47" t="s">
        <v>20</v>
      </c>
      <c r="B72" s="42" t="s">
        <v>84</v>
      </c>
      <c r="C72" s="43"/>
      <c r="D72" s="44" t="s">
        <v>12</v>
      </c>
      <c r="E72" s="62"/>
      <c r="F72" s="63">
        <f>C72*E72</f>
        <v>0</v>
      </c>
      <c r="G72" s="57"/>
    </row>
    <row r="73" spans="1:7">
      <c r="A73" s="47" t="s">
        <v>21</v>
      </c>
      <c r="B73" s="42" t="s">
        <v>79</v>
      </c>
      <c r="C73" s="43"/>
      <c r="D73" s="44" t="s">
        <v>12</v>
      </c>
      <c r="E73" s="62"/>
      <c r="F73" s="63">
        <f>C73*E73</f>
        <v>0</v>
      </c>
      <c r="G73" s="57"/>
    </row>
    <row r="74" spans="1:7">
      <c r="A74" s="12" t="s">
        <v>154</v>
      </c>
      <c r="B74" s="13" t="s">
        <v>13</v>
      </c>
      <c r="C74" s="14"/>
      <c r="D74" s="16"/>
      <c r="E74" s="58"/>
      <c r="F74" s="59"/>
      <c r="G74" s="56">
        <f>SUM(F75:F80)</f>
        <v>0</v>
      </c>
    </row>
    <row r="75" spans="1:7">
      <c r="A75" s="47" t="s">
        <v>16</v>
      </c>
      <c r="B75" s="42" t="s">
        <v>58</v>
      </c>
      <c r="C75" s="43"/>
      <c r="D75" s="44" t="s">
        <v>25</v>
      </c>
      <c r="E75" s="62"/>
      <c r="F75" s="63">
        <f t="shared" ref="F75:F79" si="9">C75*E75</f>
        <v>0</v>
      </c>
      <c r="G75" s="57"/>
    </row>
    <row r="76" spans="1:7">
      <c r="A76" s="47" t="s">
        <v>17</v>
      </c>
      <c r="B76" s="42" t="s">
        <v>110</v>
      </c>
      <c r="C76" s="43"/>
      <c r="D76" s="44" t="s">
        <v>25</v>
      </c>
      <c r="E76" s="62"/>
      <c r="F76" s="63">
        <f t="shared" ref="F76" si="10">C76*E76</f>
        <v>0</v>
      </c>
      <c r="G76" s="57"/>
    </row>
    <row r="77" spans="1:7">
      <c r="A77" s="47" t="s">
        <v>19</v>
      </c>
      <c r="B77" s="42" t="s">
        <v>118</v>
      </c>
      <c r="C77" s="43"/>
      <c r="D77" s="44" t="s">
        <v>24</v>
      </c>
      <c r="E77" s="62"/>
      <c r="F77" s="63">
        <f t="shared" ref="F77" si="11">C77*E77</f>
        <v>0</v>
      </c>
      <c r="G77" s="57"/>
    </row>
    <row r="78" spans="1:7">
      <c r="A78" s="47" t="s">
        <v>20</v>
      </c>
      <c r="B78" s="42" t="s">
        <v>119</v>
      </c>
      <c r="C78" s="43"/>
      <c r="D78" s="44" t="s">
        <v>24</v>
      </c>
      <c r="E78" s="62"/>
      <c r="F78" s="63">
        <f t="shared" ref="F78" si="12">C78*E78</f>
        <v>0</v>
      </c>
      <c r="G78" s="57"/>
    </row>
    <row r="79" spans="1:7">
      <c r="A79" s="47" t="s">
        <v>21</v>
      </c>
      <c r="B79" s="42" t="s">
        <v>168</v>
      </c>
      <c r="C79" s="43"/>
      <c r="D79" s="44" t="s">
        <v>24</v>
      </c>
      <c r="E79" s="62"/>
      <c r="F79" s="63">
        <f t="shared" si="9"/>
        <v>0</v>
      </c>
      <c r="G79" s="57"/>
    </row>
    <row r="80" spans="1:7">
      <c r="A80" s="47" t="s">
        <v>22</v>
      </c>
      <c r="B80" s="42" t="s">
        <v>34</v>
      </c>
      <c r="C80" s="43"/>
      <c r="D80" s="44" t="s">
        <v>24</v>
      </c>
      <c r="E80" s="62"/>
      <c r="F80" s="63">
        <f>C80*E80</f>
        <v>0</v>
      </c>
      <c r="G80" s="57"/>
    </row>
    <row r="81" spans="1:7">
      <c r="A81" s="12" t="s">
        <v>155</v>
      </c>
      <c r="B81" s="13" t="s">
        <v>53</v>
      </c>
      <c r="C81" s="14"/>
      <c r="D81" s="16"/>
      <c r="E81" s="58"/>
      <c r="F81" s="59"/>
      <c r="G81" s="56">
        <f>SUM(F82:F84)</f>
        <v>0</v>
      </c>
    </row>
    <row r="82" spans="1:7">
      <c r="A82" s="47" t="s">
        <v>16</v>
      </c>
      <c r="B82" s="42" t="s">
        <v>2</v>
      </c>
      <c r="C82" s="43"/>
      <c r="D82" s="44" t="s">
        <v>12</v>
      </c>
      <c r="E82" s="62"/>
      <c r="F82" s="63">
        <f>C82*E82</f>
        <v>0</v>
      </c>
      <c r="G82" s="57"/>
    </row>
    <row r="83" spans="1:7">
      <c r="A83" s="47" t="s">
        <v>17</v>
      </c>
      <c r="B83" s="42" t="s">
        <v>64</v>
      </c>
      <c r="C83" s="43"/>
      <c r="D83" s="44" t="s">
        <v>12</v>
      </c>
      <c r="E83" s="62"/>
      <c r="F83" s="63">
        <f>C83*E83</f>
        <v>0</v>
      </c>
      <c r="G83" s="57"/>
    </row>
    <row r="84" spans="1:7">
      <c r="A84" s="47" t="s">
        <v>19</v>
      </c>
      <c r="B84" s="42" t="s">
        <v>84</v>
      </c>
      <c r="C84" s="43"/>
      <c r="D84" s="44" t="s">
        <v>12</v>
      </c>
      <c r="E84" s="62"/>
      <c r="F84" s="63">
        <f>C84*E84</f>
        <v>0</v>
      </c>
      <c r="G84" s="57"/>
    </row>
    <row r="85" spans="1:7">
      <c r="A85" s="12" t="s">
        <v>156</v>
      </c>
      <c r="B85" s="13" t="s">
        <v>79</v>
      </c>
      <c r="C85" s="14"/>
      <c r="D85" s="16"/>
      <c r="E85" s="58"/>
      <c r="F85" s="59"/>
      <c r="G85" s="56">
        <f>SUM(F86)</f>
        <v>0</v>
      </c>
    </row>
    <row r="86" spans="1:7">
      <c r="A86" s="47" t="s">
        <v>16</v>
      </c>
      <c r="B86" s="42" t="s">
        <v>54</v>
      </c>
      <c r="C86" s="43"/>
      <c r="D86" s="44" t="s">
        <v>12</v>
      </c>
      <c r="E86" s="62"/>
      <c r="F86" s="63">
        <f>C86*E86</f>
        <v>0</v>
      </c>
      <c r="G86" s="57"/>
    </row>
    <row r="87" spans="1:7">
      <c r="A87" s="12" t="s">
        <v>157</v>
      </c>
      <c r="B87" s="13" t="s">
        <v>89</v>
      </c>
      <c r="C87" s="14"/>
      <c r="D87" s="16"/>
      <c r="E87" s="58"/>
      <c r="F87" s="59"/>
      <c r="G87" s="56">
        <f>SUM(F88)</f>
        <v>0</v>
      </c>
    </row>
    <row r="88" spans="1:7">
      <c r="A88" s="47" t="s">
        <v>16</v>
      </c>
      <c r="B88" s="42" t="s">
        <v>89</v>
      </c>
      <c r="C88" s="43"/>
      <c r="D88" s="44" t="s">
        <v>12</v>
      </c>
      <c r="E88" s="62"/>
      <c r="F88" s="63">
        <f t="shared" ref="F88" si="13">C88*E88</f>
        <v>0</v>
      </c>
      <c r="G88" s="57"/>
    </row>
    <row r="89" spans="1:7">
      <c r="A89" s="12" t="s">
        <v>158</v>
      </c>
      <c r="B89" s="13" t="s">
        <v>1</v>
      </c>
      <c r="C89" s="14"/>
      <c r="D89" s="16"/>
      <c r="E89" s="58"/>
      <c r="F89" s="59"/>
      <c r="G89" s="56">
        <f>SUM(F90:F90)</f>
        <v>0</v>
      </c>
    </row>
    <row r="90" spans="1:7">
      <c r="A90" s="47" t="s">
        <v>16</v>
      </c>
      <c r="B90" s="42" t="s">
        <v>1</v>
      </c>
      <c r="C90" s="43"/>
      <c r="D90" s="44" t="s">
        <v>12</v>
      </c>
      <c r="E90" s="62"/>
      <c r="F90" s="63">
        <f>C90*E90</f>
        <v>0</v>
      </c>
      <c r="G90" s="57"/>
    </row>
    <row r="91" spans="1:7">
      <c r="A91" s="34" t="s">
        <v>68</v>
      </c>
      <c r="B91" s="35" t="s">
        <v>122</v>
      </c>
      <c r="C91" s="36"/>
      <c r="D91" s="37"/>
      <c r="E91" s="38"/>
      <c r="F91" s="39"/>
      <c r="G91" s="60">
        <f>SUM(G92:G115)</f>
        <v>0</v>
      </c>
    </row>
    <row r="92" spans="1:7">
      <c r="A92" s="12" t="s">
        <v>69</v>
      </c>
      <c r="B92" s="13" t="s">
        <v>140</v>
      </c>
      <c r="C92" s="14"/>
      <c r="D92" s="16"/>
      <c r="E92" s="58"/>
      <c r="F92" s="59"/>
      <c r="G92" s="56">
        <f>SUM(F93:F96)</f>
        <v>0</v>
      </c>
    </row>
    <row r="93" spans="1:7">
      <c r="A93" s="47" t="s">
        <v>16</v>
      </c>
      <c r="B93" s="42" t="s">
        <v>123</v>
      </c>
      <c r="C93" s="43"/>
      <c r="D93" s="44" t="s">
        <v>25</v>
      </c>
      <c r="E93" s="62"/>
      <c r="F93" s="63">
        <f t="shared" ref="F93" si="14">C93*E93</f>
        <v>0</v>
      </c>
      <c r="G93" s="53"/>
    </row>
    <row r="94" spans="1:7">
      <c r="A94" s="47" t="s">
        <v>17</v>
      </c>
      <c r="B94" s="42" t="s">
        <v>62</v>
      </c>
      <c r="C94" s="43"/>
      <c r="D94" s="44" t="s">
        <v>25</v>
      </c>
      <c r="E94" s="62"/>
      <c r="F94" s="63">
        <f t="shared" ref="F94" si="15">C94*E94</f>
        <v>0</v>
      </c>
      <c r="G94" s="53"/>
    </row>
    <row r="95" spans="1:7">
      <c r="A95" s="47" t="s">
        <v>19</v>
      </c>
      <c r="B95" s="42" t="s">
        <v>141</v>
      </c>
      <c r="C95" s="43"/>
      <c r="D95" s="44" t="s">
        <v>25</v>
      </c>
      <c r="E95" s="62"/>
      <c r="F95" s="63">
        <f>C95*E95</f>
        <v>0</v>
      </c>
      <c r="G95" s="53"/>
    </row>
    <row r="96" spans="1:7">
      <c r="A96" s="47" t="s">
        <v>20</v>
      </c>
      <c r="B96" s="42" t="s">
        <v>142</v>
      </c>
      <c r="C96" s="43"/>
      <c r="D96" s="44" t="s">
        <v>24</v>
      </c>
      <c r="E96" s="62"/>
      <c r="F96" s="63">
        <f>C96*E96</f>
        <v>0</v>
      </c>
      <c r="G96" s="53"/>
    </row>
    <row r="97" spans="1:7">
      <c r="A97" s="17" t="s">
        <v>70</v>
      </c>
      <c r="B97" s="18" t="s">
        <v>124</v>
      </c>
      <c r="C97" s="19"/>
      <c r="D97" s="20"/>
      <c r="E97" s="50"/>
      <c r="F97" s="51"/>
      <c r="G97" s="56">
        <f>SUM(F98:F100)</f>
        <v>0</v>
      </c>
    </row>
    <row r="98" spans="1:7">
      <c r="A98" s="48" t="s">
        <v>16</v>
      </c>
      <c r="B98" s="49" t="s">
        <v>92</v>
      </c>
      <c r="C98" s="43"/>
      <c r="D98" s="44" t="s">
        <v>96</v>
      </c>
      <c r="E98" s="62"/>
      <c r="F98" s="63">
        <f t="shared" ref="F98" si="16">C98*E98</f>
        <v>0</v>
      </c>
      <c r="G98" s="53"/>
    </row>
    <row r="99" spans="1:7">
      <c r="A99" s="48" t="s">
        <v>17</v>
      </c>
      <c r="B99" s="49" t="s">
        <v>125</v>
      </c>
      <c r="C99" s="43"/>
      <c r="D99" s="44" t="s">
        <v>96</v>
      </c>
      <c r="E99" s="62"/>
      <c r="F99" s="63">
        <f t="shared" ref="F99:F115" si="17">C99*E99</f>
        <v>0</v>
      </c>
      <c r="G99" s="53"/>
    </row>
    <row r="100" spans="1:7">
      <c r="A100" s="48" t="s">
        <v>19</v>
      </c>
      <c r="B100" s="49" t="s">
        <v>126</v>
      </c>
      <c r="C100" s="43"/>
      <c r="D100" s="44" t="s">
        <v>96</v>
      </c>
      <c r="E100" s="62"/>
      <c r="F100" s="63">
        <f t="shared" si="17"/>
        <v>0</v>
      </c>
      <c r="G100" s="53"/>
    </row>
    <row r="101" spans="1:7">
      <c r="A101" s="17" t="s">
        <v>71</v>
      </c>
      <c r="B101" s="18" t="s">
        <v>127</v>
      </c>
      <c r="C101" s="19"/>
      <c r="D101" s="20"/>
      <c r="E101" s="50"/>
      <c r="F101" s="51"/>
      <c r="G101" s="56">
        <f>SUM(F102:F110)</f>
        <v>0</v>
      </c>
    </row>
    <row r="102" spans="1:7">
      <c r="A102" s="48" t="s">
        <v>16</v>
      </c>
      <c r="B102" s="49" t="s">
        <v>128</v>
      </c>
      <c r="C102" s="43"/>
      <c r="D102" s="44" t="s">
        <v>96</v>
      </c>
      <c r="E102" s="62"/>
      <c r="F102" s="63">
        <f t="shared" ref="F102:F108" si="18">C102*E102</f>
        <v>0</v>
      </c>
      <c r="G102" s="53"/>
    </row>
    <row r="103" spans="1:7">
      <c r="A103" s="48" t="s">
        <v>17</v>
      </c>
      <c r="B103" s="49" t="s">
        <v>131</v>
      </c>
      <c r="C103" s="43"/>
      <c r="D103" s="44" t="s">
        <v>24</v>
      </c>
      <c r="E103" s="62"/>
      <c r="F103" s="63">
        <f t="shared" ref="F103:F104" si="19">C103*E103</f>
        <v>0</v>
      </c>
      <c r="G103" s="53"/>
    </row>
    <row r="104" spans="1:7">
      <c r="A104" s="48" t="s">
        <v>19</v>
      </c>
      <c r="B104" s="49" t="s">
        <v>133</v>
      </c>
      <c r="C104" s="43"/>
      <c r="D104" s="44" t="s">
        <v>24</v>
      </c>
      <c r="E104" s="62"/>
      <c r="F104" s="63">
        <f t="shared" si="19"/>
        <v>0</v>
      </c>
      <c r="G104" s="53"/>
    </row>
    <row r="105" spans="1:7">
      <c r="A105" s="48" t="s">
        <v>20</v>
      </c>
      <c r="B105" s="49" t="s">
        <v>134</v>
      </c>
      <c r="C105" s="43"/>
      <c r="D105" s="44" t="s">
        <v>96</v>
      </c>
      <c r="E105" s="62"/>
      <c r="F105" s="63">
        <f t="shared" ref="F105" si="20">C105*E105</f>
        <v>0</v>
      </c>
      <c r="G105" s="53"/>
    </row>
    <row r="106" spans="1:7">
      <c r="A106" s="48" t="s">
        <v>21</v>
      </c>
      <c r="B106" s="49" t="s">
        <v>130</v>
      </c>
      <c r="C106" s="43"/>
      <c r="D106" s="44" t="s">
        <v>12</v>
      </c>
      <c r="E106" s="62"/>
      <c r="F106" s="63">
        <f>C106*E106</f>
        <v>0</v>
      </c>
      <c r="G106" s="53"/>
    </row>
    <row r="107" spans="1:7">
      <c r="A107" s="48" t="s">
        <v>22</v>
      </c>
      <c r="B107" s="49" t="s">
        <v>129</v>
      </c>
      <c r="C107" s="43"/>
      <c r="D107" s="44" t="s">
        <v>96</v>
      </c>
      <c r="E107" s="62"/>
      <c r="F107" s="63">
        <f t="shared" si="18"/>
        <v>0</v>
      </c>
      <c r="G107" s="53"/>
    </row>
    <row r="108" spans="1:7">
      <c r="A108" s="48" t="s">
        <v>56</v>
      </c>
      <c r="B108" s="49" t="s">
        <v>132</v>
      </c>
      <c r="C108" s="43"/>
      <c r="D108" s="44" t="s">
        <v>24</v>
      </c>
      <c r="E108" s="62"/>
      <c r="F108" s="63">
        <f t="shared" si="18"/>
        <v>0</v>
      </c>
      <c r="G108" s="53"/>
    </row>
    <row r="109" spans="1:7">
      <c r="A109" s="48" t="s">
        <v>72</v>
      </c>
      <c r="B109" s="49" t="s">
        <v>94</v>
      </c>
      <c r="C109" s="43"/>
      <c r="D109" s="44" t="s">
        <v>12</v>
      </c>
      <c r="E109" s="62"/>
      <c r="F109" s="63">
        <f>C109*E109</f>
        <v>0</v>
      </c>
      <c r="G109" s="53"/>
    </row>
    <row r="110" spans="1:7">
      <c r="A110" s="48" t="s">
        <v>76</v>
      </c>
      <c r="B110" s="49" t="s">
        <v>95</v>
      </c>
      <c r="C110" s="43"/>
      <c r="D110" s="44" t="s">
        <v>12</v>
      </c>
      <c r="E110" s="62"/>
      <c r="F110" s="63">
        <f>C110*E110</f>
        <v>0</v>
      </c>
      <c r="G110" s="53"/>
    </row>
    <row r="111" spans="1:7">
      <c r="A111" s="17" t="s">
        <v>91</v>
      </c>
      <c r="B111" s="18" t="s">
        <v>136</v>
      </c>
      <c r="C111" s="19"/>
      <c r="D111" s="20"/>
      <c r="E111" s="50"/>
      <c r="F111" s="51"/>
      <c r="G111" s="56">
        <f>SUM(F112:F113)</f>
        <v>0</v>
      </c>
    </row>
    <row r="112" spans="1:7">
      <c r="A112" s="48" t="s">
        <v>16</v>
      </c>
      <c r="B112" s="49" t="s">
        <v>93</v>
      </c>
      <c r="C112" s="43"/>
      <c r="D112" s="44" t="s">
        <v>96</v>
      </c>
      <c r="E112" s="62"/>
      <c r="F112" s="63">
        <f t="shared" si="17"/>
        <v>0</v>
      </c>
      <c r="G112" s="53"/>
    </row>
    <row r="113" spans="1:7">
      <c r="A113" s="48" t="s">
        <v>17</v>
      </c>
      <c r="B113" s="49" t="s">
        <v>139</v>
      </c>
      <c r="C113" s="43"/>
      <c r="D113" s="44" t="s">
        <v>96</v>
      </c>
      <c r="E113" s="62"/>
      <c r="F113" s="63">
        <f t="shared" ref="F113" si="21">C113*E113</f>
        <v>0</v>
      </c>
      <c r="G113" s="53"/>
    </row>
    <row r="114" spans="1:7">
      <c r="A114" s="17" t="s">
        <v>160</v>
      </c>
      <c r="B114" s="18" t="s">
        <v>137</v>
      </c>
      <c r="C114" s="19"/>
      <c r="D114" s="20"/>
      <c r="E114" s="50"/>
      <c r="F114" s="51"/>
      <c r="G114" s="56">
        <f>SUM(F115)</f>
        <v>0</v>
      </c>
    </row>
    <row r="115" spans="1:7" ht="14" thickBot="1">
      <c r="A115" s="48" t="s">
        <v>16</v>
      </c>
      <c r="B115" s="49" t="s">
        <v>138</v>
      </c>
      <c r="C115" s="43"/>
      <c r="D115" s="44" t="s">
        <v>96</v>
      </c>
      <c r="E115" s="62"/>
      <c r="F115" s="63">
        <f t="shared" si="17"/>
        <v>0</v>
      </c>
      <c r="G115" s="53"/>
    </row>
    <row r="116" spans="1:7" ht="15" thickBot="1">
      <c r="A116" s="25"/>
      <c r="B116" s="26" t="s">
        <v>10</v>
      </c>
      <c r="C116" s="27"/>
      <c r="D116" s="27"/>
      <c r="E116" s="33"/>
      <c r="F116" s="33"/>
      <c r="G116" s="61">
        <f>G5</f>
        <v>0</v>
      </c>
    </row>
  </sheetData>
  <mergeCells count="3">
    <mergeCell ref="A1:D1"/>
    <mergeCell ref="A2:D2"/>
    <mergeCell ref="A3:D3"/>
  </mergeCells>
  <phoneticPr fontId="23" type="noConversion"/>
  <pageMargins left="0.70866141732283472" right="0.70866141732283472" top="0.78740157480314965" bottom="0.78740157480314965" header="0.31496062992125984" footer="0.31496062992125984"/>
  <pageSetup paperSize="9" scale="7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1</vt:i4>
      </vt:variant>
    </vt:vector>
  </HeadingPairs>
  <TitlesOfParts>
    <vt:vector size="3" baseType="lpstr">
      <vt:lpstr>Krycí list CZK</vt:lpstr>
      <vt:lpstr>Položkový rozpočet CZK</vt:lpstr>
      <vt:lpstr>'Položkový rozpočet CZK'!Oblast_tisku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Hoyermann, Friedel</dc:creator>
  <cp:lastModifiedBy>Aleš Kytnar</cp:lastModifiedBy>
  <cp:lastPrinted>2023-10-16T05:56:04Z</cp:lastPrinted>
  <dcterms:created xsi:type="dcterms:W3CDTF">2016-02-15T10:02:34Z</dcterms:created>
  <dcterms:modified xsi:type="dcterms:W3CDTF">2023-10-20T09:01:46Z</dcterms:modified>
</cp:coreProperties>
</file>